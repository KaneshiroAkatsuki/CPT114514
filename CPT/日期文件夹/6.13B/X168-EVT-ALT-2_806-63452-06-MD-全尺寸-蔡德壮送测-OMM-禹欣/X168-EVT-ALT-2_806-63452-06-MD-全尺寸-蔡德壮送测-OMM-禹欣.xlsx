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290" activeTab="7"/>
  </bookViews>
  <sheets>
    <sheet name="1" sheetId="8" r:id="rId1"/>
    <sheet name="2" sheetId="9" r:id="rId2"/>
    <sheet name="3" sheetId="10" r:id="rId3"/>
    <sheet name="4" sheetId="11" r:id="rId4"/>
    <sheet name="5" sheetId="12" r:id="rId5"/>
    <sheet name="6" sheetId="13" r:id="rId6"/>
    <sheet name="7" sheetId="14" r:id="rId7"/>
    <sheet name="8" sheetId="15" r:id="rId8"/>
  </sheets>
  <definedNames>
    <definedName name="_xlnm.Print_Area" localSheetId="0">'1'!$B$1:$AE$7</definedName>
    <definedName name="_xlnm.Print_Titles" localSheetId="0">'1'!$1:$7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<sst xmlns="http://schemas.openxmlformats.org/spreadsheetml/2006/main" count="1314" uniqueCount="88">
  <si>
    <t>安徽中耀智能科技有限公司首件尺寸报告</t>
  </si>
  <si>
    <t>料号</t>
  </si>
  <si>
    <t>806-63452</t>
  </si>
  <si>
    <t>工单号</t>
  </si>
  <si>
    <t>工站</t>
  </si>
  <si>
    <t>送测机台号</t>
  </si>
  <si>
    <t>测量机台号</t>
  </si>
  <si>
    <t>测量人员</t>
  </si>
  <si>
    <t>审核</t>
  </si>
  <si>
    <t xml:space="preserve"> 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</si>
  <si>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</si>
  <si>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</si>
  <si>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</si>
  <si>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</si>
  <si>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</si>
  <si>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</si>
  <si>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</si>
  <si>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</si>
  <si>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</si>
  <si>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</si>
  <si>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</si>
  <si>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</si>
  <si>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</si>
  <si>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</si>
  <si>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</si>
  <si>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</si>
  <si>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Arial"/>
        <charset val="134"/>
      </rPr>
      <t>5</t>
    </r>
    <r>
      <rPr>
        <b/>
        <sz val="11"/>
        <rFont val="宋体"/>
        <charset val="134"/>
      </rPr>
      <t>掉料</t>
    </r>
  </si>
  <si>
    <r>
      <rPr>
        <b/>
        <sz val="11"/>
        <rFont val="Arial"/>
        <charset val="134"/>
      </rPr>
      <t>6</t>
    </r>
    <r>
      <rPr>
        <b/>
        <sz val="11"/>
        <rFont val="宋体"/>
        <charset val="134"/>
      </rPr>
      <t>掉料</t>
    </r>
  </si>
  <si>
    <t>6/13</t>
  </si>
  <si>
    <t>FAI11</t>
  </si>
  <si>
    <t>OMM</t>
  </si>
  <si>
    <t>FAI23_1</t>
  </si>
  <si>
    <t>FAI23_2</t>
  </si>
  <si>
    <t>FAI24_1</t>
  </si>
  <si>
    <t>CK</t>
  </si>
  <si>
    <t>FAI24_2</t>
  </si>
  <si>
    <t>FAI34</t>
  </si>
  <si>
    <t>FAI39</t>
  </si>
  <si>
    <t>FAI46</t>
  </si>
  <si>
    <t>FAI28_1</t>
  </si>
  <si>
    <t>FAI28_2</t>
  </si>
  <si>
    <t>FAI1</t>
  </si>
  <si>
    <t>CMM</t>
  </si>
  <si>
    <t>FAI3_1</t>
  </si>
  <si>
    <t>FAI3_2</t>
  </si>
  <si>
    <t>FAI5_1</t>
  </si>
  <si>
    <t>FAI5_2</t>
  </si>
  <si>
    <t>FAI7</t>
  </si>
  <si>
    <t>FAI9</t>
  </si>
  <si>
    <t>FAI32</t>
  </si>
  <si>
    <t>FAI35</t>
  </si>
  <si>
    <t>FAI36</t>
  </si>
  <si>
    <t>FAI37</t>
  </si>
  <si>
    <t>CM</t>
  </si>
  <si>
    <t>FAI54</t>
  </si>
  <si>
    <t>CT</t>
  </si>
  <si>
    <t>FAI55</t>
  </si>
  <si>
    <t>CU</t>
  </si>
  <si>
    <t>FAI14</t>
  </si>
  <si>
    <t>BE</t>
  </si>
  <si>
    <t>FAI25_1X</t>
  </si>
  <si>
    <t>FAI25_1Y</t>
  </si>
  <si>
    <t>FAI25_1</t>
  </si>
  <si>
    <t>CL</t>
  </si>
  <si>
    <t>FAI25_2X</t>
  </si>
  <si>
    <t>FAI25_2Y</t>
  </si>
  <si>
    <t>FAI25_2</t>
  </si>
  <si>
    <t>FAI29</t>
  </si>
  <si>
    <t>CJ</t>
  </si>
  <si>
    <t>FAI47</t>
  </si>
  <si>
    <t>CP</t>
  </si>
  <si>
    <t>FAI48</t>
  </si>
  <si>
    <t>CQ</t>
  </si>
  <si>
    <t>FAI49</t>
  </si>
  <si>
    <t>CR</t>
  </si>
  <si>
    <t>FAI50</t>
  </si>
  <si>
    <t>CS</t>
  </si>
  <si>
    <t>FAI52</t>
  </si>
  <si>
    <t>FAI53</t>
  </si>
  <si>
    <t>FAI2</t>
  </si>
  <si>
    <t>AC</t>
  </si>
  <si>
    <t>PIN</t>
  </si>
  <si>
    <t>FAI12_1</t>
  </si>
  <si>
    <t>BC</t>
  </si>
  <si>
    <t>MIC</t>
  </si>
  <si>
    <t>FAI12_2</t>
  </si>
  <si>
    <t>FAI22</t>
  </si>
  <si>
    <t>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</si>
</sst>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8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2" xfId="60" applyNumberFormat="1" applyFont="1" applyBorder="1" applyAlignment="1" applyProtection="1">
      <alignment horizontal="center" vertical="center"/>
      <protection locked="0"/>
    </xf>
    <xf numFmtId="0" fontId="9" fillId="0" borderId="7" xfId="53" applyFont="1" applyFill="1" applyBorder="1" applyAlignment="1">
      <alignment horizontal="center" vertical="center"/>
    </xf>
    <xf numFmtId="0" fontId="9" fillId="0" borderId="7" xfId="53" applyFont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49" fontId="7" fillId="0" borderId="14" xfId="60" applyNumberFormat="1" applyFont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>
      <alignment horizontal="center"/>
    </xf>
    <xf numFmtId="49" fontId="7" fillId="0" borderId="8" xfId="60" applyNumberFormat="1" applyFont="1" applyBorder="1" applyAlignment="1" applyProtection="1">
      <alignment horizontal="center" vertical="center"/>
      <protection locked="0"/>
    </xf>
    <xf numFmtId="0" fontId="9" fillId="2" borderId="1" xfId="61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8" fillId="4" borderId="1" xfId="60" applyFont="1" applyFill="1" applyBorder="1" applyAlignment="1" applyProtection="1">
      <alignment horizontal="center" vertical="center"/>
      <protection locked="0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300355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300355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300355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300355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300355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300355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300355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7"/>
  <sheetViews>
    <sheetView topLeftCell="R1" workbookViewId="0">
      <selection activeCell="AN3" sqref="AJ3:AO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59" t="s">
        <v>26</v>
      </c>
      <c r="O7" s="59" t="s">
        <v>27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 t="str">
        <f t="shared" si="0"/>
        <v>5掉料</v>
      </c>
      <c r="AE7" s="47" t="str">
        <f t="shared" si="0"/>
        <v>6掉料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>D8+E8</f>
        <v>3.78</v>
      </c>
      <c r="H8" s="51">
        <f>D8+F8</f>
        <v>3.68</v>
      </c>
      <c r="I8" s="51" t="s">
        <v>30</v>
      </c>
      <c r="J8" s="52">
        <v>3.7265</v>
      </c>
      <c r="K8" s="52">
        <v>3.7285</v>
      </c>
      <c r="L8" s="52">
        <v>3.7305</v>
      </c>
      <c r="M8" s="52">
        <v>3.7292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1">IF(J8="","",IF(J8&gt;($D8+$E8),(J8-$D8-$E8),IF(J8&lt;($D8+$F8),(J8-$D8-$F8),"√")))</f>
        <v>√</v>
      </c>
      <c r="AA8" s="53" t="str">
        <f t="shared" si="1"/>
        <v>√</v>
      </c>
      <c r="AB8" s="53" t="str">
        <f t="shared" si="1"/>
        <v>√</v>
      </c>
      <c r="AC8" s="53" t="str">
        <f t="shared" si="1"/>
        <v>√</v>
      </c>
      <c r="AD8" s="53" t="str">
        <f t="shared" si="1"/>
        <v/>
      </c>
      <c r="AE8" s="53" t="str">
        <f t="shared" si="1"/>
        <v/>
      </c>
      <c r="AF8" s="53" t="str">
        <f t="shared" si="1"/>
        <v/>
      </c>
      <c r="AG8" s="53" t="str">
        <f t="shared" si="1"/>
        <v/>
      </c>
      <c r="AH8" s="53" t="str">
        <f t="shared" si="1"/>
        <v/>
      </c>
      <c r="AI8" s="53" t="str">
        <f t="shared" si="1"/>
        <v/>
      </c>
      <c r="AJ8" s="53" t="str">
        <f t="shared" si="1"/>
        <v/>
      </c>
      <c r="AK8" s="53" t="str">
        <f t="shared" si="1"/>
        <v/>
      </c>
      <c r="AL8" s="53" t="str">
        <f t="shared" si="1"/>
        <v/>
      </c>
      <c r="AM8" s="53" t="str">
        <f t="shared" si="1"/>
        <v/>
      </c>
      <c r="AN8" s="53" t="str">
        <f t="shared" si="1"/>
        <v/>
      </c>
      <c r="AO8" s="53" t="str">
        <f t="shared" si="1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>D9+E9</f>
        <v>1.98</v>
      </c>
      <c r="H9" s="51">
        <f>D9+F9</f>
        <v>1.88</v>
      </c>
      <c r="I9" s="51" t="s">
        <v>30</v>
      </c>
      <c r="J9" s="52">
        <v>1.9394</v>
      </c>
      <c r="K9" s="52">
        <v>1.9459</v>
      </c>
      <c r="L9" s="52">
        <v>1.9428</v>
      </c>
      <c r="M9" s="52">
        <v>1.9426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2">IF(J9="","",IF(J9&gt;($D9+$E9),(J9-$D9-$E9),IF(J9&lt;($D9+$F9),(J9-$D9-$F9),"√")))</f>
        <v>√</v>
      </c>
      <c r="AA9" s="53" t="str">
        <f t="shared" si="2"/>
        <v>√</v>
      </c>
      <c r="AB9" s="53" t="str">
        <f t="shared" si="2"/>
        <v>√</v>
      </c>
      <c r="AC9" s="53" t="str">
        <f t="shared" si="2"/>
        <v>√</v>
      </c>
      <c r="AD9" s="53" t="str">
        <f t="shared" si="2"/>
        <v/>
      </c>
      <c r="AE9" s="53" t="str">
        <f t="shared" si="2"/>
        <v/>
      </c>
      <c r="AF9" s="53" t="str">
        <f t="shared" si="2"/>
        <v/>
      </c>
      <c r="AG9" s="53" t="str">
        <f t="shared" si="2"/>
        <v/>
      </c>
      <c r="AH9" s="53" t="str">
        <f t="shared" si="2"/>
        <v/>
      </c>
      <c r="AI9" s="53" t="str">
        <f t="shared" si="2"/>
        <v/>
      </c>
      <c r="AJ9" s="53" t="str">
        <f t="shared" si="2"/>
        <v/>
      </c>
      <c r="AK9" s="53" t="str">
        <f t="shared" si="2"/>
        <v/>
      </c>
      <c r="AL9" s="53" t="str">
        <f t="shared" si="2"/>
        <v/>
      </c>
      <c r="AM9" s="53" t="str">
        <f t="shared" si="2"/>
        <v/>
      </c>
      <c r="AN9" s="53" t="str">
        <f t="shared" si="2"/>
        <v/>
      </c>
      <c r="AO9" s="53" t="str">
        <f t="shared" si="2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>D10+E10</f>
        <v>1.98</v>
      </c>
      <c r="H10" s="51">
        <f>D10+F10</f>
        <v>1.88</v>
      </c>
      <c r="I10" s="51" t="s">
        <v>30</v>
      </c>
      <c r="J10" s="52">
        <v>1.9527</v>
      </c>
      <c r="K10" s="52">
        <v>1.952</v>
      </c>
      <c r="L10" s="52">
        <v>1.9745</v>
      </c>
      <c r="M10" s="52">
        <v>1.9513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3">IF(J10="","",IF(J10&gt;($D10+$E10),(J10-$D10-$E10),IF(J10&lt;($D10+$F10),(J10-$D10-$F10),"√")))</f>
        <v>√</v>
      </c>
      <c r="AA10" s="53" t="str">
        <f t="shared" si="3"/>
        <v>√</v>
      </c>
      <c r="AB10" s="53" t="str">
        <f t="shared" si="3"/>
        <v>√</v>
      </c>
      <c r="AC10" s="53" t="str">
        <f t="shared" si="3"/>
        <v>√</v>
      </c>
      <c r="AD10" s="53" t="str">
        <f t="shared" si="3"/>
        <v/>
      </c>
      <c r="AE10" s="53" t="str">
        <f t="shared" si="3"/>
        <v/>
      </c>
      <c r="AF10" s="53" t="str">
        <f t="shared" si="3"/>
        <v/>
      </c>
      <c r="AG10" s="53" t="str">
        <f t="shared" si="3"/>
        <v/>
      </c>
      <c r="AH10" s="53" t="str">
        <f t="shared" si="3"/>
        <v/>
      </c>
      <c r="AI10" s="53" t="str">
        <f t="shared" si="3"/>
        <v/>
      </c>
      <c r="AJ10" s="53" t="str">
        <f t="shared" si="3"/>
        <v/>
      </c>
      <c r="AK10" s="53" t="str">
        <f t="shared" si="3"/>
        <v/>
      </c>
      <c r="AL10" s="53" t="str">
        <f t="shared" si="3"/>
        <v/>
      </c>
      <c r="AM10" s="53" t="str">
        <f t="shared" si="3"/>
        <v/>
      </c>
      <c r="AN10" s="53" t="str">
        <f t="shared" si="3"/>
        <v/>
      </c>
      <c r="AO10" s="53" t="str">
        <f t="shared" si="3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>D11+E11</f>
        <v>1.35</v>
      </c>
      <c r="H11" s="51">
        <f>D11+F11</f>
        <v>1.29</v>
      </c>
      <c r="I11" s="51" t="s">
        <v>30</v>
      </c>
      <c r="J11" s="52">
        <v>1.3024</v>
      </c>
      <c r="K11" s="52">
        <v>1.3027</v>
      </c>
      <c r="L11" s="52">
        <v>1.2977</v>
      </c>
      <c r="M11" s="52">
        <v>1.3032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4">IF(J11="","",IF(J11&gt;($D11+$E11),(J11-$D11-$E11),IF(J11&lt;($D11+$F11),(J11-$D11-$F11),"√")))</f>
        <v>√</v>
      </c>
      <c r="AA11" s="53" t="str">
        <f t="shared" si="4"/>
        <v>√</v>
      </c>
      <c r="AB11" s="53" t="str">
        <f t="shared" si="4"/>
        <v>√</v>
      </c>
      <c r="AC11" s="53" t="str">
        <f t="shared" si="4"/>
        <v>√</v>
      </c>
      <c r="AD11" s="53" t="str">
        <f t="shared" si="4"/>
        <v/>
      </c>
      <c r="AE11" s="53" t="str">
        <f t="shared" si="4"/>
        <v/>
      </c>
      <c r="AF11" s="53" t="str">
        <f t="shared" si="4"/>
        <v/>
      </c>
      <c r="AG11" s="53" t="str">
        <f t="shared" si="4"/>
        <v/>
      </c>
      <c r="AH11" s="53" t="str">
        <f t="shared" si="4"/>
        <v/>
      </c>
      <c r="AI11" s="53" t="str">
        <f t="shared" si="4"/>
        <v/>
      </c>
      <c r="AJ11" s="53" t="str">
        <f t="shared" si="4"/>
        <v/>
      </c>
      <c r="AK11" s="53" t="str">
        <f t="shared" si="4"/>
        <v/>
      </c>
      <c r="AL11" s="53" t="str">
        <f t="shared" si="4"/>
        <v/>
      </c>
      <c r="AM11" s="53" t="str">
        <f t="shared" si="4"/>
        <v/>
      </c>
      <c r="AN11" s="53" t="str">
        <f t="shared" si="4"/>
        <v/>
      </c>
      <c r="AO11" s="53" t="str">
        <f t="shared" si="4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ref="G12:G26" si="5">D12+E12</f>
        <v>1.35</v>
      </c>
      <c r="H12" s="51">
        <f t="shared" ref="H12:H26" si="6">D12+F12</f>
        <v>1.29</v>
      </c>
      <c r="I12" s="51" t="s">
        <v>30</v>
      </c>
      <c r="J12" s="52">
        <v>1.3062</v>
      </c>
      <c r="K12" s="52">
        <v>1.3052</v>
      </c>
      <c r="L12" s="52">
        <v>1.3071</v>
      </c>
      <c r="M12" s="52">
        <v>1.3124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/>
      </c>
      <c r="AE12" s="53" t="str">
        <f t="shared" si="7"/>
        <v/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5"/>
        <v>2.485</v>
      </c>
      <c r="H13" s="51">
        <f t="shared" si="6"/>
        <v>2.425</v>
      </c>
      <c r="I13" s="51" t="s">
        <v>30</v>
      </c>
      <c r="J13" s="52">
        <v>2.4842</v>
      </c>
      <c r="K13" s="52">
        <v>2.4722</v>
      </c>
      <c r="L13" s="52">
        <v>2.4704</v>
      </c>
      <c r="M13" s="52">
        <v>2.4609</v>
      </c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/>
      </c>
      <c r="AE13" s="53" t="str">
        <f t="shared" si="8"/>
        <v/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5"/>
        <v>2.96</v>
      </c>
      <c r="H14" s="51">
        <f t="shared" si="6"/>
        <v>2.86</v>
      </c>
      <c r="I14" s="51" t="s">
        <v>30</v>
      </c>
      <c r="J14" s="52">
        <v>2.8912</v>
      </c>
      <c r="K14" s="52">
        <v>2.8861</v>
      </c>
      <c r="L14" s="52">
        <v>2.8869</v>
      </c>
      <c r="M14" s="52">
        <v>2.8879</v>
      </c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/>
      </c>
      <c r="AE14" s="53" t="str">
        <f t="shared" si="9"/>
        <v/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5"/>
        <v>1.96</v>
      </c>
      <c r="H15" s="51">
        <f t="shared" si="6"/>
        <v>1.9</v>
      </c>
      <c r="I15" s="51" t="s">
        <v>30</v>
      </c>
      <c r="J15" s="52">
        <v>1.9386</v>
      </c>
      <c r="K15" s="52">
        <v>1.9372</v>
      </c>
      <c r="L15" s="52">
        <v>1.9373</v>
      </c>
      <c r="M15" s="52">
        <v>1.9385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/>
      </c>
      <c r="AE15" s="53" t="str">
        <f t="shared" si="10"/>
        <v/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5"/>
        <v>2.19</v>
      </c>
      <c r="H16" s="51">
        <f t="shared" si="6"/>
        <v>2.09</v>
      </c>
      <c r="I16" s="51" t="s">
        <v>30</v>
      </c>
      <c r="J16" s="52">
        <v>2.1591</v>
      </c>
      <c r="K16" s="52">
        <v>2.1594</v>
      </c>
      <c r="L16" s="52">
        <v>2.1594</v>
      </c>
      <c r="M16" s="52">
        <v>2.1601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>√</v>
      </c>
      <c r="AA16" s="53" t="str">
        <f t="shared" si="11"/>
        <v>√</v>
      </c>
      <c r="AB16" s="53" t="str">
        <f t="shared" si="11"/>
        <v>√</v>
      </c>
      <c r="AC16" s="53" t="str">
        <f t="shared" si="11"/>
        <v>√</v>
      </c>
      <c r="AD16" s="53" t="str">
        <f t="shared" si="11"/>
        <v/>
      </c>
      <c r="AE16" s="53" t="str">
        <f t="shared" si="11"/>
        <v/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5"/>
        <v>2.19</v>
      </c>
      <c r="H17" s="51">
        <f t="shared" si="6"/>
        <v>2.09</v>
      </c>
      <c r="I17" s="51" t="s">
        <v>30</v>
      </c>
      <c r="J17" s="52">
        <v>2.1681</v>
      </c>
      <c r="K17" s="52">
        <v>2.1694</v>
      </c>
      <c r="L17" s="52">
        <v>2.1687</v>
      </c>
      <c r="M17" s="52">
        <v>2.1676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>√</v>
      </c>
      <c r="AA17" s="53" t="str">
        <f t="shared" si="12"/>
        <v>√</v>
      </c>
      <c r="AB17" s="53" t="str">
        <f t="shared" si="12"/>
        <v>√</v>
      </c>
      <c r="AC17" s="53" t="str">
        <f t="shared" si="12"/>
        <v>√</v>
      </c>
      <c r="AD17" s="53" t="str">
        <f t="shared" si="12"/>
        <v/>
      </c>
      <c r="AE17" s="53" t="str">
        <f t="shared" si="12"/>
        <v/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5"/>
        <v>5.405</v>
      </c>
      <c r="H18" s="51">
        <f t="shared" si="6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5"/>
        <v>2.15</v>
      </c>
      <c r="H19" s="51">
        <f t="shared" si="6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5"/>
        <v>2.15</v>
      </c>
      <c r="H20" s="51">
        <f t="shared" si="6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5"/>
        <v>0.51</v>
      </c>
      <c r="H21" s="51">
        <f t="shared" si="6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5"/>
        <v>0.51</v>
      </c>
      <c r="H22" s="51">
        <f t="shared" si="6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5"/>
        <v>1.08</v>
      </c>
      <c r="H23" s="51">
        <f t="shared" si="6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5"/>
        <v>0.75</v>
      </c>
      <c r="H24" s="51">
        <f t="shared" si="6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5"/>
        <v>0.35</v>
      </c>
      <c r="H25" s="51">
        <f t="shared" si="6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5"/>
        <v>0.33</v>
      </c>
      <c r="H26" s="51">
        <f t="shared" si="6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ref="G27:G31" si="22">D27+E27</f>
        <v>0.094</v>
      </c>
      <c r="H27" s="51">
        <f t="shared" ref="H27:H31" si="23">D27+F27</f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4">IF(J27="","",IF(J27&gt;($D27+$E27),(J27-$D27-$E27),IF(J27&lt;($D27+$F27),(J27-$D27-$F27),"√")))</f>
        <v/>
      </c>
      <c r="AA27" s="53" t="str">
        <f t="shared" si="24"/>
        <v/>
      </c>
      <c r="AB27" s="53" t="str">
        <f t="shared" si="24"/>
        <v/>
      </c>
      <c r="AC27" s="53" t="str">
        <f t="shared" si="24"/>
        <v/>
      </c>
      <c r="AD27" s="53" t="str">
        <f t="shared" si="24"/>
        <v/>
      </c>
      <c r="AE27" s="53" t="str">
        <f t="shared" si="24"/>
        <v/>
      </c>
      <c r="AF27" s="53" t="str">
        <f t="shared" si="24"/>
        <v/>
      </c>
      <c r="AG27" s="53" t="str">
        <f t="shared" si="24"/>
        <v/>
      </c>
      <c r="AH27" s="53" t="str">
        <f t="shared" si="24"/>
        <v/>
      </c>
      <c r="AI27" s="53" t="str">
        <f t="shared" si="24"/>
        <v/>
      </c>
      <c r="AJ27" s="53" t="str">
        <f t="shared" si="24"/>
        <v/>
      </c>
      <c r="AK27" s="53" t="str">
        <f t="shared" si="24"/>
        <v/>
      </c>
      <c r="AL27" s="53" t="str">
        <f t="shared" si="24"/>
        <v/>
      </c>
      <c r="AM27" s="53" t="str">
        <f t="shared" si="24"/>
        <v/>
      </c>
      <c r="AN27" s="53" t="str">
        <f t="shared" si="24"/>
        <v/>
      </c>
      <c r="AO27" s="53" t="str">
        <f t="shared" si="24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22"/>
        <v>0.63</v>
      </c>
      <c r="H28" s="51">
        <f t="shared" si="23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5">IF(J28="","",IF(J28&gt;($D28+$E28),(J28-$D28-$E28),IF(J28&lt;($D28+$F28),(J28-$D28-$F28),"√")))</f>
        <v/>
      </c>
      <c r="AA28" s="53" t="str">
        <f t="shared" si="25"/>
        <v/>
      </c>
      <c r="AB28" s="53" t="str">
        <f t="shared" si="25"/>
        <v/>
      </c>
      <c r="AC28" s="53" t="str">
        <f t="shared" si="25"/>
        <v/>
      </c>
      <c r="AD28" s="53" t="str">
        <f t="shared" si="25"/>
        <v/>
      </c>
      <c r="AE28" s="53" t="str">
        <f t="shared" si="25"/>
        <v/>
      </c>
      <c r="AF28" s="53" t="str">
        <f t="shared" si="25"/>
        <v/>
      </c>
      <c r="AG28" s="53" t="str">
        <f t="shared" si="25"/>
        <v/>
      </c>
      <c r="AH28" s="53" t="str">
        <f t="shared" si="25"/>
        <v/>
      </c>
      <c r="AI28" s="53" t="str">
        <f t="shared" si="25"/>
        <v/>
      </c>
      <c r="AJ28" s="53" t="str">
        <f t="shared" si="25"/>
        <v/>
      </c>
      <c r="AK28" s="53" t="str">
        <f t="shared" si="25"/>
        <v/>
      </c>
      <c r="AL28" s="53" t="str">
        <f t="shared" si="25"/>
        <v/>
      </c>
      <c r="AM28" s="53" t="str">
        <f t="shared" si="25"/>
        <v/>
      </c>
      <c r="AN28" s="53" t="str">
        <f t="shared" si="25"/>
        <v/>
      </c>
      <c r="AO28" s="53" t="str">
        <f t="shared" si="25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22"/>
        <v>0.025</v>
      </c>
      <c r="H29" s="51">
        <f t="shared" si="23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6">IF(J29="","",IF(J29&gt;($D29+$E29),(J29-$D29-$E29),IF(J29&lt;($D29+$F29),(J29-$D29-$F29),"√")))</f>
        <v/>
      </c>
      <c r="AA29" s="53" t="str">
        <f t="shared" si="26"/>
        <v/>
      </c>
      <c r="AB29" s="53" t="str">
        <f t="shared" si="26"/>
        <v/>
      </c>
      <c r="AC29" s="53" t="str">
        <f t="shared" si="26"/>
        <v/>
      </c>
      <c r="AD29" s="53" t="str">
        <f t="shared" si="26"/>
        <v/>
      </c>
      <c r="AE29" s="53" t="str">
        <f t="shared" si="26"/>
        <v/>
      </c>
      <c r="AF29" s="53" t="str">
        <f t="shared" si="26"/>
        <v/>
      </c>
      <c r="AG29" s="53" t="str">
        <f t="shared" si="26"/>
        <v/>
      </c>
      <c r="AH29" s="53" t="str">
        <f t="shared" si="26"/>
        <v/>
      </c>
      <c r="AI29" s="53" t="str">
        <f t="shared" si="26"/>
        <v/>
      </c>
      <c r="AJ29" s="53" t="str">
        <f t="shared" si="26"/>
        <v/>
      </c>
      <c r="AK29" s="53" t="str">
        <f t="shared" si="26"/>
        <v/>
      </c>
      <c r="AL29" s="53" t="str">
        <f t="shared" si="26"/>
        <v/>
      </c>
      <c r="AM29" s="53" t="str">
        <f t="shared" si="26"/>
        <v/>
      </c>
      <c r="AN29" s="53" t="str">
        <f t="shared" si="26"/>
        <v/>
      </c>
      <c r="AO29" s="53" t="str">
        <f t="shared" si="26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22"/>
        <v>3.34</v>
      </c>
      <c r="H30" s="51">
        <f t="shared" si="23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7">IF(J30="","",IF(J30&gt;($D30+$E30),(J30-$D30-$E30),IF(J30&lt;($D30+$F30),(J30-$D30-$F30),"√")))</f>
        <v/>
      </c>
      <c r="AA30" s="53" t="str">
        <f t="shared" si="27"/>
        <v/>
      </c>
      <c r="AB30" s="53" t="str">
        <f t="shared" si="27"/>
        <v/>
      </c>
      <c r="AC30" s="53" t="str">
        <f t="shared" si="27"/>
        <v/>
      </c>
      <c r="AD30" s="53" t="str">
        <f t="shared" si="27"/>
        <v/>
      </c>
      <c r="AE30" s="53" t="str">
        <f t="shared" si="27"/>
        <v/>
      </c>
      <c r="AF30" s="53" t="str">
        <f t="shared" si="27"/>
        <v/>
      </c>
      <c r="AG30" s="53" t="str">
        <f t="shared" si="27"/>
        <v/>
      </c>
      <c r="AH30" s="53" t="str">
        <f t="shared" si="27"/>
        <v/>
      </c>
      <c r="AI30" s="53" t="str">
        <f t="shared" si="27"/>
        <v/>
      </c>
      <c r="AJ30" s="53" t="str">
        <f t="shared" si="27"/>
        <v/>
      </c>
      <c r="AK30" s="53" t="str">
        <f t="shared" si="27"/>
        <v/>
      </c>
      <c r="AL30" s="53" t="str">
        <f t="shared" si="27"/>
        <v/>
      </c>
      <c r="AM30" s="53" t="str">
        <f t="shared" si="27"/>
        <v/>
      </c>
      <c r="AN30" s="53" t="str">
        <f t="shared" si="27"/>
        <v/>
      </c>
      <c r="AO30" s="53" t="str">
        <f t="shared" si="27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22"/>
        <v>0.03</v>
      </c>
      <c r="H31" s="51">
        <f t="shared" si="23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8">IF(J31="","",IF(J31&gt;($D31+$E31),(J31-$D31-$E31),IF(J31&lt;($D31+$F31),(J31-$D31-$F31),"√")))</f>
        <v/>
      </c>
      <c r="AA31" s="53" t="str">
        <f t="shared" si="28"/>
        <v/>
      </c>
      <c r="AB31" s="53" t="str">
        <f t="shared" si="28"/>
        <v/>
      </c>
      <c r="AC31" s="53" t="str">
        <f t="shared" si="28"/>
        <v/>
      </c>
      <c r="AD31" s="53" t="str">
        <f t="shared" si="28"/>
        <v/>
      </c>
      <c r="AE31" s="53" t="str">
        <f t="shared" si="28"/>
        <v/>
      </c>
      <c r="AF31" s="53" t="str">
        <f t="shared" si="28"/>
        <v/>
      </c>
      <c r="AG31" s="53" t="str">
        <f t="shared" si="28"/>
        <v/>
      </c>
      <c r="AH31" s="53" t="str">
        <f t="shared" si="28"/>
        <v/>
      </c>
      <c r="AI31" s="53" t="str">
        <f t="shared" si="28"/>
        <v/>
      </c>
      <c r="AJ31" s="53" t="str">
        <f t="shared" si="28"/>
        <v/>
      </c>
      <c r="AK31" s="53" t="str">
        <f t="shared" si="28"/>
        <v/>
      </c>
      <c r="AL31" s="53" t="str">
        <f t="shared" si="28"/>
        <v/>
      </c>
      <c r="AM31" s="53" t="str">
        <f t="shared" si="28"/>
        <v/>
      </c>
      <c r="AN31" s="53" t="str">
        <f t="shared" si="28"/>
        <v/>
      </c>
      <c r="AO31" s="53" t="str">
        <f t="shared" si="28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>D40+E40</f>
        <v>0.08</v>
      </c>
      <c r="H40" s="51">
        <f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>D43+E43</f>
        <v>0.08</v>
      </c>
      <c r="H43" s="51">
        <f>D43+F43</f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>D44+E44</f>
        <v>0.03</v>
      </c>
      <c r="H44" s="51">
        <f>D44+F44</f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>D83+E83</f>
        <v>0.93</v>
      </c>
      <c r="H83" s="51">
        <f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" si="38">IF(J83="","",IF(J83&gt;($D83+$E83),(J83-$D83-$E83),IF(J83&lt;($D83+$F83),(J83-$D83-$F83),"√")))</f>
        <v/>
      </c>
      <c r="AA83" s="53" t="str">
        <f t="shared" ref="AA83" si="39">IF(K83="","",IF(K83&gt;($D83+$E83),(K83-$D83-$E83),IF(K83&lt;($D83+$F83),(K83-$D83-$F83),"√")))</f>
        <v/>
      </c>
      <c r="AB83" s="53" t="str">
        <f t="shared" ref="AB83" si="40">IF(L83="","",IF(L83&gt;($D83+$E83),(L83-$D83-$E83),IF(L83&lt;($D83+$F83),(L83-$D83-$F83),"√")))</f>
        <v/>
      </c>
      <c r="AC83" s="53" t="str">
        <f t="shared" ref="AC83" si="41">IF(M83="","",IF(M83&gt;($D83+$E83),(M83-$D83-$E83),IF(M83&lt;($D83+$F83),(M83-$D83-$F83),"√")))</f>
        <v/>
      </c>
      <c r="AD83" s="53" t="str">
        <f t="shared" ref="AD83" si="42">IF(N83="","",IF(N83&gt;($D83+$E83),(N83-$D83-$E83),IF(N83&lt;($D83+$F83),(N83-$D83-$F83),"√")))</f>
        <v/>
      </c>
      <c r="AE83" s="53" t="str">
        <f t="shared" ref="AE83" si="43">IF(O83="","",IF(O83&gt;($D83+$E83),(O83-$D83-$E83),IF(O83&lt;($D83+$F83),(O83-$D83-$F83),"√")))</f>
        <v/>
      </c>
      <c r="AF83" s="53" t="str">
        <f t="shared" ref="AF83" si="44">IF(P83="","",IF(P83&gt;($D83+$E83),(P83-$D83-$E83),IF(P83&lt;($D83+$F83),(P83-$D83-$F83),"√")))</f>
        <v/>
      </c>
      <c r="AG83" s="53" t="str">
        <f t="shared" ref="AG83" si="45">IF(Q83="","",IF(Q83&gt;($D83+$E83),(Q83-$D83-$E83),IF(Q83&lt;($D83+$F83),(Q83-$D83-$F83),"√")))</f>
        <v/>
      </c>
      <c r="AH83" s="53" t="str">
        <f t="shared" ref="AH83" si="46">IF(R83="","",IF(R83&gt;($D83+$E83),(R83-$D83-$E83),IF(R83&lt;($D83+$F83),(R83-$D83-$F83),"√")))</f>
        <v/>
      </c>
      <c r="AI83" s="53" t="str">
        <f t="shared" ref="AI83" si="47">IF(S83="","",IF(S83&gt;($D83+$E83),(S83-$D83-$E83),IF(S83&lt;($D83+$F83),(S83-$D83-$F83),"√")))</f>
        <v/>
      </c>
      <c r="AJ83" s="53" t="str">
        <f t="shared" ref="AJ83" si="48">IF(T83="","",IF(T83&gt;($D83+$E83),(T83-$D83-$E83),IF(T83&lt;($D83+$F83),(T83-$D83-$F83),"√")))</f>
        <v/>
      </c>
      <c r="AK83" s="53" t="str">
        <f t="shared" ref="AK83" si="49">IF(U83="","",IF(U83&gt;($D83+$E83),(U83-$D83-$E83),IF(U83&lt;($D83+$F83),(U83-$D83-$F83),"√")))</f>
        <v/>
      </c>
      <c r="AL83" s="53" t="str">
        <f t="shared" ref="AL83" si="50">IF(V83="","",IF(V83&gt;($D83+$E83),(V83-$D83-$E83),IF(V83&lt;($D83+$F83),(V83-$D83-$F83),"√")))</f>
        <v/>
      </c>
      <c r="AM83" s="53" t="str">
        <f t="shared" ref="AM83" si="51">IF(W83="","",IF(W83&gt;($D83+$E83),(W83-$D83-$E83),IF(W83&lt;($D83+$F83),(W83-$D83-$F83),"√")))</f>
        <v/>
      </c>
      <c r="AN83" s="53" t="str">
        <f t="shared" ref="AN83" si="52">IF(X83="","",IF(X83&gt;($D83+$E83),(X83-$D83-$E83),IF(X83&lt;($D83+$F83),(X83-$D83-$F83),"√")))</f>
        <v/>
      </c>
      <c r="AO83" s="53" t="str">
        <f t="shared" ref="AO83" si="53">IF(Y83="","",IF(Y83&gt;($D83+$E83),(Y83-$D83-$E83),IF(Y83&lt;($D83+$F83),(Y83-$D83-$F83),"√")))</f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>D84+E84</f>
        <v>0.64</v>
      </c>
      <c r="H84" s="51">
        <f>D84+F84</f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Z86" si="54">IF(J84="","",IF(J84&gt;($D84+$E84),(J84-$D84-$E84),IF(J84&lt;($D84+$F84),(J84-$D84-$F84),"√")))</f>
        <v/>
      </c>
      <c r="AA84" s="53" t="str">
        <f t="shared" ref="AA84:AA86" si="55">IF(K84="","",IF(K84&gt;($D84+$E84),(K84-$D84-$E84),IF(K84&lt;($D84+$F84),(K84-$D84-$F84),"√")))</f>
        <v/>
      </c>
      <c r="AB84" s="53" t="str">
        <f t="shared" ref="AB84:AB86" si="56">IF(L84="","",IF(L84&gt;($D84+$E84),(L84-$D84-$E84),IF(L84&lt;($D84+$F84),(L84-$D84-$F84),"√")))</f>
        <v/>
      </c>
      <c r="AC84" s="53" t="str">
        <f t="shared" ref="AC84:AC86" si="57">IF(M84="","",IF(M84&gt;($D84+$E84),(M84-$D84-$E84),IF(M84&lt;($D84+$F84),(M84-$D84-$F84),"√")))</f>
        <v/>
      </c>
      <c r="AD84" s="53" t="str">
        <f t="shared" ref="AD84:AD86" si="58">IF(N84="","",IF(N84&gt;($D84+$E84),(N84-$D84-$E84),IF(N84&lt;($D84+$F84),(N84-$D84-$F84),"√")))</f>
        <v/>
      </c>
      <c r="AE84" s="53" t="str">
        <f t="shared" ref="AE84:AE86" si="59">IF(O84="","",IF(O84&gt;($D84+$E84),(O84-$D84-$E84),IF(O84&lt;($D84+$F84),(O84-$D84-$F84),"√")))</f>
        <v/>
      </c>
      <c r="AF84" s="53" t="str">
        <f t="shared" ref="AF84:AF86" si="60">IF(P84="","",IF(P84&gt;($D84+$E84),(P84-$D84-$E84),IF(P84&lt;($D84+$F84),(P84-$D84-$F84),"√")))</f>
        <v/>
      </c>
      <c r="AG84" s="53" t="str">
        <f t="shared" ref="AG84:AG86" si="61">IF(Q84="","",IF(Q84&gt;($D84+$E84),(Q84-$D84-$E84),IF(Q84&lt;($D84+$F84),(Q84-$D84-$F84),"√")))</f>
        <v/>
      </c>
      <c r="AH84" s="53" t="str">
        <f t="shared" ref="AH84:AH86" si="62">IF(R84="","",IF(R84&gt;($D84+$E84),(R84-$D84-$E84),IF(R84&lt;($D84+$F84),(R84-$D84-$F84),"√")))</f>
        <v/>
      </c>
      <c r="AI84" s="53" t="str">
        <f t="shared" ref="AI84:AI86" si="63">IF(S84="","",IF(S84&gt;($D84+$E84),(S84-$D84-$E84),IF(S84&lt;($D84+$F84),(S84-$D84-$F84),"√")))</f>
        <v/>
      </c>
      <c r="AJ84" s="53" t="str">
        <f t="shared" ref="AJ84:AJ86" si="64">IF(T84="","",IF(T84&gt;($D84+$E84),(T84-$D84-$E84),IF(T84&lt;($D84+$F84),(T84-$D84-$F84),"√")))</f>
        <v/>
      </c>
      <c r="AK84" s="53" t="str">
        <f t="shared" ref="AK84:AK86" si="65">IF(U84="","",IF(U84&gt;($D84+$E84),(U84-$D84-$E84),IF(U84&lt;($D84+$F84),(U84-$D84-$F84),"√")))</f>
        <v/>
      </c>
      <c r="AL84" s="53" t="str">
        <f t="shared" ref="AL84:AL86" si="66">IF(V84="","",IF(V84&gt;($D84+$E84),(V84-$D84-$E84),IF(V84&lt;($D84+$F84),(V84-$D84-$F84),"√")))</f>
        <v/>
      </c>
      <c r="AM84" s="53" t="str">
        <f t="shared" ref="AM84:AM86" si="67">IF(W84="","",IF(W84&gt;($D84+$E84),(W84-$D84-$E84),IF(W84&lt;($D84+$F84),(W84-$D84-$F84),"√")))</f>
        <v/>
      </c>
      <c r="AN84" s="53" t="str">
        <f t="shared" ref="AN84:AN86" si="68">IF(X84="","",IF(X84&gt;($D84+$E84),(X84-$D84-$E84),IF(X84&lt;($D84+$F84),(X84-$D84-$F84),"√")))</f>
        <v/>
      </c>
      <c r="AO84" s="53" t="str">
        <f t="shared" ref="AO84:AO86" si="69">IF(Y84="","",IF(Y84&gt;($D84+$E84),(Y84-$D84-$E84),IF(Y84&lt;($D84+$F84),(Y84-$D84-$F84),"√")))</f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>D85+E85</f>
        <v>0.64</v>
      </c>
      <c r="H85" s="51">
        <f>D85+F85</f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" si="70">IF(J85="","",IF(J85&gt;($D85+$E85),(J85-$D85-$E85),IF(J85&lt;($D85+$F85),(J85-$D85-$F85),"√")))</f>
        <v/>
      </c>
      <c r="AA85" s="53" t="str">
        <f t="shared" ref="AA85" si="71">IF(K85="","",IF(K85&gt;($D85+$E85),(K85-$D85-$E85),IF(K85&lt;($D85+$F85),(K85-$D85-$F85),"√")))</f>
        <v/>
      </c>
      <c r="AB85" s="53" t="str">
        <f t="shared" ref="AB85" si="72">IF(L85="","",IF(L85&gt;($D85+$E85),(L85-$D85-$E85),IF(L85&lt;($D85+$F85),(L85-$D85-$F85),"√")))</f>
        <v/>
      </c>
      <c r="AC85" s="53" t="str">
        <f t="shared" ref="AC85" si="73">IF(M85="","",IF(M85&gt;($D85+$E85),(M85-$D85-$E85),IF(M85&lt;($D85+$F85),(M85-$D85-$F85),"√")))</f>
        <v/>
      </c>
      <c r="AD85" s="53" t="str">
        <f t="shared" ref="AD85" si="74">IF(N85="","",IF(N85&gt;($D85+$E85),(N85-$D85-$E85),IF(N85&lt;($D85+$F85),(N85-$D85-$F85),"√")))</f>
        <v/>
      </c>
      <c r="AE85" s="53" t="str">
        <f t="shared" ref="AE85" si="75">IF(O85="","",IF(O85&gt;($D85+$E85),(O85-$D85-$E85),IF(O85&lt;($D85+$F85),(O85-$D85-$F85),"√")))</f>
        <v/>
      </c>
      <c r="AF85" s="53" t="str">
        <f t="shared" ref="AF85" si="76">IF(P85="","",IF(P85&gt;($D85+$E85),(P85-$D85-$E85),IF(P85&lt;($D85+$F85),(P85-$D85-$F85),"√")))</f>
        <v/>
      </c>
      <c r="AG85" s="53" t="str">
        <f t="shared" ref="AG85" si="77">IF(Q85="","",IF(Q85&gt;($D85+$E85),(Q85-$D85-$E85),IF(Q85&lt;($D85+$F85),(Q85-$D85-$F85),"√")))</f>
        <v/>
      </c>
      <c r="AH85" s="53" t="str">
        <f t="shared" ref="AH85" si="78">IF(R85="","",IF(R85&gt;($D85+$E85),(R85-$D85-$E85),IF(R85&lt;($D85+$F85),(R85-$D85-$F85),"√")))</f>
        <v/>
      </c>
      <c r="AI85" s="53" t="str">
        <f t="shared" ref="AI85" si="79">IF(S85="","",IF(S85&gt;($D85+$E85),(S85-$D85-$E85),IF(S85&lt;($D85+$F85),(S85-$D85-$F85),"√")))</f>
        <v/>
      </c>
      <c r="AJ85" s="53" t="str">
        <f t="shared" ref="AJ85" si="80">IF(T85="","",IF(T85&gt;($D85+$E85),(T85-$D85-$E85),IF(T85&lt;($D85+$F85),(T85-$D85-$F85),"√")))</f>
        <v/>
      </c>
      <c r="AK85" s="53" t="str">
        <f t="shared" ref="AK85" si="81">IF(U85="","",IF(U85&gt;($D85+$E85),(U85-$D85-$E85),IF(U85&lt;($D85+$F85),(U85-$D85-$F85),"√")))</f>
        <v/>
      </c>
      <c r="AL85" s="53" t="str">
        <f t="shared" ref="AL85" si="82">IF(V85="","",IF(V85&gt;($D85+$E85),(V85-$D85-$E85),IF(V85&lt;($D85+$F85),(V85-$D85-$F85),"√")))</f>
        <v/>
      </c>
      <c r="AM85" s="53" t="str">
        <f t="shared" ref="AM85" si="83">IF(W85="","",IF(W85&gt;($D85+$E85),(W85-$D85-$E85),IF(W85&lt;($D85+$F85),(W85-$D85-$F85),"√")))</f>
        <v/>
      </c>
      <c r="AN85" s="53" t="str">
        <f t="shared" ref="AN85" si="84">IF(X85="","",IF(X85&gt;($D85+$E85),(X85-$D85-$E85),IF(X85&lt;($D85+$F85),(X85-$D85-$F85),"√")))</f>
        <v/>
      </c>
      <c r="AO85" s="53" t="str">
        <f t="shared" ref="AO85" si="85">IF(Y85="","",IF(Y85&gt;($D85+$E85),(Y85-$D85-$E85),IF(Y85&lt;($D85+$F85),(Y85-$D85-$F85),"√")))</f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si="54"/>
        <v/>
      </c>
      <c r="AA86" s="53" t="str">
        <f t="shared" si="55"/>
        <v/>
      </c>
      <c r="AB86" s="53" t="str">
        <f t="shared" si="56"/>
        <v/>
      </c>
      <c r="AC86" s="53" t="str">
        <f t="shared" si="57"/>
        <v/>
      </c>
      <c r="AD86" s="53" t="str">
        <f t="shared" si="58"/>
        <v/>
      </c>
      <c r="AE86" s="53" t="str">
        <f t="shared" si="59"/>
        <v/>
      </c>
      <c r="AF86" s="53" t="str">
        <f t="shared" si="60"/>
        <v/>
      </c>
      <c r="AG86" s="53" t="str">
        <f t="shared" si="61"/>
        <v/>
      </c>
      <c r="AH86" s="53" t="str">
        <f t="shared" si="62"/>
        <v/>
      </c>
      <c r="AI86" s="53" t="str">
        <f t="shared" si="63"/>
        <v/>
      </c>
      <c r="AJ86" s="53" t="str">
        <f t="shared" si="64"/>
        <v/>
      </c>
      <c r="AK86" s="53" t="str">
        <f t="shared" si="65"/>
        <v/>
      </c>
      <c r="AL86" s="53" t="str">
        <f t="shared" si="66"/>
        <v/>
      </c>
      <c r="AM86" s="53" t="str">
        <f t="shared" si="67"/>
        <v/>
      </c>
      <c r="AN86" s="53" t="str">
        <f t="shared" si="68"/>
        <v/>
      </c>
      <c r="AO86" s="53" t="str">
        <f t="shared" si="69"/>
        <v/>
      </c>
    </row>
    <row r="87" s="58" customFormat="1" spans="1:41">
      <c r="A87" s="60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2"/>
      <c r="AL87" s="63"/>
      <c r="AM87" s="64"/>
      <c r="AN87" s="65"/>
      <c r="AO87" s="66"/>
    </row>
  </sheetData>
  <mergeCells count="32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87:AK87"/>
    <mergeCell ref="AL87:AM87"/>
    <mergeCell ref="AN87:AO87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29:Y29">
    <cfRule type="cellIs" dxfId="0" priority="5" operator="notBetween">
      <formula>$G29</formula>
      <formula>$H29</formula>
    </cfRule>
  </conditionalFormatting>
  <conditionalFormatting sqref="J30:Y30">
    <cfRule type="cellIs" dxfId="0" priority="6" operator="notBetween">
      <formula>$G30</formula>
      <formula>$H30</formula>
    </cfRule>
  </conditionalFormatting>
  <conditionalFormatting sqref="J53:Y53">
    <cfRule type="cellIs" dxfId="0" priority="12" operator="notBetween">
      <formula>$G53</formula>
      <formula>$H53</formula>
    </cfRule>
  </conditionalFormatting>
  <conditionalFormatting sqref="J57:Y57">
    <cfRule type="cellIs" dxfId="0" priority="11" operator="notBetween">
      <formula>$G57</formula>
      <formula>$H57</formula>
    </cfRule>
  </conditionalFormatting>
  <conditionalFormatting sqref="J61:Y61">
    <cfRule type="cellIs" dxfId="0" priority="10" operator="notBetween">
      <formula>$G61</formula>
      <formula>$H61</formula>
    </cfRule>
  </conditionalFormatting>
  <conditionalFormatting sqref="J65:Y65">
    <cfRule type="cellIs" dxfId="0" priority="9" operator="notBetween">
      <formula>$G65</formula>
      <formula>$H65</formula>
    </cfRule>
  </conditionalFormatting>
  <conditionalFormatting sqref="J69:Y69">
    <cfRule type="cellIs" dxfId="0" priority="8" operator="notBetween">
      <formula>$G69</formula>
      <formula>$H69</formula>
    </cfRule>
  </conditionalFormatting>
  <conditionalFormatting sqref="J76:Y76">
    <cfRule type="cellIs" dxfId="0" priority="7" operator="notBetween">
      <formula>$G76</formula>
      <formula>$H76</formula>
    </cfRule>
  </conditionalFormatting>
  <conditionalFormatting sqref="J83:Y83">
    <cfRule type="cellIs" dxfId="0" priority="4" operator="notBetween">
      <formula>$G83</formula>
      <formula>$H83</formula>
    </cfRule>
  </conditionalFormatting>
  <conditionalFormatting sqref="J84:Y84">
    <cfRule type="cellIs" dxfId="0" priority="3" operator="notBetween">
      <formula>$G84</formula>
      <formula>$H84</formula>
    </cfRule>
  </conditionalFormatting>
  <conditionalFormatting sqref="J85:Y85">
    <cfRule type="cellIs" dxfId="0" priority="1" operator="notBetween">
      <formula>$G85</formula>
      <formula>$H85</formula>
    </cfRule>
  </conditionalFormatting>
  <conditionalFormatting sqref="J86:Y86">
    <cfRule type="cellIs" dxfId="0" priority="2" operator="notBetween">
      <formula>$G86</formula>
      <formula>$H86</formula>
    </cfRule>
  </conditionalFormatting>
  <conditionalFormatting sqref="J8:Y28">
    <cfRule type="cellIs" dxfId="0" priority="40" operator="notBetween">
      <formula>$G8</formula>
      <formula>$H8</formula>
    </cfRule>
  </conditionalFormatting>
  <conditionalFormatting sqref="J31:Y31 J40:Y40 J43:Y44">
    <cfRule type="cellIs" dxfId="0" priority="13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24 Z37:AO37 Z40:AO41 Z52:AO52 Z26:AO26" emptyCellReferenc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6"/>
  <sheetViews>
    <sheetView topLeftCell="R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>
        <f t="shared" si="0"/>
        <v>5</v>
      </c>
      <c r="AE7" s="47">
        <f t="shared" si="0"/>
        <v>6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 t="shared" ref="G8:G31" si="1">D8+E8</f>
        <v>3.78</v>
      </c>
      <c r="H8" s="51">
        <f t="shared" ref="H8:H31" si="2">D8+F8</f>
        <v>3.68</v>
      </c>
      <c r="I8" s="51" t="s">
        <v>30</v>
      </c>
      <c r="J8" s="52">
        <v>3.718</v>
      </c>
      <c r="K8" s="52">
        <v>3.7171</v>
      </c>
      <c r="L8" s="52">
        <v>3.7212</v>
      </c>
      <c r="M8" s="52">
        <v>3.7257</v>
      </c>
      <c r="N8" s="52">
        <v>3.7218</v>
      </c>
      <c r="O8" s="52">
        <v>3.7238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3">IF(J8="","",IF(J8&gt;($D8+$E8),(J8-$D8-$E8),IF(J8&lt;($D8+$F8),(J8-$D8-$F8),"√")))</f>
        <v>√</v>
      </c>
      <c r="AA8" s="53" t="str">
        <f t="shared" si="3"/>
        <v>√</v>
      </c>
      <c r="AB8" s="53" t="str">
        <f t="shared" si="3"/>
        <v>√</v>
      </c>
      <c r="AC8" s="53" t="str">
        <f t="shared" si="3"/>
        <v>√</v>
      </c>
      <c r="AD8" s="53" t="str">
        <f t="shared" si="3"/>
        <v>√</v>
      </c>
      <c r="AE8" s="53" t="str">
        <f t="shared" si="3"/>
        <v>√</v>
      </c>
      <c r="AF8" s="53" t="str">
        <f t="shared" si="3"/>
        <v/>
      </c>
      <c r="AG8" s="53" t="str">
        <f t="shared" si="3"/>
        <v/>
      </c>
      <c r="AH8" s="53" t="str">
        <f t="shared" si="3"/>
        <v/>
      </c>
      <c r="AI8" s="53" t="str">
        <f t="shared" si="3"/>
        <v/>
      </c>
      <c r="AJ8" s="53" t="str">
        <f t="shared" si="3"/>
        <v/>
      </c>
      <c r="AK8" s="53" t="str">
        <f t="shared" si="3"/>
        <v/>
      </c>
      <c r="AL8" s="53" t="str">
        <f t="shared" si="3"/>
        <v/>
      </c>
      <c r="AM8" s="53" t="str">
        <f t="shared" si="3"/>
        <v/>
      </c>
      <c r="AN8" s="53" t="str">
        <f t="shared" si="3"/>
        <v/>
      </c>
      <c r="AO8" s="53" t="str">
        <f t="shared" si="3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 t="shared" si="1"/>
        <v>1.98</v>
      </c>
      <c r="H9" s="51">
        <f t="shared" si="2"/>
        <v>1.88</v>
      </c>
      <c r="I9" s="51" t="s">
        <v>30</v>
      </c>
      <c r="J9" s="52">
        <v>1.9374</v>
      </c>
      <c r="K9" s="52">
        <v>1.9363</v>
      </c>
      <c r="L9" s="52">
        <v>1.9452</v>
      </c>
      <c r="M9" s="52">
        <v>1.9367</v>
      </c>
      <c r="N9" s="52">
        <v>1.9415</v>
      </c>
      <c r="O9" s="52">
        <v>1.9347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4">IF(J9="","",IF(J9&gt;($D9+$E9),(J9-$D9-$E9),IF(J9&lt;($D9+$F9),(J9-$D9-$F9),"√")))</f>
        <v>√</v>
      </c>
      <c r="AA9" s="53" t="str">
        <f t="shared" si="4"/>
        <v>√</v>
      </c>
      <c r="AB9" s="53" t="str">
        <f t="shared" si="4"/>
        <v>√</v>
      </c>
      <c r="AC9" s="53" t="str">
        <f t="shared" si="4"/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/>
      </c>
      <c r="AG9" s="53" t="str">
        <f t="shared" si="4"/>
        <v/>
      </c>
      <c r="AH9" s="53" t="str">
        <f t="shared" si="4"/>
        <v/>
      </c>
      <c r="AI9" s="53" t="str">
        <f t="shared" si="4"/>
        <v/>
      </c>
      <c r="AJ9" s="53" t="str">
        <f t="shared" si="4"/>
        <v/>
      </c>
      <c r="AK9" s="53" t="str">
        <f t="shared" si="4"/>
        <v/>
      </c>
      <c r="AL9" s="53" t="str">
        <f t="shared" si="4"/>
        <v/>
      </c>
      <c r="AM9" s="53" t="str">
        <f t="shared" si="4"/>
        <v/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 t="shared" si="1"/>
        <v>1.98</v>
      </c>
      <c r="H10" s="51">
        <f t="shared" si="2"/>
        <v>1.88</v>
      </c>
      <c r="I10" s="51" t="s">
        <v>30</v>
      </c>
      <c r="J10" s="52">
        <v>1.9555</v>
      </c>
      <c r="K10" s="52">
        <v>1.9532</v>
      </c>
      <c r="L10" s="52">
        <v>1.9529</v>
      </c>
      <c r="M10" s="52">
        <v>1.9513</v>
      </c>
      <c r="N10" s="52">
        <v>1.9523</v>
      </c>
      <c r="O10" s="52">
        <v>1.9513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/>
      </c>
      <c r="AG10" s="53" t="str">
        <f t="shared" si="5"/>
        <v/>
      </c>
      <c r="AH10" s="53" t="str">
        <f t="shared" si="5"/>
        <v/>
      </c>
      <c r="AI10" s="53" t="str">
        <f t="shared" si="5"/>
        <v/>
      </c>
      <c r="AJ10" s="53" t="str">
        <f t="shared" si="5"/>
        <v/>
      </c>
      <c r="AK10" s="53" t="str">
        <f t="shared" si="5"/>
        <v/>
      </c>
      <c r="AL10" s="53" t="str">
        <f t="shared" si="5"/>
        <v/>
      </c>
      <c r="AM10" s="53" t="str">
        <f t="shared" si="5"/>
        <v/>
      </c>
      <c r="AN10" s="53" t="str">
        <f t="shared" si="5"/>
        <v/>
      </c>
      <c r="AO10" s="53" t="str">
        <f t="shared" si="5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 t="shared" si="1"/>
        <v>1.35</v>
      </c>
      <c r="H11" s="51">
        <f t="shared" si="2"/>
        <v>1.29</v>
      </c>
      <c r="I11" s="51" t="s">
        <v>30</v>
      </c>
      <c r="J11" s="52">
        <v>1.3038</v>
      </c>
      <c r="K11" s="52">
        <v>1.3</v>
      </c>
      <c r="L11" s="52">
        <v>1.3005</v>
      </c>
      <c r="M11" s="52">
        <v>1.3052</v>
      </c>
      <c r="N11" s="52">
        <v>1.3036</v>
      </c>
      <c r="O11" s="52">
        <v>1.2995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6">IF(J11="","",IF(J11&gt;($D11+$E11),(J11-$D11-$E11),IF(J11&lt;($D11+$F11),(J11-$D11-$F11),"√")))</f>
        <v>√</v>
      </c>
      <c r="AA11" s="53" t="str">
        <f t="shared" si="6"/>
        <v>√</v>
      </c>
      <c r="AB11" s="53" t="str">
        <f t="shared" si="6"/>
        <v>√</v>
      </c>
      <c r="AC11" s="53" t="str">
        <f t="shared" si="6"/>
        <v>√</v>
      </c>
      <c r="AD11" s="53" t="str">
        <f t="shared" si="6"/>
        <v>√</v>
      </c>
      <c r="AE11" s="53" t="str">
        <f t="shared" si="6"/>
        <v>√</v>
      </c>
      <c r="AF11" s="53" t="str">
        <f t="shared" si="6"/>
        <v/>
      </c>
      <c r="AG11" s="53" t="str">
        <f t="shared" si="6"/>
        <v/>
      </c>
      <c r="AH11" s="53" t="str">
        <f t="shared" si="6"/>
        <v/>
      </c>
      <c r="AI11" s="53" t="str">
        <f t="shared" si="6"/>
        <v/>
      </c>
      <c r="AJ11" s="53" t="str">
        <f t="shared" si="6"/>
        <v/>
      </c>
      <c r="AK11" s="53" t="str">
        <f t="shared" si="6"/>
        <v/>
      </c>
      <c r="AL11" s="53" t="str">
        <f t="shared" si="6"/>
        <v/>
      </c>
      <c r="AM11" s="53" t="str">
        <f t="shared" si="6"/>
        <v/>
      </c>
      <c r="AN11" s="53" t="str">
        <f t="shared" si="6"/>
        <v/>
      </c>
      <c r="AO11" s="53" t="str">
        <f t="shared" si="6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si="1"/>
        <v>1.35</v>
      </c>
      <c r="H12" s="51">
        <f t="shared" si="2"/>
        <v>1.29</v>
      </c>
      <c r="I12" s="51" t="s">
        <v>30</v>
      </c>
      <c r="J12" s="52">
        <v>1.311</v>
      </c>
      <c r="K12" s="52">
        <v>1.3103</v>
      </c>
      <c r="L12" s="52">
        <v>1.3128</v>
      </c>
      <c r="M12" s="52">
        <v>1.308</v>
      </c>
      <c r="N12" s="52">
        <v>1.3147</v>
      </c>
      <c r="O12" s="52">
        <v>1.3135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>√</v>
      </c>
      <c r="AE12" s="53" t="str">
        <f t="shared" si="7"/>
        <v>√</v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1"/>
        <v>2.485</v>
      </c>
      <c r="H13" s="51">
        <f t="shared" si="2"/>
        <v>2.425</v>
      </c>
      <c r="I13" s="51" t="s">
        <v>30</v>
      </c>
      <c r="J13" s="52">
        <v>2.4836</v>
      </c>
      <c r="K13" s="52">
        <v>2.479</v>
      </c>
      <c r="L13" s="52">
        <v>2.4834</v>
      </c>
      <c r="M13" s="52">
        <v>2.4838</v>
      </c>
      <c r="N13" s="52">
        <v>2.4825</v>
      </c>
      <c r="O13" s="52">
        <v>2.4802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>√</v>
      </c>
      <c r="AE13" s="53" t="str">
        <f t="shared" si="8"/>
        <v>√</v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1"/>
        <v>2.96</v>
      </c>
      <c r="H14" s="51">
        <f t="shared" si="2"/>
        <v>2.86</v>
      </c>
      <c r="I14" s="51" t="s">
        <v>30</v>
      </c>
      <c r="J14" s="52">
        <v>2.8913</v>
      </c>
      <c r="K14" s="52">
        <v>2.8889</v>
      </c>
      <c r="L14" s="52">
        <v>2.8879</v>
      </c>
      <c r="M14" s="52">
        <v>2.8881</v>
      </c>
      <c r="N14" s="52">
        <v>2.8895</v>
      </c>
      <c r="O14" s="52">
        <v>2.89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>√</v>
      </c>
      <c r="AE14" s="53" t="str">
        <f t="shared" si="9"/>
        <v>√</v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1"/>
        <v>1.96</v>
      </c>
      <c r="H15" s="51">
        <f t="shared" si="2"/>
        <v>1.9</v>
      </c>
      <c r="I15" s="51" t="s">
        <v>30</v>
      </c>
      <c r="J15" s="52">
        <v>1.9367</v>
      </c>
      <c r="K15" s="52">
        <v>1.9302</v>
      </c>
      <c r="L15" s="52">
        <v>1.9321</v>
      </c>
      <c r="M15" s="52">
        <v>1.9401</v>
      </c>
      <c r="N15" s="52">
        <v>1.9386</v>
      </c>
      <c r="O15" s="52">
        <v>1.9395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>√</v>
      </c>
      <c r="AE15" s="53" t="str">
        <f t="shared" si="10"/>
        <v>√</v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1"/>
        <v>2.19</v>
      </c>
      <c r="H16" s="51">
        <f t="shared" si="2"/>
        <v>2.09</v>
      </c>
      <c r="I16" s="51" t="s">
        <v>30</v>
      </c>
      <c r="J16" s="52">
        <v>2.1608</v>
      </c>
      <c r="K16" s="52">
        <v>2.1615</v>
      </c>
      <c r="L16" s="52">
        <v>2.1589</v>
      </c>
      <c r="M16" s="52">
        <v>2.1597</v>
      </c>
      <c r="N16" s="52">
        <v>2.1588</v>
      </c>
      <c r="O16" s="52">
        <v>2.1599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>√</v>
      </c>
      <c r="AA16" s="53" t="str">
        <f t="shared" si="11"/>
        <v>√</v>
      </c>
      <c r="AB16" s="53" t="str">
        <f t="shared" si="11"/>
        <v>√</v>
      </c>
      <c r="AC16" s="53" t="str">
        <f t="shared" si="11"/>
        <v>√</v>
      </c>
      <c r="AD16" s="53" t="str">
        <f t="shared" si="11"/>
        <v>√</v>
      </c>
      <c r="AE16" s="53" t="str">
        <f t="shared" si="11"/>
        <v>√</v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1"/>
        <v>2.19</v>
      </c>
      <c r="H17" s="51">
        <f t="shared" si="2"/>
        <v>2.09</v>
      </c>
      <c r="I17" s="51" t="s">
        <v>30</v>
      </c>
      <c r="J17" s="52">
        <v>2.1598</v>
      </c>
      <c r="K17" s="52">
        <v>2.1532</v>
      </c>
      <c r="L17" s="52">
        <v>2.1541</v>
      </c>
      <c r="M17" s="52">
        <v>2.1682</v>
      </c>
      <c r="N17" s="52">
        <v>2.1702</v>
      </c>
      <c r="O17" s="52">
        <v>2.1701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>√</v>
      </c>
      <c r="AA17" s="53" t="str">
        <f t="shared" si="12"/>
        <v>√</v>
      </c>
      <c r="AB17" s="53" t="str">
        <f t="shared" si="12"/>
        <v>√</v>
      </c>
      <c r="AC17" s="53" t="str">
        <f t="shared" si="12"/>
        <v>√</v>
      </c>
      <c r="AD17" s="53" t="str">
        <f t="shared" si="12"/>
        <v>√</v>
      </c>
      <c r="AE17" s="53" t="str">
        <f t="shared" si="12"/>
        <v>√</v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1"/>
        <v>5.405</v>
      </c>
      <c r="H18" s="51">
        <f t="shared" si="2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1"/>
        <v>2.15</v>
      </c>
      <c r="H19" s="51">
        <f t="shared" si="2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1"/>
        <v>2.15</v>
      </c>
      <c r="H20" s="51">
        <f t="shared" si="2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1"/>
        <v>0.51</v>
      </c>
      <c r="H21" s="51">
        <f t="shared" si="2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1"/>
        <v>0.51</v>
      </c>
      <c r="H22" s="51">
        <f t="shared" si="2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1"/>
        <v>1.08</v>
      </c>
      <c r="H23" s="51">
        <f t="shared" si="2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1"/>
        <v>0.75</v>
      </c>
      <c r="H24" s="51">
        <f t="shared" si="2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1"/>
        <v>0.35</v>
      </c>
      <c r="H25" s="51">
        <f t="shared" si="2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1"/>
        <v>0.33</v>
      </c>
      <c r="H26" s="51">
        <f t="shared" si="2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si="1"/>
        <v>0.094</v>
      </c>
      <c r="H27" s="51">
        <f t="shared" si="2"/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2">IF(J27="","",IF(J27&gt;($D27+$E27),(J27-$D27-$E27),IF(J27&lt;($D27+$F27),(J27-$D27-$F27),"√")))</f>
        <v/>
      </c>
      <c r="AA27" s="53" t="str">
        <f t="shared" si="22"/>
        <v/>
      </c>
      <c r="AB27" s="53" t="str">
        <f t="shared" si="22"/>
        <v/>
      </c>
      <c r="AC27" s="53" t="str">
        <f t="shared" si="22"/>
        <v/>
      </c>
      <c r="AD27" s="53" t="str">
        <f t="shared" si="22"/>
        <v/>
      </c>
      <c r="AE27" s="53" t="str">
        <f t="shared" si="22"/>
        <v/>
      </c>
      <c r="AF27" s="53" t="str">
        <f t="shared" si="22"/>
        <v/>
      </c>
      <c r="AG27" s="53" t="str">
        <f t="shared" si="22"/>
        <v/>
      </c>
      <c r="AH27" s="53" t="str">
        <f t="shared" si="22"/>
        <v/>
      </c>
      <c r="AI27" s="53" t="str">
        <f t="shared" si="22"/>
        <v/>
      </c>
      <c r="AJ27" s="53" t="str">
        <f t="shared" si="22"/>
        <v/>
      </c>
      <c r="AK27" s="53" t="str">
        <f t="shared" si="22"/>
        <v/>
      </c>
      <c r="AL27" s="53" t="str">
        <f t="shared" si="22"/>
        <v/>
      </c>
      <c r="AM27" s="53" t="str">
        <f t="shared" si="22"/>
        <v/>
      </c>
      <c r="AN27" s="53" t="str">
        <f t="shared" si="22"/>
        <v/>
      </c>
      <c r="AO27" s="53" t="str">
        <f t="shared" si="22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1"/>
        <v>0.63</v>
      </c>
      <c r="H28" s="51">
        <f t="shared" si="2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3">IF(J28="","",IF(J28&gt;($D28+$E28),(J28-$D28-$E28),IF(J28&lt;($D28+$F28),(J28-$D28-$F28),"√")))</f>
        <v/>
      </c>
      <c r="AA28" s="53" t="str">
        <f t="shared" si="23"/>
        <v/>
      </c>
      <c r="AB28" s="53" t="str">
        <f t="shared" si="23"/>
        <v/>
      </c>
      <c r="AC28" s="53" t="str">
        <f t="shared" si="23"/>
        <v/>
      </c>
      <c r="AD28" s="53" t="str">
        <f t="shared" si="23"/>
        <v/>
      </c>
      <c r="AE28" s="53" t="str">
        <f t="shared" si="23"/>
        <v/>
      </c>
      <c r="AF28" s="53" t="str">
        <f t="shared" si="23"/>
        <v/>
      </c>
      <c r="AG28" s="53" t="str">
        <f t="shared" si="23"/>
        <v/>
      </c>
      <c r="AH28" s="53" t="str">
        <f t="shared" si="23"/>
        <v/>
      </c>
      <c r="AI28" s="53" t="str">
        <f t="shared" si="23"/>
        <v/>
      </c>
      <c r="AJ28" s="53" t="str">
        <f t="shared" si="23"/>
        <v/>
      </c>
      <c r="AK28" s="53" t="str">
        <f t="shared" si="23"/>
        <v/>
      </c>
      <c r="AL28" s="53" t="str">
        <f t="shared" si="23"/>
        <v/>
      </c>
      <c r="AM28" s="53" t="str">
        <f t="shared" si="23"/>
        <v/>
      </c>
      <c r="AN28" s="53" t="str">
        <f t="shared" si="23"/>
        <v/>
      </c>
      <c r="AO28" s="53" t="str">
        <f t="shared" si="23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1"/>
        <v>0.025</v>
      </c>
      <c r="H29" s="51">
        <f t="shared" si="2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4">IF(J29="","",IF(J29&gt;($D29+$E29),(J29-$D29-$E29),IF(J29&lt;($D29+$F29),(J29-$D29-$F29),"√")))</f>
        <v/>
      </c>
      <c r="AA29" s="53" t="str">
        <f t="shared" si="24"/>
        <v/>
      </c>
      <c r="AB29" s="53" t="str">
        <f t="shared" si="24"/>
        <v/>
      </c>
      <c r="AC29" s="53" t="str">
        <f t="shared" si="24"/>
        <v/>
      </c>
      <c r="AD29" s="53" t="str">
        <f t="shared" si="24"/>
        <v/>
      </c>
      <c r="AE29" s="53" t="str">
        <f t="shared" si="24"/>
        <v/>
      </c>
      <c r="AF29" s="53" t="str">
        <f t="shared" si="24"/>
        <v/>
      </c>
      <c r="AG29" s="53" t="str">
        <f t="shared" si="24"/>
        <v/>
      </c>
      <c r="AH29" s="53" t="str">
        <f t="shared" si="24"/>
        <v/>
      </c>
      <c r="AI29" s="53" t="str">
        <f t="shared" si="24"/>
        <v/>
      </c>
      <c r="AJ29" s="53" t="str">
        <f t="shared" si="24"/>
        <v/>
      </c>
      <c r="AK29" s="53" t="str">
        <f t="shared" si="24"/>
        <v/>
      </c>
      <c r="AL29" s="53" t="str">
        <f t="shared" si="24"/>
        <v/>
      </c>
      <c r="AM29" s="53" t="str">
        <f t="shared" si="24"/>
        <v/>
      </c>
      <c r="AN29" s="53" t="str">
        <f t="shared" si="24"/>
        <v/>
      </c>
      <c r="AO29" s="53" t="str">
        <f t="shared" si="24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1"/>
        <v>3.34</v>
      </c>
      <c r="H30" s="51">
        <f t="shared" si="2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5">IF(J30="","",IF(J30&gt;($D30+$E30),(J30-$D30-$E30),IF(J30&lt;($D30+$F30),(J30-$D30-$F30),"√")))</f>
        <v/>
      </c>
      <c r="AA30" s="53" t="str">
        <f t="shared" si="25"/>
        <v/>
      </c>
      <c r="AB30" s="53" t="str">
        <f t="shared" si="25"/>
        <v/>
      </c>
      <c r="AC30" s="53" t="str">
        <f t="shared" si="25"/>
        <v/>
      </c>
      <c r="AD30" s="53" t="str">
        <f t="shared" si="25"/>
        <v/>
      </c>
      <c r="AE30" s="53" t="str">
        <f t="shared" si="25"/>
        <v/>
      </c>
      <c r="AF30" s="53" t="str">
        <f t="shared" si="25"/>
        <v/>
      </c>
      <c r="AG30" s="53" t="str">
        <f t="shared" si="25"/>
        <v/>
      </c>
      <c r="AH30" s="53" t="str">
        <f t="shared" si="25"/>
        <v/>
      </c>
      <c r="AI30" s="53" t="str">
        <f t="shared" si="25"/>
        <v/>
      </c>
      <c r="AJ30" s="53" t="str">
        <f t="shared" si="25"/>
        <v/>
      </c>
      <c r="AK30" s="53" t="str">
        <f t="shared" si="25"/>
        <v/>
      </c>
      <c r="AL30" s="53" t="str">
        <f t="shared" si="25"/>
        <v/>
      </c>
      <c r="AM30" s="53" t="str">
        <f t="shared" si="25"/>
        <v/>
      </c>
      <c r="AN30" s="53" t="str">
        <f t="shared" si="25"/>
        <v/>
      </c>
      <c r="AO30" s="53" t="str">
        <f t="shared" si="25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1"/>
        <v>0.03</v>
      </c>
      <c r="H31" s="51">
        <f t="shared" si="2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6">IF(J31="","",IF(J31&gt;($D31+$E31),(J31-$D31-$E31),IF(J31&lt;($D31+$F31),(J31-$D31-$F31),"√")))</f>
        <v/>
      </c>
      <c r="AA31" s="53" t="str">
        <f t="shared" si="26"/>
        <v/>
      </c>
      <c r="AB31" s="53" t="str">
        <f t="shared" si="26"/>
        <v/>
      </c>
      <c r="AC31" s="53" t="str">
        <f t="shared" si="26"/>
        <v/>
      </c>
      <c r="AD31" s="53" t="str">
        <f t="shared" si="26"/>
        <v/>
      </c>
      <c r="AE31" s="53" t="str">
        <f t="shared" si="26"/>
        <v/>
      </c>
      <c r="AF31" s="53" t="str">
        <f t="shared" si="26"/>
        <v/>
      </c>
      <c r="AG31" s="53" t="str">
        <f t="shared" si="26"/>
        <v/>
      </c>
      <c r="AH31" s="53" t="str">
        <f t="shared" si="26"/>
        <v/>
      </c>
      <c r="AI31" s="53" t="str">
        <f t="shared" si="26"/>
        <v/>
      </c>
      <c r="AJ31" s="53" t="str">
        <f t="shared" si="26"/>
        <v/>
      </c>
      <c r="AK31" s="53" t="str">
        <f t="shared" si="26"/>
        <v/>
      </c>
      <c r="AL31" s="53" t="str">
        <f t="shared" si="26"/>
        <v/>
      </c>
      <c r="AM31" s="53" t="str">
        <f t="shared" si="26"/>
        <v/>
      </c>
      <c r="AN31" s="53" t="str">
        <f t="shared" si="26"/>
        <v/>
      </c>
      <c r="AO31" s="53" t="str">
        <f t="shared" si="26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 t="shared" ref="G40:G44" si="27">D40+E40</f>
        <v>0.08</v>
      </c>
      <c r="H40" s="51">
        <f t="shared" ref="H40:H44" si="28"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 t="shared" si="27"/>
        <v>0.08</v>
      </c>
      <c r="H43" s="51">
        <f t="shared" si="28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 t="shared" si="27"/>
        <v>0.03</v>
      </c>
      <c r="H44" s="51">
        <f t="shared" si="28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 t="shared" ref="G83:G85" si="38">D83+E83</f>
        <v>0.93</v>
      </c>
      <c r="H83" s="51">
        <f t="shared" ref="H83:H85" si="39"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40">IF(J83="","",IF(J83&gt;($D83+$E83),(J83-$D83-$E83),IF(J83&lt;($D83+$F83),(J83-$D83-$F83),"√")))</f>
        <v/>
      </c>
      <c r="AA83" s="53" t="str">
        <f t="shared" si="40"/>
        <v/>
      </c>
      <c r="AB83" s="53" t="str">
        <f t="shared" si="40"/>
        <v/>
      </c>
      <c r="AC83" s="53" t="str">
        <f t="shared" si="40"/>
        <v/>
      </c>
      <c r="AD83" s="53" t="str">
        <f t="shared" si="40"/>
        <v/>
      </c>
      <c r="AE83" s="53" t="str">
        <f t="shared" si="40"/>
        <v/>
      </c>
      <c r="AF83" s="53" t="str">
        <f t="shared" si="40"/>
        <v/>
      </c>
      <c r="AG83" s="53" t="str">
        <f t="shared" si="40"/>
        <v/>
      </c>
      <c r="AH83" s="53" t="str">
        <f t="shared" si="40"/>
        <v/>
      </c>
      <c r="AI83" s="53" t="str">
        <f t="shared" si="40"/>
        <v/>
      </c>
      <c r="AJ83" s="53" t="str">
        <f t="shared" si="40"/>
        <v/>
      </c>
      <c r="AK83" s="53" t="str">
        <f t="shared" si="40"/>
        <v/>
      </c>
      <c r="AL83" s="53" t="str">
        <f t="shared" si="40"/>
        <v/>
      </c>
      <c r="AM83" s="53" t="str">
        <f t="shared" si="40"/>
        <v/>
      </c>
      <c r="AN83" s="53" t="str">
        <f t="shared" si="40"/>
        <v/>
      </c>
      <c r="AO83" s="53" t="str">
        <f t="shared" si="40"/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 t="shared" si="38"/>
        <v>0.64</v>
      </c>
      <c r="H84" s="51">
        <f t="shared" si="39"/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AO84" si="41">IF(J84="","",IF(J84&gt;($D84+$E84),(J84-$D84-$E84),IF(J84&lt;($D84+$F84),(J84-$D84-$F84),"√")))</f>
        <v/>
      </c>
      <c r="AA84" s="53" t="str">
        <f t="shared" si="41"/>
        <v/>
      </c>
      <c r="AB84" s="53" t="str">
        <f t="shared" si="41"/>
        <v/>
      </c>
      <c r="AC84" s="53" t="str">
        <f t="shared" si="41"/>
        <v/>
      </c>
      <c r="AD84" s="53" t="str">
        <f t="shared" si="41"/>
        <v/>
      </c>
      <c r="AE84" s="53" t="str">
        <f t="shared" si="41"/>
        <v/>
      </c>
      <c r="AF84" s="53" t="str">
        <f t="shared" si="41"/>
        <v/>
      </c>
      <c r="AG84" s="53" t="str">
        <f t="shared" si="41"/>
        <v/>
      </c>
      <c r="AH84" s="53" t="str">
        <f t="shared" si="41"/>
        <v/>
      </c>
      <c r="AI84" s="53" t="str">
        <f t="shared" si="41"/>
        <v/>
      </c>
      <c r="AJ84" s="53" t="str">
        <f t="shared" si="41"/>
        <v/>
      </c>
      <c r="AK84" s="53" t="str">
        <f t="shared" si="41"/>
        <v/>
      </c>
      <c r="AL84" s="53" t="str">
        <f t="shared" si="41"/>
        <v/>
      </c>
      <c r="AM84" s="53" t="str">
        <f t="shared" si="41"/>
        <v/>
      </c>
      <c r="AN84" s="53" t="str">
        <f t="shared" si="41"/>
        <v/>
      </c>
      <c r="AO84" s="53" t="str">
        <f t="shared" si="41"/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 t="shared" si="38"/>
        <v>0.64</v>
      </c>
      <c r="H85" s="51">
        <f t="shared" si="39"/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:AO85" si="42">IF(J85="","",IF(J85&gt;($D85+$E85),(J85-$D85-$E85),IF(J85&lt;($D85+$F85),(J85-$D85-$F85),"√")))</f>
        <v/>
      </c>
      <c r="AA85" s="53" t="str">
        <f t="shared" si="42"/>
        <v/>
      </c>
      <c r="AB85" s="53" t="str">
        <f t="shared" si="42"/>
        <v/>
      </c>
      <c r="AC85" s="53" t="str">
        <f t="shared" si="42"/>
        <v/>
      </c>
      <c r="AD85" s="53" t="str">
        <f t="shared" si="42"/>
        <v/>
      </c>
      <c r="AE85" s="53" t="str">
        <f t="shared" si="42"/>
        <v/>
      </c>
      <c r="AF85" s="53" t="str">
        <f t="shared" si="42"/>
        <v/>
      </c>
      <c r="AG85" s="53" t="str">
        <f t="shared" si="42"/>
        <v/>
      </c>
      <c r="AH85" s="53" t="str">
        <f t="shared" si="42"/>
        <v/>
      </c>
      <c r="AI85" s="53" t="str">
        <f t="shared" si="42"/>
        <v/>
      </c>
      <c r="AJ85" s="53" t="str">
        <f t="shared" si="42"/>
        <v/>
      </c>
      <c r="AK85" s="53" t="str">
        <f t="shared" si="42"/>
        <v/>
      </c>
      <c r="AL85" s="53" t="str">
        <f t="shared" si="42"/>
        <v/>
      </c>
      <c r="AM85" s="53" t="str">
        <f t="shared" si="42"/>
        <v/>
      </c>
      <c r="AN85" s="53" t="str">
        <f t="shared" si="42"/>
        <v/>
      </c>
      <c r="AO85" s="53" t="str">
        <f t="shared" si="42"/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ref="Z86:AO86" si="43">IF(J86="","",IF(J86&gt;($D86+$E86),(J86-$D86-$E86),IF(J86&lt;($D86+$F86),(J86-$D86-$F86),"√")))</f>
        <v/>
      </c>
      <c r="AA86" s="53" t="str">
        <f t="shared" si="43"/>
        <v/>
      </c>
      <c r="AB86" s="53" t="str">
        <f t="shared" si="43"/>
        <v/>
      </c>
      <c r="AC86" s="53" t="str">
        <f t="shared" si="43"/>
        <v/>
      </c>
      <c r="AD86" s="53" t="str">
        <f t="shared" si="43"/>
        <v/>
      </c>
      <c r="AE86" s="53" t="str">
        <f t="shared" si="43"/>
        <v/>
      </c>
      <c r="AF86" s="53" t="str">
        <f t="shared" si="43"/>
        <v/>
      </c>
      <c r="AG86" s="53" t="str">
        <f t="shared" si="43"/>
        <v/>
      </c>
      <c r="AH86" s="53" t="str">
        <f t="shared" si="43"/>
        <v/>
      </c>
      <c r="AI86" s="53" t="str">
        <f t="shared" si="43"/>
        <v/>
      </c>
      <c r="AJ86" s="53" t="str">
        <f t="shared" si="43"/>
        <v/>
      </c>
      <c r="AK86" s="53" t="str">
        <f t="shared" si="43"/>
        <v/>
      </c>
      <c r="AL86" s="53" t="str">
        <f t="shared" si="43"/>
        <v/>
      </c>
      <c r="AM86" s="53" t="str">
        <f t="shared" si="43"/>
        <v/>
      </c>
      <c r="AN86" s="53" t="str">
        <f t="shared" si="43"/>
        <v/>
      </c>
      <c r="AO86" s="53" t="str">
        <f t="shared" si="4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29:Y29">
    <cfRule type="cellIs" dxfId="0" priority="5" operator="notBetween">
      <formula>$G29</formula>
      <formula>$H29</formula>
    </cfRule>
  </conditionalFormatting>
  <conditionalFormatting sqref="J30:Y30">
    <cfRule type="cellIs" dxfId="0" priority="6" operator="notBetween">
      <formula>$G30</formula>
      <formula>$H30</formula>
    </cfRule>
  </conditionalFormatting>
  <conditionalFormatting sqref="J53:Y53">
    <cfRule type="cellIs" dxfId="0" priority="12" operator="notBetween">
      <formula>$G53</formula>
      <formula>$H53</formula>
    </cfRule>
  </conditionalFormatting>
  <conditionalFormatting sqref="J57:Y57">
    <cfRule type="cellIs" dxfId="0" priority="11" operator="notBetween">
      <formula>$G57</formula>
      <formula>$H57</formula>
    </cfRule>
  </conditionalFormatting>
  <conditionalFormatting sqref="J61:Y61">
    <cfRule type="cellIs" dxfId="0" priority="10" operator="notBetween">
      <formula>$G61</formula>
      <formula>$H61</formula>
    </cfRule>
  </conditionalFormatting>
  <conditionalFormatting sqref="J65:Y65">
    <cfRule type="cellIs" dxfId="0" priority="9" operator="notBetween">
      <formula>$G65</formula>
      <formula>$H65</formula>
    </cfRule>
  </conditionalFormatting>
  <conditionalFormatting sqref="J69:Y69">
    <cfRule type="cellIs" dxfId="0" priority="8" operator="notBetween">
      <formula>$G69</formula>
      <formula>$H69</formula>
    </cfRule>
  </conditionalFormatting>
  <conditionalFormatting sqref="J76:Y76">
    <cfRule type="cellIs" dxfId="0" priority="7" operator="notBetween">
      <formula>$G76</formula>
      <formula>$H76</formula>
    </cfRule>
  </conditionalFormatting>
  <conditionalFormatting sqref="J83:Y83">
    <cfRule type="cellIs" dxfId="0" priority="4" operator="notBetween">
      <formula>$G83</formula>
      <formula>$H83</formula>
    </cfRule>
  </conditionalFormatting>
  <conditionalFormatting sqref="J84:Y84">
    <cfRule type="cellIs" dxfId="0" priority="3" operator="notBetween">
      <formula>$G84</formula>
      <formula>$H84</formula>
    </cfRule>
  </conditionalFormatting>
  <conditionalFormatting sqref="J85:Y85">
    <cfRule type="cellIs" dxfId="0" priority="1" operator="notBetween">
      <formula>$G85</formula>
      <formula>$H85</formula>
    </cfRule>
  </conditionalFormatting>
  <conditionalFormatting sqref="J86:Y86">
    <cfRule type="cellIs" dxfId="0" priority="2" operator="notBetween">
      <formula>$G86</formula>
      <formula>$H86</formula>
    </cfRule>
  </conditionalFormatting>
  <conditionalFormatting sqref="J8:Y28">
    <cfRule type="cellIs" dxfId="0" priority="14" operator="notBetween">
      <formula>$G8</formula>
      <formula>$H8</formula>
    </cfRule>
  </conditionalFormatting>
  <conditionalFormatting sqref="J31:Y31 J40:Y40 J43:Y44">
    <cfRule type="cellIs" dxfId="0" priority="13" operator="notBetween">
      <formula>$G31</formula>
      <formula>$H31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6"/>
  <sheetViews>
    <sheetView topLeftCell="R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>
        <f t="shared" si="0"/>
        <v>5</v>
      </c>
      <c r="AE7" s="47">
        <f t="shared" si="0"/>
        <v>6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 t="shared" ref="G8:G31" si="1">D8+E8</f>
        <v>3.78</v>
      </c>
      <c r="H8" s="51">
        <f t="shared" ref="H8:H31" si="2">D8+F8</f>
        <v>3.68</v>
      </c>
      <c r="I8" s="51" t="s">
        <v>30</v>
      </c>
      <c r="J8" s="52">
        <v>3.7154</v>
      </c>
      <c r="K8" s="52">
        <v>3.7184</v>
      </c>
      <c r="L8" s="52">
        <v>3.7153</v>
      </c>
      <c r="M8" s="52">
        <v>3.7257</v>
      </c>
      <c r="N8" s="52">
        <v>3.7182</v>
      </c>
      <c r="O8" s="52">
        <v>3.7233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3">IF(J8="","",IF(J8&gt;($D8+$E8),(J8-$D8-$E8),IF(J8&lt;($D8+$F8),(J8-$D8-$F8),"√")))</f>
        <v>√</v>
      </c>
      <c r="AA8" s="53" t="str">
        <f t="shared" si="3"/>
        <v>√</v>
      </c>
      <c r="AB8" s="53" t="str">
        <f t="shared" si="3"/>
        <v>√</v>
      </c>
      <c r="AC8" s="53" t="str">
        <f t="shared" si="3"/>
        <v>√</v>
      </c>
      <c r="AD8" s="53" t="str">
        <f t="shared" si="3"/>
        <v>√</v>
      </c>
      <c r="AE8" s="53" t="str">
        <f t="shared" si="3"/>
        <v>√</v>
      </c>
      <c r="AF8" s="53" t="str">
        <f t="shared" si="3"/>
        <v/>
      </c>
      <c r="AG8" s="53" t="str">
        <f t="shared" si="3"/>
        <v/>
      </c>
      <c r="AH8" s="53" t="str">
        <f t="shared" si="3"/>
        <v/>
      </c>
      <c r="AI8" s="53" t="str">
        <f t="shared" si="3"/>
        <v/>
      </c>
      <c r="AJ8" s="53" t="str">
        <f t="shared" si="3"/>
        <v/>
      </c>
      <c r="AK8" s="53" t="str">
        <f t="shared" si="3"/>
        <v/>
      </c>
      <c r="AL8" s="53" t="str">
        <f t="shared" si="3"/>
        <v/>
      </c>
      <c r="AM8" s="53" t="str">
        <f t="shared" si="3"/>
        <v/>
      </c>
      <c r="AN8" s="53" t="str">
        <f t="shared" si="3"/>
        <v/>
      </c>
      <c r="AO8" s="53" t="str">
        <f t="shared" si="3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 t="shared" si="1"/>
        <v>1.98</v>
      </c>
      <c r="H9" s="51">
        <f t="shared" si="2"/>
        <v>1.88</v>
      </c>
      <c r="I9" s="51" t="s">
        <v>30</v>
      </c>
      <c r="J9" s="52">
        <v>1.9387</v>
      </c>
      <c r="K9" s="52">
        <v>1.9404</v>
      </c>
      <c r="L9" s="52">
        <v>1.9312</v>
      </c>
      <c r="M9" s="52">
        <v>1.9298</v>
      </c>
      <c r="N9" s="52">
        <v>1.9336</v>
      </c>
      <c r="O9" s="52">
        <v>1.9318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4">IF(J9="","",IF(J9&gt;($D9+$E9),(J9-$D9-$E9),IF(J9&lt;($D9+$F9),(J9-$D9-$F9),"√")))</f>
        <v>√</v>
      </c>
      <c r="AA9" s="53" t="str">
        <f t="shared" si="4"/>
        <v>√</v>
      </c>
      <c r="AB9" s="53" t="str">
        <f t="shared" si="4"/>
        <v>√</v>
      </c>
      <c r="AC9" s="53" t="str">
        <f t="shared" si="4"/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/>
      </c>
      <c r="AG9" s="53" t="str">
        <f t="shared" si="4"/>
        <v/>
      </c>
      <c r="AH9" s="53" t="str">
        <f t="shared" si="4"/>
        <v/>
      </c>
      <c r="AI9" s="53" t="str">
        <f t="shared" si="4"/>
        <v/>
      </c>
      <c r="AJ9" s="53" t="str">
        <f t="shared" si="4"/>
        <v/>
      </c>
      <c r="AK9" s="53" t="str">
        <f t="shared" si="4"/>
        <v/>
      </c>
      <c r="AL9" s="53" t="str">
        <f t="shared" si="4"/>
        <v/>
      </c>
      <c r="AM9" s="53" t="str">
        <f t="shared" si="4"/>
        <v/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 t="shared" si="1"/>
        <v>1.98</v>
      </c>
      <c r="H10" s="51">
        <f t="shared" si="2"/>
        <v>1.88</v>
      </c>
      <c r="I10" s="51" t="s">
        <v>30</v>
      </c>
      <c r="J10" s="52">
        <v>1.9547</v>
      </c>
      <c r="K10" s="52">
        <v>1.9617</v>
      </c>
      <c r="L10" s="52">
        <v>1.9524</v>
      </c>
      <c r="M10" s="52">
        <v>1.953</v>
      </c>
      <c r="N10" s="52">
        <v>1.9533</v>
      </c>
      <c r="O10" s="52">
        <v>1.9535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/>
      </c>
      <c r="AG10" s="53" t="str">
        <f t="shared" si="5"/>
        <v/>
      </c>
      <c r="AH10" s="53" t="str">
        <f t="shared" si="5"/>
        <v/>
      </c>
      <c r="AI10" s="53" t="str">
        <f t="shared" si="5"/>
        <v/>
      </c>
      <c r="AJ10" s="53" t="str">
        <f t="shared" si="5"/>
        <v/>
      </c>
      <c r="AK10" s="53" t="str">
        <f t="shared" si="5"/>
        <v/>
      </c>
      <c r="AL10" s="53" t="str">
        <f t="shared" si="5"/>
        <v/>
      </c>
      <c r="AM10" s="53" t="str">
        <f t="shared" si="5"/>
        <v/>
      </c>
      <c r="AN10" s="53" t="str">
        <f t="shared" si="5"/>
        <v/>
      </c>
      <c r="AO10" s="53" t="str">
        <f t="shared" si="5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 t="shared" si="1"/>
        <v>1.35</v>
      </c>
      <c r="H11" s="51">
        <f t="shared" si="2"/>
        <v>1.29</v>
      </c>
      <c r="I11" s="51" t="s">
        <v>30</v>
      </c>
      <c r="J11" s="52">
        <v>1.3017</v>
      </c>
      <c r="K11" s="52">
        <v>1.3024</v>
      </c>
      <c r="L11" s="52">
        <v>1.3009</v>
      </c>
      <c r="M11" s="52">
        <v>1.3007</v>
      </c>
      <c r="N11" s="52">
        <v>1.301</v>
      </c>
      <c r="O11" s="52">
        <v>1.2963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6">IF(J11="","",IF(J11&gt;($D11+$E11),(J11-$D11-$E11),IF(J11&lt;($D11+$F11),(J11-$D11-$F11),"√")))</f>
        <v>√</v>
      </c>
      <c r="AA11" s="53" t="str">
        <f t="shared" si="6"/>
        <v>√</v>
      </c>
      <c r="AB11" s="53" t="str">
        <f t="shared" si="6"/>
        <v>√</v>
      </c>
      <c r="AC11" s="53" t="str">
        <f t="shared" si="6"/>
        <v>√</v>
      </c>
      <c r="AD11" s="53" t="str">
        <f t="shared" si="6"/>
        <v>√</v>
      </c>
      <c r="AE11" s="53" t="str">
        <f t="shared" si="6"/>
        <v>√</v>
      </c>
      <c r="AF11" s="53" t="str">
        <f t="shared" si="6"/>
        <v/>
      </c>
      <c r="AG11" s="53" t="str">
        <f t="shared" si="6"/>
        <v/>
      </c>
      <c r="AH11" s="53" t="str">
        <f t="shared" si="6"/>
        <v/>
      </c>
      <c r="AI11" s="53" t="str">
        <f t="shared" si="6"/>
        <v/>
      </c>
      <c r="AJ11" s="53" t="str">
        <f t="shared" si="6"/>
        <v/>
      </c>
      <c r="AK11" s="53" t="str">
        <f t="shared" si="6"/>
        <v/>
      </c>
      <c r="AL11" s="53" t="str">
        <f t="shared" si="6"/>
        <v/>
      </c>
      <c r="AM11" s="53" t="str">
        <f t="shared" si="6"/>
        <v/>
      </c>
      <c r="AN11" s="53" t="str">
        <f t="shared" si="6"/>
        <v/>
      </c>
      <c r="AO11" s="53" t="str">
        <f t="shared" si="6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si="1"/>
        <v>1.35</v>
      </c>
      <c r="H12" s="51">
        <f t="shared" si="2"/>
        <v>1.29</v>
      </c>
      <c r="I12" s="51" t="s">
        <v>30</v>
      </c>
      <c r="J12" s="52">
        <v>1.306</v>
      </c>
      <c r="K12" s="52">
        <v>1.3078</v>
      </c>
      <c r="L12" s="52">
        <v>1.3059</v>
      </c>
      <c r="M12" s="52">
        <v>1.3056</v>
      </c>
      <c r="N12" s="52">
        <v>1.3083</v>
      </c>
      <c r="O12" s="52">
        <v>1.3057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>√</v>
      </c>
      <c r="AE12" s="53" t="str">
        <f t="shared" si="7"/>
        <v>√</v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1"/>
        <v>2.485</v>
      </c>
      <c r="H13" s="51">
        <f t="shared" si="2"/>
        <v>2.425</v>
      </c>
      <c r="I13" s="51" t="s">
        <v>30</v>
      </c>
      <c r="J13" s="52">
        <v>2.4642</v>
      </c>
      <c r="K13" s="52">
        <v>2.4761</v>
      </c>
      <c r="L13" s="52">
        <v>2.4762</v>
      </c>
      <c r="M13" s="52">
        <v>2.4825</v>
      </c>
      <c r="N13" s="52">
        <v>2.4799</v>
      </c>
      <c r="O13" s="52">
        <v>2.4768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>√</v>
      </c>
      <c r="AE13" s="53" t="str">
        <f t="shared" si="8"/>
        <v>√</v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1"/>
        <v>2.96</v>
      </c>
      <c r="H14" s="51">
        <f t="shared" si="2"/>
        <v>2.86</v>
      </c>
      <c r="I14" s="51" t="s">
        <v>30</v>
      </c>
      <c r="J14" s="52">
        <v>2.8915</v>
      </c>
      <c r="K14" s="52">
        <v>2.889</v>
      </c>
      <c r="L14" s="52">
        <v>2.8882</v>
      </c>
      <c r="M14" s="52">
        <v>2.8878</v>
      </c>
      <c r="N14" s="52">
        <v>2.889</v>
      </c>
      <c r="O14" s="52">
        <v>2.8879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>√</v>
      </c>
      <c r="AE14" s="53" t="str">
        <f t="shared" si="9"/>
        <v>√</v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1"/>
        <v>1.96</v>
      </c>
      <c r="H15" s="51">
        <f t="shared" si="2"/>
        <v>1.9</v>
      </c>
      <c r="I15" s="51" t="s">
        <v>30</v>
      </c>
      <c r="J15" s="52">
        <v>1.939</v>
      </c>
      <c r="K15" s="52">
        <v>1.941</v>
      </c>
      <c r="L15" s="52">
        <v>1.9394</v>
      </c>
      <c r="M15" s="52">
        <v>1.9386</v>
      </c>
      <c r="N15" s="52">
        <v>1.9404</v>
      </c>
      <c r="O15" s="52">
        <v>1.9383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>√</v>
      </c>
      <c r="AE15" s="53" t="str">
        <f t="shared" si="10"/>
        <v>√</v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1"/>
        <v>2.19</v>
      </c>
      <c r="H16" s="51">
        <f t="shared" si="2"/>
        <v>2.09</v>
      </c>
      <c r="I16" s="51" t="s">
        <v>30</v>
      </c>
      <c r="J16" s="52">
        <v>2.1573</v>
      </c>
      <c r="K16" s="52">
        <v>2.1647</v>
      </c>
      <c r="L16" s="52">
        <v>2.1594</v>
      </c>
      <c r="M16" s="52">
        <v>2.1588</v>
      </c>
      <c r="N16" s="52">
        <v>2.1645</v>
      </c>
      <c r="O16" s="52">
        <v>2.1588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>√</v>
      </c>
      <c r="AA16" s="53" t="str">
        <f t="shared" si="11"/>
        <v>√</v>
      </c>
      <c r="AB16" s="53" t="str">
        <f t="shared" si="11"/>
        <v>√</v>
      </c>
      <c r="AC16" s="53" t="str">
        <f t="shared" si="11"/>
        <v>√</v>
      </c>
      <c r="AD16" s="53" t="str">
        <f t="shared" si="11"/>
        <v>√</v>
      </c>
      <c r="AE16" s="53" t="str">
        <f t="shared" si="11"/>
        <v>√</v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1"/>
        <v>2.19</v>
      </c>
      <c r="H17" s="51">
        <f t="shared" si="2"/>
        <v>2.09</v>
      </c>
      <c r="I17" s="51" t="s">
        <v>30</v>
      </c>
      <c r="J17" s="52">
        <v>2.1595</v>
      </c>
      <c r="K17" s="52">
        <v>2.1676</v>
      </c>
      <c r="L17" s="52">
        <v>2.1688</v>
      </c>
      <c r="M17" s="52">
        <v>2.1571</v>
      </c>
      <c r="N17" s="52">
        <v>2.1469</v>
      </c>
      <c r="O17" s="52">
        <v>2.1471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>√</v>
      </c>
      <c r="AA17" s="53" t="str">
        <f t="shared" si="12"/>
        <v>√</v>
      </c>
      <c r="AB17" s="53" t="str">
        <f t="shared" si="12"/>
        <v>√</v>
      </c>
      <c r="AC17" s="53" t="str">
        <f t="shared" si="12"/>
        <v>√</v>
      </c>
      <c r="AD17" s="53" t="str">
        <f t="shared" si="12"/>
        <v>√</v>
      </c>
      <c r="AE17" s="53" t="str">
        <f t="shared" si="12"/>
        <v>√</v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1"/>
        <v>5.405</v>
      </c>
      <c r="H18" s="51">
        <f t="shared" si="2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1"/>
        <v>2.15</v>
      </c>
      <c r="H19" s="51">
        <f t="shared" si="2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1"/>
        <v>2.15</v>
      </c>
      <c r="H20" s="51">
        <f t="shared" si="2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1"/>
        <v>0.51</v>
      </c>
      <c r="H21" s="51">
        <f t="shared" si="2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1"/>
        <v>0.51</v>
      </c>
      <c r="H22" s="51">
        <f t="shared" si="2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1"/>
        <v>1.08</v>
      </c>
      <c r="H23" s="51">
        <f t="shared" si="2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1"/>
        <v>0.75</v>
      </c>
      <c r="H24" s="51">
        <f t="shared" si="2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1"/>
        <v>0.35</v>
      </c>
      <c r="H25" s="51">
        <f t="shared" si="2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1"/>
        <v>0.33</v>
      </c>
      <c r="H26" s="51">
        <f t="shared" si="2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si="1"/>
        <v>0.094</v>
      </c>
      <c r="H27" s="51">
        <f t="shared" si="2"/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2">IF(J27="","",IF(J27&gt;($D27+$E27),(J27-$D27-$E27),IF(J27&lt;($D27+$F27),(J27-$D27-$F27),"√")))</f>
        <v/>
      </c>
      <c r="AA27" s="53" t="str">
        <f t="shared" si="22"/>
        <v/>
      </c>
      <c r="AB27" s="53" t="str">
        <f t="shared" si="22"/>
        <v/>
      </c>
      <c r="AC27" s="53" t="str">
        <f t="shared" si="22"/>
        <v/>
      </c>
      <c r="AD27" s="53" t="str">
        <f t="shared" si="22"/>
        <v/>
      </c>
      <c r="AE27" s="53" t="str">
        <f t="shared" si="22"/>
        <v/>
      </c>
      <c r="AF27" s="53" t="str">
        <f t="shared" si="22"/>
        <v/>
      </c>
      <c r="AG27" s="53" t="str">
        <f t="shared" si="22"/>
        <v/>
      </c>
      <c r="AH27" s="53" t="str">
        <f t="shared" si="22"/>
        <v/>
      </c>
      <c r="AI27" s="53" t="str">
        <f t="shared" si="22"/>
        <v/>
      </c>
      <c r="AJ27" s="53" t="str">
        <f t="shared" si="22"/>
        <v/>
      </c>
      <c r="AK27" s="53" t="str">
        <f t="shared" si="22"/>
        <v/>
      </c>
      <c r="AL27" s="53" t="str">
        <f t="shared" si="22"/>
        <v/>
      </c>
      <c r="AM27" s="53" t="str">
        <f t="shared" si="22"/>
        <v/>
      </c>
      <c r="AN27" s="53" t="str">
        <f t="shared" si="22"/>
        <v/>
      </c>
      <c r="AO27" s="53" t="str">
        <f t="shared" si="22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1"/>
        <v>0.63</v>
      </c>
      <c r="H28" s="51">
        <f t="shared" si="2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3">IF(J28="","",IF(J28&gt;($D28+$E28),(J28-$D28-$E28),IF(J28&lt;($D28+$F28),(J28-$D28-$F28),"√")))</f>
        <v/>
      </c>
      <c r="AA28" s="53" t="str">
        <f t="shared" si="23"/>
        <v/>
      </c>
      <c r="AB28" s="53" t="str">
        <f t="shared" si="23"/>
        <v/>
      </c>
      <c r="AC28" s="53" t="str">
        <f t="shared" si="23"/>
        <v/>
      </c>
      <c r="AD28" s="53" t="str">
        <f t="shared" si="23"/>
        <v/>
      </c>
      <c r="AE28" s="53" t="str">
        <f t="shared" si="23"/>
        <v/>
      </c>
      <c r="AF28" s="53" t="str">
        <f t="shared" si="23"/>
        <v/>
      </c>
      <c r="AG28" s="53" t="str">
        <f t="shared" si="23"/>
        <v/>
      </c>
      <c r="AH28" s="53" t="str">
        <f t="shared" si="23"/>
        <v/>
      </c>
      <c r="AI28" s="53" t="str">
        <f t="shared" si="23"/>
        <v/>
      </c>
      <c r="AJ28" s="53" t="str">
        <f t="shared" si="23"/>
        <v/>
      </c>
      <c r="AK28" s="53" t="str">
        <f t="shared" si="23"/>
        <v/>
      </c>
      <c r="AL28" s="53" t="str">
        <f t="shared" si="23"/>
        <v/>
      </c>
      <c r="AM28" s="53" t="str">
        <f t="shared" si="23"/>
        <v/>
      </c>
      <c r="AN28" s="53" t="str">
        <f t="shared" si="23"/>
        <v/>
      </c>
      <c r="AO28" s="53" t="str">
        <f t="shared" si="23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1"/>
        <v>0.025</v>
      </c>
      <c r="H29" s="51">
        <f t="shared" si="2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4">IF(J29="","",IF(J29&gt;($D29+$E29),(J29-$D29-$E29),IF(J29&lt;($D29+$F29),(J29-$D29-$F29),"√")))</f>
        <v/>
      </c>
      <c r="AA29" s="53" t="str">
        <f t="shared" si="24"/>
        <v/>
      </c>
      <c r="AB29" s="53" t="str">
        <f t="shared" si="24"/>
        <v/>
      </c>
      <c r="AC29" s="53" t="str">
        <f t="shared" si="24"/>
        <v/>
      </c>
      <c r="AD29" s="53" t="str">
        <f t="shared" si="24"/>
        <v/>
      </c>
      <c r="AE29" s="53" t="str">
        <f t="shared" si="24"/>
        <v/>
      </c>
      <c r="AF29" s="53" t="str">
        <f t="shared" si="24"/>
        <v/>
      </c>
      <c r="AG29" s="53" t="str">
        <f t="shared" si="24"/>
        <v/>
      </c>
      <c r="AH29" s="53" t="str">
        <f t="shared" si="24"/>
        <v/>
      </c>
      <c r="AI29" s="53" t="str">
        <f t="shared" si="24"/>
        <v/>
      </c>
      <c r="AJ29" s="53" t="str">
        <f t="shared" si="24"/>
        <v/>
      </c>
      <c r="AK29" s="53" t="str">
        <f t="shared" si="24"/>
        <v/>
      </c>
      <c r="AL29" s="53" t="str">
        <f t="shared" si="24"/>
        <v/>
      </c>
      <c r="AM29" s="53" t="str">
        <f t="shared" si="24"/>
        <v/>
      </c>
      <c r="AN29" s="53" t="str">
        <f t="shared" si="24"/>
        <v/>
      </c>
      <c r="AO29" s="53" t="str">
        <f t="shared" si="24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1"/>
        <v>3.34</v>
      </c>
      <c r="H30" s="51">
        <f t="shared" si="2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5">IF(J30="","",IF(J30&gt;($D30+$E30),(J30-$D30-$E30),IF(J30&lt;($D30+$F30),(J30-$D30-$F30),"√")))</f>
        <v/>
      </c>
      <c r="AA30" s="53" t="str">
        <f t="shared" si="25"/>
        <v/>
      </c>
      <c r="AB30" s="53" t="str">
        <f t="shared" si="25"/>
        <v/>
      </c>
      <c r="AC30" s="53" t="str">
        <f t="shared" si="25"/>
        <v/>
      </c>
      <c r="AD30" s="53" t="str">
        <f t="shared" si="25"/>
        <v/>
      </c>
      <c r="AE30" s="53" t="str">
        <f t="shared" si="25"/>
        <v/>
      </c>
      <c r="AF30" s="53" t="str">
        <f t="shared" si="25"/>
        <v/>
      </c>
      <c r="AG30" s="53" t="str">
        <f t="shared" si="25"/>
        <v/>
      </c>
      <c r="AH30" s="53" t="str">
        <f t="shared" si="25"/>
        <v/>
      </c>
      <c r="AI30" s="53" t="str">
        <f t="shared" si="25"/>
        <v/>
      </c>
      <c r="AJ30" s="53" t="str">
        <f t="shared" si="25"/>
        <v/>
      </c>
      <c r="AK30" s="53" t="str">
        <f t="shared" si="25"/>
        <v/>
      </c>
      <c r="AL30" s="53" t="str">
        <f t="shared" si="25"/>
        <v/>
      </c>
      <c r="AM30" s="53" t="str">
        <f t="shared" si="25"/>
        <v/>
      </c>
      <c r="AN30" s="53" t="str">
        <f t="shared" si="25"/>
        <v/>
      </c>
      <c r="AO30" s="53" t="str">
        <f t="shared" si="25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1"/>
        <v>0.03</v>
      </c>
      <c r="H31" s="51">
        <f t="shared" si="2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6">IF(J31="","",IF(J31&gt;($D31+$E31),(J31-$D31-$E31),IF(J31&lt;($D31+$F31),(J31-$D31-$F31),"√")))</f>
        <v/>
      </c>
      <c r="AA31" s="53" t="str">
        <f t="shared" si="26"/>
        <v/>
      </c>
      <c r="AB31" s="53" t="str">
        <f t="shared" si="26"/>
        <v/>
      </c>
      <c r="AC31" s="53" t="str">
        <f t="shared" si="26"/>
        <v/>
      </c>
      <c r="AD31" s="53" t="str">
        <f t="shared" si="26"/>
        <v/>
      </c>
      <c r="AE31" s="53" t="str">
        <f t="shared" si="26"/>
        <v/>
      </c>
      <c r="AF31" s="53" t="str">
        <f t="shared" si="26"/>
        <v/>
      </c>
      <c r="AG31" s="53" t="str">
        <f t="shared" si="26"/>
        <v/>
      </c>
      <c r="AH31" s="53" t="str">
        <f t="shared" si="26"/>
        <v/>
      </c>
      <c r="AI31" s="53" t="str">
        <f t="shared" si="26"/>
        <v/>
      </c>
      <c r="AJ31" s="53" t="str">
        <f t="shared" si="26"/>
        <v/>
      </c>
      <c r="AK31" s="53" t="str">
        <f t="shared" si="26"/>
        <v/>
      </c>
      <c r="AL31" s="53" t="str">
        <f t="shared" si="26"/>
        <v/>
      </c>
      <c r="AM31" s="53" t="str">
        <f t="shared" si="26"/>
        <v/>
      </c>
      <c r="AN31" s="53" t="str">
        <f t="shared" si="26"/>
        <v/>
      </c>
      <c r="AO31" s="53" t="str">
        <f t="shared" si="26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 t="shared" ref="G40:G44" si="27">D40+E40</f>
        <v>0.08</v>
      </c>
      <c r="H40" s="51">
        <f t="shared" ref="H40:H44" si="28"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 t="shared" si="27"/>
        <v>0.08</v>
      </c>
      <c r="H43" s="51">
        <f t="shared" si="28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 t="shared" si="27"/>
        <v>0.03</v>
      </c>
      <c r="H44" s="51">
        <f t="shared" si="28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 t="shared" ref="G83:G85" si="38">D83+E83</f>
        <v>0.93</v>
      </c>
      <c r="H83" s="51">
        <f t="shared" ref="H83:H85" si="39"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40">IF(J83="","",IF(J83&gt;($D83+$E83),(J83-$D83-$E83),IF(J83&lt;($D83+$F83),(J83-$D83-$F83),"√")))</f>
        <v/>
      </c>
      <c r="AA83" s="53" t="str">
        <f t="shared" si="40"/>
        <v/>
      </c>
      <c r="AB83" s="53" t="str">
        <f t="shared" si="40"/>
        <v/>
      </c>
      <c r="AC83" s="53" t="str">
        <f t="shared" si="40"/>
        <v/>
      </c>
      <c r="AD83" s="53" t="str">
        <f t="shared" si="40"/>
        <v/>
      </c>
      <c r="AE83" s="53" t="str">
        <f t="shared" si="40"/>
        <v/>
      </c>
      <c r="AF83" s="53" t="str">
        <f t="shared" si="40"/>
        <v/>
      </c>
      <c r="AG83" s="53" t="str">
        <f t="shared" si="40"/>
        <v/>
      </c>
      <c r="AH83" s="53" t="str">
        <f t="shared" si="40"/>
        <v/>
      </c>
      <c r="AI83" s="53" t="str">
        <f t="shared" si="40"/>
        <v/>
      </c>
      <c r="AJ83" s="53" t="str">
        <f t="shared" si="40"/>
        <v/>
      </c>
      <c r="AK83" s="53" t="str">
        <f t="shared" si="40"/>
        <v/>
      </c>
      <c r="AL83" s="53" t="str">
        <f t="shared" si="40"/>
        <v/>
      </c>
      <c r="AM83" s="53" t="str">
        <f t="shared" si="40"/>
        <v/>
      </c>
      <c r="AN83" s="53" t="str">
        <f t="shared" si="40"/>
        <v/>
      </c>
      <c r="AO83" s="53" t="str">
        <f t="shared" si="40"/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 t="shared" si="38"/>
        <v>0.64</v>
      </c>
      <c r="H84" s="51">
        <f t="shared" si="39"/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AO84" si="41">IF(J84="","",IF(J84&gt;($D84+$E84),(J84-$D84-$E84),IF(J84&lt;($D84+$F84),(J84-$D84-$F84),"√")))</f>
        <v/>
      </c>
      <c r="AA84" s="53" t="str">
        <f t="shared" si="41"/>
        <v/>
      </c>
      <c r="AB84" s="53" t="str">
        <f t="shared" si="41"/>
        <v/>
      </c>
      <c r="AC84" s="53" t="str">
        <f t="shared" si="41"/>
        <v/>
      </c>
      <c r="AD84" s="53" t="str">
        <f t="shared" si="41"/>
        <v/>
      </c>
      <c r="AE84" s="53" t="str">
        <f t="shared" si="41"/>
        <v/>
      </c>
      <c r="AF84" s="53" t="str">
        <f t="shared" si="41"/>
        <v/>
      </c>
      <c r="AG84" s="53" t="str">
        <f t="shared" si="41"/>
        <v/>
      </c>
      <c r="AH84" s="53" t="str">
        <f t="shared" si="41"/>
        <v/>
      </c>
      <c r="AI84" s="53" t="str">
        <f t="shared" si="41"/>
        <v/>
      </c>
      <c r="AJ84" s="53" t="str">
        <f t="shared" si="41"/>
        <v/>
      </c>
      <c r="AK84" s="53" t="str">
        <f t="shared" si="41"/>
        <v/>
      </c>
      <c r="AL84" s="53" t="str">
        <f t="shared" si="41"/>
        <v/>
      </c>
      <c r="AM84" s="53" t="str">
        <f t="shared" si="41"/>
        <v/>
      </c>
      <c r="AN84" s="53" t="str">
        <f t="shared" si="41"/>
        <v/>
      </c>
      <c r="AO84" s="53" t="str">
        <f t="shared" si="41"/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 t="shared" si="38"/>
        <v>0.64</v>
      </c>
      <c r="H85" s="51">
        <f t="shared" si="39"/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:AO85" si="42">IF(J85="","",IF(J85&gt;($D85+$E85),(J85-$D85-$E85),IF(J85&lt;($D85+$F85),(J85-$D85-$F85),"√")))</f>
        <v/>
      </c>
      <c r="AA85" s="53" t="str">
        <f t="shared" si="42"/>
        <v/>
      </c>
      <c r="AB85" s="53" t="str">
        <f t="shared" si="42"/>
        <v/>
      </c>
      <c r="AC85" s="53" t="str">
        <f t="shared" si="42"/>
        <v/>
      </c>
      <c r="AD85" s="53" t="str">
        <f t="shared" si="42"/>
        <v/>
      </c>
      <c r="AE85" s="53" t="str">
        <f t="shared" si="42"/>
        <v/>
      </c>
      <c r="AF85" s="53" t="str">
        <f t="shared" si="42"/>
        <v/>
      </c>
      <c r="AG85" s="53" t="str">
        <f t="shared" si="42"/>
        <v/>
      </c>
      <c r="AH85" s="53" t="str">
        <f t="shared" si="42"/>
        <v/>
      </c>
      <c r="AI85" s="53" t="str">
        <f t="shared" si="42"/>
        <v/>
      </c>
      <c r="AJ85" s="53" t="str">
        <f t="shared" si="42"/>
        <v/>
      </c>
      <c r="AK85" s="53" t="str">
        <f t="shared" si="42"/>
        <v/>
      </c>
      <c r="AL85" s="53" t="str">
        <f t="shared" si="42"/>
        <v/>
      </c>
      <c r="AM85" s="53" t="str">
        <f t="shared" si="42"/>
        <v/>
      </c>
      <c r="AN85" s="53" t="str">
        <f t="shared" si="42"/>
        <v/>
      </c>
      <c r="AO85" s="53" t="str">
        <f t="shared" si="42"/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ref="Z86:AO86" si="43">IF(J86="","",IF(J86&gt;($D86+$E86),(J86-$D86-$E86),IF(J86&lt;($D86+$F86),(J86-$D86-$F86),"√")))</f>
        <v/>
      </c>
      <c r="AA86" s="53" t="str">
        <f t="shared" si="43"/>
        <v/>
      </c>
      <c r="AB86" s="53" t="str">
        <f t="shared" si="43"/>
        <v/>
      </c>
      <c r="AC86" s="53" t="str">
        <f t="shared" si="43"/>
        <v/>
      </c>
      <c r="AD86" s="53" t="str">
        <f t="shared" si="43"/>
        <v/>
      </c>
      <c r="AE86" s="53" t="str">
        <f t="shared" si="43"/>
        <v/>
      </c>
      <c r="AF86" s="53" t="str">
        <f t="shared" si="43"/>
        <v/>
      </c>
      <c r="AG86" s="53" t="str">
        <f t="shared" si="43"/>
        <v/>
      </c>
      <c r="AH86" s="53" t="str">
        <f t="shared" si="43"/>
        <v/>
      </c>
      <c r="AI86" s="53" t="str">
        <f t="shared" si="43"/>
        <v/>
      </c>
      <c r="AJ86" s="53" t="str">
        <f t="shared" si="43"/>
        <v/>
      </c>
      <c r="AK86" s="53" t="str">
        <f t="shared" si="43"/>
        <v/>
      </c>
      <c r="AL86" s="53" t="str">
        <f t="shared" si="43"/>
        <v/>
      </c>
      <c r="AM86" s="53" t="str">
        <f t="shared" si="43"/>
        <v/>
      </c>
      <c r="AN86" s="53" t="str">
        <f t="shared" si="43"/>
        <v/>
      </c>
      <c r="AO86" s="53" t="str">
        <f t="shared" si="4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29:Y29">
    <cfRule type="cellIs" dxfId="0" priority="5" operator="notBetween">
      <formula>$G29</formula>
      <formula>$H29</formula>
    </cfRule>
  </conditionalFormatting>
  <conditionalFormatting sqref="J30:Y30">
    <cfRule type="cellIs" dxfId="0" priority="6" operator="notBetween">
      <formula>$G30</formula>
      <formula>$H30</formula>
    </cfRule>
  </conditionalFormatting>
  <conditionalFormatting sqref="J53:Y53">
    <cfRule type="cellIs" dxfId="0" priority="12" operator="notBetween">
      <formula>$G53</formula>
      <formula>$H53</formula>
    </cfRule>
  </conditionalFormatting>
  <conditionalFormatting sqref="J57:Y57">
    <cfRule type="cellIs" dxfId="0" priority="11" operator="notBetween">
      <formula>$G57</formula>
      <formula>$H57</formula>
    </cfRule>
  </conditionalFormatting>
  <conditionalFormatting sqref="J61:Y61">
    <cfRule type="cellIs" dxfId="0" priority="10" operator="notBetween">
      <formula>$G61</formula>
      <formula>$H61</formula>
    </cfRule>
  </conditionalFormatting>
  <conditionalFormatting sqref="J65:Y65">
    <cfRule type="cellIs" dxfId="0" priority="9" operator="notBetween">
      <formula>$G65</formula>
      <formula>$H65</formula>
    </cfRule>
  </conditionalFormatting>
  <conditionalFormatting sqref="J69:Y69">
    <cfRule type="cellIs" dxfId="0" priority="8" operator="notBetween">
      <formula>$G69</formula>
      <formula>$H69</formula>
    </cfRule>
  </conditionalFormatting>
  <conditionalFormatting sqref="J76:Y76">
    <cfRule type="cellIs" dxfId="0" priority="7" operator="notBetween">
      <formula>$G76</formula>
      <formula>$H76</formula>
    </cfRule>
  </conditionalFormatting>
  <conditionalFormatting sqref="J83:Y83">
    <cfRule type="cellIs" dxfId="0" priority="4" operator="notBetween">
      <formula>$G83</formula>
      <formula>$H83</formula>
    </cfRule>
  </conditionalFormatting>
  <conditionalFormatting sqref="J84:Y84">
    <cfRule type="cellIs" dxfId="0" priority="3" operator="notBetween">
      <formula>$G84</formula>
      <formula>$H84</formula>
    </cfRule>
  </conditionalFormatting>
  <conditionalFormatting sqref="J85:Y85">
    <cfRule type="cellIs" dxfId="0" priority="1" operator="notBetween">
      <formula>$G85</formula>
      <formula>$H85</formula>
    </cfRule>
  </conditionalFormatting>
  <conditionalFormatting sqref="J86:Y86">
    <cfRule type="cellIs" dxfId="0" priority="2" operator="notBetween">
      <formula>$G86</formula>
      <formula>$H86</formula>
    </cfRule>
  </conditionalFormatting>
  <conditionalFormatting sqref="J8:Y28">
    <cfRule type="cellIs" dxfId="0" priority="14" operator="notBetween">
      <formula>$G8</formula>
      <formula>$H8</formula>
    </cfRule>
  </conditionalFormatting>
  <conditionalFormatting sqref="J31:Y31 J40:Y40 J43:Y44">
    <cfRule type="cellIs" dxfId="0" priority="13" operator="notBetween">
      <formula>$G31</formula>
      <formula>$H31</formula>
    </cfRule>
  </conditionalFormatting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6"/>
  <sheetViews>
    <sheetView topLeftCell="Q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>
        <f t="shared" si="0"/>
        <v>5</v>
      </c>
      <c r="AE7" s="47">
        <f t="shared" si="0"/>
        <v>6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 t="shared" ref="G8:G31" si="1">D8+E8</f>
        <v>3.78</v>
      </c>
      <c r="H8" s="51">
        <f t="shared" ref="H8:H31" si="2">D8+F8</f>
        <v>3.68</v>
      </c>
      <c r="I8" s="51" t="s">
        <v>30</v>
      </c>
      <c r="J8" s="57">
        <v>3.721</v>
      </c>
      <c r="K8" s="57">
        <v>3.7269</v>
      </c>
      <c r="L8" s="57">
        <v>3.7312</v>
      </c>
      <c r="M8" s="57">
        <v>3.7284</v>
      </c>
      <c r="N8" s="57">
        <v>3.7199</v>
      </c>
      <c r="O8" s="57">
        <v>3.7249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3">IF(J8="","",IF(J8&gt;($D8+$E8),(J8-$D8-$E8),IF(J8&lt;($D8+$F8),(J8-$D8-$F8),"√")))</f>
        <v>√</v>
      </c>
      <c r="AA8" s="53" t="str">
        <f t="shared" si="3"/>
        <v>√</v>
      </c>
      <c r="AB8" s="53" t="str">
        <f t="shared" si="3"/>
        <v>√</v>
      </c>
      <c r="AC8" s="53" t="str">
        <f t="shared" si="3"/>
        <v>√</v>
      </c>
      <c r="AD8" s="53" t="str">
        <f t="shared" si="3"/>
        <v>√</v>
      </c>
      <c r="AE8" s="53" t="str">
        <f t="shared" si="3"/>
        <v>√</v>
      </c>
      <c r="AF8" s="53" t="str">
        <f t="shared" si="3"/>
        <v/>
      </c>
      <c r="AG8" s="53" t="str">
        <f t="shared" si="3"/>
        <v/>
      </c>
      <c r="AH8" s="53" t="str">
        <f t="shared" si="3"/>
        <v/>
      </c>
      <c r="AI8" s="53" t="str">
        <f t="shared" si="3"/>
        <v/>
      </c>
      <c r="AJ8" s="53" t="str">
        <f t="shared" si="3"/>
        <v/>
      </c>
      <c r="AK8" s="53" t="str">
        <f t="shared" si="3"/>
        <v/>
      </c>
      <c r="AL8" s="53" t="str">
        <f t="shared" si="3"/>
        <v/>
      </c>
      <c r="AM8" s="53" t="str">
        <f t="shared" si="3"/>
        <v/>
      </c>
      <c r="AN8" s="53" t="str">
        <f t="shared" si="3"/>
        <v/>
      </c>
      <c r="AO8" s="53" t="str">
        <f t="shared" si="3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 t="shared" si="1"/>
        <v>1.98</v>
      </c>
      <c r="H9" s="51">
        <f t="shared" si="2"/>
        <v>1.88</v>
      </c>
      <c r="I9" s="51" t="s">
        <v>30</v>
      </c>
      <c r="J9" s="52">
        <v>1.941</v>
      </c>
      <c r="K9" s="52">
        <v>1.9339</v>
      </c>
      <c r="L9" s="52">
        <v>1.931</v>
      </c>
      <c r="M9" s="52">
        <v>1.9327</v>
      </c>
      <c r="N9" s="52">
        <v>1.9323</v>
      </c>
      <c r="O9" s="52">
        <v>1.9356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4">IF(J9="","",IF(J9&gt;($D9+$E9),(J9-$D9-$E9),IF(J9&lt;($D9+$F9),(J9-$D9-$F9),"√")))</f>
        <v>√</v>
      </c>
      <c r="AA9" s="53" t="str">
        <f t="shared" si="4"/>
        <v>√</v>
      </c>
      <c r="AB9" s="53" t="str">
        <f t="shared" si="4"/>
        <v>√</v>
      </c>
      <c r="AC9" s="53" t="str">
        <f t="shared" si="4"/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/>
      </c>
      <c r="AG9" s="53" t="str">
        <f t="shared" si="4"/>
        <v/>
      </c>
      <c r="AH9" s="53" t="str">
        <f t="shared" si="4"/>
        <v/>
      </c>
      <c r="AI9" s="53" t="str">
        <f t="shared" si="4"/>
        <v/>
      </c>
      <c r="AJ9" s="53" t="str">
        <f t="shared" si="4"/>
        <v/>
      </c>
      <c r="AK9" s="53" t="str">
        <f t="shared" si="4"/>
        <v/>
      </c>
      <c r="AL9" s="53" t="str">
        <f t="shared" si="4"/>
        <v/>
      </c>
      <c r="AM9" s="53" t="str">
        <f t="shared" si="4"/>
        <v/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 t="shared" si="1"/>
        <v>1.98</v>
      </c>
      <c r="H10" s="51">
        <f t="shared" si="2"/>
        <v>1.88</v>
      </c>
      <c r="I10" s="51" t="s">
        <v>30</v>
      </c>
      <c r="J10" s="52">
        <v>1.9547</v>
      </c>
      <c r="K10" s="52">
        <v>1.9524</v>
      </c>
      <c r="L10" s="52">
        <v>1.9689</v>
      </c>
      <c r="M10" s="52">
        <v>1.9517</v>
      </c>
      <c r="N10" s="52">
        <v>1.9535</v>
      </c>
      <c r="O10" s="52">
        <v>1.9512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/>
      </c>
      <c r="AG10" s="53" t="str">
        <f t="shared" si="5"/>
        <v/>
      </c>
      <c r="AH10" s="53" t="str">
        <f t="shared" si="5"/>
        <v/>
      </c>
      <c r="AI10" s="53" t="str">
        <f t="shared" si="5"/>
        <v/>
      </c>
      <c r="AJ10" s="53" t="str">
        <f t="shared" si="5"/>
        <v/>
      </c>
      <c r="AK10" s="53" t="str">
        <f t="shared" si="5"/>
        <v/>
      </c>
      <c r="AL10" s="53" t="str">
        <f t="shared" si="5"/>
        <v/>
      </c>
      <c r="AM10" s="53" t="str">
        <f t="shared" si="5"/>
        <v/>
      </c>
      <c r="AN10" s="53" t="str">
        <f t="shared" si="5"/>
        <v/>
      </c>
      <c r="AO10" s="53" t="str">
        <f t="shared" si="5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 t="shared" si="1"/>
        <v>1.35</v>
      </c>
      <c r="H11" s="51">
        <f t="shared" si="2"/>
        <v>1.29</v>
      </c>
      <c r="I11" s="51" t="s">
        <v>30</v>
      </c>
      <c r="J11" s="52">
        <v>1.3012</v>
      </c>
      <c r="K11" s="52">
        <v>1.3008</v>
      </c>
      <c r="L11" s="52">
        <v>1.3034</v>
      </c>
      <c r="M11" s="52">
        <v>1.3005</v>
      </c>
      <c r="N11" s="52">
        <v>1.3035</v>
      </c>
      <c r="O11" s="52">
        <v>1.3006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6">IF(J11="","",IF(J11&gt;($D11+$E11),(J11-$D11-$E11),IF(J11&lt;($D11+$F11),(J11-$D11-$F11),"√")))</f>
        <v>√</v>
      </c>
      <c r="AA11" s="53" t="str">
        <f t="shared" si="6"/>
        <v>√</v>
      </c>
      <c r="AB11" s="53" t="str">
        <f t="shared" si="6"/>
        <v>√</v>
      </c>
      <c r="AC11" s="53" t="str">
        <f t="shared" si="6"/>
        <v>√</v>
      </c>
      <c r="AD11" s="53" t="str">
        <f t="shared" si="6"/>
        <v>√</v>
      </c>
      <c r="AE11" s="53" t="str">
        <f t="shared" si="6"/>
        <v>√</v>
      </c>
      <c r="AF11" s="53" t="str">
        <f t="shared" si="6"/>
        <v/>
      </c>
      <c r="AG11" s="53" t="str">
        <f t="shared" si="6"/>
        <v/>
      </c>
      <c r="AH11" s="53" t="str">
        <f t="shared" si="6"/>
        <v/>
      </c>
      <c r="AI11" s="53" t="str">
        <f t="shared" si="6"/>
        <v/>
      </c>
      <c r="AJ11" s="53" t="str">
        <f t="shared" si="6"/>
        <v/>
      </c>
      <c r="AK11" s="53" t="str">
        <f t="shared" si="6"/>
        <v/>
      </c>
      <c r="AL11" s="53" t="str">
        <f t="shared" si="6"/>
        <v/>
      </c>
      <c r="AM11" s="53" t="str">
        <f t="shared" si="6"/>
        <v/>
      </c>
      <c r="AN11" s="53" t="str">
        <f t="shared" si="6"/>
        <v/>
      </c>
      <c r="AO11" s="53" t="str">
        <f t="shared" si="6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si="1"/>
        <v>1.35</v>
      </c>
      <c r="H12" s="51">
        <f t="shared" si="2"/>
        <v>1.29</v>
      </c>
      <c r="I12" s="51" t="s">
        <v>30</v>
      </c>
      <c r="J12" s="52">
        <v>1.3054</v>
      </c>
      <c r="K12" s="52">
        <v>1.3075</v>
      </c>
      <c r="L12" s="52">
        <v>1.3118</v>
      </c>
      <c r="M12" s="52">
        <v>1.3131</v>
      </c>
      <c r="N12" s="52">
        <v>1.3105</v>
      </c>
      <c r="O12" s="52">
        <v>1.3112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>√</v>
      </c>
      <c r="AE12" s="53" t="str">
        <f t="shared" si="7"/>
        <v>√</v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1"/>
        <v>2.485</v>
      </c>
      <c r="H13" s="51">
        <f t="shared" si="2"/>
        <v>2.425</v>
      </c>
      <c r="I13" s="51" t="s">
        <v>30</v>
      </c>
      <c r="J13" s="52">
        <v>2.4774</v>
      </c>
      <c r="K13" s="52">
        <v>2.482</v>
      </c>
      <c r="L13" s="52">
        <v>2.4534</v>
      </c>
      <c r="M13" s="52">
        <v>2.4841</v>
      </c>
      <c r="N13" s="52">
        <v>2.4531</v>
      </c>
      <c r="O13" s="52">
        <v>2.4539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>√</v>
      </c>
      <c r="AE13" s="53" t="str">
        <f t="shared" si="8"/>
        <v>√</v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1"/>
        <v>2.96</v>
      </c>
      <c r="H14" s="51">
        <f t="shared" si="2"/>
        <v>2.86</v>
      </c>
      <c r="I14" s="51" t="s">
        <v>30</v>
      </c>
      <c r="J14" s="52">
        <v>2.8891</v>
      </c>
      <c r="K14" s="52">
        <v>2.8923</v>
      </c>
      <c r="L14" s="52">
        <v>2.8929</v>
      </c>
      <c r="M14" s="52">
        <v>2.8952</v>
      </c>
      <c r="N14" s="52">
        <v>2.8897</v>
      </c>
      <c r="O14" s="52">
        <v>2.8951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>√</v>
      </c>
      <c r="AE14" s="53" t="str">
        <f t="shared" si="9"/>
        <v>√</v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1"/>
        <v>1.96</v>
      </c>
      <c r="H15" s="51">
        <f t="shared" si="2"/>
        <v>1.9</v>
      </c>
      <c r="I15" s="51" t="s">
        <v>30</v>
      </c>
      <c r="J15" s="52">
        <v>1.9407</v>
      </c>
      <c r="K15" s="52">
        <v>1.9402</v>
      </c>
      <c r="L15" s="52">
        <v>1.9393</v>
      </c>
      <c r="M15" s="52">
        <v>1.94</v>
      </c>
      <c r="N15" s="52">
        <v>1.9401</v>
      </c>
      <c r="O15" s="52">
        <v>1.9409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>√</v>
      </c>
      <c r="AE15" s="53" t="str">
        <f t="shared" si="10"/>
        <v>√</v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1"/>
        <v>2.19</v>
      </c>
      <c r="H16" s="51">
        <f t="shared" si="2"/>
        <v>2.09</v>
      </c>
      <c r="I16" s="51" t="s">
        <v>30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/>
      </c>
      <c r="AA16" s="53" t="str">
        <f t="shared" si="11"/>
        <v/>
      </c>
      <c r="AB16" s="53" t="str">
        <f t="shared" si="11"/>
        <v/>
      </c>
      <c r="AC16" s="53" t="str">
        <f t="shared" si="11"/>
        <v/>
      </c>
      <c r="AD16" s="53" t="str">
        <f t="shared" si="11"/>
        <v/>
      </c>
      <c r="AE16" s="53" t="str">
        <f t="shared" si="11"/>
        <v/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1"/>
        <v>2.19</v>
      </c>
      <c r="H17" s="51">
        <f t="shared" si="2"/>
        <v>2.09</v>
      </c>
      <c r="I17" s="51" t="s">
        <v>30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/>
      </c>
      <c r="AA17" s="53" t="str">
        <f t="shared" si="12"/>
        <v/>
      </c>
      <c r="AB17" s="53" t="str">
        <f t="shared" si="12"/>
        <v/>
      </c>
      <c r="AC17" s="53" t="str">
        <f t="shared" si="12"/>
        <v/>
      </c>
      <c r="AD17" s="53" t="str">
        <f t="shared" si="12"/>
        <v/>
      </c>
      <c r="AE17" s="53" t="str">
        <f t="shared" si="12"/>
        <v/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1"/>
        <v>5.405</v>
      </c>
      <c r="H18" s="51">
        <f t="shared" si="2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1"/>
        <v>2.15</v>
      </c>
      <c r="H19" s="51">
        <f t="shared" si="2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1"/>
        <v>2.15</v>
      </c>
      <c r="H20" s="51">
        <f t="shared" si="2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1"/>
        <v>0.51</v>
      </c>
      <c r="H21" s="51">
        <f t="shared" si="2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1"/>
        <v>0.51</v>
      </c>
      <c r="H22" s="51">
        <f t="shared" si="2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1"/>
        <v>1.08</v>
      </c>
      <c r="H23" s="51">
        <f t="shared" si="2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1"/>
        <v>0.75</v>
      </c>
      <c r="H24" s="51">
        <f t="shared" si="2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1"/>
        <v>0.35</v>
      </c>
      <c r="H25" s="51">
        <f t="shared" si="2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1"/>
        <v>0.33</v>
      </c>
      <c r="H26" s="51">
        <f t="shared" si="2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si="1"/>
        <v>0.094</v>
      </c>
      <c r="H27" s="51">
        <f t="shared" si="2"/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2">IF(J27="","",IF(J27&gt;($D27+$E27),(J27-$D27-$E27),IF(J27&lt;($D27+$F27),(J27-$D27-$F27),"√")))</f>
        <v/>
      </c>
      <c r="AA27" s="53" t="str">
        <f t="shared" si="22"/>
        <v/>
      </c>
      <c r="AB27" s="53" t="str">
        <f t="shared" si="22"/>
        <v/>
      </c>
      <c r="AC27" s="53" t="str">
        <f t="shared" si="22"/>
        <v/>
      </c>
      <c r="AD27" s="53" t="str">
        <f t="shared" si="22"/>
        <v/>
      </c>
      <c r="AE27" s="53" t="str">
        <f t="shared" si="22"/>
        <v/>
      </c>
      <c r="AF27" s="53" t="str">
        <f t="shared" si="22"/>
        <v/>
      </c>
      <c r="AG27" s="53" t="str">
        <f t="shared" si="22"/>
        <v/>
      </c>
      <c r="AH27" s="53" t="str">
        <f t="shared" si="22"/>
        <v/>
      </c>
      <c r="AI27" s="53" t="str">
        <f t="shared" si="22"/>
        <v/>
      </c>
      <c r="AJ27" s="53" t="str">
        <f t="shared" si="22"/>
        <v/>
      </c>
      <c r="AK27" s="53" t="str">
        <f t="shared" si="22"/>
        <v/>
      </c>
      <c r="AL27" s="53" t="str">
        <f t="shared" si="22"/>
        <v/>
      </c>
      <c r="AM27" s="53" t="str">
        <f t="shared" si="22"/>
        <v/>
      </c>
      <c r="AN27" s="53" t="str">
        <f t="shared" si="22"/>
        <v/>
      </c>
      <c r="AO27" s="53" t="str">
        <f t="shared" si="22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1"/>
        <v>0.63</v>
      </c>
      <c r="H28" s="51">
        <f t="shared" si="2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3">IF(J28="","",IF(J28&gt;($D28+$E28),(J28-$D28-$E28),IF(J28&lt;($D28+$F28),(J28-$D28-$F28),"√")))</f>
        <v/>
      </c>
      <c r="AA28" s="53" t="str">
        <f t="shared" si="23"/>
        <v/>
      </c>
      <c r="AB28" s="53" t="str">
        <f t="shared" si="23"/>
        <v/>
      </c>
      <c r="AC28" s="53" t="str">
        <f t="shared" si="23"/>
        <v/>
      </c>
      <c r="AD28" s="53" t="str">
        <f t="shared" si="23"/>
        <v/>
      </c>
      <c r="AE28" s="53" t="str">
        <f t="shared" si="23"/>
        <v/>
      </c>
      <c r="AF28" s="53" t="str">
        <f t="shared" si="23"/>
        <v/>
      </c>
      <c r="AG28" s="53" t="str">
        <f t="shared" si="23"/>
        <v/>
      </c>
      <c r="AH28" s="53" t="str">
        <f t="shared" si="23"/>
        <v/>
      </c>
      <c r="AI28" s="53" t="str">
        <f t="shared" si="23"/>
        <v/>
      </c>
      <c r="AJ28" s="53" t="str">
        <f t="shared" si="23"/>
        <v/>
      </c>
      <c r="AK28" s="53" t="str">
        <f t="shared" si="23"/>
        <v/>
      </c>
      <c r="AL28" s="53" t="str">
        <f t="shared" si="23"/>
        <v/>
      </c>
      <c r="AM28" s="53" t="str">
        <f t="shared" si="23"/>
        <v/>
      </c>
      <c r="AN28" s="53" t="str">
        <f t="shared" si="23"/>
        <v/>
      </c>
      <c r="AO28" s="53" t="str">
        <f t="shared" si="23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1"/>
        <v>0.025</v>
      </c>
      <c r="H29" s="51">
        <f t="shared" si="2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4">IF(J29="","",IF(J29&gt;($D29+$E29),(J29-$D29-$E29),IF(J29&lt;($D29+$F29),(J29-$D29-$F29),"√")))</f>
        <v/>
      </c>
      <c r="AA29" s="53" t="str">
        <f t="shared" si="24"/>
        <v/>
      </c>
      <c r="AB29" s="53" t="str">
        <f t="shared" si="24"/>
        <v/>
      </c>
      <c r="AC29" s="53" t="str">
        <f t="shared" si="24"/>
        <v/>
      </c>
      <c r="AD29" s="53" t="str">
        <f t="shared" si="24"/>
        <v/>
      </c>
      <c r="AE29" s="53" t="str">
        <f t="shared" si="24"/>
        <v/>
      </c>
      <c r="AF29" s="53" t="str">
        <f t="shared" si="24"/>
        <v/>
      </c>
      <c r="AG29" s="53" t="str">
        <f t="shared" si="24"/>
        <v/>
      </c>
      <c r="AH29" s="53" t="str">
        <f t="shared" si="24"/>
        <v/>
      </c>
      <c r="AI29" s="53" t="str">
        <f t="shared" si="24"/>
        <v/>
      </c>
      <c r="AJ29" s="53" t="str">
        <f t="shared" si="24"/>
        <v/>
      </c>
      <c r="AK29" s="53" t="str">
        <f t="shared" si="24"/>
        <v/>
      </c>
      <c r="AL29" s="53" t="str">
        <f t="shared" si="24"/>
        <v/>
      </c>
      <c r="AM29" s="53" t="str">
        <f t="shared" si="24"/>
        <v/>
      </c>
      <c r="AN29" s="53" t="str">
        <f t="shared" si="24"/>
        <v/>
      </c>
      <c r="AO29" s="53" t="str">
        <f t="shared" si="24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1"/>
        <v>3.34</v>
      </c>
      <c r="H30" s="51">
        <f t="shared" si="2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5">IF(J30="","",IF(J30&gt;($D30+$E30),(J30-$D30-$E30),IF(J30&lt;($D30+$F30),(J30-$D30-$F30),"√")))</f>
        <v/>
      </c>
      <c r="AA30" s="53" t="str">
        <f t="shared" si="25"/>
        <v/>
      </c>
      <c r="AB30" s="53" t="str">
        <f t="shared" si="25"/>
        <v/>
      </c>
      <c r="AC30" s="53" t="str">
        <f t="shared" si="25"/>
        <v/>
      </c>
      <c r="AD30" s="53" t="str">
        <f t="shared" si="25"/>
        <v/>
      </c>
      <c r="AE30" s="53" t="str">
        <f t="shared" si="25"/>
        <v/>
      </c>
      <c r="AF30" s="53" t="str">
        <f t="shared" si="25"/>
        <v/>
      </c>
      <c r="AG30" s="53" t="str">
        <f t="shared" si="25"/>
        <v/>
      </c>
      <c r="AH30" s="53" t="str">
        <f t="shared" si="25"/>
        <v/>
      </c>
      <c r="AI30" s="53" t="str">
        <f t="shared" si="25"/>
        <v/>
      </c>
      <c r="AJ30" s="53" t="str">
        <f t="shared" si="25"/>
        <v/>
      </c>
      <c r="AK30" s="53" t="str">
        <f t="shared" si="25"/>
        <v/>
      </c>
      <c r="AL30" s="53" t="str">
        <f t="shared" si="25"/>
        <v/>
      </c>
      <c r="AM30" s="53" t="str">
        <f t="shared" si="25"/>
        <v/>
      </c>
      <c r="AN30" s="53" t="str">
        <f t="shared" si="25"/>
        <v/>
      </c>
      <c r="AO30" s="53" t="str">
        <f t="shared" si="25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1"/>
        <v>0.03</v>
      </c>
      <c r="H31" s="51">
        <f t="shared" si="2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6">IF(J31="","",IF(J31&gt;($D31+$E31),(J31-$D31-$E31),IF(J31&lt;($D31+$F31),(J31-$D31-$F31),"√")))</f>
        <v/>
      </c>
      <c r="AA31" s="53" t="str">
        <f t="shared" si="26"/>
        <v/>
      </c>
      <c r="AB31" s="53" t="str">
        <f t="shared" si="26"/>
        <v/>
      </c>
      <c r="AC31" s="53" t="str">
        <f t="shared" si="26"/>
        <v/>
      </c>
      <c r="AD31" s="53" t="str">
        <f t="shared" si="26"/>
        <v/>
      </c>
      <c r="AE31" s="53" t="str">
        <f t="shared" si="26"/>
        <v/>
      </c>
      <c r="AF31" s="53" t="str">
        <f t="shared" si="26"/>
        <v/>
      </c>
      <c r="AG31" s="53" t="str">
        <f t="shared" si="26"/>
        <v/>
      </c>
      <c r="AH31" s="53" t="str">
        <f t="shared" si="26"/>
        <v/>
      </c>
      <c r="AI31" s="53" t="str">
        <f t="shared" si="26"/>
        <v/>
      </c>
      <c r="AJ31" s="53" t="str">
        <f t="shared" si="26"/>
        <v/>
      </c>
      <c r="AK31" s="53" t="str">
        <f t="shared" si="26"/>
        <v/>
      </c>
      <c r="AL31" s="53" t="str">
        <f t="shared" si="26"/>
        <v/>
      </c>
      <c r="AM31" s="53" t="str">
        <f t="shared" si="26"/>
        <v/>
      </c>
      <c r="AN31" s="53" t="str">
        <f t="shared" si="26"/>
        <v/>
      </c>
      <c r="AO31" s="53" t="str">
        <f t="shared" si="26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 t="shared" ref="G40:G44" si="27">D40+E40</f>
        <v>0.08</v>
      </c>
      <c r="H40" s="51">
        <f t="shared" ref="H40:H44" si="28"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 t="shared" si="27"/>
        <v>0.08</v>
      </c>
      <c r="H43" s="51">
        <f t="shared" si="28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 t="shared" si="27"/>
        <v>0.03</v>
      </c>
      <c r="H44" s="51">
        <f t="shared" si="28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 t="shared" ref="G83:G85" si="38">D83+E83</f>
        <v>0.93</v>
      </c>
      <c r="H83" s="51">
        <f t="shared" ref="H83:H85" si="39"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40">IF(J83="","",IF(J83&gt;($D83+$E83),(J83-$D83-$E83),IF(J83&lt;($D83+$F83),(J83-$D83-$F83),"√")))</f>
        <v/>
      </c>
      <c r="AA83" s="53" t="str">
        <f t="shared" si="40"/>
        <v/>
      </c>
      <c r="AB83" s="53" t="str">
        <f t="shared" si="40"/>
        <v/>
      </c>
      <c r="AC83" s="53" t="str">
        <f t="shared" si="40"/>
        <v/>
      </c>
      <c r="AD83" s="53" t="str">
        <f t="shared" si="40"/>
        <v/>
      </c>
      <c r="AE83" s="53" t="str">
        <f t="shared" si="40"/>
        <v/>
      </c>
      <c r="AF83" s="53" t="str">
        <f t="shared" si="40"/>
        <v/>
      </c>
      <c r="AG83" s="53" t="str">
        <f t="shared" si="40"/>
        <v/>
      </c>
      <c r="AH83" s="53" t="str">
        <f t="shared" si="40"/>
        <v/>
      </c>
      <c r="AI83" s="53" t="str">
        <f t="shared" si="40"/>
        <v/>
      </c>
      <c r="AJ83" s="53" t="str">
        <f t="shared" si="40"/>
        <v/>
      </c>
      <c r="AK83" s="53" t="str">
        <f t="shared" si="40"/>
        <v/>
      </c>
      <c r="AL83" s="53" t="str">
        <f t="shared" si="40"/>
        <v/>
      </c>
      <c r="AM83" s="53" t="str">
        <f t="shared" si="40"/>
        <v/>
      </c>
      <c r="AN83" s="53" t="str">
        <f t="shared" si="40"/>
        <v/>
      </c>
      <c r="AO83" s="53" t="str">
        <f t="shared" si="40"/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 t="shared" si="38"/>
        <v>0.64</v>
      </c>
      <c r="H84" s="51">
        <f t="shared" si="39"/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AO84" si="41">IF(J84="","",IF(J84&gt;($D84+$E84),(J84-$D84-$E84),IF(J84&lt;($D84+$F84),(J84-$D84-$F84),"√")))</f>
        <v/>
      </c>
      <c r="AA84" s="53" t="str">
        <f t="shared" si="41"/>
        <v/>
      </c>
      <c r="AB84" s="53" t="str">
        <f t="shared" si="41"/>
        <v/>
      </c>
      <c r="AC84" s="53" t="str">
        <f t="shared" si="41"/>
        <v/>
      </c>
      <c r="AD84" s="53" t="str">
        <f t="shared" si="41"/>
        <v/>
      </c>
      <c r="AE84" s="53" t="str">
        <f t="shared" si="41"/>
        <v/>
      </c>
      <c r="AF84" s="53" t="str">
        <f t="shared" si="41"/>
        <v/>
      </c>
      <c r="AG84" s="53" t="str">
        <f t="shared" si="41"/>
        <v/>
      </c>
      <c r="AH84" s="53" t="str">
        <f t="shared" si="41"/>
        <v/>
      </c>
      <c r="AI84" s="53" t="str">
        <f t="shared" si="41"/>
        <v/>
      </c>
      <c r="AJ84" s="53" t="str">
        <f t="shared" si="41"/>
        <v/>
      </c>
      <c r="AK84" s="53" t="str">
        <f t="shared" si="41"/>
        <v/>
      </c>
      <c r="AL84" s="53" t="str">
        <f t="shared" si="41"/>
        <v/>
      </c>
      <c r="AM84" s="53" t="str">
        <f t="shared" si="41"/>
        <v/>
      </c>
      <c r="AN84" s="53" t="str">
        <f t="shared" si="41"/>
        <v/>
      </c>
      <c r="AO84" s="53" t="str">
        <f t="shared" si="41"/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 t="shared" si="38"/>
        <v>0.64</v>
      </c>
      <c r="H85" s="51">
        <f t="shared" si="39"/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:AO85" si="42">IF(J85="","",IF(J85&gt;($D85+$E85),(J85-$D85-$E85),IF(J85&lt;($D85+$F85),(J85-$D85-$F85),"√")))</f>
        <v/>
      </c>
      <c r="AA85" s="53" t="str">
        <f t="shared" si="42"/>
        <v/>
      </c>
      <c r="AB85" s="53" t="str">
        <f t="shared" si="42"/>
        <v/>
      </c>
      <c r="AC85" s="53" t="str">
        <f t="shared" si="42"/>
        <v/>
      </c>
      <c r="AD85" s="53" t="str">
        <f t="shared" si="42"/>
        <v/>
      </c>
      <c r="AE85" s="53" t="str">
        <f t="shared" si="42"/>
        <v/>
      </c>
      <c r="AF85" s="53" t="str">
        <f t="shared" si="42"/>
        <v/>
      </c>
      <c r="AG85" s="53" t="str">
        <f t="shared" si="42"/>
        <v/>
      </c>
      <c r="AH85" s="53" t="str">
        <f t="shared" si="42"/>
        <v/>
      </c>
      <c r="AI85" s="53" t="str">
        <f t="shared" si="42"/>
        <v/>
      </c>
      <c r="AJ85" s="53" t="str">
        <f t="shared" si="42"/>
        <v/>
      </c>
      <c r="AK85" s="53" t="str">
        <f t="shared" si="42"/>
        <v/>
      </c>
      <c r="AL85" s="53" t="str">
        <f t="shared" si="42"/>
        <v/>
      </c>
      <c r="AM85" s="53" t="str">
        <f t="shared" si="42"/>
        <v/>
      </c>
      <c r="AN85" s="53" t="str">
        <f t="shared" si="42"/>
        <v/>
      </c>
      <c r="AO85" s="53" t="str">
        <f t="shared" si="42"/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ref="Z86:AO86" si="43">IF(J86="","",IF(J86&gt;($D86+$E86),(J86-$D86-$E86),IF(J86&lt;($D86+$F86),(J86-$D86-$F86),"√")))</f>
        <v/>
      </c>
      <c r="AA86" s="53" t="str">
        <f t="shared" si="43"/>
        <v/>
      </c>
      <c r="AB86" s="53" t="str">
        <f t="shared" si="43"/>
        <v/>
      </c>
      <c r="AC86" s="53" t="str">
        <f t="shared" si="43"/>
        <v/>
      </c>
      <c r="AD86" s="53" t="str">
        <f t="shared" si="43"/>
        <v/>
      </c>
      <c r="AE86" s="53" t="str">
        <f t="shared" si="43"/>
        <v/>
      </c>
      <c r="AF86" s="53" t="str">
        <f t="shared" si="43"/>
        <v/>
      </c>
      <c r="AG86" s="53" t="str">
        <f t="shared" si="43"/>
        <v/>
      </c>
      <c r="AH86" s="53" t="str">
        <f t="shared" si="43"/>
        <v/>
      </c>
      <c r="AI86" s="53" t="str">
        <f t="shared" si="43"/>
        <v/>
      </c>
      <c r="AJ86" s="53" t="str">
        <f t="shared" si="43"/>
        <v/>
      </c>
      <c r="AK86" s="53" t="str">
        <f t="shared" si="43"/>
        <v/>
      </c>
      <c r="AL86" s="53" t="str">
        <f t="shared" si="43"/>
        <v/>
      </c>
      <c r="AM86" s="53" t="str">
        <f t="shared" si="43"/>
        <v/>
      </c>
      <c r="AN86" s="53" t="str">
        <f t="shared" si="43"/>
        <v/>
      </c>
      <c r="AO86" s="53" t="str">
        <f t="shared" si="4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29:Y29">
    <cfRule type="cellIs" dxfId="0" priority="5" operator="notBetween">
      <formula>$G29</formula>
      <formula>$H29</formula>
    </cfRule>
  </conditionalFormatting>
  <conditionalFormatting sqref="J30:Y30">
    <cfRule type="cellIs" dxfId="0" priority="6" operator="notBetween">
      <formula>$G30</formula>
      <formula>$H30</formula>
    </cfRule>
  </conditionalFormatting>
  <conditionalFormatting sqref="J53:Y53">
    <cfRule type="cellIs" dxfId="0" priority="12" operator="notBetween">
      <formula>$G53</formula>
      <formula>$H53</formula>
    </cfRule>
  </conditionalFormatting>
  <conditionalFormatting sqref="J57:Y57">
    <cfRule type="cellIs" dxfId="0" priority="11" operator="notBetween">
      <formula>$G57</formula>
      <formula>$H57</formula>
    </cfRule>
  </conditionalFormatting>
  <conditionalFormatting sqref="J61:Y61">
    <cfRule type="cellIs" dxfId="0" priority="10" operator="notBetween">
      <formula>$G61</formula>
      <formula>$H61</formula>
    </cfRule>
  </conditionalFormatting>
  <conditionalFormatting sqref="J65:Y65">
    <cfRule type="cellIs" dxfId="0" priority="9" operator="notBetween">
      <formula>$G65</formula>
      <formula>$H65</formula>
    </cfRule>
  </conditionalFormatting>
  <conditionalFormatting sqref="J69:Y69">
    <cfRule type="cellIs" dxfId="0" priority="8" operator="notBetween">
      <formula>$G69</formula>
      <formula>$H69</formula>
    </cfRule>
  </conditionalFormatting>
  <conditionalFormatting sqref="J76:Y76">
    <cfRule type="cellIs" dxfId="0" priority="7" operator="notBetween">
      <formula>$G76</formula>
      <formula>$H76</formula>
    </cfRule>
  </conditionalFormatting>
  <conditionalFormatting sqref="J83:Y83">
    <cfRule type="cellIs" dxfId="0" priority="4" operator="notBetween">
      <formula>$G83</formula>
      <formula>$H83</formula>
    </cfRule>
  </conditionalFormatting>
  <conditionalFormatting sqref="J84:Y84">
    <cfRule type="cellIs" dxfId="0" priority="3" operator="notBetween">
      <formula>$G84</formula>
      <formula>$H84</formula>
    </cfRule>
  </conditionalFormatting>
  <conditionalFormatting sqref="J85:Y85">
    <cfRule type="cellIs" dxfId="0" priority="1" operator="notBetween">
      <formula>$G85</formula>
      <formula>$H85</formula>
    </cfRule>
  </conditionalFormatting>
  <conditionalFormatting sqref="J86:Y86">
    <cfRule type="cellIs" dxfId="0" priority="2" operator="notBetween">
      <formula>$G86</formula>
      <formula>$H86</formula>
    </cfRule>
  </conditionalFormatting>
  <conditionalFormatting sqref="J8:Y28">
    <cfRule type="cellIs" dxfId="0" priority="14" operator="notBetween">
      <formula>$G8</formula>
      <formula>$H8</formula>
    </cfRule>
  </conditionalFormatting>
  <conditionalFormatting sqref="J31:Y31 J40:Y40 J43:Y44">
    <cfRule type="cellIs" dxfId="0" priority="13" operator="notBetween">
      <formula>$G31</formula>
      <formula>$H31</formula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6"/>
  <sheetViews>
    <sheetView topLeftCell="R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>
        <f t="shared" si="0"/>
        <v>5</v>
      </c>
      <c r="AE7" s="47">
        <f t="shared" si="0"/>
        <v>6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 t="shared" ref="G8:G31" si="1">D8+E8</f>
        <v>3.78</v>
      </c>
      <c r="H8" s="51">
        <f t="shared" ref="H8:H31" si="2">D8+F8</f>
        <v>3.68</v>
      </c>
      <c r="I8" s="51" t="s">
        <v>30</v>
      </c>
      <c r="J8" s="52">
        <v>3.7207</v>
      </c>
      <c r="K8" s="52">
        <v>3.7174</v>
      </c>
      <c r="L8" s="52">
        <v>3.7183</v>
      </c>
      <c r="M8" s="52">
        <v>3.7286</v>
      </c>
      <c r="N8" s="52">
        <v>3.7254</v>
      </c>
      <c r="O8" s="52">
        <v>3.7187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3">IF(J8="","",IF(J8&gt;($D8+$E8),(J8-$D8-$E8),IF(J8&lt;($D8+$F8),(J8-$D8-$F8),"√")))</f>
        <v>√</v>
      </c>
      <c r="AA8" s="53" t="str">
        <f t="shared" si="3"/>
        <v>√</v>
      </c>
      <c r="AB8" s="53" t="str">
        <f t="shared" si="3"/>
        <v>√</v>
      </c>
      <c r="AC8" s="53" t="str">
        <f t="shared" si="3"/>
        <v>√</v>
      </c>
      <c r="AD8" s="53" t="str">
        <f t="shared" si="3"/>
        <v>√</v>
      </c>
      <c r="AE8" s="53" t="str">
        <f t="shared" si="3"/>
        <v>√</v>
      </c>
      <c r="AF8" s="53" t="str">
        <f t="shared" si="3"/>
        <v/>
      </c>
      <c r="AG8" s="53" t="str">
        <f t="shared" si="3"/>
        <v/>
      </c>
      <c r="AH8" s="53" t="str">
        <f t="shared" si="3"/>
        <v/>
      </c>
      <c r="AI8" s="53" t="str">
        <f t="shared" si="3"/>
        <v/>
      </c>
      <c r="AJ8" s="53" t="str">
        <f t="shared" si="3"/>
        <v/>
      </c>
      <c r="AK8" s="53" t="str">
        <f t="shared" si="3"/>
        <v/>
      </c>
      <c r="AL8" s="53" t="str">
        <f t="shared" si="3"/>
        <v/>
      </c>
      <c r="AM8" s="53" t="str">
        <f t="shared" si="3"/>
        <v/>
      </c>
      <c r="AN8" s="53" t="str">
        <f t="shared" si="3"/>
        <v/>
      </c>
      <c r="AO8" s="53" t="str">
        <f t="shared" si="3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 t="shared" si="1"/>
        <v>1.98</v>
      </c>
      <c r="H9" s="51">
        <f t="shared" si="2"/>
        <v>1.88</v>
      </c>
      <c r="I9" s="51" t="s">
        <v>30</v>
      </c>
      <c r="J9" s="52">
        <v>1.931</v>
      </c>
      <c r="K9" s="52">
        <v>1.9303</v>
      </c>
      <c r="L9" s="52">
        <v>1.9315</v>
      </c>
      <c r="M9" s="52">
        <v>1.9289</v>
      </c>
      <c r="N9" s="52">
        <v>1.9391</v>
      </c>
      <c r="O9" s="52">
        <v>1.933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4">IF(J9="","",IF(J9&gt;($D9+$E9),(J9-$D9-$E9),IF(J9&lt;($D9+$F9),(J9-$D9-$F9),"√")))</f>
        <v>√</v>
      </c>
      <c r="AA9" s="53" t="str">
        <f t="shared" si="4"/>
        <v>√</v>
      </c>
      <c r="AB9" s="53" t="str">
        <f t="shared" si="4"/>
        <v>√</v>
      </c>
      <c r="AC9" s="53" t="str">
        <f t="shared" si="4"/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/>
      </c>
      <c r="AG9" s="53" t="str">
        <f t="shared" si="4"/>
        <v/>
      </c>
      <c r="AH9" s="53" t="str">
        <f t="shared" si="4"/>
        <v/>
      </c>
      <c r="AI9" s="53" t="str">
        <f t="shared" si="4"/>
        <v/>
      </c>
      <c r="AJ9" s="53" t="str">
        <f t="shared" si="4"/>
        <v/>
      </c>
      <c r="AK9" s="53" t="str">
        <f t="shared" si="4"/>
        <v/>
      </c>
      <c r="AL9" s="53" t="str">
        <f t="shared" si="4"/>
        <v/>
      </c>
      <c r="AM9" s="53" t="str">
        <f t="shared" si="4"/>
        <v/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 t="shared" si="1"/>
        <v>1.98</v>
      </c>
      <c r="H10" s="51">
        <f t="shared" si="2"/>
        <v>1.88</v>
      </c>
      <c r="I10" s="51" t="s">
        <v>30</v>
      </c>
      <c r="J10" s="52">
        <v>1.9524</v>
      </c>
      <c r="K10" s="52">
        <v>1.9534</v>
      </c>
      <c r="L10" s="52">
        <v>1.9515</v>
      </c>
      <c r="M10" s="52">
        <v>1.951</v>
      </c>
      <c r="N10" s="52">
        <v>1.9732</v>
      </c>
      <c r="O10" s="52">
        <v>1.9528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/>
      </c>
      <c r="AG10" s="53" t="str">
        <f t="shared" si="5"/>
        <v/>
      </c>
      <c r="AH10" s="53" t="str">
        <f t="shared" si="5"/>
        <v/>
      </c>
      <c r="AI10" s="53" t="str">
        <f t="shared" si="5"/>
        <v/>
      </c>
      <c r="AJ10" s="53" t="str">
        <f t="shared" si="5"/>
        <v/>
      </c>
      <c r="AK10" s="53" t="str">
        <f t="shared" si="5"/>
        <v/>
      </c>
      <c r="AL10" s="53" t="str">
        <f t="shared" si="5"/>
        <v/>
      </c>
      <c r="AM10" s="53" t="str">
        <f t="shared" si="5"/>
        <v/>
      </c>
      <c r="AN10" s="53" t="str">
        <f t="shared" si="5"/>
        <v/>
      </c>
      <c r="AO10" s="53" t="str">
        <f t="shared" si="5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 t="shared" si="1"/>
        <v>1.35</v>
      </c>
      <c r="H11" s="51">
        <f t="shared" si="2"/>
        <v>1.29</v>
      </c>
      <c r="I11" s="51" t="s">
        <v>30</v>
      </c>
      <c r="J11" s="52">
        <v>1.3072</v>
      </c>
      <c r="K11" s="52">
        <v>1.3083</v>
      </c>
      <c r="L11" s="52">
        <v>1.3065</v>
      </c>
      <c r="M11" s="52">
        <v>1.3071</v>
      </c>
      <c r="N11" s="52">
        <v>1.3033</v>
      </c>
      <c r="O11" s="52">
        <v>1.305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6">IF(J11="","",IF(J11&gt;($D11+$E11),(J11-$D11-$E11),IF(J11&lt;($D11+$F11),(J11-$D11-$F11),"√")))</f>
        <v>√</v>
      </c>
      <c r="AA11" s="53" t="str">
        <f t="shared" si="6"/>
        <v>√</v>
      </c>
      <c r="AB11" s="53" t="str">
        <f t="shared" si="6"/>
        <v>√</v>
      </c>
      <c r="AC11" s="53" t="str">
        <f t="shared" si="6"/>
        <v>√</v>
      </c>
      <c r="AD11" s="53" t="str">
        <f t="shared" si="6"/>
        <v>√</v>
      </c>
      <c r="AE11" s="53" t="str">
        <f t="shared" si="6"/>
        <v>√</v>
      </c>
      <c r="AF11" s="53" t="str">
        <f t="shared" si="6"/>
        <v/>
      </c>
      <c r="AG11" s="53" t="str">
        <f t="shared" si="6"/>
        <v/>
      </c>
      <c r="AH11" s="53" t="str">
        <f t="shared" si="6"/>
        <v/>
      </c>
      <c r="AI11" s="53" t="str">
        <f t="shared" si="6"/>
        <v/>
      </c>
      <c r="AJ11" s="53" t="str">
        <f t="shared" si="6"/>
        <v/>
      </c>
      <c r="AK11" s="53" t="str">
        <f t="shared" si="6"/>
        <v/>
      </c>
      <c r="AL11" s="53" t="str">
        <f t="shared" si="6"/>
        <v/>
      </c>
      <c r="AM11" s="53" t="str">
        <f t="shared" si="6"/>
        <v/>
      </c>
      <c r="AN11" s="53" t="str">
        <f t="shared" si="6"/>
        <v/>
      </c>
      <c r="AO11" s="53" t="str">
        <f t="shared" si="6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si="1"/>
        <v>1.35</v>
      </c>
      <c r="H12" s="51">
        <f t="shared" si="2"/>
        <v>1.29</v>
      </c>
      <c r="I12" s="51" t="s">
        <v>30</v>
      </c>
      <c r="J12" s="52">
        <v>1.3185</v>
      </c>
      <c r="K12" s="52">
        <v>1.3085</v>
      </c>
      <c r="L12" s="52">
        <v>1.3117</v>
      </c>
      <c r="M12" s="52">
        <v>1.3156</v>
      </c>
      <c r="N12" s="52">
        <v>1.3147</v>
      </c>
      <c r="O12" s="52">
        <v>1.3128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>√</v>
      </c>
      <c r="AE12" s="53" t="str">
        <f t="shared" si="7"/>
        <v>√</v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1"/>
        <v>2.485</v>
      </c>
      <c r="H13" s="51">
        <f t="shared" si="2"/>
        <v>2.425</v>
      </c>
      <c r="I13" s="51" t="s">
        <v>30</v>
      </c>
      <c r="J13" s="52">
        <v>2.4774</v>
      </c>
      <c r="K13" s="52">
        <v>2.4766</v>
      </c>
      <c r="L13" s="52">
        <v>2.4824</v>
      </c>
      <c r="M13" s="52">
        <v>2.4586</v>
      </c>
      <c r="N13" s="52">
        <v>2.4832</v>
      </c>
      <c r="O13" s="52">
        <v>2.4812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>√</v>
      </c>
      <c r="AE13" s="53" t="str">
        <f t="shared" si="8"/>
        <v>√</v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1"/>
        <v>2.96</v>
      </c>
      <c r="H14" s="51">
        <f t="shared" si="2"/>
        <v>2.86</v>
      </c>
      <c r="I14" s="51" t="s">
        <v>30</v>
      </c>
      <c r="J14" s="52">
        <v>2.8882</v>
      </c>
      <c r="K14" s="52">
        <v>2.8862</v>
      </c>
      <c r="L14" s="52">
        <v>2.8875</v>
      </c>
      <c r="M14" s="52">
        <v>2.8909</v>
      </c>
      <c r="N14" s="52">
        <v>2.8878</v>
      </c>
      <c r="O14" s="52">
        <v>2.8872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>√</v>
      </c>
      <c r="AE14" s="53" t="str">
        <f t="shared" si="9"/>
        <v>√</v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1"/>
        <v>1.96</v>
      </c>
      <c r="H15" s="51">
        <f t="shared" si="2"/>
        <v>1.9</v>
      </c>
      <c r="I15" s="51" t="s">
        <v>30</v>
      </c>
      <c r="J15" s="52">
        <v>1.94</v>
      </c>
      <c r="K15" s="52">
        <v>1.94</v>
      </c>
      <c r="L15" s="52">
        <v>1.9397</v>
      </c>
      <c r="M15" s="52">
        <v>1.94</v>
      </c>
      <c r="N15" s="52">
        <v>1.941</v>
      </c>
      <c r="O15" s="52">
        <v>1.9399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>√</v>
      </c>
      <c r="AE15" s="53" t="str">
        <f t="shared" si="10"/>
        <v>√</v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1"/>
        <v>2.19</v>
      </c>
      <c r="H16" s="51">
        <f t="shared" si="2"/>
        <v>2.09</v>
      </c>
      <c r="I16" s="51" t="s">
        <v>30</v>
      </c>
      <c r="J16" s="52">
        <v>2.1612</v>
      </c>
      <c r="K16" s="52">
        <v>2.159</v>
      </c>
      <c r="L16" s="52">
        <v>2.1583</v>
      </c>
      <c r="M16" s="52">
        <v>2.1607</v>
      </c>
      <c r="N16" s="52">
        <v>2.1588</v>
      </c>
      <c r="O16" s="52">
        <v>2.16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>√</v>
      </c>
      <c r="AA16" s="53" t="str">
        <f t="shared" si="11"/>
        <v>√</v>
      </c>
      <c r="AB16" s="53" t="str">
        <f t="shared" si="11"/>
        <v>√</v>
      </c>
      <c r="AC16" s="53" t="str">
        <f t="shared" si="11"/>
        <v>√</v>
      </c>
      <c r="AD16" s="53" t="str">
        <f t="shared" si="11"/>
        <v>√</v>
      </c>
      <c r="AE16" s="53" t="str">
        <f t="shared" si="11"/>
        <v>√</v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1"/>
        <v>2.19</v>
      </c>
      <c r="H17" s="51">
        <f t="shared" si="2"/>
        <v>2.09</v>
      </c>
      <c r="I17" s="51" t="s">
        <v>30</v>
      </c>
      <c r="J17" s="52">
        <v>2.1675</v>
      </c>
      <c r="K17" s="52">
        <v>2.1674</v>
      </c>
      <c r="L17" s="52">
        <v>2.1693</v>
      </c>
      <c r="M17" s="52">
        <v>2.1678</v>
      </c>
      <c r="N17" s="52">
        <v>2.1689</v>
      </c>
      <c r="O17" s="52">
        <v>2.168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>√</v>
      </c>
      <c r="AA17" s="53" t="str">
        <f t="shared" si="12"/>
        <v>√</v>
      </c>
      <c r="AB17" s="53" t="str">
        <f t="shared" si="12"/>
        <v>√</v>
      </c>
      <c r="AC17" s="53" t="str">
        <f t="shared" si="12"/>
        <v>√</v>
      </c>
      <c r="AD17" s="53" t="str">
        <f t="shared" si="12"/>
        <v>√</v>
      </c>
      <c r="AE17" s="53" t="str">
        <f t="shared" si="12"/>
        <v>√</v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1"/>
        <v>5.405</v>
      </c>
      <c r="H18" s="51">
        <f t="shared" si="2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1"/>
        <v>2.15</v>
      </c>
      <c r="H19" s="51">
        <f t="shared" si="2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1"/>
        <v>2.15</v>
      </c>
      <c r="H20" s="51">
        <f t="shared" si="2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1"/>
        <v>0.51</v>
      </c>
      <c r="H21" s="51">
        <f t="shared" si="2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1"/>
        <v>0.51</v>
      </c>
      <c r="H22" s="51">
        <f t="shared" si="2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1"/>
        <v>1.08</v>
      </c>
      <c r="H23" s="51">
        <f t="shared" si="2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1"/>
        <v>0.75</v>
      </c>
      <c r="H24" s="51">
        <f t="shared" si="2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1"/>
        <v>0.35</v>
      </c>
      <c r="H25" s="51">
        <f t="shared" si="2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1"/>
        <v>0.33</v>
      </c>
      <c r="H26" s="51">
        <f t="shared" si="2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si="1"/>
        <v>0.094</v>
      </c>
      <c r="H27" s="51">
        <f t="shared" si="2"/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2">IF(J27="","",IF(J27&gt;($D27+$E27),(J27-$D27-$E27),IF(J27&lt;($D27+$F27),(J27-$D27-$F27),"√")))</f>
        <v/>
      </c>
      <c r="AA27" s="53" t="str">
        <f t="shared" si="22"/>
        <v/>
      </c>
      <c r="AB27" s="53" t="str">
        <f t="shared" si="22"/>
        <v/>
      </c>
      <c r="AC27" s="53" t="str">
        <f t="shared" si="22"/>
        <v/>
      </c>
      <c r="AD27" s="53" t="str">
        <f t="shared" si="22"/>
        <v/>
      </c>
      <c r="AE27" s="53" t="str">
        <f t="shared" si="22"/>
        <v/>
      </c>
      <c r="AF27" s="53" t="str">
        <f t="shared" si="22"/>
        <v/>
      </c>
      <c r="AG27" s="53" t="str">
        <f t="shared" si="22"/>
        <v/>
      </c>
      <c r="AH27" s="53" t="str">
        <f t="shared" si="22"/>
        <v/>
      </c>
      <c r="AI27" s="53" t="str">
        <f t="shared" si="22"/>
        <v/>
      </c>
      <c r="AJ27" s="53" t="str">
        <f t="shared" si="22"/>
        <v/>
      </c>
      <c r="AK27" s="53" t="str">
        <f t="shared" si="22"/>
        <v/>
      </c>
      <c r="AL27" s="53" t="str">
        <f t="shared" si="22"/>
        <v/>
      </c>
      <c r="AM27" s="53" t="str">
        <f t="shared" si="22"/>
        <v/>
      </c>
      <c r="AN27" s="53" t="str">
        <f t="shared" si="22"/>
        <v/>
      </c>
      <c r="AO27" s="53" t="str">
        <f t="shared" si="22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1"/>
        <v>0.63</v>
      </c>
      <c r="H28" s="51">
        <f t="shared" si="2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3">IF(J28="","",IF(J28&gt;($D28+$E28),(J28-$D28-$E28),IF(J28&lt;($D28+$F28),(J28-$D28-$F28),"√")))</f>
        <v/>
      </c>
      <c r="AA28" s="53" t="str">
        <f t="shared" si="23"/>
        <v/>
      </c>
      <c r="AB28" s="53" t="str">
        <f t="shared" si="23"/>
        <v/>
      </c>
      <c r="AC28" s="53" t="str">
        <f t="shared" si="23"/>
        <v/>
      </c>
      <c r="AD28" s="53" t="str">
        <f t="shared" si="23"/>
        <v/>
      </c>
      <c r="AE28" s="53" t="str">
        <f t="shared" si="23"/>
        <v/>
      </c>
      <c r="AF28" s="53" t="str">
        <f t="shared" si="23"/>
        <v/>
      </c>
      <c r="AG28" s="53" t="str">
        <f t="shared" si="23"/>
        <v/>
      </c>
      <c r="AH28" s="53" t="str">
        <f t="shared" si="23"/>
        <v/>
      </c>
      <c r="AI28" s="53" t="str">
        <f t="shared" si="23"/>
        <v/>
      </c>
      <c r="AJ28" s="53" t="str">
        <f t="shared" si="23"/>
        <v/>
      </c>
      <c r="AK28" s="53" t="str">
        <f t="shared" si="23"/>
        <v/>
      </c>
      <c r="AL28" s="53" t="str">
        <f t="shared" si="23"/>
        <v/>
      </c>
      <c r="AM28" s="53" t="str">
        <f t="shared" si="23"/>
        <v/>
      </c>
      <c r="AN28" s="53" t="str">
        <f t="shared" si="23"/>
        <v/>
      </c>
      <c r="AO28" s="53" t="str">
        <f t="shared" si="23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1"/>
        <v>0.025</v>
      </c>
      <c r="H29" s="51">
        <f t="shared" si="2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4">IF(J29="","",IF(J29&gt;($D29+$E29),(J29-$D29-$E29),IF(J29&lt;($D29+$F29),(J29-$D29-$F29),"√")))</f>
        <v/>
      </c>
      <c r="AA29" s="53" t="str">
        <f t="shared" si="24"/>
        <v/>
      </c>
      <c r="AB29" s="53" t="str">
        <f t="shared" si="24"/>
        <v/>
      </c>
      <c r="AC29" s="53" t="str">
        <f t="shared" si="24"/>
        <v/>
      </c>
      <c r="AD29" s="53" t="str">
        <f t="shared" si="24"/>
        <v/>
      </c>
      <c r="AE29" s="53" t="str">
        <f t="shared" si="24"/>
        <v/>
      </c>
      <c r="AF29" s="53" t="str">
        <f t="shared" si="24"/>
        <v/>
      </c>
      <c r="AG29" s="53" t="str">
        <f t="shared" si="24"/>
        <v/>
      </c>
      <c r="AH29" s="53" t="str">
        <f t="shared" si="24"/>
        <v/>
      </c>
      <c r="AI29" s="53" t="str">
        <f t="shared" si="24"/>
        <v/>
      </c>
      <c r="AJ29" s="53" t="str">
        <f t="shared" si="24"/>
        <v/>
      </c>
      <c r="AK29" s="53" t="str">
        <f t="shared" si="24"/>
        <v/>
      </c>
      <c r="AL29" s="53" t="str">
        <f t="shared" si="24"/>
        <v/>
      </c>
      <c r="AM29" s="53" t="str">
        <f t="shared" si="24"/>
        <v/>
      </c>
      <c r="AN29" s="53" t="str">
        <f t="shared" si="24"/>
        <v/>
      </c>
      <c r="AO29" s="53" t="str">
        <f t="shared" si="24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1"/>
        <v>3.34</v>
      </c>
      <c r="H30" s="51">
        <f t="shared" si="2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5">IF(J30="","",IF(J30&gt;($D30+$E30),(J30-$D30-$E30),IF(J30&lt;($D30+$F30),(J30-$D30-$F30),"√")))</f>
        <v/>
      </c>
      <c r="AA30" s="53" t="str">
        <f t="shared" si="25"/>
        <v/>
      </c>
      <c r="AB30" s="53" t="str">
        <f t="shared" si="25"/>
        <v/>
      </c>
      <c r="AC30" s="53" t="str">
        <f t="shared" si="25"/>
        <v/>
      </c>
      <c r="AD30" s="53" t="str">
        <f t="shared" si="25"/>
        <v/>
      </c>
      <c r="AE30" s="53" t="str">
        <f t="shared" si="25"/>
        <v/>
      </c>
      <c r="AF30" s="53" t="str">
        <f t="shared" si="25"/>
        <v/>
      </c>
      <c r="AG30" s="53" t="str">
        <f t="shared" si="25"/>
        <v/>
      </c>
      <c r="AH30" s="53" t="str">
        <f t="shared" si="25"/>
        <v/>
      </c>
      <c r="AI30" s="53" t="str">
        <f t="shared" si="25"/>
        <v/>
      </c>
      <c r="AJ30" s="53" t="str">
        <f t="shared" si="25"/>
        <v/>
      </c>
      <c r="AK30" s="53" t="str">
        <f t="shared" si="25"/>
        <v/>
      </c>
      <c r="AL30" s="53" t="str">
        <f t="shared" si="25"/>
        <v/>
      </c>
      <c r="AM30" s="53" t="str">
        <f t="shared" si="25"/>
        <v/>
      </c>
      <c r="AN30" s="53" t="str">
        <f t="shared" si="25"/>
        <v/>
      </c>
      <c r="AO30" s="53" t="str">
        <f t="shared" si="25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1"/>
        <v>0.03</v>
      </c>
      <c r="H31" s="51">
        <f t="shared" si="2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6">IF(J31="","",IF(J31&gt;($D31+$E31),(J31-$D31-$E31),IF(J31&lt;($D31+$F31),(J31-$D31-$F31),"√")))</f>
        <v/>
      </c>
      <c r="AA31" s="53" t="str">
        <f t="shared" si="26"/>
        <v/>
      </c>
      <c r="AB31" s="53" t="str">
        <f t="shared" si="26"/>
        <v/>
      </c>
      <c r="AC31" s="53" t="str">
        <f t="shared" si="26"/>
        <v/>
      </c>
      <c r="AD31" s="53" t="str">
        <f t="shared" si="26"/>
        <v/>
      </c>
      <c r="AE31" s="53" t="str">
        <f t="shared" si="26"/>
        <v/>
      </c>
      <c r="AF31" s="53" t="str">
        <f t="shared" si="26"/>
        <v/>
      </c>
      <c r="AG31" s="53" t="str">
        <f t="shared" si="26"/>
        <v/>
      </c>
      <c r="AH31" s="53" t="str">
        <f t="shared" si="26"/>
        <v/>
      </c>
      <c r="AI31" s="53" t="str">
        <f t="shared" si="26"/>
        <v/>
      </c>
      <c r="AJ31" s="53" t="str">
        <f t="shared" si="26"/>
        <v/>
      </c>
      <c r="AK31" s="53" t="str">
        <f t="shared" si="26"/>
        <v/>
      </c>
      <c r="AL31" s="53" t="str">
        <f t="shared" si="26"/>
        <v/>
      </c>
      <c r="AM31" s="53" t="str">
        <f t="shared" si="26"/>
        <v/>
      </c>
      <c r="AN31" s="53" t="str">
        <f t="shared" si="26"/>
        <v/>
      </c>
      <c r="AO31" s="53" t="str">
        <f t="shared" si="26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 t="shared" ref="G40:G44" si="27">D40+E40</f>
        <v>0.08</v>
      </c>
      <c r="H40" s="51">
        <f t="shared" ref="H40:H44" si="28"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 t="shared" si="27"/>
        <v>0.08</v>
      </c>
      <c r="H43" s="51">
        <f t="shared" si="28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 t="shared" si="27"/>
        <v>0.03</v>
      </c>
      <c r="H44" s="51">
        <f t="shared" si="28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 t="shared" ref="G83:G85" si="38">D83+E83</f>
        <v>0.93</v>
      </c>
      <c r="H83" s="51">
        <f t="shared" ref="H83:H85" si="39"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40">IF(J83="","",IF(J83&gt;($D83+$E83),(J83-$D83-$E83),IF(J83&lt;($D83+$F83),(J83-$D83-$F83),"√")))</f>
        <v/>
      </c>
      <c r="AA83" s="53" t="str">
        <f t="shared" si="40"/>
        <v/>
      </c>
      <c r="AB83" s="53" t="str">
        <f t="shared" si="40"/>
        <v/>
      </c>
      <c r="AC83" s="53" t="str">
        <f t="shared" si="40"/>
        <v/>
      </c>
      <c r="AD83" s="53" t="str">
        <f t="shared" si="40"/>
        <v/>
      </c>
      <c r="AE83" s="53" t="str">
        <f t="shared" si="40"/>
        <v/>
      </c>
      <c r="AF83" s="53" t="str">
        <f t="shared" si="40"/>
        <v/>
      </c>
      <c r="AG83" s="53" t="str">
        <f t="shared" si="40"/>
        <v/>
      </c>
      <c r="AH83" s="53" t="str">
        <f t="shared" si="40"/>
        <v/>
      </c>
      <c r="AI83" s="53" t="str">
        <f t="shared" si="40"/>
        <v/>
      </c>
      <c r="AJ83" s="53" t="str">
        <f t="shared" si="40"/>
        <v/>
      </c>
      <c r="AK83" s="53" t="str">
        <f t="shared" si="40"/>
        <v/>
      </c>
      <c r="AL83" s="53" t="str">
        <f t="shared" si="40"/>
        <v/>
      </c>
      <c r="AM83" s="53" t="str">
        <f t="shared" si="40"/>
        <v/>
      </c>
      <c r="AN83" s="53" t="str">
        <f t="shared" si="40"/>
        <v/>
      </c>
      <c r="AO83" s="53" t="str">
        <f t="shared" si="40"/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 t="shared" si="38"/>
        <v>0.64</v>
      </c>
      <c r="H84" s="51">
        <f t="shared" si="39"/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AO84" si="41">IF(J84="","",IF(J84&gt;($D84+$E84),(J84-$D84-$E84),IF(J84&lt;($D84+$F84),(J84-$D84-$F84),"√")))</f>
        <v/>
      </c>
      <c r="AA84" s="53" t="str">
        <f t="shared" si="41"/>
        <v/>
      </c>
      <c r="AB84" s="53" t="str">
        <f t="shared" si="41"/>
        <v/>
      </c>
      <c r="AC84" s="53" t="str">
        <f t="shared" si="41"/>
        <v/>
      </c>
      <c r="AD84" s="53" t="str">
        <f t="shared" si="41"/>
        <v/>
      </c>
      <c r="AE84" s="53" t="str">
        <f t="shared" si="41"/>
        <v/>
      </c>
      <c r="AF84" s="53" t="str">
        <f t="shared" si="41"/>
        <v/>
      </c>
      <c r="AG84" s="53" t="str">
        <f t="shared" si="41"/>
        <v/>
      </c>
      <c r="AH84" s="53" t="str">
        <f t="shared" si="41"/>
        <v/>
      </c>
      <c r="AI84" s="53" t="str">
        <f t="shared" si="41"/>
        <v/>
      </c>
      <c r="AJ84" s="53" t="str">
        <f t="shared" si="41"/>
        <v/>
      </c>
      <c r="AK84" s="53" t="str">
        <f t="shared" si="41"/>
        <v/>
      </c>
      <c r="AL84" s="53" t="str">
        <f t="shared" si="41"/>
        <v/>
      </c>
      <c r="AM84" s="53" t="str">
        <f t="shared" si="41"/>
        <v/>
      </c>
      <c r="AN84" s="53" t="str">
        <f t="shared" si="41"/>
        <v/>
      </c>
      <c r="AO84" s="53" t="str">
        <f t="shared" si="41"/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 t="shared" si="38"/>
        <v>0.64</v>
      </c>
      <c r="H85" s="51">
        <f t="shared" si="39"/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:AO85" si="42">IF(J85="","",IF(J85&gt;($D85+$E85),(J85-$D85-$E85),IF(J85&lt;($D85+$F85),(J85-$D85-$F85),"√")))</f>
        <v/>
      </c>
      <c r="AA85" s="53" t="str">
        <f t="shared" si="42"/>
        <v/>
      </c>
      <c r="AB85" s="53" t="str">
        <f t="shared" si="42"/>
        <v/>
      </c>
      <c r="AC85" s="53" t="str">
        <f t="shared" si="42"/>
        <v/>
      </c>
      <c r="AD85" s="53" t="str">
        <f t="shared" si="42"/>
        <v/>
      </c>
      <c r="AE85" s="53" t="str">
        <f t="shared" si="42"/>
        <v/>
      </c>
      <c r="AF85" s="53" t="str">
        <f t="shared" si="42"/>
        <v/>
      </c>
      <c r="AG85" s="53" t="str">
        <f t="shared" si="42"/>
        <v/>
      </c>
      <c r="AH85" s="53" t="str">
        <f t="shared" si="42"/>
        <v/>
      </c>
      <c r="AI85" s="53" t="str">
        <f t="shared" si="42"/>
        <v/>
      </c>
      <c r="AJ85" s="53" t="str">
        <f t="shared" si="42"/>
        <v/>
      </c>
      <c r="AK85" s="53" t="str">
        <f t="shared" si="42"/>
        <v/>
      </c>
      <c r="AL85" s="53" t="str">
        <f t="shared" si="42"/>
        <v/>
      </c>
      <c r="AM85" s="53" t="str">
        <f t="shared" si="42"/>
        <v/>
      </c>
      <c r="AN85" s="53" t="str">
        <f t="shared" si="42"/>
        <v/>
      </c>
      <c r="AO85" s="53" t="str">
        <f t="shared" si="42"/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ref="Z86:AO86" si="43">IF(J86="","",IF(J86&gt;($D86+$E86),(J86-$D86-$E86),IF(J86&lt;($D86+$F86),(J86-$D86-$F86),"√")))</f>
        <v/>
      </c>
      <c r="AA86" s="53" t="str">
        <f t="shared" si="43"/>
        <v/>
      </c>
      <c r="AB86" s="53" t="str">
        <f t="shared" si="43"/>
        <v/>
      </c>
      <c r="AC86" s="53" t="str">
        <f t="shared" si="43"/>
        <v/>
      </c>
      <c r="AD86" s="53" t="str">
        <f t="shared" si="43"/>
        <v/>
      </c>
      <c r="AE86" s="53" t="str">
        <f t="shared" si="43"/>
        <v/>
      </c>
      <c r="AF86" s="53" t="str">
        <f t="shared" si="43"/>
        <v/>
      </c>
      <c r="AG86" s="53" t="str">
        <f t="shared" si="43"/>
        <v/>
      </c>
      <c r="AH86" s="53" t="str">
        <f t="shared" si="43"/>
        <v/>
      </c>
      <c r="AI86" s="53" t="str">
        <f t="shared" si="43"/>
        <v/>
      </c>
      <c r="AJ86" s="53" t="str">
        <f t="shared" si="43"/>
        <v/>
      </c>
      <c r="AK86" s="53" t="str">
        <f t="shared" si="43"/>
        <v/>
      </c>
      <c r="AL86" s="53" t="str">
        <f t="shared" si="43"/>
        <v/>
      </c>
      <c r="AM86" s="53" t="str">
        <f t="shared" si="43"/>
        <v/>
      </c>
      <c r="AN86" s="53" t="str">
        <f t="shared" si="43"/>
        <v/>
      </c>
      <c r="AO86" s="53" t="str">
        <f t="shared" si="4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13">
    <cfRule type="cellIs" dxfId="0" priority="4" operator="notBetween">
      <formula>$G13</formula>
      <formula>$H13</formula>
    </cfRule>
  </conditionalFormatting>
  <conditionalFormatting sqref="K13">
    <cfRule type="cellIs" dxfId="0" priority="3" operator="notBetween">
      <formula>$G13</formula>
      <formula>$H13</formula>
    </cfRule>
  </conditionalFormatting>
  <conditionalFormatting sqref="L13">
    <cfRule type="cellIs" dxfId="0" priority="2" operator="notBetween">
      <formula>$G13</formula>
      <formula>$H13</formula>
    </cfRule>
  </conditionalFormatting>
  <conditionalFormatting sqref="M13">
    <cfRule type="cellIs" dxfId="0" priority="1" operator="notBetween">
      <formula>$G13</formula>
      <formula>$H13</formula>
    </cfRule>
  </conditionalFormatting>
  <conditionalFormatting sqref="J29:Y29">
    <cfRule type="cellIs" dxfId="0" priority="9" operator="notBetween">
      <formula>$G29</formula>
      <formula>$H29</formula>
    </cfRule>
  </conditionalFormatting>
  <conditionalFormatting sqref="J30:Y30">
    <cfRule type="cellIs" dxfId="0" priority="10" operator="notBetween">
      <formula>$G30</formula>
      <formula>$H30</formula>
    </cfRule>
  </conditionalFormatting>
  <conditionalFormatting sqref="J53:Y53">
    <cfRule type="cellIs" dxfId="0" priority="16" operator="notBetween">
      <formula>$G53</formula>
      <formula>$H53</formula>
    </cfRule>
  </conditionalFormatting>
  <conditionalFormatting sqref="J57:Y57">
    <cfRule type="cellIs" dxfId="0" priority="15" operator="notBetween">
      <formula>$G57</formula>
      <formula>$H57</formula>
    </cfRule>
  </conditionalFormatting>
  <conditionalFormatting sqref="J61:Y61">
    <cfRule type="cellIs" dxfId="0" priority="14" operator="notBetween">
      <formula>$G61</formula>
      <formula>$H61</formula>
    </cfRule>
  </conditionalFormatting>
  <conditionalFormatting sqref="J65:Y65">
    <cfRule type="cellIs" dxfId="0" priority="13" operator="notBetween">
      <formula>$G65</formula>
      <formula>$H65</formula>
    </cfRule>
  </conditionalFormatting>
  <conditionalFormatting sqref="J69:Y69">
    <cfRule type="cellIs" dxfId="0" priority="12" operator="notBetween">
      <formula>$G69</formula>
      <formula>$H69</formula>
    </cfRule>
  </conditionalFormatting>
  <conditionalFormatting sqref="J76:Y76">
    <cfRule type="cellIs" dxfId="0" priority="11" operator="notBetween">
      <formula>$G76</formula>
      <formula>$H76</formula>
    </cfRule>
  </conditionalFormatting>
  <conditionalFormatting sqref="J83:Y83">
    <cfRule type="cellIs" dxfId="0" priority="8" operator="notBetween">
      <formula>$G83</formula>
      <formula>$H83</formula>
    </cfRule>
  </conditionalFormatting>
  <conditionalFormatting sqref="J84:Y84">
    <cfRule type="cellIs" dxfId="0" priority="7" operator="notBetween">
      <formula>$G84</formula>
      <formula>$H84</formula>
    </cfRule>
  </conditionalFormatting>
  <conditionalFormatting sqref="J85:Y85">
    <cfRule type="cellIs" dxfId="0" priority="5" operator="notBetween">
      <formula>$G85</formula>
      <formula>$H85</formula>
    </cfRule>
  </conditionalFormatting>
  <conditionalFormatting sqref="J86:Y86">
    <cfRule type="cellIs" dxfId="0" priority="6" operator="notBetween">
      <formula>$G86</formula>
      <formula>$H86</formula>
    </cfRule>
  </conditionalFormatting>
  <conditionalFormatting sqref="J8:Y12 N13:Y13 J14:Y28">
    <cfRule type="cellIs" dxfId="0" priority="18" operator="notBetween">
      <formula>$G8</formula>
      <formula>$H8</formula>
    </cfRule>
  </conditionalFormatting>
  <conditionalFormatting sqref="J31:Y31 J40:Y40 J43:Y44">
    <cfRule type="cellIs" dxfId="0" priority="17" operator="notBetween">
      <formula>$G31</formula>
      <formula>$H31</formula>
    </cfRule>
  </conditionalFormatting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6"/>
  <sheetViews>
    <sheetView topLeftCell="R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>
        <f t="shared" si="0"/>
        <v>5</v>
      </c>
      <c r="AE7" s="47">
        <f t="shared" si="0"/>
        <v>6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 t="shared" ref="G8:G31" si="1">D8+E8</f>
        <v>3.78</v>
      </c>
      <c r="H8" s="51">
        <f t="shared" ref="H8:H31" si="2">D8+F8</f>
        <v>3.68</v>
      </c>
      <c r="I8" s="51" t="s">
        <v>30</v>
      </c>
      <c r="J8" s="52">
        <v>3.7285</v>
      </c>
      <c r="K8" s="52">
        <v>3.725</v>
      </c>
      <c r="L8" s="52">
        <v>3.7166</v>
      </c>
      <c r="M8" s="52">
        <v>3.7262</v>
      </c>
      <c r="N8" s="52">
        <v>3.7268</v>
      </c>
      <c r="O8" s="52">
        <v>3.7248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3">IF(J8="","",IF(J8&gt;($D8+$E8),(J8-$D8-$E8),IF(J8&lt;($D8+$F8),(J8-$D8-$F8),"√")))</f>
        <v>√</v>
      </c>
      <c r="AA8" s="53" t="str">
        <f t="shared" si="3"/>
        <v>√</v>
      </c>
      <c r="AB8" s="53" t="str">
        <f t="shared" si="3"/>
        <v>√</v>
      </c>
      <c r="AC8" s="53" t="str">
        <f t="shared" si="3"/>
        <v>√</v>
      </c>
      <c r="AD8" s="53" t="str">
        <f t="shared" si="3"/>
        <v>√</v>
      </c>
      <c r="AE8" s="53" t="str">
        <f t="shared" si="3"/>
        <v>√</v>
      </c>
      <c r="AF8" s="53" t="str">
        <f t="shared" si="3"/>
        <v/>
      </c>
      <c r="AG8" s="53" t="str">
        <f t="shared" si="3"/>
        <v/>
      </c>
      <c r="AH8" s="53" t="str">
        <f t="shared" si="3"/>
        <v/>
      </c>
      <c r="AI8" s="53" t="str">
        <f t="shared" si="3"/>
        <v/>
      </c>
      <c r="AJ8" s="53" t="str">
        <f t="shared" si="3"/>
        <v/>
      </c>
      <c r="AK8" s="53" t="str">
        <f t="shared" si="3"/>
        <v/>
      </c>
      <c r="AL8" s="53" t="str">
        <f t="shared" si="3"/>
        <v/>
      </c>
      <c r="AM8" s="53" t="str">
        <f t="shared" si="3"/>
        <v/>
      </c>
      <c r="AN8" s="53" t="str">
        <f t="shared" si="3"/>
        <v/>
      </c>
      <c r="AO8" s="53" t="str">
        <f t="shared" si="3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 t="shared" si="1"/>
        <v>1.98</v>
      </c>
      <c r="H9" s="51">
        <f t="shared" si="2"/>
        <v>1.88</v>
      </c>
      <c r="I9" s="51" t="s">
        <v>30</v>
      </c>
      <c r="J9" s="52">
        <v>1.9299</v>
      </c>
      <c r="K9" s="52">
        <v>1.9285</v>
      </c>
      <c r="L9" s="52">
        <v>1.9301</v>
      </c>
      <c r="M9" s="52">
        <v>1.9323</v>
      </c>
      <c r="N9" s="52">
        <v>1.932</v>
      </c>
      <c r="O9" s="52">
        <v>1.9365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4">IF(J9="","",IF(J9&gt;($D9+$E9),(J9-$D9-$E9),IF(J9&lt;($D9+$F9),(J9-$D9-$F9),"√")))</f>
        <v>√</v>
      </c>
      <c r="AA9" s="53" t="str">
        <f t="shared" si="4"/>
        <v>√</v>
      </c>
      <c r="AB9" s="53" t="str">
        <f t="shared" si="4"/>
        <v>√</v>
      </c>
      <c r="AC9" s="53" t="str">
        <f t="shared" si="4"/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/>
      </c>
      <c r="AG9" s="53" t="str">
        <f t="shared" si="4"/>
        <v/>
      </c>
      <c r="AH9" s="53" t="str">
        <f t="shared" si="4"/>
        <v/>
      </c>
      <c r="AI9" s="53" t="str">
        <f t="shared" si="4"/>
        <v/>
      </c>
      <c r="AJ9" s="53" t="str">
        <f t="shared" si="4"/>
        <v/>
      </c>
      <c r="AK9" s="53" t="str">
        <f t="shared" si="4"/>
        <v/>
      </c>
      <c r="AL9" s="53" t="str">
        <f t="shared" si="4"/>
        <v/>
      </c>
      <c r="AM9" s="53" t="str">
        <f t="shared" si="4"/>
        <v/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 t="shared" si="1"/>
        <v>1.98</v>
      </c>
      <c r="H10" s="51">
        <f t="shared" si="2"/>
        <v>1.88</v>
      </c>
      <c r="I10" s="51" t="s">
        <v>30</v>
      </c>
      <c r="J10" s="52">
        <v>1.9525</v>
      </c>
      <c r="K10" s="52">
        <v>1.9507</v>
      </c>
      <c r="L10" s="52">
        <v>1.952</v>
      </c>
      <c r="M10" s="52">
        <v>1.9533</v>
      </c>
      <c r="N10" s="52">
        <v>1.9517</v>
      </c>
      <c r="O10" s="52">
        <v>1.9115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/>
      </c>
      <c r="AG10" s="53" t="str">
        <f t="shared" si="5"/>
        <v/>
      </c>
      <c r="AH10" s="53" t="str">
        <f t="shared" si="5"/>
        <v/>
      </c>
      <c r="AI10" s="53" t="str">
        <f t="shared" si="5"/>
        <v/>
      </c>
      <c r="AJ10" s="53" t="str">
        <f t="shared" si="5"/>
        <v/>
      </c>
      <c r="AK10" s="53" t="str">
        <f t="shared" si="5"/>
        <v/>
      </c>
      <c r="AL10" s="53" t="str">
        <f t="shared" si="5"/>
        <v/>
      </c>
      <c r="AM10" s="53" t="str">
        <f t="shared" si="5"/>
        <v/>
      </c>
      <c r="AN10" s="53" t="str">
        <f t="shared" si="5"/>
        <v/>
      </c>
      <c r="AO10" s="53" t="str">
        <f t="shared" si="5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 t="shared" si="1"/>
        <v>1.35</v>
      </c>
      <c r="H11" s="51">
        <f t="shared" si="2"/>
        <v>1.29</v>
      </c>
      <c r="I11" s="51" t="s">
        <v>30</v>
      </c>
      <c r="J11" s="52">
        <v>1.3063</v>
      </c>
      <c r="K11" s="52">
        <v>1.3028</v>
      </c>
      <c r="L11" s="52">
        <v>1.3065</v>
      </c>
      <c r="M11" s="52">
        <v>1.3019</v>
      </c>
      <c r="N11" s="52">
        <v>1.3011</v>
      </c>
      <c r="O11" s="52">
        <v>1.295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6">IF(J11="","",IF(J11&gt;($D11+$E11),(J11-$D11-$E11),IF(J11&lt;($D11+$F11),(J11-$D11-$F11),"√")))</f>
        <v>√</v>
      </c>
      <c r="AA11" s="53" t="str">
        <f t="shared" si="6"/>
        <v>√</v>
      </c>
      <c r="AB11" s="53" t="str">
        <f t="shared" si="6"/>
        <v>√</v>
      </c>
      <c r="AC11" s="53" t="str">
        <f t="shared" si="6"/>
        <v>√</v>
      </c>
      <c r="AD11" s="53" t="str">
        <f t="shared" si="6"/>
        <v>√</v>
      </c>
      <c r="AE11" s="53" t="str">
        <f t="shared" si="6"/>
        <v>√</v>
      </c>
      <c r="AF11" s="53" t="str">
        <f t="shared" si="6"/>
        <v/>
      </c>
      <c r="AG11" s="53" t="str">
        <f t="shared" si="6"/>
        <v/>
      </c>
      <c r="AH11" s="53" t="str">
        <f t="shared" si="6"/>
        <v/>
      </c>
      <c r="AI11" s="53" t="str">
        <f t="shared" si="6"/>
        <v/>
      </c>
      <c r="AJ11" s="53" t="str">
        <f t="shared" si="6"/>
        <v/>
      </c>
      <c r="AK11" s="53" t="str">
        <f t="shared" si="6"/>
        <v/>
      </c>
      <c r="AL11" s="53" t="str">
        <f t="shared" si="6"/>
        <v/>
      </c>
      <c r="AM11" s="53" t="str">
        <f t="shared" si="6"/>
        <v/>
      </c>
      <c r="AN11" s="53" t="str">
        <f t="shared" si="6"/>
        <v/>
      </c>
      <c r="AO11" s="53" t="str">
        <f t="shared" si="6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si="1"/>
        <v>1.35</v>
      </c>
      <c r="H12" s="51">
        <f t="shared" si="2"/>
        <v>1.29</v>
      </c>
      <c r="I12" s="51" t="s">
        <v>30</v>
      </c>
      <c r="J12" s="52">
        <v>1.3153</v>
      </c>
      <c r="K12" s="52">
        <v>1.3118</v>
      </c>
      <c r="L12" s="52">
        <v>1.3082</v>
      </c>
      <c r="M12" s="52">
        <v>1.3116</v>
      </c>
      <c r="N12" s="52">
        <v>1.3095</v>
      </c>
      <c r="O12" s="52">
        <v>1.3043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>√</v>
      </c>
      <c r="AE12" s="53" t="str">
        <f t="shared" si="7"/>
        <v>√</v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1"/>
        <v>2.485</v>
      </c>
      <c r="H13" s="51">
        <f t="shared" si="2"/>
        <v>2.425</v>
      </c>
      <c r="I13" s="51" t="s">
        <v>30</v>
      </c>
      <c r="J13" s="52">
        <v>2.4403</v>
      </c>
      <c r="K13" s="52">
        <v>2.4449</v>
      </c>
      <c r="L13" s="52">
        <v>2.456</v>
      </c>
      <c r="M13" s="52">
        <v>2.4479</v>
      </c>
      <c r="N13" s="52">
        <v>2.4439</v>
      </c>
      <c r="O13" s="52">
        <v>2.4387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>√</v>
      </c>
      <c r="AE13" s="53" t="str">
        <f t="shared" si="8"/>
        <v>√</v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1"/>
        <v>2.96</v>
      </c>
      <c r="H14" s="51">
        <f t="shared" si="2"/>
        <v>2.86</v>
      </c>
      <c r="I14" s="51" t="s">
        <v>30</v>
      </c>
      <c r="J14" s="52">
        <v>2.8851</v>
      </c>
      <c r="K14" s="52">
        <v>2.8882</v>
      </c>
      <c r="L14" s="52">
        <v>2.8856</v>
      </c>
      <c r="M14" s="52">
        <v>2.8852</v>
      </c>
      <c r="N14" s="52">
        <v>2.8857</v>
      </c>
      <c r="O14" s="52">
        <v>2.873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>√</v>
      </c>
      <c r="AE14" s="53" t="str">
        <f t="shared" si="9"/>
        <v>√</v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1"/>
        <v>1.96</v>
      </c>
      <c r="H15" s="51">
        <f t="shared" si="2"/>
        <v>1.9</v>
      </c>
      <c r="I15" s="51" t="s">
        <v>30</v>
      </c>
      <c r="J15" s="52">
        <v>1.9405</v>
      </c>
      <c r="K15" s="52">
        <v>1.9405</v>
      </c>
      <c r="L15" s="52">
        <v>1.9394</v>
      </c>
      <c r="M15" s="52">
        <v>1.9397</v>
      </c>
      <c r="N15" s="52">
        <v>1.9408</v>
      </c>
      <c r="O15" s="52">
        <v>1.9377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>√</v>
      </c>
      <c r="AE15" s="53" t="str">
        <f t="shared" si="10"/>
        <v>√</v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1"/>
        <v>2.19</v>
      </c>
      <c r="H16" s="51">
        <f t="shared" si="2"/>
        <v>2.09</v>
      </c>
      <c r="I16" s="51" t="s">
        <v>30</v>
      </c>
      <c r="J16" s="52">
        <v>2.1611</v>
      </c>
      <c r="K16" s="52">
        <v>2.1588</v>
      </c>
      <c r="L16" s="52">
        <v>2.161</v>
      </c>
      <c r="M16" s="52">
        <v>2.1608</v>
      </c>
      <c r="N16" s="52">
        <v>2.1609</v>
      </c>
      <c r="O16" s="52">
        <v>2.1596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>√</v>
      </c>
      <c r="AA16" s="53" t="str">
        <f t="shared" si="11"/>
        <v>√</v>
      </c>
      <c r="AB16" s="53" t="str">
        <f t="shared" si="11"/>
        <v>√</v>
      </c>
      <c r="AC16" s="53" t="str">
        <f t="shared" si="11"/>
        <v>√</v>
      </c>
      <c r="AD16" s="53" t="str">
        <f t="shared" si="11"/>
        <v>√</v>
      </c>
      <c r="AE16" s="53" t="str">
        <f t="shared" si="11"/>
        <v>√</v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1"/>
        <v>2.19</v>
      </c>
      <c r="H17" s="51">
        <f t="shared" si="2"/>
        <v>2.09</v>
      </c>
      <c r="I17" s="51" t="s">
        <v>30</v>
      </c>
      <c r="J17" s="52">
        <v>2.1695</v>
      </c>
      <c r="K17" s="52">
        <v>2.169</v>
      </c>
      <c r="L17" s="52">
        <v>2.1703</v>
      </c>
      <c r="M17" s="52">
        <v>2.17</v>
      </c>
      <c r="N17" s="52">
        <v>2.1711</v>
      </c>
      <c r="O17" s="52">
        <v>2.1686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>√</v>
      </c>
      <c r="AA17" s="53" t="str">
        <f t="shared" si="12"/>
        <v>√</v>
      </c>
      <c r="AB17" s="53" t="str">
        <f t="shared" si="12"/>
        <v>√</v>
      </c>
      <c r="AC17" s="53" t="str">
        <f t="shared" si="12"/>
        <v>√</v>
      </c>
      <c r="AD17" s="53" t="str">
        <f t="shared" si="12"/>
        <v>√</v>
      </c>
      <c r="AE17" s="53" t="str">
        <f t="shared" si="12"/>
        <v>√</v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1"/>
        <v>5.405</v>
      </c>
      <c r="H18" s="51">
        <f t="shared" si="2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1"/>
        <v>2.15</v>
      </c>
      <c r="H19" s="51">
        <f t="shared" si="2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1"/>
        <v>2.15</v>
      </c>
      <c r="H20" s="51">
        <f t="shared" si="2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1"/>
        <v>0.51</v>
      </c>
      <c r="H21" s="51">
        <f t="shared" si="2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1"/>
        <v>0.51</v>
      </c>
      <c r="H22" s="51">
        <f t="shared" si="2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1"/>
        <v>1.08</v>
      </c>
      <c r="H23" s="51">
        <f t="shared" si="2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1"/>
        <v>0.75</v>
      </c>
      <c r="H24" s="51">
        <f t="shared" si="2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1"/>
        <v>0.35</v>
      </c>
      <c r="H25" s="51">
        <f t="shared" si="2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1"/>
        <v>0.33</v>
      </c>
      <c r="H26" s="51">
        <f t="shared" si="2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si="1"/>
        <v>0.094</v>
      </c>
      <c r="H27" s="51">
        <f t="shared" si="2"/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2">IF(J27="","",IF(J27&gt;($D27+$E27),(J27-$D27-$E27),IF(J27&lt;($D27+$F27),(J27-$D27-$F27),"√")))</f>
        <v/>
      </c>
      <c r="AA27" s="53" t="str">
        <f t="shared" si="22"/>
        <v/>
      </c>
      <c r="AB27" s="53" t="str">
        <f t="shared" si="22"/>
        <v/>
      </c>
      <c r="AC27" s="53" t="str">
        <f t="shared" si="22"/>
        <v/>
      </c>
      <c r="AD27" s="53" t="str">
        <f t="shared" si="22"/>
        <v/>
      </c>
      <c r="AE27" s="53" t="str">
        <f t="shared" si="22"/>
        <v/>
      </c>
      <c r="AF27" s="53" t="str">
        <f t="shared" si="22"/>
        <v/>
      </c>
      <c r="AG27" s="53" t="str">
        <f t="shared" si="22"/>
        <v/>
      </c>
      <c r="AH27" s="53" t="str">
        <f t="shared" si="22"/>
        <v/>
      </c>
      <c r="AI27" s="53" t="str">
        <f t="shared" si="22"/>
        <v/>
      </c>
      <c r="AJ27" s="53" t="str">
        <f t="shared" si="22"/>
        <v/>
      </c>
      <c r="AK27" s="53" t="str">
        <f t="shared" si="22"/>
        <v/>
      </c>
      <c r="AL27" s="53" t="str">
        <f t="shared" si="22"/>
        <v/>
      </c>
      <c r="AM27" s="53" t="str">
        <f t="shared" si="22"/>
        <v/>
      </c>
      <c r="AN27" s="53" t="str">
        <f t="shared" si="22"/>
        <v/>
      </c>
      <c r="AO27" s="53" t="str">
        <f t="shared" si="22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1"/>
        <v>0.63</v>
      </c>
      <c r="H28" s="51">
        <f t="shared" si="2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3">IF(J28="","",IF(J28&gt;($D28+$E28),(J28-$D28-$E28),IF(J28&lt;($D28+$F28),(J28-$D28-$F28),"√")))</f>
        <v/>
      </c>
      <c r="AA28" s="53" t="str">
        <f t="shared" si="23"/>
        <v/>
      </c>
      <c r="AB28" s="53" t="str">
        <f t="shared" si="23"/>
        <v/>
      </c>
      <c r="AC28" s="53" t="str">
        <f t="shared" si="23"/>
        <v/>
      </c>
      <c r="AD28" s="53" t="str">
        <f t="shared" si="23"/>
        <v/>
      </c>
      <c r="AE28" s="53" t="str">
        <f t="shared" si="23"/>
        <v/>
      </c>
      <c r="AF28" s="53" t="str">
        <f t="shared" si="23"/>
        <v/>
      </c>
      <c r="AG28" s="53" t="str">
        <f t="shared" si="23"/>
        <v/>
      </c>
      <c r="AH28" s="53" t="str">
        <f t="shared" si="23"/>
        <v/>
      </c>
      <c r="AI28" s="53" t="str">
        <f t="shared" si="23"/>
        <v/>
      </c>
      <c r="AJ28" s="53" t="str">
        <f t="shared" si="23"/>
        <v/>
      </c>
      <c r="AK28" s="53" t="str">
        <f t="shared" si="23"/>
        <v/>
      </c>
      <c r="AL28" s="53" t="str">
        <f t="shared" si="23"/>
        <v/>
      </c>
      <c r="AM28" s="53" t="str">
        <f t="shared" si="23"/>
        <v/>
      </c>
      <c r="AN28" s="53" t="str">
        <f t="shared" si="23"/>
        <v/>
      </c>
      <c r="AO28" s="53" t="str">
        <f t="shared" si="23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1"/>
        <v>0.025</v>
      </c>
      <c r="H29" s="51">
        <f t="shared" si="2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4">IF(J29="","",IF(J29&gt;($D29+$E29),(J29-$D29-$E29),IF(J29&lt;($D29+$F29),(J29-$D29-$F29),"√")))</f>
        <v/>
      </c>
      <c r="AA29" s="53" t="str">
        <f t="shared" si="24"/>
        <v/>
      </c>
      <c r="AB29" s="53" t="str">
        <f t="shared" si="24"/>
        <v/>
      </c>
      <c r="AC29" s="53" t="str">
        <f t="shared" si="24"/>
        <v/>
      </c>
      <c r="AD29" s="53" t="str">
        <f t="shared" si="24"/>
        <v/>
      </c>
      <c r="AE29" s="53" t="str">
        <f t="shared" si="24"/>
        <v/>
      </c>
      <c r="AF29" s="53" t="str">
        <f t="shared" si="24"/>
        <v/>
      </c>
      <c r="AG29" s="53" t="str">
        <f t="shared" si="24"/>
        <v/>
      </c>
      <c r="AH29" s="53" t="str">
        <f t="shared" si="24"/>
        <v/>
      </c>
      <c r="AI29" s="53" t="str">
        <f t="shared" si="24"/>
        <v/>
      </c>
      <c r="AJ29" s="53" t="str">
        <f t="shared" si="24"/>
        <v/>
      </c>
      <c r="AK29" s="53" t="str">
        <f t="shared" si="24"/>
        <v/>
      </c>
      <c r="AL29" s="53" t="str">
        <f t="shared" si="24"/>
        <v/>
      </c>
      <c r="AM29" s="53" t="str">
        <f t="shared" si="24"/>
        <v/>
      </c>
      <c r="AN29" s="53" t="str">
        <f t="shared" si="24"/>
        <v/>
      </c>
      <c r="AO29" s="53" t="str">
        <f t="shared" si="24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1"/>
        <v>3.34</v>
      </c>
      <c r="H30" s="51">
        <f t="shared" si="2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5">IF(J30="","",IF(J30&gt;($D30+$E30),(J30-$D30-$E30),IF(J30&lt;($D30+$F30),(J30-$D30-$F30),"√")))</f>
        <v/>
      </c>
      <c r="AA30" s="53" t="str">
        <f t="shared" si="25"/>
        <v/>
      </c>
      <c r="AB30" s="53" t="str">
        <f t="shared" si="25"/>
        <v/>
      </c>
      <c r="AC30" s="53" t="str">
        <f t="shared" si="25"/>
        <v/>
      </c>
      <c r="AD30" s="53" t="str">
        <f t="shared" si="25"/>
        <v/>
      </c>
      <c r="AE30" s="53" t="str">
        <f t="shared" si="25"/>
        <v/>
      </c>
      <c r="AF30" s="53" t="str">
        <f t="shared" si="25"/>
        <v/>
      </c>
      <c r="AG30" s="53" t="str">
        <f t="shared" si="25"/>
        <v/>
      </c>
      <c r="AH30" s="53" t="str">
        <f t="shared" si="25"/>
        <v/>
      </c>
      <c r="AI30" s="53" t="str">
        <f t="shared" si="25"/>
        <v/>
      </c>
      <c r="AJ30" s="53" t="str">
        <f t="shared" si="25"/>
        <v/>
      </c>
      <c r="AK30" s="53" t="str">
        <f t="shared" si="25"/>
        <v/>
      </c>
      <c r="AL30" s="53" t="str">
        <f t="shared" si="25"/>
        <v/>
      </c>
      <c r="AM30" s="53" t="str">
        <f t="shared" si="25"/>
        <v/>
      </c>
      <c r="AN30" s="53" t="str">
        <f t="shared" si="25"/>
        <v/>
      </c>
      <c r="AO30" s="53" t="str">
        <f t="shared" si="25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1"/>
        <v>0.03</v>
      </c>
      <c r="H31" s="51">
        <f t="shared" si="2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6">IF(J31="","",IF(J31&gt;($D31+$E31),(J31-$D31-$E31),IF(J31&lt;($D31+$F31),(J31-$D31-$F31),"√")))</f>
        <v/>
      </c>
      <c r="AA31" s="53" t="str">
        <f t="shared" si="26"/>
        <v/>
      </c>
      <c r="AB31" s="53" t="str">
        <f t="shared" si="26"/>
        <v/>
      </c>
      <c r="AC31" s="53" t="str">
        <f t="shared" si="26"/>
        <v/>
      </c>
      <c r="AD31" s="53" t="str">
        <f t="shared" si="26"/>
        <v/>
      </c>
      <c r="AE31" s="53" t="str">
        <f t="shared" si="26"/>
        <v/>
      </c>
      <c r="AF31" s="53" t="str">
        <f t="shared" si="26"/>
        <v/>
      </c>
      <c r="AG31" s="53" t="str">
        <f t="shared" si="26"/>
        <v/>
      </c>
      <c r="AH31" s="53" t="str">
        <f t="shared" si="26"/>
        <v/>
      </c>
      <c r="AI31" s="53" t="str">
        <f t="shared" si="26"/>
        <v/>
      </c>
      <c r="AJ31" s="53" t="str">
        <f t="shared" si="26"/>
        <v/>
      </c>
      <c r="AK31" s="53" t="str">
        <f t="shared" si="26"/>
        <v/>
      </c>
      <c r="AL31" s="53" t="str">
        <f t="shared" si="26"/>
        <v/>
      </c>
      <c r="AM31" s="53" t="str">
        <f t="shared" si="26"/>
        <v/>
      </c>
      <c r="AN31" s="53" t="str">
        <f t="shared" si="26"/>
        <v/>
      </c>
      <c r="AO31" s="53" t="str">
        <f t="shared" si="26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 t="shared" ref="G40:G44" si="27">D40+E40</f>
        <v>0.08</v>
      </c>
      <c r="H40" s="51">
        <f t="shared" ref="H40:H44" si="28"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 t="shared" si="27"/>
        <v>0.08</v>
      </c>
      <c r="H43" s="51">
        <f t="shared" si="28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 t="shared" si="27"/>
        <v>0.03</v>
      </c>
      <c r="H44" s="51">
        <f t="shared" si="28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 t="shared" ref="G83:G85" si="38">D83+E83</f>
        <v>0.93</v>
      </c>
      <c r="H83" s="51">
        <f t="shared" ref="H83:H85" si="39"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40">IF(J83="","",IF(J83&gt;($D83+$E83),(J83-$D83-$E83),IF(J83&lt;($D83+$F83),(J83-$D83-$F83),"√")))</f>
        <v/>
      </c>
      <c r="AA83" s="53" t="str">
        <f t="shared" si="40"/>
        <v/>
      </c>
      <c r="AB83" s="53" t="str">
        <f t="shared" si="40"/>
        <v/>
      </c>
      <c r="AC83" s="53" t="str">
        <f t="shared" si="40"/>
        <v/>
      </c>
      <c r="AD83" s="53" t="str">
        <f t="shared" si="40"/>
        <v/>
      </c>
      <c r="AE83" s="53" t="str">
        <f t="shared" si="40"/>
        <v/>
      </c>
      <c r="AF83" s="53" t="str">
        <f t="shared" si="40"/>
        <v/>
      </c>
      <c r="AG83" s="53" t="str">
        <f t="shared" si="40"/>
        <v/>
      </c>
      <c r="AH83" s="53" t="str">
        <f t="shared" si="40"/>
        <v/>
      </c>
      <c r="AI83" s="53" t="str">
        <f t="shared" si="40"/>
        <v/>
      </c>
      <c r="AJ83" s="53" t="str">
        <f t="shared" si="40"/>
        <v/>
      </c>
      <c r="AK83" s="53" t="str">
        <f t="shared" si="40"/>
        <v/>
      </c>
      <c r="AL83" s="53" t="str">
        <f t="shared" si="40"/>
        <v/>
      </c>
      <c r="AM83" s="53" t="str">
        <f t="shared" si="40"/>
        <v/>
      </c>
      <c r="AN83" s="53" t="str">
        <f t="shared" si="40"/>
        <v/>
      </c>
      <c r="AO83" s="53" t="str">
        <f t="shared" si="40"/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 t="shared" si="38"/>
        <v>0.64</v>
      </c>
      <c r="H84" s="51">
        <f t="shared" si="39"/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AO84" si="41">IF(J84="","",IF(J84&gt;($D84+$E84),(J84-$D84-$E84),IF(J84&lt;($D84+$F84),(J84-$D84-$F84),"√")))</f>
        <v/>
      </c>
      <c r="AA84" s="53" t="str">
        <f t="shared" si="41"/>
        <v/>
      </c>
      <c r="AB84" s="53" t="str">
        <f t="shared" si="41"/>
        <v/>
      </c>
      <c r="AC84" s="53" t="str">
        <f t="shared" si="41"/>
        <v/>
      </c>
      <c r="AD84" s="53" t="str">
        <f t="shared" si="41"/>
        <v/>
      </c>
      <c r="AE84" s="53" t="str">
        <f t="shared" si="41"/>
        <v/>
      </c>
      <c r="AF84" s="53" t="str">
        <f t="shared" si="41"/>
        <v/>
      </c>
      <c r="AG84" s="53" t="str">
        <f t="shared" si="41"/>
        <v/>
      </c>
      <c r="AH84" s="53" t="str">
        <f t="shared" si="41"/>
        <v/>
      </c>
      <c r="AI84" s="53" t="str">
        <f t="shared" si="41"/>
        <v/>
      </c>
      <c r="AJ84" s="53" t="str">
        <f t="shared" si="41"/>
        <v/>
      </c>
      <c r="AK84" s="53" t="str">
        <f t="shared" si="41"/>
        <v/>
      </c>
      <c r="AL84" s="53" t="str">
        <f t="shared" si="41"/>
        <v/>
      </c>
      <c r="AM84" s="53" t="str">
        <f t="shared" si="41"/>
        <v/>
      </c>
      <c r="AN84" s="53" t="str">
        <f t="shared" si="41"/>
        <v/>
      </c>
      <c r="AO84" s="53" t="str">
        <f t="shared" si="41"/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 t="shared" si="38"/>
        <v>0.64</v>
      </c>
      <c r="H85" s="51">
        <f t="shared" si="39"/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:AO85" si="42">IF(J85="","",IF(J85&gt;($D85+$E85),(J85-$D85-$E85),IF(J85&lt;($D85+$F85),(J85-$D85-$F85),"√")))</f>
        <v/>
      </c>
      <c r="AA85" s="53" t="str">
        <f t="shared" si="42"/>
        <v/>
      </c>
      <c r="AB85" s="53" t="str">
        <f t="shared" si="42"/>
        <v/>
      </c>
      <c r="AC85" s="53" t="str">
        <f t="shared" si="42"/>
        <v/>
      </c>
      <c r="AD85" s="53" t="str">
        <f t="shared" si="42"/>
        <v/>
      </c>
      <c r="AE85" s="53" t="str">
        <f t="shared" si="42"/>
        <v/>
      </c>
      <c r="AF85" s="53" t="str">
        <f t="shared" si="42"/>
        <v/>
      </c>
      <c r="AG85" s="53" t="str">
        <f t="shared" si="42"/>
        <v/>
      </c>
      <c r="AH85" s="53" t="str">
        <f t="shared" si="42"/>
        <v/>
      </c>
      <c r="AI85" s="53" t="str">
        <f t="shared" si="42"/>
        <v/>
      </c>
      <c r="AJ85" s="53" t="str">
        <f t="shared" si="42"/>
        <v/>
      </c>
      <c r="AK85" s="53" t="str">
        <f t="shared" si="42"/>
        <v/>
      </c>
      <c r="AL85" s="53" t="str">
        <f t="shared" si="42"/>
        <v/>
      </c>
      <c r="AM85" s="53" t="str">
        <f t="shared" si="42"/>
        <v/>
      </c>
      <c r="AN85" s="53" t="str">
        <f t="shared" si="42"/>
        <v/>
      </c>
      <c r="AO85" s="53" t="str">
        <f t="shared" si="42"/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ref="Z86:AO86" si="43">IF(J86="","",IF(J86&gt;($D86+$E86),(J86-$D86-$E86),IF(J86&lt;($D86+$F86),(J86-$D86-$F86),"√")))</f>
        <v/>
      </c>
      <c r="AA86" s="53" t="str">
        <f t="shared" si="43"/>
        <v/>
      </c>
      <c r="AB86" s="53" t="str">
        <f t="shared" si="43"/>
        <v/>
      </c>
      <c r="AC86" s="53" t="str">
        <f t="shared" si="43"/>
        <v/>
      </c>
      <c r="AD86" s="53" t="str">
        <f t="shared" si="43"/>
        <v/>
      </c>
      <c r="AE86" s="53" t="str">
        <f t="shared" si="43"/>
        <v/>
      </c>
      <c r="AF86" s="53" t="str">
        <f t="shared" si="43"/>
        <v/>
      </c>
      <c r="AG86" s="53" t="str">
        <f t="shared" si="43"/>
        <v/>
      </c>
      <c r="AH86" s="53" t="str">
        <f t="shared" si="43"/>
        <v/>
      </c>
      <c r="AI86" s="53" t="str">
        <f t="shared" si="43"/>
        <v/>
      </c>
      <c r="AJ86" s="53" t="str">
        <f t="shared" si="43"/>
        <v/>
      </c>
      <c r="AK86" s="53" t="str">
        <f t="shared" si="43"/>
        <v/>
      </c>
      <c r="AL86" s="53" t="str">
        <f t="shared" si="43"/>
        <v/>
      </c>
      <c r="AM86" s="53" t="str">
        <f t="shared" si="43"/>
        <v/>
      </c>
      <c r="AN86" s="53" t="str">
        <f t="shared" si="43"/>
        <v/>
      </c>
      <c r="AO86" s="53" t="str">
        <f t="shared" si="4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29:Y29">
    <cfRule type="cellIs" dxfId="0" priority="5" operator="notBetween">
      <formula>$G29</formula>
      <formula>$H29</formula>
    </cfRule>
  </conditionalFormatting>
  <conditionalFormatting sqref="J30:Y30">
    <cfRule type="cellIs" dxfId="0" priority="6" operator="notBetween">
      <formula>$G30</formula>
      <formula>$H30</formula>
    </cfRule>
  </conditionalFormatting>
  <conditionalFormatting sqref="J53:Y53">
    <cfRule type="cellIs" dxfId="0" priority="12" operator="notBetween">
      <formula>$G53</formula>
      <formula>$H53</formula>
    </cfRule>
  </conditionalFormatting>
  <conditionalFormatting sqref="J57:Y57">
    <cfRule type="cellIs" dxfId="0" priority="11" operator="notBetween">
      <formula>$G57</formula>
      <formula>$H57</formula>
    </cfRule>
  </conditionalFormatting>
  <conditionalFormatting sqref="J61:Y61">
    <cfRule type="cellIs" dxfId="0" priority="10" operator="notBetween">
      <formula>$G61</formula>
      <formula>$H61</formula>
    </cfRule>
  </conditionalFormatting>
  <conditionalFormatting sqref="J65:Y65">
    <cfRule type="cellIs" dxfId="0" priority="9" operator="notBetween">
      <formula>$G65</formula>
      <formula>$H65</formula>
    </cfRule>
  </conditionalFormatting>
  <conditionalFormatting sqref="J69:Y69">
    <cfRule type="cellIs" dxfId="0" priority="8" operator="notBetween">
      <formula>$G69</formula>
      <formula>$H69</formula>
    </cfRule>
  </conditionalFormatting>
  <conditionalFormatting sqref="J76:Y76">
    <cfRule type="cellIs" dxfId="0" priority="7" operator="notBetween">
      <formula>$G76</formula>
      <formula>$H76</formula>
    </cfRule>
  </conditionalFormatting>
  <conditionalFormatting sqref="J83:Y83">
    <cfRule type="cellIs" dxfId="0" priority="4" operator="notBetween">
      <formula>$G83</formula>
      <formula>$H83</formula>
    </cfRule>
  </conditionalFormatting>
  <conditionalFormatting sqref="J84:Y84">
    <cfRule type="cellIs" dxfId="0" priority="3" operator="notBetween">
      <formula>$G84</formula>
      <formula>$H84</formula>
    </cfRule>
  </conditionalFormatting>
  <conditionalFormatting sqref="J85:Y85">
    <cfRule type="cellIs" dxfId="0" priority="1" operator="notBetween">
      <formula>$G85</formula>
      <formula>$H85</formula>
    </cfRule>
  </conditionalFormatting>
  <conditionalFormatting sqref="J86:Y86">
    <cfRule type="cellIs" dxfId="0" priority="2" operator="notBetween">
      <formula>$G86</formula>
      <formula>$H86</formula>
    </cfRule>
  </conditionalFormatting>
  <conditionalFormatting sqref="J8:Y28">
    <cfRule type="cellIs" dxfId="0" priority="14" operator="notBetween">
      <formula>$G8</formula>
      <formula>$H8</formula>
    </cfRule>
  </conditionalFormatting>
  <conditionalFormatting sqref="J31:Y31 J40:Y40 J43:Y44">
    <cfRule type="cellIs" dxfId="0" priority="13" operator="notBetween">
      <formula>$G31</formula>
      <formula>$H31</formula>
    </cfRule>
  </conditionalFormatting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6"/>
  <sheetViews>
    <sheetView workbookViewId="0">
      <selection activeCell="Q14" sqref="Q14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>
        <f t="shared" si="0"/>
        <v>5</v>
      </c>
      <c r="AE7" s="47">
        <f t="shared" si="0"/>
        <v>6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 t="shared" ref="G8:G31" si="1">D8+E8</f>
        <v>3.78</v>
      </c>
      <c r="H8" s="51">
        <f t="shared" ref="H8:H31" si="2">D8+F8</f>
        <v>3.68</v>
      </c>
      <c r="I8" s="51" t="s">
        <v>30</v>
      </c>
      <c r="J8" s="52">
        <v>3.7103</v>
      </c>
      <c r="K8" s="52">
        <v>3.7143</v>
      </c>
      <c r="L8" s="52">
        <v>3.7216</v>
      </c>
      <c r="M8" s="52">
        <v>3.7196</v>
      </c>
      <c r="N8" s="52">
        <v>3.7233</v>
      </c>
      <c r="O8" s="52">
        <v>3.7245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3">IF(J8="","",IF(J8&gt;($D8+$E8),(J8-$D8-$E8),IF(J8&lt;($D8+$F8),(J8-$D8-$F8),"√")))</f>
        <v>√</v>
      </c>
      <c r="AA8" s="53" t="str">
        <f t="shared" si="3"/>
        <v>√</v>
      </c>
      <c r="AB8" s="53" t="str">
        <f t="shared" si="3"/>
        <v>√</v>
      </c>
      <c r="AC8" s="53" t="str">
        <f t="shared" si="3"/>
        <v>√</v>
      </c>
      <c r="AD8" s="53" t="str">
        <f t="shared" si="3"/>
        <v>√</v>
      </c>
      <c r="AE8" s="53" t="str">
        <f t="shared" si="3"/>
        <v>√</v>
      </c>
      <c r="AF8" s="53" t="str">
        <f t="shared" si="3"/>
        <v/>
      </c>
      <c r="AG8" s="53" t="str">
        <f t="shared" si="3"/>
        <v/>
      </c>
      <c r="AH8" s="53" t="str">
        <f t="shared" si="3"/>
        <v/>
      </c>
      <c r="AI8" s="53" t="str">
        <f t="shared" si="3"/>
        <v/>
      </c>
      <c r="AJ8" s="53" t="str">
        <f t="shared" si="3"/>
        <v/>
      </c>
      <c r="AK8" s="53" t="str">
        <f t="shared" si="3"/>
        <v/>
      </c>
      <c r="AL8" s="53" t="str">
        <f t="shared" si="3"/>
        <v/>
      </c>
      <c r="AM8" s="53" t="str">
        <f t="shared" si="3"/>
        <v/>
      </c>
      <c r="AN8" s="53" t="str">
        <f t="shared" si="3"/>
        <v/>
      </c>
      <c r="AO8" s="53" t="str">
        <f t="shared" si="3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 t="shared" si="1"/>
        <v>1.98</v>
      </c>
      <c r="H9" s="51">
        <f t="shared" si="2"/>
        <v>1.88</v>
      </c>
      <c r="I9" s="51" t="s">
        <v>30</v>
      </c>
      <c r="J9" s="52">
        <v>1.9318</v>
      </c>
      <c r="K9" s="52">
        <v>1.9308</v>
      </c>
      <c r="L9" s="52">
        <v>1.9299</v>
      </c>
      <c r="M9" s="52">
        <v>1.9323</v>
      </c>
      <c r="N9" s="52">
        <v>1.9312</v>
      </c>
      <c r="O9" s="52">
        <v>1.9304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4">IF(J9="","",IF(J9&gt;($D9+$E9),(J9-$D9-$E9),IF(J9&lt;($D9+$F9),(J9-$D9-$F9),"√")))</f>
        <v>√</v>
      </c>
      <c r="AA9" s="53" t="str">
        <f t="shared" si="4"/>
        <v>√</v>
      </c>
      <c r="AB9" s="53" t="str">
        <f t="shared" si="4"/>
        <v>√</v>
      </c>
      <c r="AC9" s="53" t="str">
        <f t="shared" si="4"/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/>
      </c>
      <c r="AG9" s="53" t="str">
        <f t="shared" si="4"/>
        <v/>
      </c>
      <c r="AH9" s="53" t="str">
        <f t="shared" si="4"/>
        <v/>
      </c>
      <c r="AI9" s="53" t="str">
        <f t="shared" si="4"/>
        <v/>
      </c>
      <c r="AJ9" s="53" t="str">
        <f t="shared" si="4"/>
        <v/>
      </c>
      <c r="AK9" s="53" t="str">
        <f t="shared" si="4"/>
        <v/>
      </c>
      <c r="AL9" s="53" t="str">
        <f t="shared" si="4"/>
        <v/>
      </c>
      <c r="AM9" s="53" t="str">
        <f t="shared" si="4"/>
        <v/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 t="shared" si="1"/>
        <v>1.98</v>
      </c>
      <c r="H10" s="51">
        <f t="shared" si="2"/>
        <v>1.88</v>
      </c>
      <c r="I10" s="51" t="s">
        <v>30</v>
      </c>
      <c r="J10" s="52">
        <v>1.9525</v>
      </c>
      <c r="K10" s="52">
        <v>1.9523</v>
      </c>
      <c r="L10" s="52">
        <v>1.9521</v>
      </c>
      <c r="M10" s="52">
        <v>1.9523</v>
      </c>
      <c r="N10" s="52">
        <v>1.9531</v>
      </c>
      <c r="O10" s="52">
        <v>1.9511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/>
      </c>
      <c r="AG10" s="53" t="str">
        <f t="shared" si="5"/>
        <v/>
      </c>
      <c r="AH10" s="53" t="str">
        <f t="shared" si="5"/>
        <v/>
      </c>
      <c r="AI10" s="53" t="str">
        <f t="shared" si="5"/>
        <v/>
      </c>
      <c r="AJ10" s="53" t="str">
        <f t="shared" si="5"/>
        <v/>
      </c>
      <c r="AK10" s="53" t="str">
        <f t="shared" si="5"/>
        <v/>
      </c>
      <c r="AL10" s="53" t="str">
        <f t="shared" si="5"/>
        <v/>
      </c>
      <c r="AM10" s="53" t="str">
        <f t="shared" si="5"/>
        <v/>
      </c>
      <c r="AN10" s="53" t="str">
        <f t="shared" si="5"/>
        <v/>
      </c>
      <c r="AO10" s="53" t="str">
        <f t="shared" si="5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 t="shared" si="1"/>
        <v>1.35</v>
      </c>
      <c r="H11" s="51">
        <f t="shared" si="2"/>
        <v>1.29</v>
      </c>
      <c r="I11" s="51" t="s">
        <v>30</v>
      </c>
      <c r="J11" s="52">
        <v>1.309</v>
      </c>
      <c r="K11" s="52">
        <v>1.3074</v>
      </c>
      <c r="L11" s="52">
        <v>1.3086</v>
      </c>
      <c r="M11" s="52">
        <v>1.3094</v>
      </c>
      <c r="N11" s="52">
        <v>1.3079</v>
      </c>
      <c r="O11" s="52">
        <v>1.3078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6">IF(J11="","",IF(J11&gt;($D11+$E11),(J11-$D11-$E11),IF(J11&lt;($D11+$F11),(J11-$D11-$F11),"√")))</f>
        <v>√</v>
      </c>
      <c r="AA11" s="53" t="str">
        <f t="shared" si="6"/>
        <v>√</v>
      </c>
      <c r="AB11" s="53" t="str">
        <f t="shared" si="6"/>
        <v>√</v>
      </c>
      <c r="AC11" s="53" t="str">
        <f t="shared" si="6"/>
        <v>√</v>
      </c>
      <c r="AD11" s="53" t="str">
        <f t="shared" si="6"/>
        <v>√</v>
      </c>
      <c r="AE11" s="53" t="str">
        <f t="shared" si="6"/>
        <v>√</v>
      </c>
      <c r="AF11" s="53" t="str">
        <f t="shared" si="6"/>
        <v/>
      </c>
      <c r="AG11" s="53" t="str">
        <f t="shared" si="6"/>
        <v/>
      </c>
      <c r="AH11" s="53" t="str">
        <f t="shared" si="6"/>
        <v/>
      </c>
      <c r="AI11" s="53" t="str">
        <f t="shared" si="6"/>
        <v/>
      </c>
      <c r="AJ11" s="53" t="str">
        <f t="shared" si="6"/>
        <v/>
      </c>
      <c r="AK11" s="53" t="str">
        <f t="shared" si="6"/>
        <v/>
      </c>
      <c r="AL11" s="53" t="str">
        <f t="shared" si="6"/>
        <v/>
      </c>
      <c r="AM11" s="53" t="str">
        <f t="shared" si="6"/>
        <v/>
      </c>
      <c r="AN11" s="53" t="str">
        <f t="shared" si="6"/>
        <v/>
      </c>
      <c r="AO11" s="53" t="str">
        <f t="shared" si="6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si="1"/>
        <v>1.35</v>
      </c>
      <c r="H12" s="51">
        <f t="shared" si="2"/>
        <v>1.29</v>
      </c>
      <c r="I12" s="51" t="s">
        <v>30</v>
      </c>
      <c r="J12" s="52">
        <v>1.3184</v>
      </c>
      <c r="K12" s="52">
        <v>1.3178</v>
      </c>
      <c r="L12" s="52">
        <v>1.316</v>
      </c>
      <c r="M12" s="52">
        <v>1.3172</v>
      </c>
      <c r="N12" s="52">
        <v>1.3136</v>
      </c>
      <c r="O12" s="52">
        <v>1.3149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>√</v>
      </c>
      <c r="AE12" s="53" t="str">
        <f t="shared" si="7"/>
        <v>√</v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1"/>
        <v>2.485</v>
      </c>
      <c r="H13" s="51">
        <f t="shared" si="2"/>
        <v>2.425</v>
      </c>
      <c r="I13" s="51" t="s">
        <v>30</v>
      </c>
      <c r="J13" s="52">
        <v>2.4419</v>
      </c>
      <c r="K13" s="52">
        <v>2.4384</v>
      </c>
      <c r="L13" s="52">
        <v>2.4388</v>
      </c>
      <c r="M13" s="52">
        <v>2.4457</v>
      </c>
      <c r="N13" s="52">
        <v>2.4464</v>
      </c>
      <c r="O13" s="52">
        <v>2.4389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>√</v>
      </c>
      <c r="AE13" s="53" t="str">
        <f t="shared" si="8"/>
        <v>√</v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1"/>
        <v>2.96</v>
      </c>
      <c r="H14" s="51">
        <f t="shared" si="2"/>
        <v>2.86</v>
      </c>
      <c r="I14" s="51" t="s">
        <v>30</v>
      </c>
      <c r="J14" s="52">
        <v>2.8842</v>
      </c>
      <c r="K14" s="52">
        <v>2.8829</v>
      </c>
      <c r="L14" s="52">
        <v>2.8851</v>
      </c>
      <c r="M14" s="52">
        <v>2.8833</v>
      </c>
      <c r="N14" s="52">
        <v>2.8835</v>
      </c>
      <c r="O14" s="52">
        <v>2.8826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>√</v>
      </c>
      <c r="AE14" s="53" t="str">
        <f t="shared" si="9"/>
        <v>√</v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1"/>
        <v>1.96</v>
      </c>
      <c r="H15" s="51">
        <f t="shared" si="2"/>
        <v>1.9</v>
      </c>
      <c r="I15" s="51" t="s">
        <v>30</v>
      </c>
      <c r="J15" s="52">
        <v>1.9393</v>
      </c>
      <c r="K15" s="52">
        <v>1.9391</v>
      </c>
      <c r="L15" s="52">
        <v>1.9396</v>
      </c>
      <c r="M15" s="52">
        <v>1.9393</v>
      </c>
      <c r="N15" s="52">
        <v>1.9395</v>
      </c>
      <c r="O15" s="52">
        <v>1.9393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>√</v>
      </c>
      <c r="AE15" s="53" t="str">
        <f t="shared" si="10"/>
        <v>√</v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1"/>
        <v>2.19</v>
      </c>
      <c r="H16" s="51">
        <f t="shared" si="2"/>
        <v>2.09</v>
      </c>
      <c r="I16" s="51" t="s">
        <v>30</v>
      </c>
      <c r="J16" s="52">
        <v>2.1596</v>
      </c>
      <c r="K16" s="52">
        <v>2.1607</v>
      </c>
      <c r="L16" s="52">
        <v>2.1598</v>
      </c>
      <c r="M16" s="52">
        <v>2.1609</v>
      </c>
      <c r="N16" s="52">
        <v>2.1599</v>
      </c>
      <c r="O16" s="52">
        <v>2.1597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>√</v>
      </c>
      <c r="AA16" s="53" t="str">
        <f t="shared" si="11"/>
        <v>√</v>
      </c>
      <c r="AB16" s="53" t="str">
        <f t="shared" si="11"/>
        <v>√</v>
      </c>
      <c r="AC16" s="53" t="str">
        <f t="shared" si="11"/>
        <v>√</v>
      </c>
      <c r="AD16" s="53" t="str">
        <f t="shared" si="11"/>
        <v>√</v>
      </c>
      <c r="AE16" s="53" t="str">
        <f t="shared" si="11"/>
        <v>√</v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1"/>
        <v>2.19</v>
      </c>
      <c r="H17" s="51">
        <f t="shared" si="2"/>
        <v>2.09</v>
      </c>
      <c r="I17" s="51" t="s">
        <v>30</v>
      </c>
      <c r="J17" s="52">
        <v>2.1701</v>
      </c>
      <c r="K17" s="52">
        <v>2.1689</v>
      </c>
      <c r="L17" s="52">
        <v>2.169</v>
      </c>
      <c r="M17" s="52">
        <v>2.1694</v>
      </c>
      <c r="N17" s="52">
        <v>2.1685</v>
      </c>
      <c r="O17" s="52">
        <v>2.1696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>√</v>
      </c>
      <c r="AA17" s="53" t="str">
        <f t="shared" si="12"/>
        <v>√</v>
      </c>
      <c r="AB17" s="53" t="str">
        <f t="shared" si="12"/>
        <v>√</v>
      </c>
      <c r="AC17" s="53" t="str">
        <f t="shared" si="12"/>
        <v>√</v>
      </c>
      <c r="AD17" s="53" t="str">
        <f t="shared" si="12"/>
        <v>√</v>
      </c>
      <c r="AE17" s="53" t="str">
        <f t="shared" si="12"/>
        <v>√</v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1"/>
        <v>5.405</v>
      </c>
      <c r="H18" s="51">
        <f t="shared" si="2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1"/>
        <v>2.15</v>
      </c>
      <c r="H19" s="51">
        <f t="shared" si="2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1"/>
        <v>2.15</v>
      </c>
      <c r="H20" s="51">
        <f t="shared" si="2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1"/>
        <v>0.51</v>
      </c>
      <c r="H21" s="51">
        <f t="shared" si="2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1"/>
        <v>0.51</v>
      </c>
      <c r="H22" s="51">
        <f t="shared" si="2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1"/>
        <v>1.08</v>
      </c>
      <c r="H23" s="51">
        <f t="shared" si="2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1"/>
        <v>0.75</v>
      </c>
      <c r="H24" s="51">
        <f t="shared" si="2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1"/>
        <v>0.35</v>
      </c>
      <c r="H25" s="51">
        <f t="shared" si="2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1"/>
        <v>0.33</v>
      </c>
      <c r="H26" s="51">
        <f t="shared" si="2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si="1"/>
        <v>0.094</v>
      </c>
      <c r="H27" s="51">
        <f t="shared" si="2"/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2">IF(J27="","",IF(J27&gt;($D27+$E27),(J27-$D27-$E27),IF(J27&lt;($D27+$F27),(J27-$D27-$F27),"√")))</f>
        <v/>
      </c>
      <c r="AA27" s="53" t="str">
        <f t="shared" si="22"/>
        <v/>
      </c>
      <c r="AB27" s="53" t="str">
        <f t="shared" si="22"/>
        <v/>
      </c>
      <c r="AC27" s="53" t="str">
        <f t="shared" si="22"/>
        <v/>
      </c>
      <c r="AD27" s="53" t="str">
        <f t="shared" si="22"/>
        <v/>
      </c>
      <c r="AE27" s="53" t="str">
        <f t="shared" si="22"/>
        <v/>
      </c>
      <c r="AF27" s="53" t="str">
        <f t="shared" si="22"/>
        <v/>
      </c>
      <c r="AG27" s="53" t="str">
        <f t="shared" si="22"/>
        <v/>
      </c>
      <c r="AH27" s="53" t="str">
        <f t="shared" si="22"/>
        <v/>
      </c>
      <c r="AI27" s="53" t="str">
        <f t="shared" si="22"/>
        <v/>
      </c>
      <c r="AJ27" s="53" t="str">
        <f t="shared" si="22"/>
        <v/>
      </c>
      <c r="AK27" s="53" t="str">
        <f t="shared" si="22"/>
        <v/>
      </c>
      <c r="AL27" s="53" t="str">
        <f t="shared" si="22"/>
        <v/>
      </c>
      <c r="AM27" s="53" t="str">
        <f t="shared" si="22"/>
        <v/>
      </c>
      <c r="AN27" s="53" t="str">
        <f t="shared" si="22"/>
        <v/>
      </c>
      <c r="AO27" s="53" t="str">
        <f t="shared" si="22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1"/>
        <v>0.63</v>
      </c>
      <c r="H28" s="51">
        <f t="shared" si="2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3">IF(J28="","",IF(J28&gt;($D28+$E28),(J28-$D28-$E28),IF(J28&lt;($D28+$F28),(J28-$D28-$F28),"√")))</f>
        <v/>
      </c>
      <c r="AA28" s="53" t="str">
        <f t="shared" si="23"/>
        <v/>
      </c>
      <c r="AB28" s="53" t="str">
        <f t="shared" si="23"/>
        <v/>
      </c>
      <c r="AC28" s="53" t="str">
        <f t="shared" si="23"/>
        <v/>
      </c>
      <c r="AD28" s="53" t="str">
        <f t="shared" si="23"/>
        <v/>
      </c>
      <c r="AE28" s="53" t="str">
        <f t="shared" si="23"/>
        <v/>
      </c>
      <c r="AF28" s="53" t="str">
        <f t="shared" si="23"/>
        <v/>
      </c>
      <c r="AG28" s="53" t="str">
        <f t="shared" si="23"/>
        <v/>
      </c>
      <c r="AH28" s="53" t="str">
        <f t="shared" si="23"/>
        <v/>
      </c>
      <c r="AI28" s="53" t="str">
        <f t="shared" si="23"/>
        <v/>
      </c>
      <c r="AJ28" s="53" t="str">
        <f t="shared" si="23"/>
        <v/>
      </c>
      <c r="AK28" s="53" t="str">
        <f t="shared" si="23"/>
        <v/>
      </c>
      <c r="AL28" s="53" t="str">
        <f t="shared" si="23"/>
        <v/>
      </c>
      <c r="AM28" s="53" t="str">
        <f t="shared" si="23"/>
        <v/>
      </c>
      <c r="AN28" s="53" t="str">
        <f t="shared" si="23"/>
        <v/>
      </c>
      <c r="AO28" s="53" t="str">
        <f t="shared" si="23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1"/>
        <v>0.025</v>
      </c>
      <c r="H29" s="51">
        <f t="shared" si="2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4">IF(J29="","",IF(J29&gt;($D29+$E29),(J29-$D29-$E29),IF(J29&lt;($D29+$F29),(J29-$D29-$F29),"√")))</f>
        <v/>
      </c>
      <c r="AA29" s="53" t="str">
        <f t="shared" si="24"/>
        <v/>
      </c>
      <c r="AB29" s="53" t="str">
        <f t="shared" si="24"/>
        <v/>
      </c>
      <c r="AC29" s="53" t="str">
        <f t="shared" si="24"/>
        <v/>
      </c>
      <c r="AD29" s="53" t="str">
        <f t="shared" si="24"/>
        <v/>
      </c>
      <c r="AE29" s="53" t="str">
        <f t="shared" si="24"/>
        <v/>
      </c>
      <c r="AF29" s="53" t="str">
        <f t="shared" si="24"/>
        <v/>
      </c>
      <c r="AG29" s="53" t="str">
        <f t="shared" si="24"/>
        <v/>
      </c>
      <c r="AH29" s="53" t="str">
        <f t="shared" si="24"/>
        <v/>
      </c>
      <c r="AI29" s="53" t="str">
        <f t="shared" si="24"/>
        <v/>
      </c>
      <c r="AJ29" s="53" t="str">
        <f t="shared" si="24"/>
        <v/>
      </c>
      <c r="AK29" s="53" t="str">
        <f t="shared" si="24"/>
        <v/>
      </c>
      <c r="AL29" s="53" t="str">
        <f t="shared" si="24"/>
        <v/>
      </c>
      <c r="AM29" s="53" t="str">
        <f t="shared" si="24"/>
        <v/>
      </c>
      <c r="AN29" s="53" t="str">
        <f t="shared" si="24"/>
        <v/>
      </c>
      <c r="AO29" s="53" t="str">
        <f t="shared" si="24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1"/>
        <v>3.34</v>
      </c>
      <c r="H30" s="51">
        <f t="shared" si="2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5">IF(J30="","",IF(J30&gt;($D30+$E30),(J30-$D30-$E30),IF(J30&lt;($D30+$F30),(J30-$D30-$F30),"√")))</f>
        <v/>
      </c>
      <c r="AA30" s="53" t="str">
        <f t="shared" si="25"/>
        <v/>
      </c>
      <c r="AB30" s="53" t="str">
        <f t="shared" si="25"/>
        <v/>
      </c>
      <c r="AC30" s="53" t="str">
        <f t="shared" si="25"/>
        <v/>
      </c>
      <c r="AD30" s="53" t="str">
        <f t="shared" si="25"/>
        <v/>
      </c>
      <c r="AE30" s="53" t="str">
        <f t="shared" si="25"/>
        <v/>
      </c>
      <c r="AF30" s="53" t="str">
        <f t="shared" si="25"/>
        <v/>
      </c>
      <c r="AG30" s="53" t="str">
        <f t="shared" si="25"/>
        <v/>
      </c>
      <c r="AH30" s="53" t="str">
        <f t="shared" si="25"/>
        <v/>
      </c>
      <c r="AI30" s="53" t="str">
        <f t="shared" si="25"/>
        <v/>
      </c>
      <c r="AJ30" s="53" t="str">
        <f t="shared" si="25"/>
        <v/>
      </c>
      <c r="AK30" s="53" t="str">
        <f t="shared" si="25"/>
        <v/>
      </c>
      <c r="AL30" s="53" t="str">
        <f t="shared" si="25"/>
        <v/>
      </c>
      <c r="AM30" s="53" t="str">
        <f t="shared" si="25"/>
        <v/>
      </c>
      <c r="AN30" s="53" t="str">
        <f t="shared" si="25"/>
        <v/>
      </c>
      <c r="AO30" s="53" t="str">
        <f t="shared" si="25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1"/>
        <v>0.03</v>
      </c>
      <c r="H31" s="51">
        <f t="shared" si="2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6">IF(J31="","",IF(J31&gt;($D31+$E31),(J31-$D31-$E31),IF(J31&lt;($D31+$F31),(J31-$D31-$F31),"√")))</f>
        <v/>
      </c>
      <c r="AA31" s="53" t="str">
        <f t="shared" si="26"/>
        <v/>
      </c>
      <c r="AB31" s="53" t="str">
        <f t="shared" si="26"/>
        <v/>
      </c>
      <c r="AC31" s="53" t="str">
        <f t="shared" si="26"/>
        <v/>
      </c>
      <c r="AD31" s="53" t="str">
        <f t="shared" si="26"/>
        <v/>
      </c>
      <c r="AE31" s="53" t="str">
        <f t="shared" si="26"/>
        <v/>
      </c>
      <c r="AF31" s="53" t="str">
        <f t="shared" si="26"/>
        <v/>
      </c>
      <c r="AG31" s="53" t="str">
        <f t="shared" si="26"/>
        <v/>
      </c>
      <c r="AH31" s="53" t="str">
        <f t="shared" si="26"/>
        <v/>
      </c>
      <c r="AI31" s="53" t="str">
        <f t="shared" si="26"/>
        <v/>
      </c>
      <c r="AJ31" s="53" t="str">
        <f t="shared" si="26"/>
        <v/>
      </c>
      <c r="AK31" s="53" t="str">
        <f t="shared" si="26"/>
        <v/>
      </c>
      <c r="AL31" s="53" t="str">
        <f t="shared" si="26"/>
        <v/>
      </c>
      <c r="AM31" s="53" t="str">
        <f t="shared" si="26"/>
        <v/>
      </c>
      <c r="AN31" s="53" t="str">
        <f t="shared" si="26"/>
        <v/>
      </c>
      <c r="AO31" s="53" t="str">
        <f t="shared" si="26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 t="shared" ref="G40:G44" si="27">D40+E40</f>
        <v>0.08</v>
      </c>
      <c r="H40" s="51">
        <f t="shared" ref="H40:H44" si="28"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 t="shared" si="27"/>
        <v>0.08</v>
      </c>
      <c r="H43" s="51">
        <f t="shared" si="28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 t="shared" si="27"/>
        <v>0.03</v>
      </c>
      <c r="H44" s="51">
        <f t="shared" si="28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 t="shared" ref="G83:G85" si="38">D83+E83</f>
        <v>0.93</v>
      </c>
      <c r="H83" s="51">
        <f t="shared" ref="H83:H85" si="39"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40">IF(J83="","",IF(J83&gt;($D83+$E83),(J83-$D83-$E83),IF(J83&lt;($D83+$F83),(J83-$D83-$F83),"√")))</f>
        <v/>
      </c>
      <c r="AA83" s="53" t="str">
        <f t="shared" si="40"/>
        <v/>
      </c>
      <c r="AB83" s="53" t="str">
        <f t="shared" si="40"/>
        <v/>
      </c>
      <c r="AC83" s="53" t="str">
        <f t="shared" si="40"/>
        <v/>
      </c>
      <c r="AD83" s="53" t="str">
        <f t="shared" si="40"/>
        <v/>
      </c>
      <c r="AE83" s="53" t="str">
        <f t="shared" si="40"/>
        <v/>
      </c>
      <c r="AF83" s="53" t="str">
        <f t="shared" si="40"/>
        <v/>
      </c>
      <c r="AG83" s="53" t="str">
        <f t="shared" si="40"/>
        <v/>
      </c>
      <c r="AH83" s="53" t="str">
        <f t="shared" si="40"/>
        <v/>
      </c>
      <c r="AI83" s="53" t="str">
        <f t="shared" si="40"/>
        <v/>
      </c>
      <c r="AJ83" s="53" t="str">
        <f t="shared" si="40"/>
        <v/>
      </c>
      <c r="AK83" s="53" t="str">
        <f t="shared" si="40"/>
        <v/>
      </c>
      <c r="AL83" s="53" t="str">
        <f t="shared" si="40"/>
        <v/>
      </c>
      <c r="AM83" s="53" t="str">
        <f t="shared" si="40"/>
        <v/>
      </c>
      <c r="AN83" s="53" t="str">
        <f t="shared" si="40"/>
        <v/>
      </c>
      <c r="AO83" s="53" t="str">
        <f t="shared" si="40"/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 t="shared" si="38"/>
        <v>0.64</v>
      </c>
      <c r="H84" s="51">
        <f t="shared" si="39"/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AO84" si="41">IF(J84="","",IF(J84&gt;($D84+$E84),(J84-$D84-$E84),IF(J84&lt;($D84+$F84),(J84-$D84-$F84),"√")))</f>
        <v/>
      </c>
      <c r="AA84" s="53" t="str">
        <f t="shared" si="41"/>
        <v/>
      </c>
      <c r="AB84" s="53" t="str">
        <f t="shared" si="41"/>
        <v/>
      </c>
      <c r="AC84" s="53" t="str">
        <f t="shared" si="41"/>
        <v/>
      </c>
      <c r="AD84" s="53" t="str">
        <f t="shared" si="41"/>
        <v/>
      </c>
      <c r="AE84" s="53" t="str">
        <f t="shared" si="41"/>
        <v/>
      </c>
      <c r="AF84" s="53" t="str">
        <f t="shared" si="41"/>
        <v/>
      </c>
      <c r="AG84" s="53" t="str">
        <f t="shared" si="41"/>
        <v/>
      </c>
      <c r="AH84" s="53" t="str">
        <f t="shared" si="41"/>
        <v/>
      </c>
      <c r="AI84" s="53" t="str">
        <f t="shared" si="41"/>
        <v/>
      </c>
      <c r="AJ84" s="53" t="str">
        <f t="shared" si="41"/>
        <v/>
      </c>
      <c r="AK84" s="53" t="str">
        <f t="shared" si="41"/>
        <v/>
      </c>
      <c r="AL84" s="53" t="str">
        <f t="shared" si="41"/>
        <v/>
      </c>
      <c r="AM84" s="53" t="str">
        <f t="shared" si="41"/>
        <v/>
      </c>
      <c r="AN84" s="53" t="str">
        <f t="shared" si="41"/>
        <v/>
      </c>
      <c r="AO84" s="53" t="str">
        <f t="shared" si="41"/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 t="shared" si="38"/>
        <v>0.64</v>
      </c>
      <c r="H85" s="51">
        <f t="shared" si="39"/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:AO85" si="42">IF(J85="","",IF(J85&gt;($D85+$E85),(J85-$D85-$E85),IF(J85&lt;($D85+$F85),(J85-$D85-$F85),"√")))</f>
        <v/>
      </c>
      <c r="AA85" s="53" t="str">
        <f t="shared" si="42"/>
        <v/>
      </c>
      <c r="AB85" s="53" t="str">
        <f t="shared" si="42"/>
        <v/>
      </c>
      <c r="AC85" s="53" t="str">
        <f t="shared" si="42"/>
        <v/>
      </c>
      <c r="AD85" s="53" t="str">
        <f t="shared" si="42"/>
        <v/>
      </c>
      <c r="AE85" s="53" t="str">
        <f t="shared" si="42"/>
        <v/>
      </c>
      <c r="AF85" s="53" t="str">
        <f t="shared" si="42"/>
        <v/>
      </c>
      <c r="AG85" s="53" t="str">
        <f t="shared" si="42"/>
        <v/>
      </c>
      <c r="AH85" s="53" t="str">
        <f t="shared" si="42"/>
        <v/>
      </c>
      <c r="AI85" s="53" t="str">
        <f t="shared" si="42"/>
        <v/>
      </c>
      <c r="AJ85" s="53" t="str">
        <f t="shared" si="42"/>
        <v/>
      </c>
      <c r="AK85" s="53" t="str">
        <f t="shared" si="42"/>
        <v/>
      </c>
      <c r="AL85" s="53" t="str">
        <f t="shared" si="42"/>
        <v/>
      </c>
      <c r="AM85" s="53" t="str">
        <f t="shared" si="42"/>
        <v/>
      </c>
      <c r="AN85" s="53" t="str">
        <f t="shared" si="42"/>
        <v/>
      </c>
      <c r="AO85" s="53" t="str">
        <f t="shared" si="42"/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ref="Z86:AO86" si="43">IF(J86="","",IF(J86&gt;($D86+$E86),(J86-$D86-$E86),IF(J86&lt;($D86+$F86),(J86-$D86-$F86),"√")))</f>
        <v/>
      </c>
      <c r="AA86" s="53" t="str">
        <f t="shared" si="43"/>
        <v/>
      </c>
      <c r="AB86" s="53" t="str">
        <f t="shared" si="43"/>
        <v/>
      </c>
      <c r="AC86" s="53" t="str">
        <f t="shared" si="43"/>
        <v/>
      </c>
      <c r="AD86" s="53" t="str">
        <f t="shared" si="43"/>
        <v/>
      </c>
      <c r="AE86" s="53" t="str">
        <f t="shared" si="43"/>
        <v/>
      </c>
      <c r="AF86" s="53" t="str">
        <f t="shared" si="43"/>
        <v/>
      </c>
      <c r="AG86" s="53" t="str">
        <f t="shared" si="43"/>
        <v/>
      </c>
      <c r="AH86" s="53" t="str">
        <f t="shared" si="43"/>
        <v/>
      </c>
      <c r="AI86" s="53" t="str">
        <f t="shared" si="43"/>
        <v/>
      </c>
      <c r="AJ86" s="53" t="str">
        <f t="shared" si="43"/>
        <v/>
      </c>
      <c r="AK86" s="53" t="str">
        <f t="shared" si="43"/>
        <v/>
      </c>
      <c r="AL86" s="53" t="str">
        <f t="shared" si="43"/>
        <v/>
      </c>
      <c r="AM86" s="53" t="str">
        <f t="shared" si="43"/>
        <v/>
      </c>
      <c r="AN86" s="53" t="str">
        <f t="shared" si="43"/>
        <v/>
      </c>
      <c r="AO86" s="53" t="str">
        <f t="shared" si="4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29:Y29">
    <cfRule type="cellIs" dxfId="0" priority="5" operator="notBetween">
      <formula>$G29</formula>
      <formula>$H29</formula>
    </cfRule>
  </conditionalFormatting>
  <conditionalFormatting sqref="J30:Y30">
    <cfRule type="cellIs" dxfId="0" priority="6" operator="notBetween">
      <formula>$G30</formula>
      <formula>$H30</formula>
    </cfRule>
  </conditionalFormatting>
  <conditionalFormatting sqref="J53:Y53">
    <cfRule type="cellIs" dxfId="0" priority="12" operator="notBetween">
      <formula>$G53</formula>
      <formula>$H53</formula>
    </cfRule>
  </conditionalFormatting>
  <conditionalFormatting sqref="J57:Y57">
    <cfRule type="cellIs" dxfId="0" priority="11" operator="notBetween">
      <formula>$G57</formula>
      <formula>$H57</formula>
    </cfRule>
  </conditionalFormatting>
  <conditionalFormatting sqref="J61:Y61">
    <cfRule type="cellIs" dxfId="0" priority="10" operator="notBetween">
      <formula>$G61</formula>
      <formula>$H61</formula>
    </cfRule>
  </conditionalFormatting>
  <conditionalFormatting sqref="J65:Y65">
    <cfRule type="cellIs" dxfId="0" priority="9" operator="notBetween">
      <formula>$G65</formula>
      <formula>$H65</formula>
    </cfRule>
  </conditionalFormatting>
  <conditionalFormatting sqref="J69:Y69">
    <cfRule type="cellIs" dxfId="0" priority="8" operator="notBetween">
      <formula>$G69</formula>
      <formula>$H69</formula>
    </cfRule>
  </conditionalFormatting>
  <conditionalFormatting sqref="J76:Y76">
    <cfRule type="cellIs" dxfId="0" priority="7" operator="notBetween">
      <formula>$G76</formula>
      <formula>$H76</formula>
    </cfRule>
  </conditionalFormatting>
  <conditionalFormatting sqref="J83:Y83">
    <cfRule type="cellIs" dxfId="0" priority="4" operator="notBetween">
      <formula>$G83</formula>
      <formula>$H83</formula>
    </cfRule>
  </conditionalFormatting>
  <conditionalFormatting sqref="J84:Y84">
    <cfRule type="cellIs" dxfId="0" priority="3" operator="notBetween">
      <formula>$G84</formula>
      <formula>$H84</formula>
    </cfRule>
  </conditionalFormatting>
  <conditionalFormatting sqref="J85:Y85">
    <cfRule type="cellIs" dxfId="0" priority="1" operator="notBetween">
      <formula>$G85</formula>
      <formula>$H85</formula>
    </cfRule>
  </conditionalFormatting>
  <conditionalFormatting sqref="J86:Y86">
    <cfRule type="cellIs" dxfId="0" priority="2" operator="notBetween">
      <formula>$G86</formula>
      <formula>$H86</formula>
    </cfRule>
  </conditionalFormatting>
  <conditionalFormatting sqref="J8:Y28">
    <cfRule type="cellIs" dxfId="0" priority="14" operator="notBetween">
      <formula>$G8</formula>
      <formula>$H8</formula>
    </cfRule>
  </conditionalFormatting>
  <conditionalFormatting sqref="J31:Y31 J40:Y40 J43:Y44">
    <cfRule type="cellIs" dxfId="0" priority="13" operator="notBetween">
      <formula>$G31</formula>
      <formula>$H31</formula>
    </cfRule>
  </conditionalFormatting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6"/>
  <sheetViews>
    <sheetView tabSelected="1" workbookViewId="0">
      <selection activeCell="O16" sqref="O16:O17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3.5" customHeight="1" spans="1:41">
      <c r="A6" s="41"/>
      <c r="B6" s="42"/>
      <c r="C6" s="43"/>
      <c r="D6" s="33"/>
      <c r="E6" s="34"/>
      <c r="F6" s="35"/>
      <c r="G6" s="35"/>
      <c r="H6" s="35"/>
      <c r="I6" s="33"/>
      <c r="J6" s="45"/>
      <c r="K6" s="45"/>
      <c r="L6" s="45"/>
      <c r="M6" s="45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customHeight="1" spans="1:41">
      <c r="A7" s="41"/>
      <c r="B7" s="42"/>
      <c r="C7" s="46"/>
      <c r="D7" s="33"/>
      <c r="E7" s="34"/>
      <c r="F7" s="35"/>
      <c r="G7" s="35"/>
      <c r="H7" s="35"/>
      <c r="I7" s="33"/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37">
        <v>14</v>
      </c>
      <c r="X7" s="45">
        <v>15</v>
      </c>
      <c r="Y7" s="45">
        <v>16</v>
      </c>
      <c r="Z7" s="47">
        <f t="shared" ref="Z7:AO7" si="0">J7</f>
        <v>1</v>
      </c>
      <c r="AA7" s="47">
        <f t="shared" si="0"/>
        <v>2</v>
      </c>
      <c r="AB7" s="47">
        <f t="shared" si="0"/>
        <v>3</v>
      </c>
      <c r="AC7" s="47">
        <f t="shared" si="0"/>
        <v>4</v>
      </c>
      <c r="AD7" s="47">
        <f t="shared" si="0"/>
        <v>5</v>
      </c>
      <c r="AE7" s="47">
        <f t="shared" si="0"/>
        <v>6</v>
      </c>
      <c r="AF7" s="47">
        <f t="shared" si="0"/>
        <v>7</v>
      </c>
      <c r="AG7" s="47">
        <f t="shared" si="0"/>
        <v>8</v>
      </c>
      <c r="AH7" s="47">
        <f t="shared" si="0"/>
        <v>9</v>
      </c>
      <c r="AI7" s="47">
        <f t="shared" si="0"/>
        <v>10</v>
      </c>
      <c r="AJ7" s="47">
        <f t="shared" si="0"/>
        <v>11</v>
      </c>
      <c r="AK7" s="47">
        <f t="shared" si="0"/>
        <v>12</v>
      </c>
      <c r="AL7" s="47">
        <f t="shared" si="0"/>
        <v>13</v>
      </c>
      <c r="AM7" s="47">
        <f t="shared" si="0"/>
        <v>14</v>
      </c>
      <c r="AN7" s="47">
        <f t="shared" si="0"/>
        <v>15</v>
      </c>
      <c r="AO7" s="47">
        <f t="shared" si="0"/>
        <v>16</v>
      </c>
    </row>
    <row r="8" ht="15" customHeight="1" spans="1:41">
      <c r="A8" s="48" t="s">
        <v>28</v>
      </c>
      <c r="B8" s="49" t="s">
        <v>29</v>
      </c>
      <c r="C8" s="50"/>
      <c r="D8" s="51">
        <v>3.73</v>
      </c>
      <c r="E8" s="51">
        <v>0.05</v>
      </c>
      <c r="F8" s="51">
        <v>-0.05</v>
      </c>
      <c r="G8" s="51">
        <f t="shared" ref="G8:G31" si="1">D8+E8</f>
        <v>3.78</v>
      </c>
      <c r="H8" s="51">
        <f t="shared" ref="H8:H31" si="2">D8+F8</f>
        <v>3.68</v>
      </c>
      <c r="I8" s="51" t="s">
        <v>30</v>
      </c>
      <c r="J8" s="52">
        <v>3.7184</v>
      </c>
      <c r="K8" s="52">
        <v>3.7312</v>
      </c>
      <c r="L8" s="52">
        <v>3.7291</v>
      </c>
      <c r="M8" s="52">
        <v>3.7257</v>
      </c>
      <c r="N8" s="52">
        <v>3.723</v>
      </c>
      <c r="O8" s="52">
        <v>3.7353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3">IF(J8="","",IF(J8&gt;($D8+$E8),(J8-$D8-$E8),IF(J8&lt;($D8+$F8),(J8-$D8-$F8),"√")))</f>
        <v>√</v>
      </c>
      <c r="AA8" s="53" t="str">
        <f t="shared" si="3"/>
        <v>√</v>
      </c>
      <c r="AB8" s="53" t="str">
        <f t="shared" si="3"/>
        <v>√</v>
      </c>
      <c r="AC8" s="53" t="str">
        <f t="shared" si="3"/>
        <v>√</v>
      </c>
      <c r="AD8" s="53" t="str">
        <f t="shared" si="3"/>
        <v>√</v>
      </c>
      <c r="AE8" s="53" t="str">
        <f t="shared" si="3"/>
        <v>√</v>
      </c>
      <c r="AF8" s="53" t="str">
        <f t="shared" si="3"/>
        <v/>
      </c>
      <c r="AG8" s="53" t="str">
        <f t="shared" si="3"/>
        <v/>
      </c>
      <c r="AH8" s="53" t="str">
        <f t="shared" si="3"/>
        <v/>
      </c>
      <c r="AI8" s="53" t="str">
        <f t="shared" si="3"/>
        <v/>
      </c>
      <c r="AJ8" s="53" t="str">
        <f t="shared" si="3"/>
        <v/>
      </c>
      <c r="AK8" s="53" t="str">
        <f t="shared" si="3"/>
        <v/>
      </c>
      <c r="AL8" s="53" t="str">
        <f t="shared" si="3"/>
        <v/>
      </c>
      <c r="AM8" s="53" t="str">
        <f t="shared" si="3"/>
        <v/>
      </c>
      <c r="AN8" s="53" t="str">
        <f t="shared" si="3"/>
        <v/>
      </c>
      <c r="AO8" s="53" t="str">
        <f t="shared" si="3"/>
        <v/>
      </c>
    </row>
    <row r="9" ht="15" customHeight="1" spans="1:41">
      <c r="A9" s="54"/>
      <c r="B9" s="49" t="s">
        <v>31</v>
      </c>
      <c r="C9" s="50"/>
      <c r="D9" s="51">
        <v>1.93</v>
      </c>
      <c r="E9" s="51">
        <v>0.05</v>
      </c>
      <c r="F9" s="51">
        <v>-0.05</v>
      </c>
      <c r="G9" s="51">
        <f t="shared" si="1"/>
        <v>1.98</v>
      </c>
      <c r="H9" s="51">
        <f t="shared" si="2"/>
        <v>1.88</v>
      </c>
      <c r="I9" s="51" t="s">
        <v>30</v>
      </c>
      <c r="J9" s="52">
        <v>1.9297</v>
      </c>
      <c r="K9" s="52">
        <v>1.9315</v>
      </c>
      <c r="L9" s="52">
        <v>1.9316</v>
      </c>
      <c r="M9" s="52">
        <v>1.9328</v>
      </c>
      <c r="N9" s="52">
        <v>1.9317</v>
      </c>
      <c r="O9" s="52">
        <v>1.9325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ref="Z9:AO9" si="4">IF(J9="","",IF(J9&gt;($D9+$E9),(J9-$D9-$E9),IF(J9&lt;($D9+$F9),(J9-$D9-$F9),"√")))</f>
        <v>√</v>
      </c>
      <c r="AA9" s="53" t="str">
        <f t="shared" si="4"/>
        <v>√</v>
      </c>
      <c r="AB9" s="53" t="str">
        <f t="shared" si="4"/>
        <v>√</v>
      </c>
      <c r="AC9" s="53" t="str">
        <f t="shared" si="4"/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/>
      </c>
      <c r="AG9" s="53" t="str">
        <f t="shared" si="4"/>
        <v/>
      </c>
      <c r="AH9" s="53" t="str">
        <f t="shared" si="4"/>
        <v/>
      </c>
      <c r="AI9" s="53" t="str">
        <f t="shared" si="4"/>
        <v/>
      </c>
      <c r="AJ9" s="53" t="str">
        <f t="shared" si="4"/>
        <v/>
      </c>
      <c r="AK9" s="53" t="str">
        <f t="shared" si="4"/>
        <v/>
      </c>
      <c r="AL9" s="53" t="str">
        <f t="shared" si="4"/>
        <v/>
      </c>
      <c r="AM9" s="53" t="str">
        <f t="shared" si="4"/>
        <v/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32</v>
      </c>
      <c r="C10" s="50"/>
      <c r="D10" s="51">
        <v>1.93</v>
      </c>
      <c r="E10" s="51">
        <v>0.05</v>
      </c>
      <c r="F10" s="51">
        <v>-0.05</v>
      </c>
      <c r="G10" s="51">
        <f t="shared" si="1"/>
        <v>1.98</v>
      </c>
      <c r="H10" s="51">
        <f t="shared" si="2"/>
        <v>1.88</v>
      </c>
      <c r="I10" s="51" t="s">
        <v>30</v>
      </c>
      <c r="J10" s="52">
        <v>1.9517</v>
      </c>
      <c r="K10" s="52">
        <v>1.9523</v>
      </c>
      <c r="L10" s="52">
        <v>1.9534</v>
      </c>
      <c r="M10" s="52">
        <v>1.9539</v>
      </c>
      <c r="N10" s="52">
        <v>1.953</v>
      </c>
      <c r="O10" s="52">
        <v>1.9525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/>
      </c>
      <c r="AG10" s="53" t="str">
        <f t="shared" si="5"/>
        <v/>
      </c>
      <c r="AH10" s="53" t="str">
        <f t="shared" si="5"/>
        <v/>
      </c>
      <c r="AI10" s="53" t="str">
        <f t="shared" si="5"/>
        <v/>
      </c>
      <c r="AJ10" s="53" t="str">
        <f t="shared" si="5"/>
        <v/>
      </c>
      <c r="AK10" s="53" t="str">
        <f t="shared" si="5"/>
        <v/>
      </c>
      <c r="AL10" s="53" t="str">
        <f t="shared" si="5"/>
        <v/>
      </c>
      <c r="AM10" s="53" t="str">
        <f t="shared" si="5"/>
        <v/>
      </c>
      <c r="AN10" s="53" t="str">
        <f t="shared" si="5"/>
        <v/>
      </c>
      <c r="AO10" s="53" t="str">
        <f t="shared" si="5"/>
        <v/>
      </c>
    </row>
    <row r="11" ht="15" customHeight="1" spans="1:41">
      <c r="A11" s="54"/>
      <c r="B11" s="49" t="s">
        <v>33</v>
      </c>
      <c r="C11" s="50" t="s">
        <v>34</v>
      </c>
      <c r="D11" s="51">
        <v>1.32</v>
      </c>
      <c r="E11" s="51">
        <v>0.03</v>
      </c>
      <c r="F11" s="51">
        <v>-0.03</v>
      </c>
      <c r="G11" s="51">
        <f t="shared" si="1"/>
        <v>1.35</v>
      </c>
      <c r="H11" s="51">
        <f t="shared" si="2"/>
        <v>1.29</v>
      </c>
      <c r="I11" s="51" t="s">
        <v>30</v>
      </c>
      <c r="J11" s="52">
        <v>1.3093</v>
      </c>
      <c r="K11" s="52">
        <v>1.315</v>
      </c>
      <c r="L11" s="52">
        <v>1.3077</v>
      </c>
      <c r="M11" s="52">
        <v>1.3092</v>
      </c>
      <c r="N11" s="52">
        <v>1.3099</v>
      </c>
      <c r="O11" s="52">
        <v>1.3095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6">IF(J11="","",IF(J11&gt;($D11+$E11),(J11-$D11-$E11),IF(J11&lt;($D11+$F11),(J11-$D11-$F11),"√")))</f>
        <v>√</v>
      </c>
      <c r="AA11" s="53" t="str">
        <f t="shared" si="6"/>
        <v>√</v>
      </c>
      <c r="AB11" s="53" t="str">
        <f t="shared" si="6"/>
        <v>√</v>
      </c>
      <c r="AC11" s="53" t="str">
        <f t="shared" si="6"/>
        <v>√</v>
      </c>
      <c r="AD11" s="53" t="str">
        <f t="shared" si="6"/>
        <v>√</v>
      </c>
      <c r="AE11" s="53" t="str">
        <f t="shared" si="6"/>
        <v>√</v>
      </c>
      <c r="AF11" s="53" t="str">
        <f t="shared" si="6"/>
        <v/>
      </c>
      <c r="AG11" s="53" t="str">
        <f t="shared" si="6"/>
        <v/>
      </c>
      <c r="AH11" s="53" t="str">
        <f t="shared" si="6"/>
        <v/>
      </c>
      <c r="AI11" s="53" t="str">
        <f t="shared" si="6"/>
        <v/>
      </c>
      <c r="AJ11" s="53" t="str">
        <f t="shared" si="6"/>
        <v/>
      </c>
      <c r="AK11" s="53" t="str">
        <f t="shared" si="6"/>
        <v/>
      </c>
      <c r="AL11" s="53" t="str">
        <f t="shared" si="6"/>
        <v/>
      </c>
      <c r="AM11" s="53" t="str">
        <f t="shared" si="6"/>
        <v/>
      </c>
      <c r="AN11" s="53" t="str">
        <f t="shared" si="6"/>
        <v/>
      </c>
      <c r="AO11" s="53" t="str">
        <f t="shared" si="6"/>
        <v/>
      </c>
    </row>
    <row r="12" ht="15" customHeight="1" spans="1:41">
      <c r="A12" s="54"/>
      <c r="B12" s="49" t="s">
        <v>35</v>
      </c>
      <c r="C12" s="50" t="s">
        <v>34</v>
      </c>
      <c r="D12" s="51">
        <v>1.32</v>
      </c>
      <c r="E12" s="51">
        <v>0.03</v>
      </c>
      <c r="F12" s="51">
        <v>-0.03</v>
      </c>
      <c r="G12" s="51">
        <f t="shared" si="1"/>
        <v>1.35</v>
      </c>
      <c r="H12" s="51">
        <f t="shared" si="2"/>
        <v>1.29</v>
      </c>
      <c r="I12" s="51" t="s">
        <v>30</v>
      </c>
      <c r="J12" s="52">
        <v>1.3149</v>
      </c>
      <c r="K12" s="52">
        <v>1.3198</v>
      </c>
      <c r="L12" s="52">
        <v>1.317</v>
      </c>
      <c r="M12" s="52">
        <v>1.3173</v>
      </c>
      <c r="N12" s="52">
        <v>1.3106</v>
      </c>
      <c r="O12" s="52">
        <v>1.3205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7">IF(J12="","",IF(J12&gt;($D12+$E12),(J12-$D12-$E12),IF(J12&lt;($D12+$F12),(J12-$D12-$F12),"√")))</f>
        <v>√</v>
      </c>
      <c r="AA12" s="53" t="str">
        <f t="shared" si="7"/>
        <v>√</v>
      </c>
      <c r="AB12" s="53" t="str">
        <f t="shared" si="7"/>
        <v>√</v>
      </c>
      <c r="AC12" s="53" t="str">
        <f t="shared" si="7"/>
        <v>√</v>
      </c>
      <c r="AD12" s="53" t="str">
        <f t="shared" si="7"/>
        <v>√</v>
      </c>
      <c r="AE12" s="53" t="str">
        <f t="shared" si="7"/>
        <v>√</v>
      </c>
      <c r="AF12" s="53" t="str">
        <f t="shared" si="7"/>
        <v/>
      </c>
      <c r="AG12" s="53" t="str">
        <f t="shared" si="7"/>
        <v/>
      </c>
      <c r="AH12" s="53" t="str">
        <f t="shared" si="7"/>
        <v/>
      </c>
      <c r="AI12" s="53" t="str">
        <f t="shared" si="7"/>
        <v/>
      </c>
      <c r="AJ12" s="53" t="str">
        <f t="shared" si="7"/>
        <v/>
      </c>
      <c r="AK12" s="53" t="str">
        <f t="shared" si="7"/>
        <v/>
      </c>
      <c r="AL12" s="53" t="str">
        <f t="shared" si="7"/>
        <v/>
      </c>
      <c r="AM12" s="53" t="str">
        <f t="shared" si="7"/>
        <v/>
      </c>
      <c r="AN12" s="53" t="str">
        <f t="shared" si="7"/>
        <v/>
      </c>
      <c r="AO12" s="53" t="str">
        <f t="shared" si="7"/>
        <v/>
      </c>
    </row>
    <row r="13" ht="15" customHeight="1" spans="1:41">
      <c r="A13" s="54"/>
      <c r="B13" s="49" t="s">
        <v>36</v>
      </c>
      <c r="C13" s="50"/>
      <c r="D13" s="51">
        <v>2.455</v>
      </c>
      <c r="E13" s="51">
        <v>0.03</v>
      </c>
      <c r="F13" s="51">
        <v>-0.03</v>
      </c>
      <c r="G13" s="51">
        <f t="shared" si="1"/>
        <v>2.485</v>
      </c>
      <c r="H13" s="51">
        <f t="shared" si="2"/>
        <v>2.425</v>
      </c>
      <c r="I13" s="51" t="s">
        <v>30</v>
      </c>
      <c r="J13" s="52">
        <v>2.4402</v>
      </c>
      <c r="K13" s="52">
        <v>2.4417</v>
      </c>
      <c r="L13" s="52">
        <v>2.4428</v>
      </c>
      <c r="M13" s="52">
        <v>2.4442</v>
      </c>
      <c r="N13" s="52">
        <v>2.4425</v>
      </c>
      <c r="O13" s="52">
        <v>2.4504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8">IF(J13="","",IF(J13&gt;($D13+$E13),(J13-$D13-$E13),IF(J13&lt;($D13+$F13),(J13-$D13-$F13),"√")))</f>
        <v>√</v>
      </c>
      <c r="AA13" s="53" t="str">
        <f t="shared" si="8"/>
        <v>√</v>
      </c>
      <c r="AB13" s="53" t="str">
        <f t="shared" si="8"/>
        <v>√</v>
      </c>
      <c r="AC13" s="53" t="str">
        <f t="shared" si="8"/>
        <v>√</v>
      </c>
      <c r="AD13" s="53" t="str">
        <f t="shared" si="8"/>
        <v>√</v>
      </c>
      <c r="AE13" s="53" t="str">
        <f t="shared" si="8"/>
        <v>√</v>
      </c>
      <c r="AF13" s="53" t="str">
        <f t="shared" si="8"/>
        <v/>
      </c>
      <c r="AG13" s="53" t="str">
        <f t="shared" si="8"/>
        <v/>
      </c>
      <c r="AH13" s="53" t="str">
        <f t="shared" si="8"/>
        <v/>
      </c>
      <c r="AI13" s="53" t="str">
        <f t="shared" si="8"/>
        <v/>
      </c>
      <c r="AJ13" s="53" t="str">
        <f t="shared" si="8"/>
        <v/>
      </c>
      <c r="AK13" s="53" t="str">
        <f t="shared" si="8"/>
        <v/>
      </c>
      <c r="AL13" s="53" t="str">
        <f t="shared" si="8"/>
        <v/>
      </c>
      <c r="AM13" s="53" t="str">
        <f t="shared" si="8"/>
        <v/>
      </c>
      <c r="AN13" s="53" t="str">
        <f t="shared" si="8"/>
        <v/>
      </c>
      <c r="AO13" s="53" t="str">
        <f t="shared" si="8"/>
        <v/>
      </c>
    </row>
    <row r="14" ht="15" customHeight="1" spans="1:41">
      <c r="A14" s="54"/>
      <c r="B14" s="49" t="s">
        <v>37</v>
      </c>
      <c r="C14" s="50"/>
      <c r="D14" s="51">
        <v>2.91</v>
      </c>
      <c r="E14" s="51">
        <v>0.05</v>
      </c>
      <c r="F14" s="51">
        <v>-0.05</v>
      </c>
      <c r="G14" s="51">
        <f t="shared" si="1"/>
        <v>2.96</v>
      </c>
      <c r="H14" s="51">
        <f t="shared" si="2"/>
        <v>2.86</v>
      </c>
      <c r="I14" s="51" t="s">
        <v>30</v>
      </c>
      <c r="J14" s="52">
        <v>2.8831</v>
      </c>
      <c r="K14" s="52">
        <v>2.8881</v>
      </c>
      <c r="L14" s="52">
        <v>2.8863</v>
      </c>
      <c r="M14" s="52">
        <v>2.8826</v>
      </c>
      <c r="N14" s="52">
        <v>2.8843</v>
      </c>
      <c r="O14" s="52">
        <v>2.8883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9">IF(J14="","",IF(J14&gt;($D14+$E14),(J14-$D14-$E14),IF(J14&lt;($D14+$F14),(J14-$D14-$F14),"√")))</f>
        <v>√</v>
      </c>
      <c r="AA14" s="53" t="str">
        <f t="shared" si="9"/>
        <v>√</v>
      </c>
      <c r="AB14" s="53" t="str">
        <f t="shared" si="9"/>
        <v>√</v>
      </c>
      <c r="AC14" s="53" t="str">
        <f t="shared" si="9"/>
        <v>√</v>
      </c>
      <c r="AD14" s="53" t="str">
        <f t="shared" si="9"/>
        <v>√</v>
      </c>
      <c r="AE14" s="53" t="str">
        <f t="shared" si="9"/>
        <v>√</v>
      </c>
      <c r="AF14" s="53" t="str">
        <f t="shared" si="9"/>
        <v/>
      </c>
      <c r="AG14" s="53" t="str">
        <f t="shared" si="9"/>
        <v/>
      </c>
      <c r="AH14" s="53" t="str">
        <f t="shared" si="9"/>
        <v/>
      </c>
      <c r="AI14" s="53" t="str">
        <f t="shared" si="9"/>
        <v/>
      </c>
      <c r="AJ14" s="53" t="str">
        <f t="shared" si="9"/>
        <v/>
      </c>
      <c r="AK14" s="53" t="str">
        <f t="shared" si="9"/>
        <v/>
      </c>
      <c r="AL14" s="53" t="str">
        <f t="shared" si="9"/>
        <v/>
      </c>
      <c r="AM14" s="53" t="str">
        <f t="shared" si="9"/>
        <v/>
      </c>
      <c r="AN14" s="53" t="str">
        <f t="shared" si="9"/>
        <v/>
      </c>
      <c r="AO14" s="53" t="str">
        <f t="shared" si="9"/>
        <v/>
      </c>
    </row>
    <row r="15" ht="15" customHeight="1" spans="1:41">
      <c r="A15" s="54"/>
      <c r="B15" s="49" t="s">
        <v>38</v>
      </c>
      <c r="C15" s="50"/>
      <c r="D15" s="51">
        <v>1.93</v>
      </c>
      <c r="E15" s="51">
        <v>0.03</v>
      </c>
      <c r="F15" s="51">
        <v>-0.03</v>
      </c>
      <c r="G15" s="51">
        <f t="shared" si="1"/>
        <v>1.96</v>
      </c>
      <c r="H15" s="51">
        <f t="shared" si="2"/>
        <v>1.9</v>
      </c>
      <c r="I15" s="51" t="s">
        <v>30</v>
      </c>
      <c r="J15" s="52">
        <v>1.9414</v>
      </c>
      <c r="K15" s="52">
        <v>1.9402</v>
      </c>
      <c r="L15" s="52">
        <v>1.9407</v>
      </c>
      <c r="M15" s="52">
        <v>1.9397</v>
      </c>
      <c r="N15" s="52">
        <v>1.9405</v>
      </c>
      <c r="O15" s="52">
        <v>1.9391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 t="str">
        <f t="shared" ref="Z15:AO15" si="10">IF(J15="","",IF(J15&gt;($D15+$E15),(J15-$D15-$E15),IF(J15&lt;($D15+$F15),(J15-$D15-$F15),"√")))</f>
        <v>√</v>
      </c>
      <c r="AA15" s="53" t="str">
        <f t="shared" si="10"/>
        <v>√</v>
      </c>
      <c r="AB15" s="53" t="str">
        <f t="shared" si="10"/>
        <v>√</v>
      </c>
      <c r="AC15" s="53" t="str">
        <f t="shared" si="10"/>
        <v>√</v>
      </c>
      <c r="AD15" s="53" t="str">
        <f t="shared" si="10"/>
        <v>√</v>
      </c>
      <c r="AE15" s="53" t="str">
        <f t="shared" si="10"/>
        <v>√</v>
      </c>
      <c r="AF15" s="53" t="str">
        <f t="shared" si="10"/>
        <v/>
      </c>
      <c r="AG15" s="53" t="str">
        <f t="shared" si="10"/>
        <v/>
      </c>
      <c r="AH15" s="53" t="str">
        <f t="shared" si="10"/>
        <v/>
      </c>
      <c r="AI15" s="53" t="str">
        <f t="shared" si="10"/>
        <v/>
      </c>
      <c r="AJ15" s="53" t="str">
        <f t="shared" si="10"/>
        <v/>
      </c>
      <c r="AK15" s="53" t="str">
        <f t="shared" si="10"/>
        <v/>
      </c>
      <c r="AL15" s="53" t="str">
        <f t="shared" si="10"/>
        <v/>
      </c>
      <c r="AM15" s="53" t="str">
        <f t="shared" si="10"/>
        <v/>
      </c>
      <c r="AN15" s="53" t="str">
        <f t="shared" si="10"/>
        <v/>
      </c>
      <c r="AO15" s="53" t="str">
        <f t="shared" si="10"/>
        <v/>
      </c>
    </row>
    <row r="16" ht="15" customHeight="1" spans="1:41">
      <c r="A16" s="54"/>
      <c r="B16" s="49" t="s">
        <v>39</v>
      </c>
      <c r="C16" s="50"/>
      <c r="D16" s="51">
        <v>2.14</v>
      </c>
      <c r="E16" s="51">
        <v>0.05</v>
      </c>
      <c r="F16" s="51">
        <v>-0.05</v>
      </c>
      <c r="G16" s="51">
        <f t="shared" si="1"/>
        <v>2.19</v>
      </c>
      <c r="H16" s="51">
        <f t="shared" si="2"/>
        <v>2.09</v>
      </c>
      <c r="I16" s="51" t="s">
        <v>30</v>
      </c>
      <c r="J16" s="52">
        <v>2.1611</v>
      </c>
      <c r="K16" s="52">
        <v>2.1604</v>
      </c>
      <c r="L16" s="52">
        <v>2.1602</v>
      </c>
      <c r="M16" s="52">
        <v>2.1602</v>
      </c>
      <c r="N16" s="52">
        <v>2.16</v>
      </c>
      <c r="O16" s="52">
        <v>2.1608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 t="str">
        <f t="shared" ref="Z16:AO16" si="11">IF(J16="","",IF(J16&gt;($D16+$E16),(J16-$D16-$E16),IF(J16&lt;($D16+$F16),(J16-$D16-$F16),"√")))</f>
        <v>√</v>
      </c>
      <c r="AA16" s="53" t="str">
        <f t="shared" si="11"/>
        <v>√</v>
      </c>
      <c r="AB16" s="53" t="str">
        <f t="shared" si="11"/>
        <v>√</v>
      </c>
      <c r="AC16" s="53" t="str">
        <f t="shared" si="11"/>
        <v>√</v>
      </c>
      <c r="AD16" s="53" t="str">
        <f t="shared" si="11"/>
        <v>√</v>
      </c>
      <c r="AE16" s="53" t="str">
        <f t="shared" si="11"/>
        <v>√</v>
      </c>
      <c r="AF16" s="53" t="str">
        <f t="shared" si="11"/>
        <v/>
      </c>
      <c r="AG16" s="53" t="str">
        <f t="shared" si="11"/>
        <v/>
      </c>
      <c r="AH16" s="53" t="str">
        <f t="shared" si="11"/>
        <v/>
      </c>
      <c r="AI16" s="53" t="str">
        <f t="shared" si="11"/>
        <v/>
      </c>
      <c r="AJ16" s="53" t="str">
        <f t="shared" si="11"/>
        <v/>
      </c>
      <c r="AK16" s="53" t="str">
        <f t="shared" si="11"/>
        <v/>
      </c>
      <c r="AL16" s="53" t="str">
        <f t="shared" si="11"/>
        <v/>
      </c>
      <c r="AM16" s="53" t="str">
        <f t="shared" si="11"/>
        <v/>
      </c>
      <c r="AN16" s="53" t="str">
        <f t="shared" si="11"/>
        <v/>
      </c>
      <c r="AO16" s="53" t="str">
        <f t="shared" si="11"/>
        <v/>
      </c>
    </row>
    <row r="17" ht="15" customHeight="1" spans="1:41">
      <c r="A17" s="54"/>
      <c r="B17" s="49" t="s">
        <v>40</v>
      </c>
      <c r="C17" s="50"/>
      <c r="D17" s="51">
        <v>2.14</v>
      </c>
      <c r="E17" s="51">
        <v>0.05</v>
      </c>
      <c r="F17" s="51">
        <v>-0.05</v>
      </c>
      <c r="G17" s="51">
        <f t="shared" si="1"/>
        <v>2.19</v>
      </c>
      <c r="H17" s="51">
        <f t="shared" si="2"/>
        <v>2.09</v>
      </c>
      <c r="I17" s="51" t="s">
        <v>30</v>
      </c>
      <c r="J17" s="52">
        <v>2.1695</v>
      </c>
      <c r="K17" s="52">
        <v>2.1701</v>
      </c>
      <c r="L17" s="52">
        <v>2.1697</v>
      </c>
      <c r="M17" s="52">
        <v>2.1702</v>
      </c>
      <c r="N17" s="52">
        <v>2.1704</v>
      </c>
      <c r="O17" s="52">
        <v>2.1691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 t="str">
        <f t="shared" ref="Z17:AO17" si="12">IF(J17="","",IF(J17&gt;($D17+$E17),(J17-$D17-$E17),IF(J17&lt;($D17+$F17),(J17-$D17-$F17),"√")))</f>
        <v>√</v>
      </c>
      <c r="AA17" s="53" t="str">
        <f t="shared" si="12"/>
        <v>√</v>
      </c>
      <c r="AB17" s="53" t="str">
        <f t="shared" si="12"/>
        <v>√</v>
      </c>
      <c r="AC17" s="53" t="str">
        <f t="shared" si="12"/>
        <v>√</v>
      </c>
      <c r="AD17" s="53" t="str">
        <f t="shared" si="12"/>
        <v>√</v>
      </c>
      <c r="AE17" s="53" t="str">
        <f t="shared" si="12"/>
        <v>√</v>
      </c>
      <c r="AF17" s="53" t="str">
        <f t="shared" si="12"/>
        <v/>
      </c>
      <c r="AG17" s="53" t="str">
        <f t="shared" si="12"/>
        <v/>
      </c>
      <c r="AH17" s="53" t="str">
        <f t="shared" si="12"/>
        <v/>
      </c>
      <c r="AI17" s="53" t="str">
        <f t="shared" si="12"/>
        <v/>
      </c>
      <c r="AJ17" s="53" t="str">
        <f t="shared" si="12"/>
        <v/>
      </c>
      <c r="AK17" s="53" t="str">
        <f t="shared" si="12"/>
        <v/>
      </c>
      <c r="AL17" s="53" t="str">
        <f t="shared" si="12"/>
        <v/>
      </c>
      <c r="AM17" s="53" t="str">
        <f t="shared" si="12"/>
        <v/>
      </c>
      <c r="AN17" s="53" t="str">
        <f t="shared" si="12"/>
        <v/>
      </c>
      <c r="AO17" s="53" t="str">
        <f t="shared" si="12"/>
        <v/>
      </c>
    </row>
    <row r="18" ht="15" customHeight="1" spans="1:41">
      <c r="A18" s="54"/>
      <c r="B18" s="49" t="s">
        <v>41</v>
      </c>
      <c r="C18" s="50"/>
      <c r="D18" s="51">
        <v>5.39</v>
      </c>
      <c r="E18" s="51">
        <v>0.015</v>
      </c>
      <c r="F18" s="51">
        <v>-0.015</v>
      </c>
      <c r="G18" s="51">
        <f t="shared" si="1"/>
        <v>5.405</v>
      </c>
      <c r="H18" s="51">
        <f t="shared" si="2"/>
        <v>5.375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ref="Z18:AO18" si="13">IF(J18="","",IF(J18&gt;($D18+$E18),(J18-$D18-$E18),IF(J18&lt;($D18+$F18),(J18-$D18-$F18),"√")))</f>
        <v/>
      </c>
      <c r="AA18" s="53" t="str">
        <f t="shared" si="13"/>
        <v/>
      </c>
      <c r="AB18" s="53" t="str">
        <f t="shared" si="13"/>
        <v/>
      </c>
      <c r="AC18" s="53" t="str">
        <f t="shared" si="13"/>
        <v/>
      </c>
      <c r="AD18" s="53" t="str">
        <f t="shared" si="13"/>
        <v/>
      </c>
      <c r="AE18" s="53" t="str">
        <f t="shared" si="13"/>
        <v/>
      </c>
      <c r="AF18" s="53" t="str">
        <f t="shared" si="13"/>
        <v/>
      </c>
      <c r="AG18" s="53" t="str">
        <f t="shared" si="13"/>
        <v/>
      </c>
      <c r="AH18" s="53" t="str">
        <f t="shared" si="13"/>
        <v/>
      </c>
      <c r="AI18" s="53" t="str">
        <f t="shared" si="13"/>
        <v/>
      </c>
      <c r="AJ18" s="53" t="str">
        <f t="shared" si="13"/>
        <v/>
      </c>
      <c r="AK18" s="53" t="str">
        <f t="shared" si="13"/>
        <v/>
      </c>
      <c r="AL18" s="53" t="str">
        <f t="shared" si="13"/>
        <v/>
      </c>
      <c r="AM18" s="53" t="str">
        <f t="shared" si="13"/>
        <v/>
      </c>
      <c r="AN18" s="53" t="str">
        <f t="shared" si="13"/>
        <v/>
      </c>
      <c r="AO18" s="53" t="str">
        <f t="shared" si="13"/>
        <v/>
      </c>
    </row>
    <row r="19" ht="15" customHeight="1" spans="1:41">
      <c r="A19" s="54"/>
      <c r="B19" s="49" t="s">
        <v>43</v>
      </c>
      <c r="C19" s="50"/>
      <c r="D19" s="51">
        <v>2.1</v>
      </c>
      <c r="E19" s="51">
        <v>0.05</v>
      </c>
      <c r="F19" s="51">
        <v>-0.05</v>
      </c>
      <c r="G19" s="51">
        <f t="shared" si="1"/>
        <v>2.15</v>
      </c>
      <c r="H19" s="51">
        <f t="shared" si="2"/>
        <v>2.05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AO19" si="14">IF(J19="","",IF(J19&gt;($D19+$E19),(J19-$D19-$E19),IF(J19&lt;($D19+$F19),(J19-$D19-$F19),"√")))</f>
        <v/>
      </c>
      <c r="AA19" s="53" t="str">
        <f t="shared" si="14"/>
        <v/>
      </c>
      <c r="AB19" s="53" t="str">
        <f t="shared" si="14"/>
        <v/>
      </c>
      <c r="AC19" s="53" t="str">
        <f t="shared" si="14"/>
        <v/>
      </c>
      <c r="AD19" s="53" t="str">
        <f t="shared" si="14"/>
        <v/>
      </c>
      <c r="AE19" s="53" t="str">
        <f t="shared" si="14"/>
        <v/>
      </c>
      <c r="AF19" s="53" t="str">
        <f t="shared" si="14"/>
        <v/>
      </c>
      <c r="AG19" s="53" t="str">
        <f t="shared" si="14"/>
        <v/>
      </c>
      <c r="AH19" s="53" t="str">
        <f t="shared" si="14"/>
        <v/>
      </c>
      <c r="AI19" s="53" t="str">
        <f t="shared" si="14"/>
        <v/>
      </c>
      <c r="AJ19" s="53" t="str">
        <f t="shared" si="14"/>
        <v/>
      </c>
      <c r="AK19" s="53" t="str">
        <f t="shared" si="14"/>
        <v/>
      </c>
      <c r="AL19" s="53" t="str">
        <f t="shared" si="14"/>
        <v/>
      </c>
      <c r="AM19" s="53" t="str">
        <f t="shared" si="14"/>
        <v/>
      </c>
      <c r="AN19" s="53" t="str">
        <f t="shared" si="14"/>
        <v/>
      </c>
      <c r="AO19" s="53" t="str">
        <f t="shared" si="14"/>
        <v/>
      </c>
    </row>
    <row r="20" ht="15" customHeight="1" spans="1:41">
      <c r="A20" s="54"/>
      <c r="B20" s="49" t="s">
        <v>44</v>
      </c>
      <c r="C20" s="50"/>
      <c r="D20" s="51">
        <v>2.1</v>
      </c>
      <c r="E20" s="51">
        <v>0.05</v>
      </c>
      <c r="F20" s="51">
        <v>-0.05</v>
      </c>
      <c r="G20" s="51">
        <f t="shared" si="1"/>
        <v>2.15</v>
      </c>
      <c r="H20" s="51">
        <f t="shared" si="2"/>
        <v>2.05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5">IF(J20="","",IF(J20&gt;($D20+$E20),(J20-$D20-$E20),IF(J20&lt;($D20+$F20),(J20-$D20-$F20),"√")))</f>
        <v/>
      </c>
      <c r="AA20" s="53" t="str">
        <f t="shared" si="15"/>
        <v/>
      </c>
      <c r="AB20" s="53" t="str">
        <f t="shared" si="15"/>
        <v/>
      </c>
      <c r="AC20" s="53" t="str">
        <f t="shared" si="15"/>
        <v/>
      </c>
      <c r="AD20" s="53" t="str">
        <f t="shared" si="15"/>
        <v/>
      </c>
      <c r="AE20" s="53" t="str">
        <f t="shared" si="15"/>
        <v/>
      </c>
      <c r="AF20" s="53" t="str">
        <f t="shared" si="15"/>
        <v/>
      </c>
      <c r="AG20" s="53" t="str">
        <f t="shared" si="15"/>
        <v/>
      </c>
      <c r="AH20" s="53" t="str">
        <f t="shared" si="15"/>
        <v/>
      </c>
      <c r="AI20" s="53" t="str">
        <f t="shared" si="15"/>
        <v/>
      </c>
      <c r="AJ20" s="53" t="str">
        <f t="shared" si="15"/>
        <v/>
      </c>
      <c r="AK20" s="53" t="str">
        <f t="shared" si="15"/>
        <v/>
      </c>
      <c r="AL20" s="53" t="str">
        <f t="shared" si="15"/>
        <v/>
      </c>
      <c r="AM20" s="53" t="str">
        <f t="shared" si="15"/>
        <v/>
      </c>
      <c r="AN20" s="53" t="str">
        <f t="shared" si="15"/>
        <v/>
      </c>
      <c r="AO20" s="53" t="str">
        <f t="shared" si="15"/>
        <v/>
      </c>
    </row>
    <row r="21" ht="15" customHeight="1" spans="1:41">
      <c r="A21" s="54"/>
      <c r="B21" s="49" t="s">
        <v>45</v>
      </c>
      <c r="C21" s="50"/>
      <c r="D21" s="51">
        <v>0.48</v>
      </c>
      <c r="E21" s="51">
        <v>0.03</v>
      </c>
      <c r="F21" s="51">
        <v>-0.03</v>
      </c>
      <c r="G21" s="51">
        <f t="shared" si="1"/>
        <v>0.51</v>
      </c>
      <c r="H21" s="51">
        <f t="shared" si="2"/>
        <v>0.45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6">IF(J21="","",IF(J21&gt;($D21+$E21),(J21-$D21-$E21),IF(J21&lt;($D21+$F21),(J21-$D21-$F21),"√")))</f>
        <v/>
      </c>
      <c r="AA21" s="53" t="str">
        <f t="shared" si="16"/>
        <v/>
      </c>
      <c r="AB21" s="53" t="str">
        <f t="shared" si="16"/>
        <v/>
      </c>
      <c r="AC21" s="53" t="str">
        <f t="shared" si="16"/>
        <v/>
      </c>
      <c r="AD21" s="53" t="str">
        <f t="shared" si="16"/>
        <v/>
      </c>
      <c r="AE21" s="53" t="str">
        <f t="shared" si="16"/>
        <v/>
      </c>
      <c r="AF21" s="53" t="str">
        <f t="shared" si="16"/>
        <v/>
      </c>
      <c r="AG21" s="53" t="str">
        <f t="shared" si="16"/>
        <v/>
      </c>
      <c r="AH21" s="53" t="str">
        <f t="shared" si="16"/>
        <v/>
      </c>
      <c r="AI21" s="53" t="str">
        <f t="shared" si="16"/>
        <v/>
      </c>
      <c r="AJ21" s="53" t="str">
        <f t="shared" si="16"/>
        <v/>
      </c>
      <c r="AK21" s="53" t="str">
        <f t="shared" si="16"/>
        <v/>
      </c>
      <c r="AL21" s="53" t="str">
        <f t="shared" si="16"/>
        <v/>
      </c>
      <c r="AM21" s="53" t="str">
        <f t="shared" si="16"/>
        <v/>
      </c>
      <c r="AN21" s="53" t="str">
        <f t="shared" si="16"/>
        <v/>
      </c>
      <c r="AO21" s="53" t="str">
        <f t="shared" si="16"/>
        <v/>
      </c>
    </row>
    <row r="22" ht="15" customHeight="1" spans="1:41">
      <c r="A22" s="54"/>
      <c r="B22" s="49" t="s">
        <v>46</v>
      </c>
      <c r="C22" s="50"/>
      <c r="D22" s="51">
        <v>0.48</v>
      </c>
      <c r="E22" s="51">
        <v>0.03</v>
      </c>
      <c r="F22" s="51">
        <v>-0.03</v>
      </c>
      <c r="G22" s="51">
        <f t="shared" si="1"/>
        <v>0.51</v>
      </c>
      <c r="H22" s="51">
        <f t="shared" si="2"/>
        <v>0.45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7">IF(J22="","",IF(J22&gt;($D22+$E22),(J22-$D22-$E22),IF(J22&lt;($D22+$F22),(J22-$D22-$F22),"√")))</f>
        <v/>
      </c>
      <c r="AA22" s="53" t="str">
        <f t="shared" si="17"/>
        <v/>
      </c>
      <c r="AB22" s="53" t="str">
        <f t="shared" si="17"/>
        <v/>
      </c>
      <c r="AC22" s="53" t="str">
        <f t="shared" si="17"/>
        <v/>
      </c>
      <c r="AD22" s="53" t="str">
        <f t="shared" si="17"/>
        <v/>
      </c>
      <c r="AE22" s="53" t="str">
        <f t="shared" si="17"/>
        <v/>
      </c>
      <c r="AF22" s="53" t="str">
        <f t="shared" si="17"/>
        <v/>
      </c>
      <c r="AG22" s="53" t="str">
        <f t="shared" si="17"/>
        <v/>
      </c>
      <c r="AH22" s="53" t="str">
        <f t="shared" si="17"/>
        <v/>
      </c>
      <c r="AI22" s="53" t="str">
        <f t="shared" si="17"/>
        <v/>
      </c>
      <c r="AJ22" s="53" t="str">
        <f t="shared" si="17"/>
        <v/>
      </c>
      <c r="AK22" s="53" t="str">
        <f t="shared" si="17"/>
        <v/>
      </c>
      <c r="AL22" s="53" t="str">
        <f t="shared" si="17"/>
        <v/>
      </c>
      <c r="AM22" s="53" t="str">
        <f t="shared" si="17"/>
        <v/>
      </c>
      <c r="AN22" s="53" t="str">
        <f t="shared" si="17"/>
        <v/>
      </c>
      <c r="AO22" s="53" t="str">
        <f t="shared" si="17"/>
        <v/>
      </c>
    </row>
    <row r="23" ht="15" customHeight="1" spans="1:41">
      <c r="A23" s="54"/>
      <c r="B23" s="49" t="s">
        <v>47</v>
      </c>
      <c r="C23" s="50"/>
      <c r="D23" s="51">
        <v>1.05</v>
      </c>
      <c r="E23" s="51">
        <v>0.03</v>
      </c>
      <c r="F23" s="51">
        <v>-0.03</v>
      </c>
      <c r="G23" s="51">
        <f t="shared" si="1"/>
        <v>1.08</v>
      </c>
      <c r="H23" s="51">
        <f t="shared" si="2"/>
        <v>1.02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8">IF(J23="","",IF(J23&gt;($D23+$E23),(J23-$D23-$E23),IF(J23&lt;($D23+$F23),(J23-$D23-$F23),"√")))</f>
        <v/>
      </c>
      <c r="AA23" s="53" t="str">
        <f t="shared" si="18"/>
        <v/>
      </c>
      <c r="AB23" s="53" t="str">
        <f t="shared" si="18"/>
        <v/>
      </c>
      <c r="AC23" s="53" t="str">
        <f t="shared" si="18"/>
        <v/>
      </c>
      <c r="AD23" s="53" t="str">
        <f t="shared" si="18"/>
        <v/>
      </c>
      <c r="AE23" s="53" t="str">
        <f t="shared" si="18"/>
        <v/>
      </c>
      <c r="AF23" s="53" t="str">
        <f t="shared" si="18"/>
        <v/>
      </c>
      <c r="AG23" s="53" t="str">
        <f t="shared" si="18"/>
        <v/>
      </c>
      <c r="AH23" s="53" t="str">
        <f t="shared" si="18"/>
        <v/>
      </c>
      <c r="AI23" s="53" t="str">
        <f t="shared" si="18"/>
        <v/>
      </c>
      <c r="AJ23" s="53" t="str">
        <f t="shared" si="18"/>
        <v/>
      </c>
      <c r="AK23" s="53" t="str">
        <f t="shared" si="18"/>
        <v/>
      </c>
      <c r="AL23" s="53" t="str">
        <f t="shared" si="18"/>
        <v/>
      </c>
      <c r="AM23" s="53" t="str">
        <f t="shared" si="18"/>
        <v/>
      </c>
      <c r="AN23" s="53" t="str">
        <f t="shared" si="18"/>
        <v/>
      </c>
      <c r="AO23" s="53" t="str">
        <f t="shared" si="18"/>
        <v/>
      </c>
    </row>
    <row r="24" ht="15" customHeight="1" spans="1:41">
      <c r="A24" s="54"/>
      <c r="B24" s="49" t="s">
        <v>48</v>
      </c>
      <c r="C24" s="50"/>
      <c r="D24" s="51">
        <v>0.7</v>
      </c>
      <c r="E24" s="51">
        <v>0.05</v>
      </c>
      <c r="F24" s="51">
        <v>-0.05</v>
      </c>
      <c r="G24" s="51">
        <f t="shared" si="1"/>
        <v>0.75</v>
      </c>
      <c r="H24" s="51">
        <f t="shared" si="2"/>
        <v>0.65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19">IF(J24="","",IF(J24&gt;($D24+$E24),(J24-$D24-$E24),IF(J24&lt;($D24+$F24),(J24-$D24-$F24),"√")))</f>
        <v/>
      </c>
      <c r="AA24" s="53" t="str">
        <f t="shared" si="19"/>
        <v/>
      </c>
      <c r="AB24" s="53" t="str">
        <f t="shared" si="19"/>
        <v/>
      </c>
      <c r="AC24" s="53" t="str">
        <f t="shared" si="19"/>
        <v/>
      </c>
      <c r="AD24" s="53" t="str">
        <f t="shared" si="19"/>
        <v/>
      </c>
      <c r="AE24" s="53" t="str">
        <f t="shared" si="19"/>
        <v/>
      </c>
      <c r="AF24" s="53" t="str">
        <f t="shared" si="19"/>
        <v/>
      </c>
      <c r="AG24" s="53" t="str">
        <f t="shared" si="19"/>
        <v/>
      </c>
      <c r="AH24" s="53" t="str">
        <f t="shared" si="19"/>
        <v/>
      </c>
      <c r="AI24" s="53" t="str">
        <f t="shared" si="19"/>
        <v/>
      </c>
      <c r="AJ24" s="53" t="str">
        <f t="shared" si="19"/>
        <v/>
      </c>
      <c r="AK24" s="53" t="str">
        <f t="shared" si="19"/>
        <v/>
      </c>
      <c r="AL24" s="53" t="str">
        <f t="shared" si="19"/>
        <v/>
      </c>
      <c r="AM24" s="53" t="str">
        <f t="shared" si="19"/>
        <v/>
      </c>
      <c r="AN24" s="53" t="str">
        <f t="shared" si="19"/>
        <v/>
      </c>
      <c r="AO24" s="53" t="str">
        <f t="shared" si="19"/>
        <v/>
      </c>
    </row>
    <row r="25" ht="15" customHeight="1" spans="1:41">
      <c r="A25" s="54"/>
      <c r="B25" s="49" t="s">
        <v>49</v>
      </c>
      <c r="C25" s="50"/>
      <c r="D25" s="51">
        <v>0.32</v>
      </c>
      <c r="E25" s="51">
        <v>0.03</v>
      </c>
      <c r="F25" s="51">
        <v>-0.03</v>
      </c>
      <c r="G25" s="51">
        <f t="shared" si="1"/>
        <v>0.35</v>
      </c>
      <c r="H25" s="51">
        <f t="shared" si="2"/>
        <v>0.29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0">IF(J25="","",IF(J25&gt;($D25+$E25),(J25-$D25-$E25),IF(J25&lt;($D25+$F25),(J25-$D25-$F25),"√")))</f>
        <v/>
      </c>
      <c r="AA25" s="53" t="str">
        <f t="shared" si="20"/>
        <v/>
      </c>
      <c r="AB25" s="53" t="str">
        <f t="shared" si="20"/>
        <v/>
      </c>
      <c r="AC25" s="53" t="str">
        <f t="shared" si="20"/>
        <v/>
      </c>
      <c r="AD25" s="53" t="str">
        <f t="shared" si="20"/>
        <v/>
      </c>
      <c r="AE25" s="53" t="str">
        <f t="shared" si="20"/>
        <v/>
      </c>
      <c r="AF25" s="53" t="str">
        <f t="shared" si="20"/>
        <v/>
      </c>
      <c r="AG25" s="53" t="str">
        <f t="shared" si="20"/>
        <v/>
      </c>
      <c r="AH25" s="53" t="str">
        <f t="shared" si="20"/>
        <v/>
      </c>
      <c r="AI25" s="53" t="str">
        <f t="shared" si="20"/>
        <v/>
      </c>
      <c r="AJ25" s="53" t="str">
        <f t="shared" si="20"/>
        <v/>
      </c>
      <c r="AK25" s="53" t="str">
        <f t="shared" si="20"/>
        <v/>
      </c>
      <c r="AL25" s="53" t="str">
        <f t="shared" si="20"/>
        <v/>
      </c>
      <c r="AM25" s="53" t="str">
        <f t="shared" si="20"/>
        <v/>
      </c>
      <c r="AN25" s="53" t="str">
        <f t="shared" si="20"/>
        <v/>
      </c>
      <c r="AO25" s="53" t="str">
        <f t="shared" si="20"/>
        <v/>
      </c>
    </row>
    <row r="26" ht="15" customHeight="1" spans="1:41">
      <c r="A26" s="54"/>
      <c r="B26" s="49" t="s">
        <v>50</v>
      </c>
      <c r="C26" s="50"/>
      <c r="D26" s="51">
        <v>0.3</v>
      </c>
      <c r="E26" s="51">
        <v>0.03</v>
      </c>
      <c r="F26" s="51">
        <v>-0.03</v>
      </c>
      <c r="G26" s="51">
        <f t="shared" si="1"/>
        <v>0.33</v>
      </c>
      <c r="H26" s="51">
        <f t="shared" si="2"/>
        <v>0.27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1">IF(J26="","",IF(J26&gt;($D26+$E26),(J26-$D26-$E26),IF(J26&lt;($D26+$F26),(J26-$D26-$F26),"√")))</f>
        <v/>
      </c>
      <c r="AA26" s="53" t="str">
        <f t="shared" si="21"/>
        <v/>
      </c>
      <c r="AB26" s="53" t="str">
        <f t="shared" si="21"/>
        <v/>
      </c>
      <c r="AC26" s="53" t="str">
        <f t="shared" si="21"/>
        <v/>
      </c>
      <c r="AD26" s="53" t="str">
        <f t="shared" si="21"/>
        <v/>
      </c>
      <c r="AE26" s="53" t="str">
        <f t="shared" si="21"/>
        <v/>
      </c>
      <c r="AF26" s="53" t="str">
        <f t="shared" si="21"/>
        <v/>
      </c>
      <c r="AG26" s="53" t="str">
        <f t="shared" si="21"/>
        <v/>
      </c>
      <c r="AH26" s="53" t="str">
        <f t="shared" si="21"/>
        <v/>
      </c>
      <c r="AI26" s="53" t="str">
        <f t="shared" si="21"/>
        <v/>
      </c>
      <c r="AJ26" s="53" t="str">
        <f t="shared" si="21"/>
        <v/>
      </c>
      <c r="AK26" s="53" t="str">
        <f t="shared" si="21"/>
        <v/>
      </c>
      <c r="AL26" s="53" t="str">
        <f t="shared" si="21"/>
        <v/>
      </c>
      <c r="AM26" s="53" t="str">
        <f t="shared" si="21"/>
        <v/>
      </c>
      <c r="AN26" s="53" t="str">
        <f t="shared" si="21"/>
        <v/>
      </c>
      <c r="AO26" s="53" t="str">
        <f t="shared" si="21"/>
        <v/>
      </c>
    </row>
    <row r="27" ht="15" customHeight="1" spans="1:41">
      <c r="A27" s="54"/>
      <c r="B27" s="49" t="s">
        <v>51</v>
      </c>
      <c r="C27" s="50"/>
      <c r="D27" s="51">
        <v>0.074</v>
      </c>
      <c r="E27" s="51">
        <v>0.02</v>
      </c>
      <c r="F27" s="51">
        <v>-0.02</v>
      </c>
      <c r="G27" s="51">
        <f t="shared" si="1"/>
        <v>0.094</v>
      </c>
      <c r="H27" s="51">
        <f t="shared" si="2"/>
        <v>0.054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22">IF(J27="","",IF(J27&gt;($D27+$E27),(J27-$D27-$E27),IF(J27&lt;($D27+$F27),(J27-$D27-$F27),"√")))</f>
        <v/>
      </c>
      <c r="AA27" s="53" t="str">
        <f t="shared" si="22"/>
        <v/>
      </c>
      <c r="AB27" s="53" t="str">
        <f t="shared" si="22"/>
        <v/>
      </c>
      <c r="AC27" s="53" t="str">
        <f t="shared" si="22"/>
        <v/>
      </c>
      <c r="AD27" s="53" t="str">
        <f t="shared" si="22"/>
        <v/>
      </c>
      <c r="AE27" s="53" t="str">
        <f t="shared" si="22"/>
        <v/>
      </c>
      <c r="AF27" s="53" t="str">
        <f t="shared" si="22"/>
        <v/>
      </c>
      <c r="AG27" s="53" t="str">
        <f t="shared" si="22"/>
        <v/>
      </c>
      <c r="AH27" s="53" t="str">
        <f t="shared" si="22"/>
        <v/>
      </c>
      <c r="AI27" s="53" t="str">
        <f t="shared" si="22"/>
        <v/>
      </c>
      <c r="AJ27" s="53" t="str">
        <f t="shared" si="22"/>
        <v/>
      </c>
      <c r="AK27" s="53" t="str">
        <f t="shared" si="22"/>
        <v/>
      </c>
      <c r="AL27" s="53" t="str">
        <f t="shared" si="22"/>
        <v/>
      </c>
      <c r="AM27" s="53" t="str">
        <f t="shared" si="22"/>
        <v/>
      </c>
      <c r="AN27" s="53" t="str">
        <f t="shared" si="22"/>
        <v/>
      </c>
      <c r="AO27" s="53" t="str">
        <f t="shared" si="22"/>
        <v/>
      </c>
    </row>
    <row r="28" ht="15" customHeight="1" spans="1:41">
      <c r="A28" s="54"/>
      <c r="B28" s="49" t="s">
        <v>52</v>
      </c>
      <c r="C28" s="50" t="s">
        <v>53</v>
      </c>
      <c r="D28" s="51">
        <v>0.61</v>
      </c>
      <c r="E28" s="51">
        <v>0.02</v>
      </c>
      <c r="F28" s="51">
        <v>-0.02</v>
      </c>
      <c r="G28" s="51">
        <f t="shared" si="1"/>
        <v>0.63</v>
      </c>
      <c r="H28" s="51">
        <f t="shared" si="2"/>
        <v>0.59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23">IF(J28="","",IF(J28&gt;($D28+$E28),(J28-$D28-$E28),IF(J28&lt;($D28+$F28),(J28-$D28-$F28),"√")))</f>
        <v/>
      </c>
      <c r="AA28" s="53" t="str">
        <f t="shared" si="23"/>
        <v/>
      </c>
      <c r="AB28" s="53" t="str">
        <f t="shared" si="23"/>
        <v/>
      </c>
      <c r="AC28" s="53" t="str">
        <f t="shared" si="23"/>
        <v/>
      </c>
      <c r="AD28" s="53" t="str">
        <f t="shared" si="23"/>
        <v/>
      </c>
      <c r="AE28" s="53" t="str">
        <f t="shared" si="23"/>
        <v/>
      </c>
      <c r="AF28" s="53" t="str">
        <f t="shared" si="23"/>
        <v/>
      </c>
      <c r="AG28" s="53" t="str">
        <f t="shared" si="23"/>
        <v/>
      </c>
      <c r="AH28" s="53" t="str">
        <f t="shared" si="23"/>
        <v/>
      </c>
      <c r="AI28" s="53" t="str">
        <f t="shared" si="23"/>
        <v/>
      </c>
      <c r="AJ28" s="53" t="str">
        <f t="shared" si="23"/>
        <v/>
      </c>
      <c r="AK28" s="53" t="str">
        <f t="shared" si="23"/>
        <v/>
      </c>
      <c r="AL28" s="53" t="str">
        <f t="shared" si="23"/>
        <v/>
      </c>
      <c r="AM28" s="53" t="str">
        <f t="shared" si="23"/>
        <v/>
      </c>
      <c r="AN28" s="53" t="str">
        <f t="shared" si="23"/>
        <v/>
      </c>
      <c r="AO28" s="53" t="str">
        <f t="shared" si="23"/>
        <v/>
      </c>
    </row>
    <row r="29" ht="15" customHeight="1" spans="1:41">
      <c r="A29" s="54"/>
      <c r="B29" s="49" t="s">
        <v>54</v>
      </c>
      <c r="C29" s="50" t="s">
        <v>55</v>
      </c>
      <c r="D29" s="51">
        <v>0</v>
      </c>
      <c r="E29" s="51">
        <v>0.025</v>
      </c>
      <c r="F29" s="51">
        <v>-0.025</v>
      </c>
      <c r="G29" s="51">
        <f t="shared" si="1"/>
        <v>0.025</v>
      </c>
      <c r="H29" s="51">
        <f t="shared" si="2"/>
        <v>-0.025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ref="Z29:AO29" si="24">IF(J29="","",IF(J29&gt;($D29+$E29),(J29-$D29-$E29),IF(J29&lt;($D29+$F29),(J29-$D29-$F29),"√")))</f>
        <v/>
      </c>
      <c r="AA29" s="53" t="str">
        <f t="shared" si="24"/>
        <v/>
      </c>
      <c r="AB29" s="53" t="str">
        <f t="shared" si="24"/>
        <v/>
      </c>
      <c r="AC29" s="53" t="str">
        <f t="shared" si="24"/>
        <v/>
      </c>
      <c r="AD29" s="53" t="str">
        <f t="shared" si="24"/>
        <v/>
      </c>
      <c r="AE29" s="53" t="str">
        <f t="shared" si="24"/>
        <v/>
      </c>
      <c r="AF29" s="53" t="str">
        <f t="shared" si="24"/>
        <v/>
      </c>
      <c r="AG29" s="53" t="str">
        <f t="shared" si="24"/>
        <v/>
      </c>
      <c r="AH29" s="53" t="str">
        <f t="shared" si="24"/>
        <v/>
      </c>
      <c r="AI29" s="53" t="str">
        <f t="shared" si="24"/>
        <v/>
      </c>
      <c r="AJ29" s="53" t="str">
        <f t="shared" si="24"/>
        <v/>
      </c>
      <c r="AK29" s="53" t="str">
        <f t="shared" si="24"/>
        <v/>
      </c>
      <c r="AL29" s="53" t="str">
        <f t="shared" si="24"/>
        <v/>
      </c>
      <c r="AM29" s="53" t="str">
        <f t="shared" si="24"/>
        <v/>
      </c>
      <c r="AN29" s="53" t="str">
        <f t="shared" si="24"/>
        <v/>
      </c>
      <c r="AO29" s="53" t="str">
        <f t="shared" si="24"/>
        <v/>
      </c>
    </row>
    <row r="30" ht="15" customHeight="1" spans="1:41">
      <c r="A30" s="54"/>
      <c r="B30" s="49" t="s">
        <v>56</v>
      </c>
      <c r="C30" s="50" t="s">
        <v>57</v>
      </c>
      <c r="D30" s="51">
        <v>3.31</v>
      </c>
      <c r="E30" s="51">
        <v>0.03</v>
      </c>
      <c r="F30" s="51">
        <v>-0.03</v>
      </c>
      <c r="G30" s="51">
        <f t="shared" si="1"/>
        <v>3.34</v>
      </c>
      <c r="H30" s="51">
        <f t="shared" si="2"/>
        <v>3.28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ref="Z30:AO30" si="25">IF(J30="","",IF(J30&gt;($D30+$E30),(J30-$D30-$E30),IF(J30&lt;($D30+$F30),(J30-$D30-$F30),"√")))</f>
        <v/>
      </c>
      <c r="AA30" s="53" t="str">
        <f t="shared" si="25"/>
        <v/>
      </c>
      <c r="AB30" s="53" t="str">
        <f t="shared" si="25"/>
        <v/>
      </c>
      <c r="AC30" s="53" t="str">
        <f t="shared" si="25"/>
        <v/>
      </c>
      <c r="AD30" s="53" t="str">
        <f t="shared" si="25"/>
        <v/>
      </c>
      <c r="AE30" s="53" t="str">
        <f t="shared" si="25"/>
        <v/>
      </c>
      <c r="AF30" s="53" t="str">
        <f t="shared" si="25"/>
        <v/>
      </c>
      <c r="AG30" s="53" t="str">
        <f t="shared" si="25"/>
        <v/>
      </c>
      <c r="AH30" s="53" t="str">
        <f t="shared" si="25"/>
        <v/>
      </c>
      <c r="AI30" s="53" t="str">
        <f t="shared" si="25"/>
        <v/>
      </c>
      <c r="AJ30" s="53" t="str">
        <f t="shared" si="25"/>
        <v/>
      </c>
      <c r="AK30" s="53" t="str">
        <f t="shared" si="25"/>
        <v/>
      </c>
      <c r="AL30" s="53" t="str">
        <f t="shared" si="25"/>
        <v/>
      </c>
      <c r="AM30" s="53" t="str">
        <f t="shared" si="25"/>
        <v/>
      </c>
      <c r="AN30" s="53" t="str">
        <f t="shared" si="25"/>
        <v/>
      </c>
      <c r="AO30" s="53" t="str">
        <f t="shared" si="25"/>
        <v/>
      </c>
    </row>
    <row r="31" ht="15" customHeight="1" spans="1:41">
      <c r="A31" s="54"/>
      <c r="B31" s="49" t="s">
        <v>58</v>
      </c>
      <c r="C31" s="50" t="s">
        <v>59</v>
      </c>
      <c r="D31" s="51">
        <v>0</v>
      </c>
      <c r="E31" s="51">
        <v>0.03</v>
      </c>
      <c r="F31" s="51">
        <v>0</v>
      </c>
      <c r="G31" s="51">
        <f t="shared" si="1"/>
        <v>0.03</v>
      </c>
      <c r="H31" s="51">
        <f t="shared" si="2"/>
        <v>0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ref="Z31:AO31" si="26">IF(J31="","",IF(J31&gt;($D31+$E31),(J31-$D31-$E31),IF(J31&lt;($D31+$F31),(J31-$D31-$F31),"√")))</f>
        <v/>
      </c>
      <c r="AA31" s="53" t="str">
        <f t="shared" si="26"/>
        <v/>
      </c>
      <c r="AB31" s="53" t="str">
        <f t="shared" si="26"/>
        <v/>
      </c>
      <c r="AC31" s="53" t="str">
        <f t="shared" si="26"/>
        <v/>
      </c>
      <c r="AD31" s="53" t="str">
        <f t="shared" si="26"/>
        <v/>
      </c>
      <c r="AE31" s="53" t="str">
        <f t="shared" si="26"/>
        <v/>
      </c>
      <c r="AF31" s="53" t="str">
        <f t="shared" si="26"/>
        <v/>
      </c>
      <c r="AG31" s="53" t="str">
        <f t="shared" si="26"/>
        <v/>
      </c>
      <c r="AH31" s="53" t="str">
        <f t="shared" si="26"/>
        <v/>
      </c>
      <c r="AI31" s="53" t="str">
        <f t="shared" si="26"/>
        <v/>
      </c>
      <c r="AJ31" s="53" t="str">
        <f t="shared" si="26"/>
        <v/>
      </c>
      <c r="AK31" s="53" t="str">
        <f t="shared" si="26"/>
        <v/>
      </c>
      <c r="AL31" s="53" t="str">
        <f t="shared" si="26"/>
        <v/>
      </c>
      <c r="AM31" s="53" t="str">
        <f t="shared" si="26"/>
        <v/>
      </c>
      <c r="AN31" s="53" t="str">
        <f t="shared" si="26"/>
        <v/>
      </c>
      <c r="AO31" s="53" t="str">
        <f t="shared" si="26"/>
        <v/>
      </c>
    </row>
    <row r="32" ht="15" customHeight="1" spans="1:41">
      <c r="A32" s="54"/>
      <c r="B32" s="49">
        <v>1</v>
      </c>
      <c r="C32" s="50"/>
      <c r="D32" s="51"/>
      <c r="E32" s="51"/>
      <c r="F32" s="51"/>
      <c r="G32" s="51"/>
      <c r="H32" s="51"/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ht="15" customHeight="1" spans="1:41">
      <c r="A33" s="54"/>
      <c r="B33" s="49">
        <v>2</v>
      </c>
      <c r="C33" s="50"/>
      <c r="D33" s="51"/>
      <c r="E33" s="51"/>
      <c r="F33" s="51"/>
      <c r="G33" s="51"/>
      <c r="H33" s="51"/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ht="15" customHeight="1" spans="1:41">
      <c r="A34" s="54"/>
      <c r="B34" s="49">
        <v>3</v>
      </c>
      <c r="C34" s="50"/>
      <c r="D34" s="51"/>
      <c r="E34" s="51"/>
      <c r="F34" s="51"/>
      <c r="G34" s="51"/>
      <c r="H34" s="51"/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ht="15" customHeight="1" spans="1:41">
      <c r="A35" s="54"/>
      <c r="B35" s="49">
        <v>4</v>
      </c>
      <c r="C35" s="50"/>
      <c r="D35" s="51"/>
      <c r="E35" s="51"/>
      <c r="F35" s="51"/>
      <c r="G35" s="51"/>
      <c r="H35" s="51"/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ht="15" customHeight="1" spans="1:41">
      <c r="A36" s="54"/>
      <c r="B36" s="49">
        <v>5</v>
      </c>
      <c r="C36" s="50"/>
      <c r="D36" s="51"/>
      <c r="E36" s="51"/>
      <c r="F36" s="51"/>
      <c r="G36" s="51"/>
      <c r="H36" s="51"/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ht="15" customHeight="1" spans="1:41">
      <c r="A37" s="54"/>
      <c r="B37" s="49">
        <v>6</v>
      </c>
      <c r="C37" s="50"/>
      <c r="D37" s="51"/>
      <c r="E37" s="51"/>
      <c r="F37" s="51"/>
      <c r="G37" s="51"/>
      <c r="H37" s="51"/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ht="15" customHeight="1" spans="1:41">
      <c r="A38" s="54"/>
      <c r="B38" s="49" t="s">
        <v>60</v>
      </c>
      <c r="C38" s="50"/>
      <c r="D38" s="51"/>
      <c r="E38" s="51"/>
      <c r="F38" s="51"/>
      <c r="G38" s="51"/>
      <c r="H38" s="51"/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ht="15" customHeight="1" spans="1:41">
      <c r="A39" s="54"/>
      <c r="B39" s="49" t="s">
        <v>61</v>
      </c>
      <c r="C39" s="50"/>
      <c r="D39" s="51"/>
      <c r="E39" s="51"/>
      <c r="F39" s="51"/>
      <c r="G39" s="51"/>
      <c r="H39" s="51"/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54"/>
      <c r="B40" s="49" t="s">
        <v>62</v>
      </c>
      <c r="C40" s="50" t="s">
        <v>63</v>
      </c>
      <c r="D40" s="51">
        <v>0</v>
      </c>
      <c r="E40" s="51">
        <v>0.08</v>
      </c>
      <c r="F40" s="51">
        <v>0</v>
      </c>
      <c r="G40" s="51">
        <f t="shared" ref="G40:G44" si="27">D40+E40</f>
        <v>0.08</v>
      </c>
      <c r="H40" s="51">
        <f t="shared" ref="H40:H44" si="28">D40+F40</f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 t="str">
        <f t="shared" ref="Z40:AO40" si="29">IF(J40="","",IF(J40&gt;($D40+$E40),(J40-$D40-$E40),IF(J40&lt;($D40+$F40),(J40-$D40-$F40),"√")))</f>
        <v/>
      </c>
      <c r="AA40" s="53" t="str">
        <f t="shared" si="29"/>
        <v/>
      </c>
      <c r="AB40" s="53" t="str">
        <f t="shared" si="29"/>
        <v/>
      </c>
      <c r="AC40" s="53" t="str">
        <f t="shared" si="29"/>
        <v/>
      </c>
      <c r="AD40" s="53" t="str">
        <f t="shared" si="29"/>
        <v/>
      </c>
      <c r="AE40" s="53" t="str">
        <f t="shared" si="29"/>
        <v/>
      </c>
      <c r="AF40" s="53" t="str">
        <f t="shared" si="29"/>
        <v/>
      </c>
      <c r="AG40" s="53" t="str">
        <f t="shared" si="29"/>
        <v/>
      </c>
      <c r="AH40" s="53" t="str">
        <f t="shared" si="29"/>
        <v/>
      </c>
      <c r="AI40" s="53" t="str">
        <f t="shared" si="29"/>
        <v/>
      </c>
      <c r="AJ40" s="53" t="str">
        <f t="shared" si="29"/>
        <v/>
      </c>
      <c r="AK40" s="53" t="str">
        <f t="shared" si="29"/>
        <v/>
      </c>
      <c r="AL40" s="53" t="str">
        <f t="shared" si="29"/>
        <v/>
      </c>
      <c r="AM40" s="53" t="str">
        <f t="shared" si="29"/>
        <v/>
      </c>
      <c r="AN40" s="53" t="str">
        <f t="shared" si="29"/>
        <v/>
      </c>
      <c r="AO40" s="53" t="str">
        <f t="shared" si="29"/>
        <v/>
      </c>
    </row>
    <row r="41" ht="15" customHeight="1" spans="1:41">
      <c r="A41" s="54"/>
      <c r="B41" s="49" t="s">
        <v>64</v>
      </c>
      <c r="C41" s="50"/>
      <c r="D41" s="51"/>
      <c r="E41" s="51"/>
      <c r="F41" s="51"/>
      <c r="G41" s="51"/>
      <c r="H41" s="51"/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54"/>
      <c r="B42" s="49" t="s">
        <v>65</v>
      </c>
      <c r="C42" s="50"/>
      <c r="D42" s="51"/>
      <c r="E42" s="51"/>
      <c r="F42" s="51"/>
      <c r="G42" s="51"/>
      <c r="H42" s="51"/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54"/>
      <c r="B43" s="49" t="s">
        <v>66</v>
      </c>
      <c r="C43" s="50" t="s">
        <v>63</v>
      </c>
      <c r="D43" s="51">
        <v>0</v>
      </c>
      <c r="E43" s="51">
        <v>0.08</v>
      </c>
      <c r="F43" s="51">
        <v>0</v>
      </c>
      <c r="G43" s="51">
        <f t="shared" si="27"/>
        <v>0.08</v>
      </c>
      <c r="H43" s="51">
        <f t="shared" si="28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 t="str">
        <f t="shared" ref="Z43:AO43" si="30">IF(J43="","",IF(J43&gt;($D43+$E43),(J43-$D43-$E43),IF(J43&lt;($D43+$F43),(J43-$D43-$F43),"√")))</f>
        <v/>
      </c>
      <c r="AA43" s="53" t="str">
        <f t="shared" si="30"/>
        <v/>
      </c>
      <c r="AB43" s="53" t="str">
        <f t="shared" si="30"/>
        <v/>
      </c>
      <c r="AC43" s="53" t="str">
        <f t="shared" si="30"/>
        <v/>
      </c>
      <c r="AD43" s="53" t="str">
        <f t="shared" si="30"/>
        <v/>
      </c>
      <c r="AE43" s="53" t="str">
        <f t="shared" si="30"/>
        <v/>
      </c>
      <c r="AF43" s="53" t="str">
        <f t="shared" si="30"/>
        <v/>
      </c>
      <c r="AG43" s="53" t="str">
        <f t="shared" si="30"/>
        <v/>
      </c>
      <c r="AH43" s="53" t="str">
        <f t="shared" si="30"/>
        <v/>
      </c>
      <c r="AI43" s="53" t="str">
        <f t="shared" si="30"/>
        <v/>
      </c>
      <c r="AJ43" s="53" t="str">
        <f t="shared" si="30"/>
        <v/>
      </c>
      <c r="AK43" s="53" t="str">
        <f t="shared" si="30"/>
        <v/>
      </c>
      <c r="AL43" s="53" t="str">
        <f t="shared" si="30"/>
        <v/>
      </c>
      <c r="AM43" s="53" t="str">
        <f t="shared" si="30"/>
        <v/>
      </c>
      <c r="AN43" s="53" t="str">
        <f t="shared" si="30"/>
        <v/>
      </c>
      <c r="AO43" s="53" t="str">
        <f t="shared" si="30"/>
        <v/>
      </c>
    </row>
    <row r="44" ht="15" customHeight="1" spans="1:41">
      <c r="A44" s="54"/>
      <c r="B44" s="49" t="s">
        <v>67</v>
      </c>
      <c r="C44" s="50" t="s">
        <v>68</v>
      </c>
      <c r="D44" s="51">
        <v>0</v>
      </c>
      <c r="E44" s="51">
        <v>0.03</v>
      </c>
      <c r="F44" s="51">
        <v>0</v>
      </c>
      <c r="G44" s="51">
        <f t="shared" si="27"/>
        <v>0.03</v>
      </c>
      <c r="H44" s="51">
        <f t="shared" si="28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 t="str">
        <f t="shared" ref="Z44:AO44" si="31">IF(J44="","",IF(J44&gt;($D44+$E44),(J44-$D44-$E44),IF(J44&lt;($D44+$F44),(J44-$D44-$F44),"√")))</f>
        <v/>
      </c>
      <c r="AA44" s="53" t="str">
        <f t="shared" si="31"/>
        <v/>
      </c>
      <c r="AB44" s="53" t="str">
        <f t="shared" si="31"/>
        <v/>
      </c>
      <c r="AC44" s="53" t="str">
        <f t="shared" si="31"/>
        <v/>
      </c>
      <c r="AD44" s="53" t="str">
        <f t="shared" si="31"/>
        <v/>
      </c>
      <c r="AE44" s="53" t="str">
        <f t="shared" si="31"/>
        <v/>
      </c>
      <c r="AF44" s="53" t="str">
        <f t="shared" si="31"/>
        <v/>
      </c>
      <c r="AG44" s="53" t="str">
        <f t="shared" si="31"/>
        <v/>
      </c>
      <c r="AH44" s="53" t="str">
        <f t="shared" si="31"/>
        <v/>
      </c>
      <c r="AI44" s="53" t="str">
        <f t="shared" si="31"/>
        <v/>
      </c>
      <c r="AJ44" s="53" t="str">
        <f t="shared" si="31"/>
        <v/>
      </c>
      <c r="AK44" s="53" t="str">
        <f t="shared" si="31"/>
        <v/>
      </c>
      <c r="AL44" s="53" t="str">
        <f t="shared" si="31"/>
        <v/>
      </c>
      <c r="AM44" s="53" t="str">
        <f t="shared" si="31"/>
        <v/>
      </c>
      <c r="AN44" s="53" t="str">
        <f t="shared" si="31"/>
        <v/>
      </c>
      <c r="AO44" s="53" t="str">
        <f t="shared" si="31"/>
        <v/>
      </c>
    </row>
    <row r="45" ht="15" customHeight="1" spans="1:41">
      <c r="A45" s="54"/>
      <c r="B45" s="49">
        <v>1</v>
      </c>
      <c r="C45" s="50"/>
      <c r="D45" s="51"/>
      <c r="E45" s="51"/>
      <c r="F45" s="51"/>
      <c r="G45" s="51"/>
      <c r="H45" s="51"/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ht="15" customHeight="1" spans="1:41">
      <c r="A46" s="54"/>
      <c r="B46" s="49">
        <v>2</v>
      </c>
      <c r="C46" s="50"/>
      <c r="D46" s="51"/>
      <c r="E46" s="51"/>
      <c r="F46" s="51"/>
      <c r="G46" s="51"/>
      <c r="H46" s="51"/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54"/>
      <c r="B47" s="49">
        <v>3</v>
      </c>
      <c r="C47" s="50"/>
      <c r="D47" s="51"/>
      <c r="E47" s="51"/>
      <c r="F47" s="51"/>
      <c r="G47" s="51"/>
      <c r="H47" s="51"/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54"/>
      <c r="B48" s="49">
        <v>4</v>
      </c>
      <c r="C48" s="50"/>
      <c r="D48" s="51"/>
      <c r="E48" s="51"/>
      <c r="F48" s="51"/>
      <c r="G48" s="51"/>
      <c r="H48" s="51"/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54"/>
      <c r="B49" s="49">
        <v>5</v>
      </c>
      <c r="C49" s="50"/>
      <c r="D49" s="51"/>
      <c r="E49" s="51"/>
      <c r="F49" s="51"/>
      <c r="G49" s="51"/>
      <c r="H49" s="51"/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54"/>
      <c r="B50" s="49">
        <v>6</v>
      </c>
      <c r="C50" s="50"/>
      <c r="D50" s="51"/>
      <c r="E50" s="51"/>
      <c r="F50" s="51"/>
      <c r="G50" s="51"/>
      <c r="H50" s="51"/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54"/>
      <c r="B51" s="49">
        <v>7</v>
      </c>
      <c r="C51" s="50"/>
      <c r="D51" s="51"/>
      <c r="E51" s="51"/>
      <c r="F51" s="51"/>
      <c r="G51" s="51"/>
      <c r="H51" s="51"/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54"/>
      <c r="B52" s="49">
        <v>8</v>
      </c>
      <c r="C52" s="50"/>
      <c r="D52" s="51"/>
      <c r="E52" s="51"/>
      <c r="F52" s="51"/>
      <c r="G52" s="51"/>
      <c r="H52" s="51"/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ht="15" customHeight="1" spans="1:41">
      <c r="A53" s="54"/>
      <c r="B53" s="49" t="s">
        <v>69</v>
      </c>
      <c r="C53" s="50" t="s">
        <v>70</v>
      </c>
      <c r="D53" s="51">
        <v>0</v>
      </c>
      <c r="E53" s="51">
        <v>0.06</v>
      </c>
      <c r="F53" s="51">
        <v>0</v>
      </c>
      <c r="G53" s="51">
        <f>D53+E53</f>
        <v>0.06</v>
      </c>
      <c r="H53" s="51">
        <f>D53+F53</f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 t="str">
        <f t="shared" ref="Z53:AO53" si="32">IF(J53="","",IF(J53&gt;($D53+$E53),(J53-$D53-$E53),IF(J53&lt;($D53+$F53),(J53-$D53-$F53),"√")))</f>
        <v/>
      </c>
      <c r="AA53" s="53" t="str">
        <f t="shared" si="32"/>
        <v/>
      </c>
      <c r="AB53" s="53" t="str">
        <f t="shared" si="32"/>
        <v/>
      </c>
      <c r="AC53" s="53" t="str">
        <f t="shared" si="32"/>
        <v/>
      </c>
      <c r="AD53" s="53" t="str">
        <f t="shared" si="32"/>
        <v/>
      </c>
      <c r="AE53" s="53" t="str">
        <f t="shared" si="32"/>
        <v/>
      </c>
      <c r="AF53" s="53" t="str">
        <f t="shared" si="32"/>
        <v/>
      </c>
      <c r="AG53" s="53" t="str">
        <f t="shared" si="32"/>
        <v/>
      </c>
      <c r="AH53" s="53" t="str">
        <f t="shared" si="32"/>
        <v/>
      </c>
      <c r="AI53" s="53" t="str">
        <f t="shared" si="32"/>
        <v/>
      </c>
      <c r="AJ53" s="53" t="str">
        <f t="shared" si="32"/>
        <v/>
      </c>
      <c r="AK53" s="53" t="str">
        <f t="shared" si="32"/>
        <v/>
      </c>
      <c r="AL53" s="53" t="str">
        <f t="shared" si="32"/>
        <v/>
      </c>
      <c r="AM53" s="53" t="str">
        <f t="shared" si="32"/>
        <v/>
      </c>
      <c r="AN53" s="53" t="str">
        <f t="shared" si="32"/>
        <v/>
      </c>
      <c r="AO53" s="53" t="str">
        <f t="shared" si="32"/>
        <v/>
      </c>
    </row>
    <row r="54" ht="15" customHeight="1" spans="1:41">
      <c r="A54" s="54"/>
      <c r="B54" s="55">
        <v>1</v>
      </c>
      <c r="C54" s="55"/>
      <c r="D54" s="51"/>
      <c r="E54" s="51"/>
      <c r="F54" s="51"/>
      <c r="G54" s="51"/>
      <c r="H54" s="51"/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54"/>
      <c r="B55" s="55">
        <v>2</v>
      </c>
      <c r="C55" s="55"/>
      <c r="D55" s="51"/>
      <c r="E55" s="51"/>
      <c r="F55" s="51"/>
      <c r="G55" s="51"/>
      <c r="H55" s="51"/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54"/>
      <c r="B56" s="55">
        <v>3</v>
      </c>
      <c r="C56" s="55"/>
      <c r="D56" s="51"/>
      <c r="E56" s="51"/>
      <c r="F56" s="51"/>
      <c r="G56" s="51"/>
      <c r="H56" s="51"/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54"/>
      <c r="B57" s="49" t="s">
        <v>71</v>
      </c>
      <c r="C57" s="50" t="s">
        <v>72</v>
      </c>
      <c r="D57" s="51">
        <v>0</v>
      </c>
      <c r="E57" s="51">
        <v>0.06</v>
      </c>
      <c r="F57" s="51">
        <v>0</v>
      </c>
      <c r="G57" s="51">
        <f>D57+E57</f>
        <v>0.06</v>
      </c>
      <c r="H57" s="51">
        <f>D57+F57</f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33">IF(J57="","",IF(J57&gt;($D57+$E57),(J57-$D57-$E57),IF(J57&lt;($D57+$F57),(J57-$D57-$F57),"√")))</f>
        <v/>
      </c>
      <c r="AA57" s="53" t="str">
        <f t="shared" si="33"/>
        <v/>
      </c>
      <c r="AB57" s="53" t="str">
        <f t="shared" si="33"/>
        <v/>
      </c>
      <c r="AC57" s="53" t="str">
        <f t="shared" si="33"/>
        <v/>
      </c>
      <c r="AD57" s="53" t="str">
        <f t="shared" si="33"/>
        <v/>
      </c>
      <c r="AE57" s="53" t="str">
        <f t="shared" si="33"/>
        <v/>
      </c>
      <c r="AF57" s="53" t="str">
        <f t="shared" si="33"/>
        <v/>
      </c>
      <c r="AG57" s="53" t="str">
        <f t="shared" si="33"/>
        <v/>
      </c>
      <c r="AH57" s="53" t="str">
        <f t="shared" si="33"/>
        <v/>
      </c>
      <c r="AI57" s="53" t="str">
        <f t="shared" si="33"/>
        <v/>
      </c>
      <c r="AJ57" s="53" t="str">
        <f t="shared" si="33"/>
        <v/>
      </c>
      <c r="AK57" s="53" t="str">
        <f t="shared" si="33"/>
        <v/>
      </c>
      <c r="AL57" s="53" t="str">
        <f t="shared" si="33"/>
        <v/>
      </c>
      <c r="AM57" s="53" t="str">
        <f t="shared" si="33"/>
        <v/>
      </c>
      <c r="AN57" s="53" t="str">
        <f t="shared" si="33"/>
        <v/>
      </c>
      <c r="AO57" s="53" t="str">
        <f t="shared" si="33"/>
        <v/>
      </c>
    </row>
    <row r="58" ht="15" customHeight="1" spans="1:41">
      <c r="A58" s="54"/>
      <c r="B58" s="49">
        <v>1</v>
      </c>
      <c r="C58" s="50"/>
      <c r="D58" s="51"/>
      <c r="E58" s="51"/>
      <c r="F58" s="51"/>
      <c r="G58" s="51"/>
      <c r="H58" s="51"/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54"/>
      <c r="B59" s="49">
        <v>2</v>
      </c>
      <c r="C59" s="50"/>
      <c r="D59" s="51"/>
      <c r="E59" s="51"/>
      <c r="F59" s="51"/>
      <c r="G59" s="51"/>
      <c r="H59" s="51"/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54"/>
      <c r="B60" s="49">
        <v>3</v>
      </c>
      <c r="C60" s="50"/>
      <c r="D60" s="51"/>
      <c r="E60" s="51"/>
      <c r="F60" s="51"/>
      <c r="G60" s="51"/>
      <c r="H60" s="51"/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54"/>
      <c r="B61" s="49" t="s">
        <v>73</v>
      </c>
      <c r="C61" s="50" t="s">
        <v>74</v>
      </c>
      <c r="D61" s="51">
        <v>0</v>
      </c>
      <c r="E61" s="51">
        <v>0.06</v>
      </c>
      <c r="F61" s="51">
        <v>0</v>
      </c>
      <c r="G61" s="51">
        <f>D61+E61</f>
        <v>0.06</v>
      </c>
      <c r="H61" s="51">
        <f>D61+F61</f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 t="str">
        <f t="shared" ref="Z61:AO61" si="34">IF(J61="","",IF(J61&gt;($D61+$E61),(J61-$D61-$E61),IF(J61&lt;($D61+$F61),(J61-$D61-$F61),"√")))</f>
        <v/>
      </c>
      <c r="AA61" s="53" t="str">
        <f t="shared" si="34"/>
        <v/>
      </c>
      <c r="AB61" s="53" t="str">
        <f t="shared" si="34"/>
        <v/>
      </c>
      <c r="AC61" s="53" t="str">
        <f t="shared" si="34"/>
        <v/>
      </c>
      <c r="AD61" s="53" t="str">
        <f t="shared" si="34"/>
        <v/>
      </c>
      <c r="AE61" s="53" t="str">
        <f t="shared" si="34"/>
        <v/>
      </c>
      <c r="AF61" s="53" t="str">
        <f t="shared" si="34"/>
        <v/>
      </c>
      <c r="AG61" s="53" t="str">
        <f t="shared" si="34"/>
        <v/>
      </c>
      <c r="AH61" s="53" t="str">
        <f t="shared" si="34"/>
        <v/>
      </c>
      <c r="AI61" s="53" t="str">
        <f t="shared" si="34"/>
        <v/>
      </c>
      <c r="AJ61" s="53" t="str">
        <f t="shared" si="34"/>
        <v/>
      </c>
      <c r="AK61" s="53" t="str">
        <f t="shared" si="34"/>
        <v/>
      </c>
      <c r="AL61" s="53" t="str">
        <f t="shared" si="34"/>
        <v/>
      </c>
      <c r="AM61" s="53" t="str">
        <f t="shared" si="34"/>
        <v/>
      </c>
      <c r="AN61" s="53" t="str">
        <f t="shared" si="34"/>
        <v/>
      </c>
      <c r="AO61" s="53" t="str">
        <f t="shared" si="34"/>
        <v/>
      </c>
    </row>
    <row r="62" ht="15" customHeight="1" spans="1:41">
      <c r="A62" s="54"/>
      <c r="B62" s="49">
        <v>1</v>
      </c>
      <c r="C62" s="50"/>
      <c r="D62" s="51"/>
      <c r="E62" s="51"/>
      <c r="F62" s="51"/>
      <c r="G62" s="51"/>
      <c r="H62" s="51"/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ht="15" customHeight="1" spans="1:41">
      <c r="A63" s="54"/>
      <c r="B63" s="49">
        <v>2</v>
      </c>
      <c r="C63" s="50"/>
      <c r="D63" s="51"/>
      <c r="E63" s="51"/>
      <c r="F63" s="51"/>
      <c r="G63" s="51"/>
      <c r="H63" s="51"/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54"/>
      <c r="B64" s="49">
        <v>3</v>
      </c>
      <c r="C64" s="50"/>
      <c r="D64" s="51"/>
      <c r="E64" s="51"/>
      <c r="F64" s="51"/>
      <c r="G64" s="51"/>
      <c r="H64" s="51"/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54"/>
      <c r="B65" s="49" t="s">
        <v>75</v>
      </c>
      <c r="C65" s="50" t="s">
        <v>76</v>
      </c>
      <c r="D65" s="51">
        <v>0</v>
      </c>
      <c r="E65" s="51">
        <v>0.06</v>
      </c>
      <c r="F65" s="51">
        <v>0</v>
      </c>
      <c r="G65" s="51">
        <f>D65+E65</f>
        <v>0.06</v>
      </c>
      <c r="H65" s="51">
        <f>D65+F65</f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 t="str">
        <f t="shared" ref="Z65:AO65" si="35">IF(J65="","",IF(J65&gt;($D65+$E65),(J65-$D65-$E65),IF(J65&lt;($D65+$F65),(J65-$D65-$F65),"√")))</f>
        <v/>
      </c>
      <c r="AA65" s="53" t="str">
        <f t="shared" si="35"/>
        <v/>
      </c>
      <c r="AB65" s="53" t="str">
        <f t="shared" si="35"/>
        <v/>
      </c>
      <c r="AC65" s="53" t="str">
        <f t="shared" si="35"/>
        <v/>
      </c>
      <c r="AD65" s="53" t="str">
        <f t="shared" si="35"/>
        <v/>
      </c>
      <c r="AE65" s="53" t="str">
        <f t="shared" si="35"/>
        <v/>
      </c>
      <c r="AF65" s="53" t="str">
        <f t="shared" si="35"/>
        <v/>
      </c>
      <c r="AG65" s="53" t="str">
        <f t="shared" si="35"/>
        <v/>
      </c>
      <c r="AH65" s="53" t="str">
        <f t="shared" si="35"/>
        <v/>
      </c>
      <c r="AI65" s="53" t="str">
        <f t="shared" si="35"/>
        <v/>
      </c>
      <c r="AJ65" s="53" t="str">
        <f t="shared" si="35"/>
        <v/>
      </c>
      <c r="AK65" s="53" t="str">
        <f t="shared" si="35"/>
        <v/>
      </c>
      <c r="AL65" s="53" t="str">
        <f t="shared" si="35"/>
        <v/>
      </c>
      <c r="AM65" s="53" t="str">
        <f t="shared" si="35"/>
        <v/>
      </c>
      <c r="AN65" s="53" t="str">
        <f t="shared" si="35"/>
        <v/>
      </c>
      <c r="AO65" s="53" t="str">
        <f t="shared" si="35"/>
        <v/>
      </c>
    </row>
    <row r="66" ht="15" customHeight="1" spans="1:41">
      <c r="A66" s="54"/>
      <c r="B66" s="49">
        <v>1</v>
      </c>
      <c r="C66" s="50"/>
      <c r="D66" s="51"/>
      <c r="E66" s="51"/>
      <c r="F66" s="51"/>
      <c r="G66" s="51"/>
      <c r="H66" s="51"/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54"/>
      <c r="B67" s="49">
        <v>2</v>
      </c>
      <c r="C67" s="50"/>
      <c r="D67" s="51"/>
      <c r="E67" s="51"/>
      <c r="F67" s="51"/>
      <c r="G67" s="51"/>
      <c r="H67" s="51"/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54"/>
      <c r="B68" s="49">
        <v>3</v>
      </c>
      <c r="C68" s="50"/>
      <c r="D68" s="51"/>
      <c r="E68" s="51"/>
      <c r="F68" s="51"/>
      <c r="G68" s="51"/>
      <c r="H68" s="51"/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54"/>
      <c r="B69" s="49" t="s">
        <v>77</v>
      </c>
      <c r="C69" s="50"/>
      <c r="D69" s="51">
        <v>0</v>
      </c>
      <c r="E69" s="51">
        <v>0.04</v>
      </c>
      <c r="F69" s="51">
        <v>0</v>
      </c>
      <c r="G69" s="51">
        <f>D69+E69</f>
        <v>0.04</v>
      </c>
      <c r="H69" s="51">
        <f>D69+F69</f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 t="str">
        <f t="shared" ref="Z69:AO69" si="36">IF(J69="","",IF(J69&gt;($D69+$E69),(J69-$D69-$E69),IF(J69&lt;($D69+$F69),(J69-$D69-$F69),"√")))</f>
        <v/>
      </c>
      <c r="AA69" s="53" t="str">
        <f t="shared" si="36"/>
        <v/>
      </c>
      <c r="AB69" s="53" t="str">
        <f t="shared" si="36"/>
        <v/>
      </c>
      <c r="AC69" s="53" t="str">
        <f t="shared" si="36"/>
        <v/>
      </c>
      <c r="AD69" s="53" t="str">
        <f t="shared" si="36"/>
        <v/>
      </c>
      <c r="AE69" s="53" t="str">
        <f t="shared" si="36"/>
        <v/>
      </c>
      <c r="AF69" s="53" t="str">
        <f t="shared" si="36"/>
        <v/>
      </c>
      <c r="AG69" s="53" t="str">
        <f t="shared" si="36"/>
        <v/>
      </c>
      <c r="AH69" s="53" t="str">
        <f t="shared" si="36"/>
        <v/>
      </c>
      <c r="AI69" s="53" t="str">
        <f t="shared" si="36"/>
        <v/>
      </c>
      <c r="AJ69" s="53" t="str">
        <f t="shared" si="36"/>
        <v/>
      </c>
      <c r="AK69" s="53" t="str">
        <f t="shared" si="36"/>
        <v/>
      </c>
      <c r="AL69" s="53" t="str">
        <f t="shared" si="36"/>
        <v/>
      </c>
      <c r="AM69" s="53" t="str">
        <f t="shared" si="36"/>
        <v/>
      </c>
      <c r="AN69" s="53" t="str">
        <f t="shared" si="36"/>
        <v/>
      </c>
      <c r="AO69" s="53" t="str">
        <f t="shared" si="36"/>
        <v/>
      </c>
    </row>
    <row r="70" ht="15" customHeight="1" spans="1:41">
      <c r="A70" s="54"/>
      <c r="B70" s="49">
        <v>1</v>
      </c>
      <c r="C70" s="50"/>
      <c r="D70" s="51"/>
      <c r="E70" s="51"/>
      <c r="F70" s="51"/>
      <c r="G70" s="51"/>
      <c r="H70" s="51"/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54"/>
      <c r="B71" s="49">
        <v>2</v>
      </c>
      <c r="C71" s="50"/>
      <c r="D71" s="51"/>
      <c r="E71" s="51"/>
      <c r="F71" s="51"/>
      <c r="G71" s="51"/>
      <c r="H71" s="51"/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54"/>
      <c r="B72" s="49">
        <v>3</v>
      </c>
      <c r="C72" s="50"/>
      <c r="D72" s="51"/>
      <c r="E72" s="51"/>
      <c r="F72" s="51"/>
      <c r="G72" s="51"/>
      <c r="H72" s="51"/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54"/>
      <c r="B73" s="49">
        <v>1</v>
      </c>
      <c r="C73" s="50"/>
      <c r="D73" s="51"/>
      <c r="E73" s="51"/>
      <c r="F73" s="51"/>
      <c r="G73" s="51"/>
      <c r="H73" s="51"/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54"/>
      <c r="B74" s="49">
        <v>2</v>
      </c>
      <c r="C74" s="50"/>
      <c r="D74" s="51"/>
      <c r="E74" s="51"/>
      <c r="F74" s="51"/>
      <c r="G74" s="51"/>
      <c r="H74" s="51"/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54"/>
      <c r="B75" s="49">
        <v>3</v>
      </c>
      <c r="C75" s="50"/>
      <c r="D75" s="51"/>
      <c r="E75" s="51"/>
      <c r="F75" s="51"/>
      <c r="G75" s="51"/>
      <c r="H75" s="51"/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54"/>
      <c r="B76" s="49" t="s">
        <v>78</v>
      </c>
      <c r="C76" s="50"/>
      <c r="D76" s="51">
        <v>0</v>
      </c>
      <c r="E76" s="51">
        <v>0.04</v>
      </c>
      <c r="F76" s="51">
        <v>0</v>
      </c>
      <c r="G76" s="51">
        <f>D76+E76</f>
        <v>0.04</v>
      </c>
      <c r="H76" s="51">
        <f>D76+F76</f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 t="str">
        <f t="shared" ref="Z76:AO76" si="37">IF(J76="","",IF(J76&gt;($D76+$E76),(J76-$D76-$E76),IF(J76&lt;($D76+$F76),(J76-$D76-$F76),"√")))</f>
        <v/>
      </c>
      <c r="AA76" s="53" t="str">
        <f t="shared" si="37"/>
        <v/>
      </c>
      <c r="AB76" s="53" t="str">
        <f t="shared" si="37"/>
        <v/>
      </c>
      <c r="AC76" s="53" t="str">
        <f t="shared" si="37"/>
        <v/>
      </c>
      <c r="AD76" s="53" t="str">
        <f t="shared" si="37"/>
        <v/>
      </c>
      <c r="AE76" s="53" t="str">
        <f t="shared" si="37"/>
        <v/>
      </c>
      <c r="AF76" s="53" t="str">
        <f t="shared" si="37"/>
        <v/>
      </c>
      <c r="AG76" s="53" t="str">
        <f t="shared" si="37"/>
        <v/>
      </c>
      <c r="AH76" s="53" t="str">
        <f t="shared" si="37"/>
        <v/>
      </c>
      <c r="AI76" s="53" t="str">
        <f t="shared" si="37"/>
        <v/>
      </c>
      <c r="AJ76" s="53" t="str">
        <f t="shared" si="37"/>
        <v/>
      </c>
      <c r="AK76" s="53" t="str">
        <f t="shared" si="37"/>
        <v/>
      </c>
      <c r="AL76" s="53" t="str">
        <f t="shared" si="37"/>
        <v/>
      </c>
      <c r="AM76" s="53" t="str">
        <f t="shared" si="37"/>
        <v/>
      </c>
      <c r="AN76" s="53" t="str">
        <f t="shared" si="37"/>
        <v/>
      </c>
      <c r="AO76" s="53" t="str">
        <f t="shared" si="37"/>
        <v/>
      </c>
    </row>
    <row r="77" ht="15" customHeight="1" spans="1:41">
      <c r="A77" s="54"/>
      <c r="B77" s="49">
        <v>1</v>
      </c>
      <c r="C77" s="50"/>
      <c r="D77" s="51"/>
      <c r="E77" s="51"/>
      <c r="F77" s="51"/>
      <c r="G77" s="51"/>
      <c r="H77" s="51"/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ht="15" customHeight="1" spans="1:41">
      <c r="A78" s="54"/>
      <c r="B78" s="49">
        <v>2</v>
      </c>
      <c r="C78" s="50"/>
      <c r="D78" s="51"/>
      <c r="E78" s="51"/>
      <c r="F78" s="51"/>
      <c r="G78" s="51"/>
      <c r="H78" s="51"/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ht="15" customHeight="1" spans="1:41">
      <c r="A79" s="54"/>
      <c r="B79" s="49">
        <v>3</v>
      </c>
      <c r="C79" s="50"/>
      <c r="D79" s="51"/>
      <c r="E79" s="51"/>
      <c r="F79" s="51"/>
      <c r="G79" s="51"/>
      <c r="H79" s="51"/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54"/>
      <c r="B80" s="49">
        <v>1</v>
      </c>
      <c r="C80" s="50"/>
      <c r="D80" s="51"/>
      <c r="E80" s="51"/>
      <c r="F80" s="51"/>
      <c r="G80" s="51"/>
      <c r="H80" s="51"/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54"/>
      <c r="B81" s="49">
        <v>2</v>
      </c>
      <c r="C81" s="50"/>
      <c r="D81" s="51"/>
      <c r="E81" s="51"/>
      <c r="F81" s="51"/>
      <c r="G81" s="51"/>
      <c r="H81" s="51"/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54"/>
      <c r="B82" s="49">
        <v>3</v>
      </c>
      <c r="C82" s="50"/>
      <c r="D82" s="51"/>
      <c r="E82" s="51"/>
      <c r="F82" s="51"/>
      <c r="G82" s="51"/>
      <c r="H82" s="51"/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54"/>
      <c r="B83" s="49" t="s">
        <v>79</v>
      </c>
      <c r="C83" s="50" t="s">
        <v>80</v>
      </c>
      <c r="D83" s="51">
        <v>0.915</v>
      </c>
      <c r="E83" s="51">
        <v>0.015</v>
      </c>
      <c r="F83" s="51">
        <v>-0.01</v>
      </c>
      <c r="G83" s="51">
        <f t="shared" ref="G83:G85" si="38">D83+E83</f>
        <v>0.93</v>
      </c>
      <c r="H83" s="51">
        <f t="shared" ref="H83:H85" si="39">D83+F83</f>
        <v>0.905</v>
      </c>
      <c r="I83" s="51" t="s">
        <v>81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40">IF(J83="","",IF(J83&gt;($D83+$E83),(J83-$D83-$E83),IF(J83&lt;($D83+$F83),(J83-$D83-$F83),"√")))</f>
        <v/>
      </c>
      <c r="AA83" s="53" t="str">
        <f t="shared" si="40"/>
        <v/>
      </c>
      <c r="AB83" s="53" t="str">
        <f t="shared" si="40"/>
        <v/>
      </c>
      <c r="AC83" s="53" t="str">
        <f t="shared" si="40"/>
        <v/>
      </c>
      <c r="AD83" s="53" t="str">
        <f t="shared" si="40"/>
        <v/>
      </c>
      <c r="AE83" s="53" t="str">
        <f t="shared" si="40"/>
        <v/>
      </c>
      <c r="AF83" s="53" t="str">
        <f t="shared" si="40"/>
        <v/>
      </c>
      <c r="AG83" s="53" t="str">
        <f t="shared" si="40"/>
        <v/>
      </c>
      <c r="AH83" s="53" t="str">
        <f t="shared" si="40"/>
        <v/>
      </c>
      <c r="AI83" s="53" t="str">
        <f t="shared" si="40"/>
        <v/>
      </c>
      <c r="AJ83" s="53" t="str">
        <f t="shared" si="40"/>
        <v/>
      </c>
      <c r="AK83" s="53" t="str">
        <f t="shared" si="40"/>
        <v/>
      </c>
      <c r="AL83" s="53" t="str">
        <f t="shared" si="40"/>
        <v/>
      </c>
      <c r="AM83" s="53" t="str">
        <f t="shared" si="40"/>
        <v/>
      </c>
      <c r="AN83" s="53" t="str">
        <f t="shared" si="40"/>
        <v/>
      </c>
      <c r="AO83" s="53" t="str">
        <f t="shared" si="40"/>
        <v/>
      </c>
    </row>
    <row r="84" ht="15" customHeight="1" spans="1:41">
      <c r="A84" s="54"/>
      <c r="B84" s="49" t="s">
        <v>82</v>
      </c>
      <c r="C84" s="50" t="s">
        <v>83</v>
      </c>
      <c r="D84" s="51">
        <v>0.62</v>
      </c>
      <c r="E84" s="51">
        <v>0.02</v>
      </c>
      <c r="F84" s="51">
        <v>-0.02</v>
      </c>
      <c r="G84" s="51">
        <f t="shared" si="38"/>
        <v>0.64</v>
      </c>
      <c r="H84" s="51">
        <f t="shared" si="39"/>
        <v>0.6</v>
      </c>
      <c r="I84" s="51" t="s">
        <v>84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 t="str">
        <f t="shared" ref="Z84:AO84" si="41">IF(J84="","",IF(J84&gt;($D84+$E84),(J84-$D84-$E84),IF(J84&lt;($D84+$F84),(J84-$D84-$F84),"√")))</f>
        <v/>
      </c>
      <c r="AA84" s="53" t="str">
        <f t="shared" si="41"/>
        <v/>
      </c>
      <c r="AB84" s="53" t="str">
        <f t="shared" si="41"/>
        <v/>
      </c>
      <c r="AC84" s="53" t="str">
        <f t="shared" si="41"/>
        <v/>
      </c>
      <c r="AD84" s="53" t="str">
        <f t="shared" si="41"/>
        <v/>
      </c>
      <c r="AE84" s="53" t="str">
        <f t="shared" si="41"/>
        <v/>
      </c>
      <c r="AF84" s="53" t="str">
        <f t="shared" si="41"/>
        <v/>
      </c>
      <c r="AG84" s="53" t="str">
        <f t="shared" si="41"/>
        <v/>
      </c>
      <c r="AH84" s="53" t="str">
        <f t="shared" si="41"/>
        <v/>
      </c>
      <c r="AI84" s="53" t="str">
        <f t="shared" si="41"/>
        <v/>
      </c>
      <c r="AJ84" s="53" t="str">
        <f t="shared" si="41"/>
        <v/>
      </c>
      <c r="AK84" s="53" t="str">
        <f t="shared" si="41"/>
        <v/>
      </c>
      <c r="AL84" s="53" t="str">
        <f t="shared" si="41"/>
        <v/>
      </c>
      <c r="AM84" s="53" t="str">
        <f t="shared" si="41"/>
        <v/>
      </c>
      <c r="AN84" s="53" t="str">
        <f t="shared" si="41"/>
        <v/>
      </c>
      <c r="AO84" s="53" t="str">
        <f t="shared" si="41"/>
        <v/>
      </c>
    </row>
    <row r="85" ht="15" customHeight="1" spans="1:41">
      <c r="A85" s="54"/>
      <c r="B85" s="49" t="s">
        <v>85</v>
      </c>
      <c r="C85" s="50" t="s">
        <v>83</v>
      </c>
      <c r="D85" s="51">
        <v>0.62</v>
      </c>
      <c r="E85" s="51">
        <v>0.02</v>
      </c>
      <c r="F85" s="51">
        <v>-0.02</v>
      </c>
      <c r="G85" s="51">
        <f t="shared" si="38"/>
        <v>0.64</v>
      </c>
      <c r="H85" s="51">
        <f t="shared" si="39"/>
        <v>0.6</v>
      </c>
      <c r="I85" s="51" t="s">
        <v>84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 t="str">
        <f t="shared" ref="Z85:AO85" si="42">IF(J85="","",IF(J85&gt;($D85+$E85),(J85-$D85-$E85),IF(J85&lt;($D85+$F85),(J85-$D85-$F85),"√")))</f>
        <v/>
      </c>
      <c r="AA85" s="53" t="str">
        <f t="shared" si="42"/>
        <v/>
      </c>
      <c r="AB85" s="53" t="str">
        <f t="shared" si="42"/>
        <v/>
      </c>
      <c r="AC85" s="53" t="str">
        <f t="shared" si="42"/>
        <v/>
      </c>
      <c r="AD85" s="53" t="str">
        <f t="shared" si="42"/>
        <v/>
      </c>
      <c r="AE85" s="53" t="str">
        <f t="shared" si="42"/>
        <v/>
      </c>
      <c r="AF85" s="53" t="str">
        <f t="shared" si="42"/>
        <v/>
      </c>
      <c r="AG85" s="53" t="str">
        <f t="shared" si="42"/>
        <v/>
      </c>
      <c r="AH85" s="53" t="str">
        <f t="shared" si="42"/>
        <v/>
      </c>
      <c r="AI85" s="53" t="str">
        <f t="shared" si="42"/>
        <v/>
      </c>
      <c r="AJ85" s="53" t="str">
        <f t="shared" si="42"/>
        <v/>
      </c>
      <c r="AK85" s="53" t="str">
        <f t="shared" si="42"/>
        <v/>
      </c>
      <c r="AL85" s="53" t="str">
        <f t="shared" si="42"/>
        <v/>
      </c>
      <c r="AM85" s="53" t="str">
        <f t="shared" si="42"/>
        <v/>
      </c>
      <c r="AN85" s="53" t="str">
        <f t="shared" si="42"/>
        <v/>
      </c>
      <c r="AO85" s="53" t="str">
        <f t="shared" si="42"/>
        <v/>
      </c>
    </row>
    <row r="86" ht="15" customHeight="1" spans="1:41">
      <c r="A86" s="56"/>
      <c r="B86" s="49" t="s">
        <v>86</v>
      </c>
      <c r="C86" s="50" t="s">
        <v>87</v>
      </c>
      <c r="D86" s="51">
        <v>0.915</v>
      </c>
      <c r="E86" s="51">
        <v>0.015</v>
      </c>
      <c r="F86" s="51">
        <v>-0.01</v>
      </c>
      <c r="G86" s="51">
        <v>0.93</v>
      </c>
      <c r="H86" s="51">
        <v>0.905</v>
      </c>
      <c r="I86" s="51" t="s">
        <v>81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 t="str">
        <f t="shared" ref="Z86:AO86" si="43">IF(J86="","",IF(J86&gt;($D86+$E86),(J86-$D86-$E86),IF(J86&lt;($D86+$F86),(J86-$D86-$F86),"√")))</f>
        <v/>
      </c>
      <c r="AA86" s="53" t="str">
        <f t="shared" si="43"/>
        <v/>
      </c>
      <c r="AB86" s="53" t="str">
        <f t="shared" si="43"/>
        <v/>
      </c>
      <c r="AC86" s="53" t="str">
        <f t="shared" si="43"/>
        <v/>
      </c>
      <c r="AD86" s="53" t="str">
        <f t="shared" si="43"/>
        <v/>
      </c>
      <c r="AE86" s="53" t="str">
        <f t="shared" si="43"/>
        <v/>
      </c>
      <c r="AF86" s="53" t="str">
        <f t="shared" si="43"/>
        <v/>
      </c>
      <c r="AG86" s="53" t="str">
        <f t="shared" si="43"/>
        <v/>
      </c>
      <c r="AH86" s="53" t="str">
        <f t="shared" si="43"/>
        <v/>
      </c>
      <c r="AI86" s="53" t="str">
        <f t="shared" si="43"/>
        <v/>
      </c>
      <c r="AJ86" s="53" t="str">
        <f t="shared" si="43"/>
        <v/>
      </c>
      <c r="AK86" s="53" t="str">
        <f t="shared" si="43"/>
        <v/>
      </c>
      <c r="AL86" s="53" t="str">
        <f t="shared" si="43"/>
        <v/>
      </c>
      <c r="AM86" s="53" t="str">
        <f t="shared" si="43"/>
        <v/>
      </c>
      <c r="AN86" s="53" t="str">
        <f t="shared" si="43"/>
        <v/>
      </c>
      <c r="AO86" s="53" t="str">
        <f t="shared" si="4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7"/>
    <mergeCell ref="A8:A86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29:Y29">
    <cfRule type="cellIs" dxfId="0" priority="5" operator="notBetween">
      <formula>$G29</formula>
      <formula>$H29</formula>
    </cfRule>
  </conditionalFormatting>
  <conditionalFormatting sqref="J30:Y30">
    <cfRule type="cellIs" dxfId="0" priority="6" operator="notBetween">
      <formula>$G30</formula>
      <formula>$H30</formula>
    </cfRule>
  </conditionalFormatting>
  <conditionalFormatting sqref="J53:Y53">
    <cfRule type="cellIs" dxfId="0" priority="12" operator="notBetween">
      <formula>$G53</formula>
      <formula>$H53</formula>
    </cfRule>
  </conditionalFormatting>
  <conditionalFormatting sqref="J57:Y57">
    <cfRule type="cellIs" dxfId="0" priority="11" operator="notBetween">
      <formula>$G57</formula>
      <formula>$H57</formula>
    </cfRule>
  </conditionalFormatting>
  <conditionalFormatting sqref="J61:Y61">
    <cfRule type="cellIs" dxfId="0" priority="10" operator="notBetween">
      <formula>$G61</formula>
      <formula>$H61</formula>
    </cfRule>
  </conditionalFormatting>
  <conditionalFormatting sqref="J65:Y65">
    <cfRule type="cellIs" dxfId="0" priority="9" operator="notBetween">
      <formula>$G65</formula>
      <formula>$H65</formula>
    </cfRule>
  </conditionalFormatting>
  <conditionalFormatting sqref="J69:Y69">
    <cfRule type="cellIs" dxfId="0" priority="8" operator="notBetween">
      <formula>$G69</formula>
      <formula>$H69</formula>
    </cfRule>
  </conditionalFormatting>
  <conditionalFormatting sqref="J76:Y76">
    <cfRule type="cellIs" dxfId="0" priority="7" operator="notBetween">
      <formula>$G76</formula>
      <formula>$H76</formula>
    </cfRule>
  </conditionalFormatting>
  <conditionalFormatting sqref="J83:Y83">
    <cfRule type="cellIs" dxfId="0" priority="4" operator="notBetween">
      <formula>$G83</formula>
      <formula>$H83</formula>
    </cfRule>
  </conditionalFormatting>
  <conditionalFormatting sqref="J84:Y84">
    <cfRule type="cellIs" dxfId="0" priority="3" operator="notBetween">
      <formula>$G84</formula>
      <formula>$H84</formula>
    </cfRule>
  </conditionalFormatting>
  <conditionalFormatting sqref="J85:Y85">
    <cfRule type="cellIs" dxfId="0" priority="1" operator="notBetween">
      <formula>$G85</formula>
      <formula>$H85</formula>
    </cfRule>
  </conditionalFormatting>
  <conditionalFormatting sqref="J86:Y86">
    <cfRule type="cellIs" dxfId="0" priority="2" operator="notBetween">
      <formula>$G86</formula>
      <formula>$H86</formula>
    </cfRule>
  </conditionalFormatting>
  <conditionalFormatting sqref="J8:Y28">
    <cfRule type="cellIs" dxfId="0" priority="14" operator="notBetween">
      <formula>$G8</formula>
      <formula>$H8</formula>
    </cfRule>
  </conditionalFormatting>
  <conditionalFormatting sqref="J31:Y31 J40:Y40 J43:Y44">
    <cfRule type="cellIs" dxfId="0" priority="13" operator="notBetween">
      <formula>$G31</formula>
      <formula>$H31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2026-06-13T21:11:37Z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6B16601C033E46A09013395D73DBF36B_13</vt:lpwstr>
  </property>
  <property fmtid="{D5CDD505-2E9C-101B-9397-08002B2CF9AE}" pid="4" name="CalculationRule">
    <vt:i4>0</vt:i4>
  </property>
</Properties>
</file>