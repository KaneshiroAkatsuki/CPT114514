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<sst xmlns="http://schemas.openxmlformats.org/spreadsheetml/2006/main" count="63" uniqueCount="45">
  <si>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安徽中耀智能科技有限公司首件尺寸报告</t>
  </si>
  <si>
    <t>料号</t>
  </si>
  <si>
    <t>806-65037</t>
  </si>
  <si>
    <t>工单号</t>
  </si>
  <si>
    <t>ww132-260603002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</si>
  <si>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</si>
  <si>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</si>
  <si>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</si>
  <si>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</si>
  <si>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</si>
  <si>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</si>
  <si>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</si>
  <si>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</si>
  <si>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</si>
  <si>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</si>
  <si>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</si>
  <si>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</si>
  <si>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</si>
  <si>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</si>
  <si>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</si>
  <si>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</si>
  <si>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</si>
  <si>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</si>
  <si>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</si>
  <si>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</si>
  <si>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</si>
  <si>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</si>
  <si>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</si>
  <si>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</si>
  <si>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FAI16</t>
  </si>
  <si>
    <t>参考</t>
  </si>
  <si>
    <t>OMM</t>
  </si>
  <si>
    <t>FAI24</t>
  </si>
  <si>
    <t>FAI14</t>
  </si>
  <si>
    <t>N</t>
  </si>
  <si>
    <t>CMM</t>
  </si>
  <si>
    <t>FAI23</t>
  </si>
  <si>
    <t>W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</si>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</sst>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4"/>
  <sheetViews>
    <sheetView tabSelected="1" workbookViewId="0">
      <selection activeCell="V10" sqref="V10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复测2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46186</v>
      </c>
      <c r="B7" s="49" t="s">
        <v>29</v>
      </c>
      <c r="C7" s="50" t="s">
        <v>30</v>
      </c>
      <c r="D7" s="51">
        <v>8.2</v>
      </c>
      <c r="E7" s="51">
        <v>0.05</v>
      </c>
      <c r="F7" s="51">
        <v>-0.05</v>
      </c>
      <c r="G7" s="51">
        <f t="shared" ref="G7:G14" si="1">D7+E7</f>
        <v>8.25</v>
      </c>
      <c r="H7" s="51">
        <f t="shared" ref="H7:H14" si="2">D7+F7</f>
        <v>8.15</v>
      </c>
      <c r="I7" s="51" t="s">
        <v>31</v>
      </c>
      <c r="J7" s="52">
        <v>8.1938</v>
      </c>
      <c r="K7" s="52">
        <v>8.1928</v>
      </c>
      <c r="L7" s="52">
        <v>8.2025</v>
      </c>
      <c r="M7" s="52">
        <v>8.1862</v>
      </c>
      <c r="N7" s="52">
        <v>8.1863</v>
      </c>
      <c r="O7" s="52">
        <v>8.1916</v>
      </c>
      <c r="P7" s="52">
        <v>8.1841</v>
      </c>
      <c r="Q7" s="52">
        <v>8.182</v>
      </c>
      <c r="R7" s="52">
        <v>8.1977</v>
      </c>
      <c r="S7" s="52">
        <v>8.1826</v>
      </c>
      <c r="T7" s="52">
        <v>8.1896</v>
      </c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>√</v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54"/>
      <c r="B8" s="49" t="s">
        <v>32</v>
      </c>
      <c r="C8" s="50" t="s">
        <v>30</v>
      </c>
      <c r="D8" s="51">
        <v>3.6</v>
      </c>
      <c r="E8" s="51">
        <v>0.05</v>
      </c>
      <c r="F8" s="51">
        <v>-0.05</v>
      </c>
      <c r="G8" s="51">
        <f t="shared" si="1"/>
        <v>3.65</v>
      </c>
      <c r="H8" s="51">
        <f t="shared" si="2"/>
        <v>3.55</v>
      </c>
      <c r="I8" s="51" t="s">
        <v>31</v>
      </c>
      <c r="J8" s="52">
        <v>3.5788</v>
      </c>
      <c r="K8" s="52">
        <v>3.6683</v>
      </c>
      <c r="L8" s="52">
        <v>3.65</v>
      </c>
      <c r="M8" s="52">
        <v>3.6059</v>
      </c>
      <c r="N8" s="52">
        <v>3.6493</v>
      </c>
      <c r="O8" s="52">
        <v>3.5824</v>
      </c>
      <c r="P8" s="52">
        <v>3.617</v>
      </c>
      <c r="Q8" s="52">
        <v>3.6179</v>
      </c>
      <c r="R8" s="52">
        <v>3.5623</v>
      </c>
      <c r="S8" s="52">
        <v>3.6294</v>
      </c>
      <c r="T8" s="52">
        <v>3.6652</v>
      </c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>
        <f t="shared" si="4"/>
        <v>0.0182999999999998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>
        <f t="shared" si="4"/>
        <v>0.0151999999999999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54"/>
      <c r="B9" s="49" t="s">
        <v>33</v>
      </c>
      <c r="C9" s="49" t="s">
        <v>34</v>
      </c>
      <c r="D9" s="51">
        <v>0.5</v>
      </c>
      <c r="E9" s="51">
        <v>0.03</v>
      </c>
      <c r="F9" s="51">
        <v>-0.03</v>
      </c>
      <c r="G9" s="51">
        <f t="shared" si="1"/>
        <v>0.53</v>
      </c>
      <c r="H9" s="51">
        <f t="shared" si="2"/>
        <v>0.47</v>
      </c>
      <c r="I9" s="51" t="s">
        <v>31</v>
      </c>
      <c r="J9" s="52">
        <v>0.4776</v>
      </c>
      <c r="K9" s="52">
        <v>0.5061</v>
      </c>
      <c r="L9" s="52">
        <v>0.5135</v>
      </c>
      <c r="M9" s="52">
        <v>0.4815</v>
      </c>
      <c r="N9" s="52">
        <v>0.483</v>
      </c>
      <c r="O9" s="52">
        <v>0.4871</v>
      </c>
      <c r="P9" s="52">
        <v>0.4742</v>
      </c>
      <c r="Q9" s="52">
        <v>0.4824</v>
      </c>
      <c r="R9" s="52">
        <v>0.4812</v>
      </c>
      <c r="S9" s="52">
        <v>0.4702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54"/>
      <c r="B10" s="49" t="s">
        <v>29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35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/>
      </c>
      <c r="AA10" s="53" t="str">
        <f t="shared" si="6"/>
        <v/>
      </c>
      <c r="AB10" s="53" t="str">
        <f t="shared" si="6"/>
        <v/>
      </c>
      <c r="AC10" s="53" t="str">
        <f t="shared" si="6"/>
        <v/>
      </c>
      <c r="AD10" s="53" t="str">
        <f t="shared" si="6"/>
        <v/>
      </c>
      <c r="AE10" s="53" t="str">
        <f t="shared" si="6"/>
        <v/>
      </c>
      <c r="AF10" s="53" t="str">
        <f t="shared" si="6"/>
        <v/>
      </c>
      <c r="AG10" s="53" t="str">
        <f t="shared" si="6"/>
        <v/>
      </c>
      <c r="AH10" s="53" t="str">
        <f t="shared" si="6"/>
        <v/>
      </c>
      <c r="AI10" s="53" t="str">
        <f t="shared" si="6"/>
        <v/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54"/>
      <c r="B11" s="49" t="s">
        <v>36</v>
      </c>
      <c r="C11" s="49" t="s">
        <v>37</v>
      </c>
      <c r="D11" s="51">
        <v>2.76</v>
      </c>
      <c r="E11" s="51">
        <v>0.03</v>
      </c>
      <c r="F11" s="51">
        <v>-0.03</v>
      </c>
      <c r="G11" s="51">
        <f t="shared" si="1"/>
        <v>2.79</v>
      </c>
      <c r="H11" s="51">
        <f t="shared" si="2"/>
        <v>2.73</v>
      </c>
      <c r="I11" s="51" t="s">
        <v>35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/>
      </c>
      <c r="AA11" s="53" t="str">
        <f t="shared" si="7"/>
        <v/>
      </c>
      <c r="AB11" s="53" t="str">
        <f t="shared" si="7"/>
        <v/>
      </c>
      <c r="AC11" s="53" t="str">
        <f t="shared" si="7"/>
        <v/>
      </c>
      <c r="AD11" s="53" t="str">
        <f t="shared" si="7"/>
        <v/>
      </c>
      <c r="AE11" s="53" t="str">
        <f t="shared" si="7"/>
        <v/>
      </c>
      <c r="AF11" s="53" t="str">
        <f t="shared" si="7"/>
        <v/>
      </c>
      <c r="AG11" s="53" t="str">
        <f t="shared" si="7"/>
        <v/>
      </c>
      <c r="AH11" s="53" t="str">
        <f t="shared" si="7"/>
        <v/>
      </c>
      <c r="AI11" s="53" t="str">
        <f t="shared" si="7"/>
        <v/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54"/>
      <c r="B12" s="49" t="s">
        <v>32</v>
      </c>
      <c r="C12" s="50"/>
      <c r="D12" s="51">
        <v>3.6</v>
      </c>
      <c r="E12" s="51">
        <v>0.05</v>
      </c>
      <c r="F12" s="51">
        <v>-0.05</v>
      </c>
      <c r="G12" s="51">
        <f t="shared" si="1"/>
        <v>3.65</v>
      </c>
      <c r="H12" s="51">
        <f t="shared" si="2"/>
        <v>3.55</v>
      </c>
      <c r="I12" s="51" t="s">
        <v>35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/>
      </c>
      <c r="AA12" s="53" t="str">
        <f t="shared" si="8"/>
        <v/>
      </c>
      <c r="AB12" s="53" t="str">
        <f t="shared" si="8"/>
        <v/>
      </c>
      <c r="AC12" s="53" t="str">
        <f t="shared" si="8"/>
        <v/>
      </c>
      <c r="AD12" s="53" t="str">
        <f t="shared" si="8"/>
        <v/>
      </c>
      <c r="AE12" s="53" t="str">
        <f t="shared" si="8"/>
        <v/>
      </c>
      <c r="AF12" s="53" t="str">
        <f t="shared" si="8"/>
        <v/>
      </c>
      <c r="AG12" s="53" t="str">
        <f t="shared" si="8"/>
        <v/>
      </c>
      <c r="AH12" s="53" t="str">
        <f t="shared" si="8"/>
        <v/>
      </c>
      <c r="AI12" s="53" t="str">
        <f t="shared" si="8"/>
        <v/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54"/>
      <c r="B13" s="49" t="s">
        <v>38</v>
      </c>
      <c r="C13" s="49"/>
      <c r="D13" s="51">
        <v>0.6</v>
      </c>
      <c r="E13" s="51">
        <v>0.02</v>
      </c>
      <c r="F13" s="51">
        <v>-0.02</v>
      </c>
      <c r="G13" s="51">
        <f t="shared" si="1"/>
        <v>0.62</v>
      </c>
      <c r="H13" s="51">
        <f t="shared" si="2"/>
        <v>0.58</v>
      </c>
      <c r="I13" s="51" t="s">
        <v>35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3" t="str">
        <f t="shared" ref="Z13:AO13" si="9">IF(J13="","",IF(J13&gt;($D13+$E13),(J13-$D13-$E13),IF(J13&lt;($D13+$F13),(J13-$D13-$F13),"√")))</f>
        <v/>
      </c>
      <c r="AA13" s="53" t="str">
        <f t="shared" si="9"/>
        <v/>
      </c>
      <c r="AB13" s="53" t="str">
        <f t="shared" si="9"/>
        <v/>
      </c>
      <c r="AC13" s="53" t="str">
        <f t="shared" si="9"/>
        <v/>
      </c>
      <c r="AD13" s="53" t="str">
        <f t="shared" si="9"/>
        <v/>
      </c>
      <c r="AE13" s="53" t="str">
        <f t="shared" si="9"/>
        <v/>
      </c>
      <c r="AF13" s="53" t="str">
        <f t="shared" si="9"/>
        <v/>
      </c>
      <c r="AG13" s="53" t="str">
        <f t="shared" si="9"/>
        <v/>
      </c>
      <c r="AH13" s="53" t="str">
        <f t="shared" si="9"/>
        <v/>
      </c>
      <c r="AI13" s="53" t="str">
        <f t="shared" si="9"/>
        <v/>
      </c>
      <c r="AJ13" s="53" t="str">
        <f t="shared" si="9"/>
        <v/>
      </c>
      <c r="AK13" s="53" t="str">
        <f t="shared" si="9"/>
        <v/>
      </c>
      <c r="AL13" s="53" t="str">
        <f t="shared" si="9"/>
        <v/>
      </c>
      <c r="AM13" s="53" t="str">
        <f t="shared" si="9"/>
        <v/>
      </c>
      <c r="AN13" s="53" t="str">
        <f t="shared" si="9"/>
        <v/>
      </c>
      <c r="AO13" s="53" t="str">
        <f t="shared" si="9"/>
        <v/>
      </c>
    </row>
    <row r="14" ht="15" customHeight="1" spans="1:41">
      <c r="A14" s="54"/>
      <c r="B14" s="49" t="s">
        <v>39</v>
      </c>
      <c r="C14" s="49" t="s">
        <v>40</v>
      </c>
      <c r="D14" s="51">
        <v>0</v>
      </c>
      <c r="E14" s="51">
        <v>0.05</v>
      </c>
      <c r="F14" s="51">
        <v>0</v>
      </c>
      <c r="G14" s="51">
        <f t="shared" si="1"/>
        <v>0.05</v>
      </c>
      <c r="H14" s="51">
        <f t="shared" si="2"/>
        <v>0</v>
      </c>
      <c r="I14" s="51" t="s">
        <v>35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3" t="str">
        <f t="shared" ref="Z14:AO14" si="10">IF(J14="","",IF(J14&gt;($D14+$E14),(J14-$D14-$E14),IF(J14&lt;($D14+$F14),(J14-$D14-$F14),"√")))</f>
        <v/>
      </c>
      <c r="AA14" s="53" t="str">
        <f t="shared" si="10"/>
        <v/>
      </c>
      <c r="AB14" s="53" t="str">
        <f t="shared" si="10"/>
        <v/>
      </c>
      <c r="AC14" s="53" t="str">
        <f t="shared" si="10"/>
        <v/>
      </c>
      <c r="AD14" s="53" t="str">
        <f t="shared" si="10"/>
        <v/>
      </c>
      <c r="AE14" s="53" t="str">
        <f t="shared" si="10"/>
        <v/>
      </c>
      <c r="AF14" s="53" t="str">
        <f t="shared" si="10"/>
        <v/>
      </c>
      <c r="AG14" s="53" t="str">
        <f t="shared" si="10"/>
        <v/>
      </c>
      <c r="AH14" s="53" t="str">
        <f t="shared" si="10"/>
        <v/>
      </c>
      <c r="AI14" s="53" t="str">
        <f t="shared" si="10"/>
        <v/>
      </c>
      <c r="AJ14" s="53" t="str">
        <f t="shared" si="10"/>
        <v/>
      </c>
      <c r="AK14" s="53" t="str">
        <f t="shared" si="10"/>
        <v/>
      </c>
      <c r="AL14" s="53" t="str">
        <f t="shared" si="10"/>
        <v/>
      </c>
      <c r="AM14" s="53" t="str">
        <f t="shared" si="10"/>
        <v/>
      </c>
      <c r="AN14" s="53" t="str">
        <f t="shared" si="10"/>
        <v/>
      </c>
      <c r="AO14" s="53" t="str">
        <f t="shared" si="10"/>
        <v/>
      </c>
    </row>
    <row r="15" ht="15" customHeight="1" spans="1:41">
      <c r="A15" s="54"/>
      <c r="B15" s="49">
        <v>1</v>
      </c>
      <c r="C15" s="49"/>
      <c r="D15" s="51"/>
      <c r="E15" s="51"/>
      <c r="F15" s="51"/>
      <c r="G15" s="51"/>
      <c r="H15" s="51"/>
      <c r="I15" s="51" t="s">
        <v>35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54"/>
      <c r="B16" s="49">
        <v>2</v>
      </c>
      <c r="C16" s="49"/>
      <c r="D16" s="51"/>
      <c r="E16" s="51"/>
      <c r="F16" s="51"/>
      <c r="G16" s="51"/>
      <c r="H16" s="51"/>
      <c r="I16" s="51" t="s">
        <v>35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54"/>
      <c r="B17" s="49">
        <v>3</v>
      </c>
      <c r="C17" s="49"/>
      <c r="D17" s="51"/>
      <c r="E17" s="51"/>
      <c r="F17" s="51"/>
      <c r="G17" s="51"/>
      <c r="H17" s="51"/>
      <c r="I17" s="51" t="s">
        <v>35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49">
        <v>4</v>
      </c>
      <c r="C18" s="49"/>
      <c r="D18" s="51"/>
      <c r="E18" s="51"/>
      <c r="F18" s="51"/>
      <c r="G18" s="51"/>
      <c r="H18" s="51"/>
      <c r="I18" s="51" t="s">
        <v>35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54"/>
      <c r="B19" s="49">
        <v>5</v>
      </c>
      <c r="C19" s="49"/>
      <c r="D19" s="51"/>
      <c r="E19" s="51"/>
      <c r="F19" s="51"/>
      <c r="G19" s="51"/>
      <c r="H19" s="51"/>
      <c r="I19" s="51" t="s">
        <v>35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54"/>
      <c r="B20" s="49">
        <v>6</v>
      </c>
      <c r="C20" s="49"/>
      <c r="D20" s="51"/>
      <c r="E20" s="51"/>
      <c r="F20" s="51"/>
      <c r="G20" s="51"/>
      <c r="H20" s="51"/>
      <c r="I20" s="51" t="s">
        <v>35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ht="15" customHeight="1" spans="1:41">
      <c r="A21" s="54"/>
      <c r="B21" s="49" t="s">
        <v>41</v>
      </c>
      <c r="C21" s="49"/>
      <c r="D21" s="51"/>
      <c r="E21" s="51"/>
      <c r="F21" s="51"/>
      <c r="G21" s="51"/>
      <c r="H21" s="51"/>
      <c r="I21" s="51" t="s">
        <v>35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</row>
    <row r="22" ht="15" customHeight="1" spans="1:41">
      <c r="A22" s="54"/>
      <c r="B22" s="49" t="s">
        <v>42</v>
      </c>
      <c r="C22" s="49"/>
      <c r="D22" s="51"/>
      <c r="E22" s="51"/>
      <c r="F22" s="51"/>
      <c r="G22" s="51"/>
      <c r="H22" s="51"/>
      <c r="I22" s="51" t="s">
        <v>35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 ht="15" customHeight="1" spans="1:41">
      <c r="A23" s="54"/>
      <c r="B23" s="49" t="s">
        <v>43</v>
      </c>
      <c r="C23" s="49" t="s">
        <v>44</v>
      </c>
      <c r="D23" s="51">
        <v>0</v>
      </c>
      <c r="E23" s="51">
        <v>0.1</v>
      </c>
      <c r="F23" s="51">
        <v>0</v>
      </c>
      <c r="G23" s="51">
        <f>D23+E23</f>
        <v>0.1</v>
      </c>
      <c r="H23" s="51">
        <f>D23+F23</f>
        <v>0</v>
      </c>
      <c r="I23" s="51" t="s">
        <v>35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11">IF(J23="","",IF(J23&gt;($D23+$E23),(J23-$D23-$E23),IF(J23&lt;($D23+$F23),(J23-$D23-$F23),"√")))</f>
        <v/>
      </c>
      <c r="AA23" s="53" t="str">
        <f t="shared" si="11"/>
        <v/>
      </c>
      <c r="AB23" s="53" t="str">
        <f t="shared" si="11"/>
        <v/>
      </c>
      <c r="AC23" s="53" t="str">
        <f t="shared" si="11"/>
        <v/>
      </c>
      <c r="AD23" s="53" t="str">
        <f t="shared" si="11"/>
        <v/>
      </c>
      <c r="AE23" s="53" t="str">
        <f t="shared" si="11"/>
        <v/>
      </c>
      <c r="AF23" s="53" t="str">
        <f t="shared" si="11"/>
        <v/>
      </c>
      <c r="AG23" s="53" t="str">
        <f t="shared" si="11"/>
        <v/>
      </c>
      <c r="AH23" s="53" t="str">
        <f t="shared" si="11"/>
        <v/>
      </c>
      <c r="AI23" s="53" t="str">
        <f t="shared" si="11"/>
        <v/>
      </c>
      <c r="AJ23" s="53" t="str">
        <f t="shared" si="11"/>
        <v/>
      </c>
      <c r="AK23" s="53" t="str">
        <f t="shared" si="11"/>
        <v/>
      </c>
      <c r="AL23" s="53" t="str">
        <f t="shared" si="11"/>
        <v/>
      </c>
      <c r="AM23" s="53" t="str">
        <f t="shared" si="11"/>
        <v/>
      </c>
      <c r="AN23" s="53" t="str">
        <f t="shared" si="11"/>
        <v/>
      </c>
      <c r="AO23" s="53" t="str">
        <f t="shared" si="11"/>
        <v/>
      </c>
    </row>
    <row r="24" spans="1:4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4:AO24"/>
    <mergeCell ref="A2:A3"/>
    <mergeCell ref="A4:A6"/>
    <mergeCell ref="A7:A23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T7">
    <cfRule type="cellIs" dxfId="0" priority="2" operator="notBetween">
      <formula>$G7</formula>
      <formula>$H7</formula>
    </cfRule>
  </conditionalFormatting>
  <conditionalFormatting sqref="T8">
    <cfRule type="cellIs" dxfId="0" priority="1" operator="notBetween">
      <formula>$G8</formula>
      <formula>$H8</formula>
    </cfRule>
  </conditionalFormatting>
  <conditionalFormatting sqref="J13:Y13">
    <cfRule type="cellIs" dxfId="0" priority="8" operator="notBetween">
      <formula>$G13</formula>
      <formula>$H13</formula>
    </cfRule>
  </conditionalFormatting>
  <conditionalFormatting sqref="J23:Y23">
    <cfRule type="cellIs" dxfId="0" priority="7" operator="notBetween">
      <formula>$G23</formula>
      <formula>$H23</formula>
    </cfRule>
  </conditionalFormatting>
  <conditionalFormatting sqref="J7:S7 U7:Y7">
    <cfRule type="cellIs" dxfId="0" priority="4" operator="notBetween">
      <formula>$G7</formula>
      <formula>$H7</formula>
    </cfRule>
  </conditionalFormatting>
  <conditionalFormatting sqref="J8:S8 U8:Y8">
    <cfRule type="cellIs" dxfId="0" priority="3" operator="notBetween">
      <formula>$G8</formula>
      <formula>$H8</formula>
    </cfRule>
  </conditionalFormatting>
  <conditionalFormatting sqref="J9:Y10 J14:Y14">
    <cfRule type="cellIs" dxfId="0" priority="20" operator="notBetween">
      <formula>$G9</formula>
      <formula>$H9</formula>
    </cfRule>
  </conditionalFormatting>
  <conditionalFormatting sqref="J11:Y12">
    <cfRule type="cellIs" dxfId="0" priority="22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