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<sst xmlns="http://schemas.openxmlformats.org/spreadsheetml/2006/main" count="64" uniqueCount="47">
  <si>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t>安徽中耀智能科技有限公司首件尺寸报告</t>
  </si>
  <si>
    <t>料号</t>
  </si>
  <si>
    <t>B-washer-035</t>
  </si>
  <si>
    <t>工单号</t>
  </si>
  <si>
    <t>ww132-260513006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</si>
  <si>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</si>
  <si>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</si>
  <si>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</si>
  <si>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</si>
  <si>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</si>
  <si>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</si>
  <si>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</si>
  <si>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</si>
  <si>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</si>
  <si>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</si>
  <si>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</si>
  <si>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</si>
  <si>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</si>
  <si>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</si>
  <si>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</si>
  <si>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</si>
  <si>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</si>
  <si>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</si>
  <si>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</si>
  <si>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</si>
  <si>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</si>
  <si>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</si>
  <si>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r>
      <rPr>
        <b/>
        <sz val="11"/>
        <rFont val="宋体"/>
        <charset val="134"/>
      </rPr>
      <t>复测</t>
    </r>
    <r>
      <rPr>
        <b/>
        <sz val="11"/>
        <rFont val="Arial"/>
        <charset val="134"/>
      </rPr>
      <t>1</t>
    </r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</si>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</sst>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H1" workbookViewId="0">
      <selection activeCell="AF12" sqref="AF12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1" t="s">
        <v>27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 t="str">
        <f t="shared" si="0"/>
        <v>复测1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46179</v>
      </c>
      <c r="B7" s="41" t="s">
        <v>28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29</v>
      </c>
      <c r="I7" s="44">
        <v>0.1233</v>
      </c>
      <c r="J7" s="44">
        <v>0.0856</v>
      </c>
      <c r="K7" s="44">
        <v>0.0323</v>
      </c>
      <c r="L7" s="44">
        <v>0.0806</v>
      </c>
      <c r="M7" s="44">
        <v>0.1229</v>
      </c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>
        <f t="shared" ref="Y7:AF7" si="1">IF(I7="","",IF(I7&gt;($C7+$D7),(I7-$C7-$D7),IF(I7&lt;($C7+$E7),(I7-$C7-$E7),"√")))</f>
        <v>0.0233</v>
      </c>
      <c r="Z7" s="45" t="str">
        <f t="shared" si="1"/>
        <v>√</v>
      </c>
      <c r="AA7" s="45" t="str">
        <f t="shared" si="1"/>
        <v>√</v>
      </c>
      <c r="AB7" s="45" t="str">
        <f t="shared" si="1"/>
        <v>√</v>
      </c>
      <c r="AC7" s="45">
        <f t="shared" si="1"/>
        <v>0.0229</v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30</v>
      </c>
      <c r="C8" s="41"/>
      <c r="D8" s="41"/>
      <c r="E8" s="41"/>
      <c r="F8" s="42">
        <f>C8+D8</f>
        <v>0</v>
      </c>
      <c r="G8" s="42">
        <f>C8+E8</f>
        <v>0</v>
      </c>
      <c r="H8" s="43" t="s">
        <v>29</v>
      </c>
      <c r="I8" s="44">
        <v>-0.0427</v>
      </c>
      <c r="J8" s="44">
        <v>-0.0173</v>
      </c>
      <c r="K8" s="44">
        <v>-0.0161</v>
      </c>
      <c r="L8" s="44">
        <v>0.0399</v>
      </c>
      <c r="M8" s="44">
        <v>-0.0418</v>
      </c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31</v>
      </c>
      <c r="C9" s="41"/>
      <c r="D9" s="41"/>
      <c r="E9" s="41"/>
      <c r="F9" s="42">
        <f>C9+D9</f>
        <v>0</v>
      </c>
      <c r="G9" s="42">
        <f>C9+E9</f>
        <v>0</v>
      </c>
      <c r="H9" s="43" t="s">
        <v>29</v>
      </c>
      <c r="I9" s="44">
        <v>-0.0445</v>
      </c>
      <c r="J9" s="44">
        <v>-0.0391</v>
      </c>
      <c r="K9" s="44">
        <v>0.0005</v>
      </c>
      <c r="L9" s="44">
        <v>0.0057</v>
      </c>
      <c r="M9" s="44">
        <v>-0.0436</v>
      </c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32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29</v>
      </c>
      <c r="I10" s="44">
        <v>0.1026</v>
      </c>
      <c r="J10" s="44">
        <v>0.1317</v>
      </c>
      <c r="K10" s="44">
        <v>0.1928</v>
      </c>
      <c r="L10" s="44">
        <v>0.1397</v>
      </c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>√</v>
      </c>
      <c r="Z10" s="45" t="str">
        <f t="shared" si="3"/>
        <v>√</v>
      </c>
      <c r="AA10" s="45" t="str">
        <f t="shared" si="3"/>
        <v>√</v>
      </c>
      <c r="AB10" s="45" t="str">
        <f t="shared" si="3"/>
        <v>√</v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33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29</v>
      </c>
      <c r="I11" s="44">
        <v>0.0115</v>
      </c>
      <c r="J11" s="44">
        <v>0.0224</v>
      </c>
      <c r="K11" s="44">
        <v>0.0101</v>
      </c>
      <c r="L11" s="44">
        <v>0.0188</v>
      </c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>√</v>
      </c>
      <c r="Z11" s="45" t="str">
        <f t="shared" si="3"/>
        <v>√</v>
      </c>
      <c r="AA11" s="45" t="str">
        <f t="shared" si="3"/>
        <v>√</v>
      </c>
      <c r="AB11" s="45" t="str">
        <f t="shared" si="3"/>
        <v>√</v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34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35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36</v>
      </c>
      <c r="C13" s="46"/>
      <c r="D13" s="46"/>
      <c r="E13" s="47"/>
      <c r="F13" s="42"/>
      <c r="G13" s="42"/>
      <c r="H13" s="43" t="s">
        <v>35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37</v>
      </c>
      <c r="C14" s="46"/>
      <c r="D14" s="46"/>
      <c r="E14" s="47"/>
      <c r="F14" s="42"/>
      <c r="G14" s="42"/>
      <c r="H14" s="43" t="s">
        <v>35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38</v>
      </c>
      <c r="C15" s="46"/>
      <c r="D15" s="46"/>
      <c r="E15" s="47"/>
      <c r="F15" s="42"/>
      <c r="G15" s="42"/>
      <c r="H15" s="43" t="s">
        <v>35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39</v>
      </c>
      <c r="C16" s="46"/>
      <c r="D16" s="46"/>
      <c r="E16" s="47"/>
      <c r="F16" s="42"/>
      <c r="G16" s="42"/>
      <c r="H16" s="43" t="s">
        <v>35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40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35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41</v>
      </c>
      <c r="C18" s="46"/>
      <c r="D18" s="46"/>
      <c r="E18" s="47"/>
      <c r="F18" s="42"/>
      <c r="G18" s="42"/>
      <c r="H18" s="43" t="s">
        <v>35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42</v>
      </c>
      <c r="C19" s="46"/>
      <c r="D19" s="46"/>
      <c r="E19" s="47"/>
      <c r="F19" s="42"/>
      <c r="G19" s="42"/>
      <c r="H19" s="43" t="s">
        <v>35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43</v>
      </c>
      <c r="C20" s="46"/>
      <c r="D20" s="46"/>
      <c r="E20" s="47"/>
      <c r="F20" s="42"/>
      <c r="G20" s="42"/>
      <c r="H20" s="43" t="s">
        <v>35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44</v>
      </c>
      <c r="C21" s="46"/>
      <c r="D21" s="46"/>
      <c r="E21" s="47"/>
      <c r="F21" s="42"/>
      <c r="G21" s="42"/>
      <c r="H21" s="43" t="s">
        <v>35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45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35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46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35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35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35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I7 S7:X7 J7:L7 N7:R7 J8:L9 N8:X9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M7">
    <cfRule type="cellIs" dxfId="0" priority="1" operator="notBetween">
      <formula>$F7</formula>
      <formula>$G7</formula>
    </cfRule>
  </conditionalFormatting>
  <conditionalFormatting sqref="Q23:X23">
    <cfRule type="cellIs" dxfId="0" priority="2" operator="notBetween">
      <formula>$F23</formula>
      <formula>$G23</formula>
    </cfRule>
  </conditionalFormatting>
  <conditionalFormatting sqref="I7:L7 N7:X7">
    <cfRule type="cellIs" dxfId="0" priority="3" operator="notBetween">
      <formula>$F7</formula>
      <formula>$G7</formula>
    </cfRule>
  </conditionalFormatting>
  <conditionalFormatting sqref="I10:X12 I17:X17 Q22:X22">
    <cfRule type="cellIs" dxfId="0" priority="8" operator="notBetween">
      <formula>$F10</formula>
      <formula>$G10</formula>
    </cfRule>
  </conditionalFormatting>
  <conditionalFormatting sqref="I22:P23">
    <cfRule type="cellIs" dxfId="0" priority="7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2026-06-06T13:26:50Z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