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<sst xmlns="http://schemas.openxmlformats.org/spreadsheetml/2006/main" count="59" uniqueCount="52">
  <si>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安徽中耀智能科技有限公司首件尺寸报告</t>
  </si>
  <si>
    <t>料号</t>
  </si>
  <si>
    <t>X806-64562</t>
  </si>
  <si>
    <t>工单号</t>
  </si>
  <si>
    <t>ww115-260518014</t>
  </si>
  <si>
    <t>工站</t>
  </si>
  <si>
    <t>射出机台号</t>
  </si>
  <si>
    <t>测量机台</t>
  </si>
  <si>
    <t>测量人员</t>
  </si>
  <si>
    <t>审核</t>
  </si>
  <si>
    <t>射出</t>
  </si>
  <si>
    <t>14#</t>
  </si>
  <si>
    <t>OMM4#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</si>
  <si>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</si>
  <si>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</si>
  <si>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</si>
  <si>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</si>
  <si>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</si>
  <si>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</si>
  <si>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</si>
  <si>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</si>
  <si>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</si>
  <si>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</si>
  <si>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</si>
  <si>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</si>
  <si>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</si>
  <si>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</si>
  <si>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</si>
  <si>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</si>
  <si>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</si>
  <si>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</si>
  <si>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</si>
  <si>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</si>
  <si>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</si>
  <si>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</si>
  <si>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</si>
  <si>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</si>
  <si>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</si>
  <si>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</si>
  <si>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</si>
  <si>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8-1</t>
  </si>
  <si>
    <t>复测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</si>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</sst>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 wrapText="1"/>
    </xf>
    <xf numFmtId="14" fontId="10" fillId="0" borderId="0" xfId="0" applyNumberFormat="1" applyFont="1" applyAlignment="1">
      <alignment vertical="center" wrapText="1"/>
    </xf>
    <xf numFmtId="0" fontId="11" fillId="0" borderId="0" xfId="53" applyFont="1" applyAlignment="1">
      <alignment horizontal="center" vertical="center"/>
    </xf>
    <xf numFmtId="0" fontId="12" fillId="0" borderId="0" xfId="59" applyFont="1" applyAlignment="1">
      <alignment horizontal="center" vertical="center"/>
    </xf>
    <xf numFmtId="0" fontId="12" fillId="0" borderId="0" xfId="59" applyFont="1" applyFill="1" applyAlignment="1">
      <alignment horizontal="center" vertical="center"/>
    </xf>
    <xf numFmtId="177" fontId="11" fillId="2" borderId="0" xfId="61" applyNumberFormat="1" applyFont="1" applyFill="1" applyAlignment="1">
      <alignment horizontal="center" vertical="center"/>
    </xf>
    <xf numFmtId="0" fontId="13" fillId="3" borderId="0" xfId="60" applyFont="1" applyFill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"/>
  <sheetViews>
    <sheetView tabSelected="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7" t="s">
        <v>41</v>
      </c>
      <c r="X6" s="48">
        <v>15</v>
      </c>
      <c r="Y6" s="48">
        <v>16</v>
      </c>
      <c r="Z6" s="49" t="str">
        <f t="shared" ref="Z6:AO6" si="0">J6</f>
        <v>1-1</v>
      </c>
      <c r="AA6" s="49" t="str">
        <f t="shared" si="0"/>
        <v>1-2</v>
      </c>
      <c r="AB6" s="49" t="str">
        <f t="shared" si="0"/>
        <v>2-1</v>
      </c>
      <c r="AC6" s="49" t="str">
        <f t="shared" si="0"/>
        <v>2-2</v>
      </c>
      <c r="AD6" s="49" t="str">
        <f t="shared" si="0"/>
        <v>3-1</v>
      </c>
      <c r="AE6" s="49" t="str">
        <f t="shared" si="0"/>
        <v>3-2</v>
      </c>
      <c r="AF6" s="49" t="str">
        <f t="shared" si="0"/>
        <v>4-1</v>
      </c>
      <c r="AG6" s="49" t="str">
        <f t="shared" si="0"/>
        <v>4-2</v>
      </c>
      <c r="AH6" s="49" t="str">
        <f t="shared" si="0"/>
        <v>5-1</v>
      </c>
      <c r="AI6" s="49" t="str">
        <f t="shared" si="0"/>
        <v>5-2</v>
      </c>
      <c r="AJ6" s="49" t="str">
        <f t="shared" si="0"/>
        <v>6-1</v>
      </c>
      <c r="AK6" s="49" t="str">
        <f t="shared" si="0"/>
        <v>6-2</v>
      </c>
      <c r="AL6" s="49" t="str">
        <f t="shared" si="0"/>
        <v>8-1</v>
      </c>
      <c r="AM6" s="49" t="str">
        <f t="shared" si="0"/>
        <v>复测</v>
      </c>
      <c r="AN6" s="49">
        <f t="shared" si="0"/>
        <v>15</v>
      </c>
      <c r="AO6" s="49">
        <f t="shared" si="0"/>
        <v>16</v>
      </c>
    </row>
    <row r="7" ht="15" customHeight="1" spans="1:41">
      <c r="A7" s="50">
        <v>46180</v>
      </c>
      <c r="B7" s="51" t="s">
        <v>42</v>
      </c>
      <c r="C7" s="51"/>
      <c r="D7" s="52">
        <v>0.8</v>
      </c>
      <c r="E7" s="52">
        <v>0.03</v>
      </c>
      <c r="F7" s="52">
        <v>-0.03</v>
      </c>
      <c r="G7" s="53">
        <f>D7+E7</f>
        <v>0.83</v>
      </c>
      <c r="H7" s="53">
        <f>D7+F7</f>
        <v>0.77</v>
      </c>
      <c r="I7" s="52" t="s">
        <v>43</v>
      </c>
      <c r="J7" s="54">
        <v>0.7967</v>
      </c>
      <c r="K7" s="54">
        <v>0.7967</v>
      </c>
      <c r="L7" s="54">
        <v>0.8051</v>
      </c>
      <c r="M7" s="54">
        <v>0.8049</v>
      </c>
      <c r="N7" s="54">
        <v>0.7984</v>
      </c>
      <c r="O7" s="54">
        <v>0.7984</v>
      </c>
      <c r="P7" s="54">
        <v>0.8016</v>
      </c>
      <c r="Q7" s="54">
        <v>0.7992</v>
      </c>
      <c r="R7" s="54">
        <v>0.7971</v>
      </c>
      <c r="S7" s="54">
        <v>0.7969</v>
      </c>
      <c r="T7" s="54">
        <v>0.7978</v>
      </c>
      <c r="U7" s="54">
        <v>0.7969</v>
      </c>
      <c r="V7" s="54">
        <v>0.7972</v>
      </c>
      <c r="W7" s="54"/>
      <c r="X7" s="54"/>
      <c r="Y7" s="54"/>
      <c r="Z7" s="55" t="str">
        <f t="shared" ref="Z7:AO7" si="1">IF(J7="","",IF(J7&gt;($D7+$E7),(J7-$D7-$E7),IF(J7&lt;($D7+$F7),(J7-$D7-$F7),"√")))</f>
        <v>√</v>
      </c>
      <c r="AA7" s="55" t="str">
        <f t="shared" si="1"/>
        <v>√</v>
      </c>
      <c r="AB7" s="55" t="str">
        <f t="shared" si="1"/>
        <v>√</v>
      </c>
      <c r="AC7" s="55" t="str">
        <f t="shared" si="1"/>
        <v>√</v>
      </c>
      <c r="AD7" s="55" t="str">
        <f t="shared" si="1"/>
        <v>√</v>
      </c>
      <c r="AE7" s="55" t="str">
        <f t="shared" si="1"/>
        <v>√</v>
      </c>
      <c r="AF7" s="55" t="str">
        <f t="shared" si="1"/>
        <v>√</v>
      </c>
      <c r="AG7" s="55" t="str">
        <f t="shared" si="1"/>
        <v>√</v>
      </c>
      <c r="AH7" s="55" t="str">
        <f t="shared" si="1"/>
        <v>√</v>
      </c>
      <c r="AI7" s="55" t="str">
        <f t="shared" si="1"/>
        <v>√</v>
      </c>
      <c r="AJ7" s="55" t="str">
        <f t="shared" si="1"/>
        <v>√</v>
      </c>
      <c r="AK7" s="55" t="str">
        <f t="shared" si="1"/>
        <v>√</v>
      </c>
      <c r="AL7" s="55" t="str">
        <f t="shared" si="1"/>
        <v>√</v>
      </c>
      <c r="AM7" s="55" t="str">
        <f t="shared" si="1"/>
        <v/>
      </c>
      <c r="AN7" s="55" t="str">
        <f t="shared" si="1"/>
        <v/>
      </c>
      <c r="AO7" s="55" t="str">
        <f t="shared" si="1"/>
        <v/>
      </c>
    </row>
    <row r="8" ht="15" customHeight="1" spans="1:41">
      <c r="A8" s="56"/>
      <c r="B8" s="51" t="s">
        <v>44</v>
      </c>
      <c r="C8" s="51"/>
      <c r="D8" s="52">
        <v>0.8</v>
      </c>
      <c r="E8" s="52">
        <v>0.03</v>
      </c>
      <c r="F8" s="52">
        <v>-0.03</v>
      </c>
      <c r="G8" s="53">
        <f>D8+E8</f>
        <v>0.83</v>
      </c>
      <c r="H8" s="53">
        <f>D8+F8</f>
        <v>0.77</v>
      </c>
      <c r="I8" s="52" t="s">
        <v>43</v>
      </c>
      <c r="J8" s="54">
        <v>0.7973</v>
      </c>
      <c r="K8" s="54">
        <v>0.7942</v>
      </c>
      <c r="L8" s="54">
        <v>0.8019</v>
      </c>
      <c r="M8" s="54">
        <v>0.8021</v>
      </c>
      <c r="N8" s="54">
        <v>0.7951</v>
      </c>
      <c r="O8" s="54">
        <v>0.7955</v>
      </c>
      <c r="P8" s="54">
        <v>0.7971</v>
      </c>
      <c r="Q8" s="54">
        <v>0.797</v>
      </c>
      <c r="R8" s="54">
        <v>0.7937</v>
      </c>
      <c r="S8" s="54">
        <v>0.7932</v>
      </c>
      <c r="T8" s="54">
        <v>0.7939</v>
      </c>
      <c r="U8" s="54">
        <v>0.7939</v>
      </c>
      <c r="V8" s="54">
        <v>0.7944</v>
      </c>
      <c r="W8" s="54"/>
      <c r="X8" s="54"/>
      <c r="Y8" s="54"/>
      <c r="Z8" s="55" t="str">
        <f t="shared" ref="Z8:AO8" si="2">IF(J8="","",IF(J8&gt;($D8+$E8),(J8-$D8-$E8),IF(J8&lt;($D8+$F8),(J8-$D8-$F8),"√")))</f>
        <v>√</v>
      </c>
      <c r="AA8" s="55" t="str">
        <f t="shared" si="2"/>
        <v>√</v>
      </c>
      <c r="AB8" s="55" t="str">
        <f t="shared" si="2"/>
        <v>√</v>
      </c>
      <c r="AC8" s="55" t="str">
        <f t="shared" si="2"/>
        <v>√</v>
      </c>
      <c r="AD8" s="55" t="str">
        <f t="shared" si="2"/>
        <v>√</v>
      </c>
      <c r="AE8" s="55" t="str">
        <f t="shared" si="2"/>
        <v>√</v>
      </c>
      <c r="AF8" s="55" t="str">
        <f t="shared" si="2"/>
        <v>√</v>
      </c>
      <c r="AG8" s="55" t="str">
        <f t="shared" si="2"/>
        <v>√</v>
      </c>
      <c r="AH8" s="55" t="str">
        <f t="shared" si="2"/>
        <v>√</v>
      </c>
      <c r="AI8" s="55" t="str">
        <f t="shared" si="2"/>
        <v>√</v>
      </c>
      <c r="AJ8" s="55" t="str">
        <f t="shared" si="2"/>
        <v>√</v>
      </c>
      <c r="AK8" s="55" t="str">
        <f t="shared" si="2"/>
        <v>√</v>
      </c>
      <c r="AL8" s="55" t="str">
        <f t="shared" si="2"/>
        <v>√</v>
      </c>
      <c r="AM8" s="55" t="str">
        <f t="shared" si="2"/>
        <v/>
      </c>
      <c r="AN8" s="55" t="str">
        <f t="shared" si="2"/>
        <v/>
      </c>
      <c r="AO8" s="55" t="str">
        <f t="shared" si="2"/>
        <v/>
      </c>
    </row>
    <row r="9" ht="15" customHeight="1" spans="1:41">
      <c r="A9" s="56"/>
      <c r="B9" s="51" t="s">
        <v>45</v>
      </c>
      <c r="C9" s="51"/>
      <c r="D9" s="52">
        <v>1.85</v>
      </c>
      <c r="E9" s="52">
        <v>0.06</v>
      </c>
      <c r="F9" s="52">
        <v>-0.06</v>
      </c>
      <c r="G9" s="53">
        <f>D9+E9</f>
        <v>1.91</v>
      </c>
      <c r="H9" s="53">
        <f>D9+F9</f>
        <v>1.79</v>
      </c>
      <c r="I9" s="52" t="s">
        <v>43</v>
      </c>
      <c r="J9" s="54">
        <v>1.8478</v>
      </c>
      <c r="K9" s="54">
        <v>1.8456</v>
      </c>
      <c r="L9" s="54">
        <v>1.8453</v>
      </c>
      <c r="M9" s="54">
        <v>1.8437</v>
      </c>
      <c r="N9" s="54">
        <v>1.8726</v>
      </c>
      <c r="O9" s="54">
        <v>1.8416</v>
      </c>
      <c r="P9" s="54">
        <v>1.8475</v>
      </c>
      <c r="Q9" s="54">
        <v>1.8438</v>
      </c>
      <c r="R9" s="54">
        <v>1.8918</v>
      </c>
      <c r="S9" s="54">
        <v>1.8918</v>
      </c>
      <c r="T9" s="54">
        <v>1.8893</v>
      </c>
      <c r="U9" s="54">
        <v>1.8992</v>
      </c>
      <c r="V9" s="54">
        <v>1.9077</v>
      </c>
      <c r="W9" s="54"/>
      <c r="X9" s="54"/>
      <c r="Y9" s="54"/>
      <c r="Z9" s="55" t="str">
        <f t="shared" ref="Z9:AB9" si="3">IF(J9="","",IF(J9&gt;($D9+$E9),(J9-$D9-$E9),IF(J9&lt;($D9+$F9),(J9-$D9-$F9),"√")))</f>
        <v>√</v>
      </c>
      <c r="AA9" s="55" t="str">
        <f t="shared" si="3"/>
        <v>√</v>
      </c>
      <c r="AB9" s="55" t="str">
        <f t="shared" si="3"/>
        <v>√</v>
      </c>
      <c r="AC9" s="55" t="str">
        <f t="shared" ref="AC9:AO11" si="4">IF(M9="","",IF(M9&gt;($D9+$E9),(M9-$D9-$E9),IF(M9&lt;($D9+$F9),(M9-$D9-$F9),"√")))</f>
        <v>√</v>
      </c>
      <c r="AD9" s="55" t="str">
        <f t="shared" si="4"/>
        <v>√</v>
      </c>
      <c r="AE9" s="55" t="str">
        <f t="shared" si="4"/>
        <v>√</v>
      </c>
      <c r="AF9" s="55" t="str">
        <f t="shared" si="4"/>
        <v>√</v>
      </c>
      <c r="AG9" s="55" t="str">
        <f t="shared" si="4"/>
        <v>√</v>
      </c>
      <c r="AH9" s="55" t="str">
        <f t="shared" si="4"/>
        <v>√</v>
      </c>
      <c r="AI9" s="55" t="str">
        <f t="shared" si="4"/>
        <v>√</v>
      </c>
      <c r="AJ9" s="55" t="str">
        <f t="shared" si="4"/>
        <v>√</v>
      </c>
      <c r="AK9" s="55" t="str">
        <f t="shared" si="4"/>
        <v>√</v>
      </c>
      <c r="AL9" s="55" t="str">
        <f t="shared" si="4"/>
        <v>√</v>
      </c>
      <c r="AM9" s="55" t="str">
        <f t="shared" si="4"/>
        <v/>
      </c>
      <c r="AN9" s="55" t="str">
        <f t="shared" si="4"/>
        <v/>
      </c>
      <c r="AO9" s="55" t="str">
        <f t="shared" si="4"/>
        <v/>
      </c>
    </row>
    <row r="10" ht="15" customHeight="1" spans="1:41">
      <c r="A10" s="56"/>
      <c r="B10" s="51" t="s">
        <v>46</v>
      </c>
      <c r="C10" s="51"/>
      <c r="D10" s="52">
        <v>1.86</v>
      </c>
      <c r="E10" s="52">
        <v>0.06</v>
      </c>
      <c r="F10" s="52">
        <v>-0.06</v>
      </c>
      <c r="G10" s="53">
        <f>D10+E10</f>
        <v>1.92</v>
      </c>
      <c r="H10" s="53">
        <f>D10+F10</f>
        <v>1.8</v>
      </c>
      <c r="I10" s="52" t="s">
        <v>43</v>
      </c>
      <c r="J10" s="54">
        <v>1.8294</v>
      </c>
      <c r="K10" s="54">
        <v>1.8324</v>
      </c>
      <c r="L10" s="54">
        <v>1.839</v>
      </c>
      <c r="M10" s="54">
        <v>1.8333</v>
      </c>
      <c r="N10" s="54">
        <v>1.8396</v>
      </c>
      <c r="O10" s="54">
        <v>1.8491</v>
      </c>
      <c r="P10" s="54">
        <v>1.8163</v>
      </c>
      <c r="Q10" s="54">
        <v>1.8256</v>
      </c>
      <c r="R10" s="54">
        <v>1.8095</v>
      </c>
      <c r="S10" s="54">
        <v>1.8086</v>
      </c>
      <c r="T10" s="54">
        <v>1.8008</v>
      </c>
      <c r="U10" s="54">
        <v>1.8042</v>
      </c>
      <c r="V10" s="54">
        <v>1.803</v>
      </c>
      <c r="W10" s="54"/>
      <c r="X10" s="54"/>
      <c r="Y10" s="54"/>
      <c r="Z10" s="55" t="str">
        <f t="shared" ref="Z10:AB11" si="5">IF(J10="","",IF(J10&gt;($D10+$E10),(J10-$D10-$E10),IF(J10&lt;($D10+$F10),(J10-$D10-$F10),"√")))</f>
        <v>√</v>
      </c>
      <c r="AA10" s="55" t="str">
        <f t="shared" si="5"/>
        <v>√</v>
      </c>
      <c r="AB10" s="55" t="str">
        <f t="shared" si="5"/>
        <v>√</v>
      </c>
      <c r="AC10" s="55" t="str">
        <f t="shared" si="4"/>
        <v>√</v>
      </c>
      <c r="AD10" s="55" t="str">
        <f t="shared" si="4"/>
        <v>√</v>
      </c>
      <c r="AE10" s="55" t="str">
        <f t="shared" si="4"/>
        <v>√</v>
      </c>
      <c r="AF10" s="55" t="str">
        <f t="shared" si="4"/>
        <v>√</v>
      </c>
      <c r="AG10" s="55" t="str">
        <f t="shared" si="4"/>
        <v>√</v>
      </c>
      <c r="AH10" s="55" t="str">
        <f t="shared" si="4"/>
        <v>√</v>
      </c>
      <c r="AI10" s="55" t="str">
        <f t="shared" si="4"/>
        <v>√</v>
      </c>
      <c r="AJ10" s="55" t="str">
        <f t="shared" si="4"/>
        <v>√</v>
      </c>
      <c r="AK10" s="55" t="str">
        <f t="shared" si="4"/>
        <v>√</v>
      </c>
      <c r="AL10" s="55" t="str">
        <f t="shared" si="4"/>
        <v>√</v>
      </c>
      <c r="AM10" s="55" t="str">
        <f t="shared" si="4"/>
        <v/>
      </c>
      <c r="AN10" s="55" t="str">
        <f t="shared" si="4"/>
        <v/>
      </c>
      <c r="AO10" s="55" t="str">
        <f t="shared" si="4"/>
        <v/>
      </c>
    </row>
    <row r="11" ht="15" customHeight="1" spans="1:41">
      <c r="A11" s="56"/>
      <c r="B11" s="51" t="s">
        <v>47</v>
      </c>
      <c r="C11" s="51"/>
      <c r="D11" s="52">
        <v>1.86</v>
      </c>
      <c r="E11" s="52">
        <v>0.06</v>
      </c>
      <c r="F11" s="52">
        <v>-0.06</v>
      </c>
      <c r="G11" s="53">
        <f>D11+E11</f>
        <v>1.92</v>
      </c>
      <c r="H11" s="53">
        <f>D11+F11</f>
        <v>1.8</v>
      </c>
      <c r="I11" s="52" t="s">
        <v>43</v>
      </c>
      <c r="J11" s="54">
        <v>1.8278</v>
      </c>
      <c r="K11" s="54">
        <v>1.8303</v>
      </c>
      <c r="L11" s="54">
        <v>1.8365</v>
      </c>
      <c r="M11" s="54">
        <v>1.8285</v>
      </c>
      <c r="N11" s="54">
        <v>1.8334</v>
      </c>
      <c r="O11" s="54">
        <v>1.8334</v>
      </c>
      <c r="P11" s="54">
        <v>1.8208</v>
      </c>
      <c r="Q11" s="54">
        <v>1.8256</v>
      </c>
      <c r="R11" s="54">
        <v>1.8033</v>
      </c>
      <c r="S11" s="54">
        <v>1.8068</v>
      </c>
      <c r="T11" s="54">
        <v>1.8173</v>
      </c>
      <c r="U11" s="54">
        <v>1.8054</v>
      </c>
      <c r="V11" s="54">
        <v>1.8096</v>
      </c>
      <c r="W11" s="54"/>
      <c r="X11" s="54"/>
      <c r="Y11" s="54"/>
      <c r="Z11" s="55" t="str">
        <f t="shared" si="5"/>
        <v>√</v>
      </c>
      <c r="AA11" s="55" t="str">
        <f t="shared" si="5"/>
        <v>√</v>
      </c>
      <c r="AB11" s="55" t="str">
        <f t="shared" si="5"/>
        <v>√</v>
      </c>
      <c r="AC11" s="55" t="str">
        <f t="shared" si="4"/>
        <v>√</v>
      </c>
      <c r="AD11" s="55" t="str">
        <f t="shared" si="4"/>
        <v>√</v>
      </c>
      <c r="AE11" s="55" t="str">
        <f t="shared" si="4"/>
        <v>√</v>
      </c>
      <c r="AF11" s="55" t="str">
        <f t="shared" si="4"/>
        <v>√</v>
      </c>
      <c r="AG11" s="55" t="str">
        <f t="shared" si="4"/>
        <v>√</v>
      </c>
      <c r="AH11" s="55" t="str">
        <f t="shared" si="4"/>
        <v>√</v>
      </c>
      <c r="AI11" s="55" t="str">
        <f t="shared" si="4"/>
        <v>√</v>
      </c>
      <c r="AJ11" s="55" t="str">
        <f t="shared" si="4"/>
        <v>√</v>
      </c>
      <c r="AK11" s="55" t="str">
        <f t="shared" si="4"/>
        <v>√</v>
      </c>
      <c r="AL11" s="55" t="str">
        <f t="shared" si="4"/>
        <v>√</v>
      </c>
      <c r="AM11" s="55" t="str">
        <f t="shared" si="4"/>
        <v/>
      </c>
      <c r="AN11" s="55" t="str">
        <f t="shared" si="4"/>
        <v/>
      </c>
      <c r="AO11" s="55" t="str">
        <f t="shared" si="4"/>
        <v/>
      </c>
    </row>
    <row r="12" ht="15" customHeight="1" spans="1:41">
      <c r="A12" s="56"/>
      <c r="B12" s="51" t="s">
        <v>48</v>
      </c>
      <c r="C12" s="51" t="s">
        <v>49</v>
      </c>
      <c r="D12" s="52">
        <v>6.26</v>
      </c>
      <c r="E12" s="52">
        <v>0.025</v>
      </c>
      <c r="F12" s="52">
        <v>-0.025</v>
      </c>
      <c r="G12" s="53">
        <f t="shared" ref="G12:G14" si="6">D12+E12</f>
        <v>6.285</v>
      </c>
      <c r="H12" s="53">
        <f t="shared" ref="H12:H14" si="7">D12+F12</f>
        <v>6.235</v>
      </c>
      <c r="I12" s="52" t="s">
        <v>43</v>
      </c>
      <c r="J12" s="54">
        <v>6.2858</v>
      </c>
      <c r="K12" s="54">
        <v>6.2643</v>
      </c>
      <c r="L12" s="54">
        <v>6.2822</v>
      </c>
      <c r="M12" s="54">
        <v>6.2798</v>
      </c>
      <c r="N12" s="54">
        <v>6.3004</v>
      </c>
      <c r="O12" s="54">
        <v>6.2693</v>
      </c>
      <c r="P12" s="54">
        <v>6.2577</v>
      </c>
      <c r="Q12" s="54">
        <v>6.2808</v>
      </c>
      <c r="R12" s="54">
        <v>6.2699</v>
      </c>
      <c r="S12" s="54">
        <v>6.2664</v>
      </c>
      <c r="T12" s="54">
        <v>6.2861</v>
      </c>
      <c r="U12" s="54">
        <v>6.2814</v>
      </c>
      <c r="V12" s="54">
        <v>6.2775</v>
      </c>
      <c r="W12" s="54">
        <v>6.3018</v>
      </c>
      <c r="X12" s="54"/>
      <c r="Y12" s="54"/>
      <c r="Z12" s="55">
        <f t="shared" ref="Z12:Z14" si="8">IF(J12="","",IF(J12&gt;($D12+$E12),(J12-$D12-$E12),IF(J12&lt;($D12+$F12),(J12-$D12-$F12),"√")))</f>
        <v>0.000800000000000266</v>
      </c>
      <c r="AA12" s="55" t="str">
        <f t="shared" ref="AA12:AA14" si="9">IF(K12="","",IF(K12&gt;($D12+$E12),(K12-$D12-$E12),IF(K12&lt;($D12+$F12),(K12-$D12-$F12),"√")))</f>
        <v>√</v>
      </c>
      <c r="AB12" s="55" t="str">
        <f t="shared" ref="AB12:AB14" si="10">IF(L12="","",IF(L12&gt;($D12+$E12),(L12-$D12-$E12),IF(L12&lt;($D12+$F12),(L12-$D12-$F12),"√")))</f>
        <v>√</v>
      </c>
      <c r="AC12" s="55" t="str">
        <f t="shared" ref="AC12:AC14" si="11">IF(M12="","",IF(M12&gt;($D12+$E12),(M12-$D12-$E12),IF(M12&lt;($D12+$F12),(M12-$D12-$F12),"√")))</f>
        <v>√</v>
      </c>
      <c r="AD12" s="55">
        <f t="shared" ref="AD12:AD14" si="12">IF(N12="","",IF(N12&gt;($D12+$E12),(N12-$D12-$E12),IF(N12&lt;($D12+$F12),(N12-$D12-$F12),"√")))</f>
        <v>0.0154</v>
      </c>
      <c r="AE12" s="55" t="str">
        <f t="shared" ref="AE12:AE14" si="13">IF(O12="","",IF(O12&gt;($D12+$E12),(O12-$D12-$E12),IF(O12&lt;($D12+$F12),(O12-$D12-$F12),"√")))</f>
        <v>√</v>
      </c>
      <c r="AF12" s="55" t="str">
        <f t="shared" ref="AF12:AF14" si="14">IF(P12="","",IF(P12&gt;($D12+$E12),(P12-$D12-$E12),IF(P12&lt;($D12+$F12),(P12-$D12-$F12),"√")))</f>
        <v>√</v>
      </c>
      <c r="AG12" s="55" t="str">
        <f t="shared" ref="AG12:AG14" si="15">IF(Q12="","",IF(Q12&gt;($D12+$E12),(Q12-$D12-$E12),IF(Q12&lt;($D12+$F12),(Q12-$D12-$F12),"√")))</f>
        <v>√</v>
      </c>
      <c r="AH12" s="55" t="str">
        <f t="shared" ref="AH12:AH14" si="16">IF(R12="","",IF(R12&gt;($D12+$E12),(R12-$D12-$E12),IF(R12&lt;($D12+$F12),(R12-$D12-$F12),"√")))</f>
        <v>√</v>
      </c>
      <c r="AI12" s="55" t="str">
        <f t="shared" ref="AI12:AI14" si="17">IF(S12="","",IF(S12&gt;($D12+$E12),(S12-$D12-$E12),IF(S12&lt;($D12+$F12),(S12-$D12-$F12),"√")))</f>
        <v>√</v>
      </c>
      <c r="AJ12" s="55">
        <f t="shared" ref="AJ12:AJ14" si="18">IF(T12="","",IF(T12&gt;($D12+$E12),(T12-$D12-$E12),IF(T12&lt;($D12+$F12),(T12-$D12-$F12),"√")))</f>
        <v>0.00110000000000045</v>
      </c>
      <c r="AK12" s="55" t="str">
        <f t="shared" ref="AK12:AK14" si="19">IF(U12="","",IF(U12&gt;($D12+$E12),(U12-$D12-$E12),IF(U12&lt;($D12+$F12),(U12-$D12-$F12),"√")))</f>
        <v>√</v>
      </c>
      <c r="AL12" s="55" t="str">
        <f t="shared" ref="AL12:AL14" si="20">IF(V12="","",IF(V12&gt;($D12+$E12),(V12-$D12-$E12),IF(V12&lt;($D12+$F12),(V12-$D12-$F12),"√")))</f>
        <v>√</v>
      </c>
      <c r="AM12" s="55">
        <f t="shared" ref="AM12:AM14" si="21">IF(W12="","",IF(W12&gt;($D12+$E12),(W12-$D12-$E12),IF(W12&lt;($D12+$F12),(W12-$D12-$F12),"√")))</f>
        <v>0.0168000000000003</v>
      </c>
      <c r="AN12" s="55" t="str">
        <f t="shared" ref="AN12:AN14" si="22">IF(X12="","",IF(X12&gt;($D12+$E12),(X12-$D12-$E12),IF(X12&lt;($D12+$F12),(X12-$D12-$F12),"√")))</f>
        <v/>
      </c>
      <c r="AO12" s="55" t="str">
        <f t="shared" ref="AO12:AO14" si="23">IF(Y12="","",IF(Y12&gt;($D12+$E12),(Y12-$D12-$E12),IF(Y12&lt;($D12+$F12),(Y12-$D12-$F12),"√")))</f>
        <v/>
      </c>
    </row>
    <row r="13" ht="15" customHeight="1" spans="1:41">
      <c r="A13" s="56"/>
      <c r="B13" s="51" t="s">
        <v>50</v>
      </c>
      <c r="C13" s="51"/>
      <c r="D13" s="52">
        <v>1.27</v>
      </c>
      <c r="E13" s="52">
        <v>0.03</v>
      </c>
      <c r="F13" s="52">
        <v>-0.03</v>
      </c>
      <c r="G13" s="53">
        <f t="shared" si="6"/>
        <v>1.3</v>
      </c>
      <c r="H13" s="53">
        <f t="shared" si="7"/>
        <v>1.24</v>
      </c>
      <c r="I13" s="52" t="s">
        <v>43</v>
      </c>
      <c r="J13" s="54">
        <v>1.2712</v>
      </c>
      <c r="K13" s="54">
        <v>1.2689</v>
      </c>
      <c r="L13" s="54">
        <v>1.2549</v>
      </c>
      <c r="M13" s="54">
        <v>1.2637</v>
      </c>
      <c r="N13" s="54">
        <v>1.2712</v>
      </c>
      <c r="O13" s="54">
        <v>1.2737</v>
      </c>
      <c r="P13" s="54">
        <v>1.2628</v>
      </c>
      <c r="Q13" s="54">
        <v>1.2636</v>
      </c>
      <c r="R13" s="54">
        <v>1.2493</v>
      </c>
      <c r="S13" s="54">
        <v>1.259</v>
      </c>
      <c r="T13" s="54">
        <v>1.2671</v>
      </c>
      <c r="U13" s="54">
        <v>1.2687</v>
      </c>
      <c r="V13" s="54">
        <v>1.2802</v>
      </c>
      <c r="W13" s="54">
        <v>1.2735</v>
      </c>
      <c r="X13" s="54"/>
      <c r="Y13" s="54"/>
      <c r="Z13" s="55" t="str">
        <f t="shared" si="8"/>
        <v>√</v>
      </c>
      <c r="AA13" s="55" t="str">
        <f t="shared" si="9"/>
        <v>√</v>
      </c>
      <c r="AB13" s="55" t="str">
        <f t="shared" si="10"/>
        <v>√</v>
      </c>
      <c r="AC13" s="55" t="str">
        <f t="shared" si="11"/>
        <v>√</v>
      </c>
      <c r="AD13" s="55" t="str">
        <f t="shared" si="12"/>
        <v>√</v>
      </c>
      <c r="AE13" s="55" t="str">
        <f t="shared" si="13"/>
        <v>√</v>
      </c>
      <c r="AF13" s="55" t="str">
        <f t="shared" si="14"/>
        <v>√</v>
      </c>
      <c r="AG13" s="55" t="str">
        <f t="shared" si="15"/>
        <v>√</v>
      </c>
      <c r="AH13" s="55" t="str">
        <f t="shared" si="16"/>
        <v>√</v>
      </c>
      <c r="AI13" s="55" t="str">
        <f t="shared" si="17"/>
        <v>√</v>
      </c>
      <c r="AJ13" s="55" t="str">
        <f t="shared" si="18"/>
        <v>√</v>
      </c>
      <c r="AK13" s="55" t="str">
        <f t="shared" si="19"/>
        <v>√</v>
      </c>
      <c r="AL13" s="55" t="str">
        <f t="shared" si="20"/>
        <v>√</v>
      </c>
      <c r="AM13" s="55" t="str">
        <f t="shared" si="21"/>
        <v>√</v>
      </c>
      <c r="AN13" s="55" t="str">
        <f t="shared" si="22"/>
        <v/>
      </c>
      <c r="AO13" s="55" t="str">
        <f t="shared" si="23"/>
        <v/>
      </c>
    </row>
    <row r="14" ht="15" customHeight="1" spans="1:41">
      <c r="A14" s="56"/>
      <c r="B14" s="51" t="s">
        <v>51</v>
      </c>
      <c r="C14" s="51"/>
      <c r="D14" s="52">
        <v>1.27</v>
      </c>
      <c r="E14" s="52">
        <v>0.03</v>
      </c>
      <c r="F14" s="52">
        <v>-0.03</v>
      </c>
      <c r="G14" s="53">
        <f t="shared" si="6"/>
        <v>1.3</v>
      </c>
      <c r="H14" s="53">
        <f t="shared" si="7"/>
        <v>1.24</v>
      </c>
      <c r="I14" s="52" t="s">
        <v>43</v>
      </c>
      <c r="J14" s="54">
        <v>1.2599</v>
      </c>
      <c r="K14" s="54">
        <v>1.2616</v>
      </c>
      <c r="L14" s="54">
        <v>1.2625</v>
      </c>
      <c r="M14" s="54">
        <v>1.2606</v>
      </c>
      <c r="N14" s="54">
        <v>1.2873</v>
      </c>
      <c r="O14" s="54">
        <v>1.2821</v>
      </c>
      <c r="P14" s="54">
        <v>1.2634</v>
      </c>
      <c r="Q14" s="54">
        <v>1.2639</v>
      </c>
      <c r="R14" s="54">
        <v>1.2665</v>
      </c>
      <c r="S14" s="54">
        <v>1.2689</v>
      </c>
      <c r="T14" s="54">
        <v>1.266</v>
      </c>
      <c r="U14" s="54">
        <v>1.2675</v>
      </c>
      <c r="V14" s="54">
        <v>1.27</v>
      </c>
      <c r="W14" s="54">
        <v>1.2852</v>
      </c>
      <c r="X14" s="54"/>
      <c r="Y14" s="54"/>
      <c r="Z14" s="55" t="str">
        <f t="shared" si="8"/>
        <v>√</v>
      </c>
      <c r="AA14" s="55" t="str">
        <f t="shared" si="9"/>
        <v>√</v>
      </c>
      <c r="AB14" s="55" t="str">
        <f t="shared" si="10"/>
        <v>√</v>
      </c>
      <c r="AC14" s="55" t="str">
        <f t="shared" si="11"/>
        <v>√</v>
      </c>
      <c r="AD14" s="55" t="str">
        <f t="shared" si="12"/>
        <v>√</v>
      </c>
      <c r="AE14" s="55" t="str">
        <f t="shared" si="13"/>
        <v>√</v>
      </c>
      <c r="AF14" s="55" t="str">
        <f t="shared" si="14"/>
        <v>√</v>
      </c>
      <c r="AG14" s="55" t="str">
        <f t="shared" si="15"/>
        <v>√</v>
      </c>
      <c r="AH14" s="55" t="str">
        <f t="shared" si="16"/>
        <v>√</v>
      </c>
      <c r="AI14" s="55" t="str">
        <f t="shared" si="17"/>
        <v>√</v>
      </c>
      <c r="AJ14" s="55" t="str">
        <f t="shared" si="18"/>
        <v>√</v>
      </c>
      <c r="AK14" s="55" t="str">
        <f t="shared" si="19"/>
        <v>√</v>
      </c>
      <c r="AL14" s="55" t="str">
        <f t="shared" si="20"/>
        <v>√</v>
      </c>
      <c r="AM14" s="55" t="str">
        <f t="shared" si="21"/>
        <v>√</v>
      </c>
      <c r="AN14" s="55" t="str">
        <f t="shared" si="22"/>
        <v/>
      </c>
      <c r="AO14" s="55" t="str">
        <f t="shared" si="23"/>
        <v/>
      </c>
    </row>
    <row r="15" ht="15" customHeight="1" spans="1:41">
      <c r="A15" s="57"/>
      <c r="B15" s="58"/>
      <c r="C15" s="58"/>
      <c r="D15" s="59"/>
      <c r="E15" s="59"/>
      <c r="F15" s="59"/>
      <c r="G15" s="60"/>
      <c r="H15" s="60"/>
      <c r="I15" s="59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8">
    <cfRule type="cellIs" dxfId="0" priority="3" operator="notBetween">
      <formula>$G7</formula>
      <formula>$H7</formula>
    </cfRule>
  </conditionalFormatting>
  <conditionalFormatting sqref="J9:Y11">
    <cfRule type="cellIs" dxfId="0" priority="23" operator="notBetween">
      <formula>$G9</formula>
      <formula>$H9</formula>
    </cfRule>
  </conditionalFormatting>
  <conditionalFormatting sqref="J12:Y15">
    <cfRule type="cellIs" dxfId="0" priority="2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2026-06-06T20:33:08Z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