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8" sheetId="8" r:id="rId1"/>
  </sheets>
  <definedNames>
    <definedName name="_xlnm.Print_Area" localSheetId="0">'806-65038'!$B$1:$AE$6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<sst xmlns="http://schemas.openxmlformats.org/spreadsheetml/2006/main" count="115" uniqueCount="70">
  <si>
    <t>安徽中耀智能科技有限公司首件尺寸报告</t>
  </si>
  <si>
    <t>料号</t>
  </si>
  <si>
    <t>806-65038</t>
  </si>
  <si>
    <t>工单号</t>
  </si>
  <si>
    <t>工站</t>
  </si>
  <si>
    <t>炉号</t>
  </si>
  <si>
    <t>测量机台号</t>
  </si>
  <si>
    <t>测量人员</t>
  </si>
  <si>
    <t>审核</t>
  </si>
  <si>
    <t>烧结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</si>
  <si>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</si>
  <si>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</si>
  <si>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</si>
  <si>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</si>
  <si>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</si>
  <si>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</si>
  <si>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</si>
  <si>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</si>
  <si>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</si>
  <si>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</si>
  <si>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</si>
  <si>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</si>
  <si>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</si>
  <si>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</si>
  <si>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</si>
  <si>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</si>
  <si>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</si>
  <si>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</si>
  <si>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</si>
  <si>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</si>
  <si>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</si>
  <si>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</si>
  <si>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</si>
  <si>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</si>
  <si>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</si>
  <si>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2-4</t>
  </si>
  <si>
    <t>2-5</t>
  </si>
  <si>
    <t>2-6</t>
  </si>
  <si>
    <t>FAI 21</t>
  </si>
  <si>
    <t>OMM</t>
  </si>
  <si>
    <t>3-1</t>
  </si>
  <si>
    <t>3-2</t>
  </si>
  <si>
    <t>3-3</t>
  </si>
  <si>
    <t>3-4</t>
  </si>
  <si>
    <t>3-5</t>
  </si>
  <si>
    <t>3-6</t>
  </si>
  <si>
    <t>4-1</t>
  </si>
  <si>
    <t>4-2</t>
  </si>
  <si>
    <t>4-3</t>
  </si>
  <si>
    <t>4-4</t>
  </si>
  <si>
    <t>4-5</t>
  </si>
  <si>
    <t>4-6</t>
  </si>
  <si>
    <t>5-1</t>
  </si>
  <si>
    <t>5-2</t>
  </si>
  <si>
    <t>5-3</t>
  </si>
  <si>
    <t>5-4</t>
  </si>
  <si>
    <t>5-5</t>
  </si>
  <si>
    <t>5-6</t>
  </si>
  <si>
    <t>6-1</t>
  </si>
  <si>
    <t>6-2</t>
  </si>
  <si>
    <t>6-3</t>
  </si>
  <si>
    <t>6-4</t>
  </si>
  <si>
    <t>6-5</t>
  </si>
  <si>
    <t>6-6</t>
  </si>
  <si>
    <t>8-1</t>
  </si>
  <si>
    <t>8-2</t>
  </si>
  <si>
    <t>8-3</t>
  </si>
  <si>
    <t>8-4</t>
  </si>
  <si>
    <t>8-5</t>
  </si>
  <si>
    <t>8-6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</si>
</sst>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4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49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5"/>
  <sheetViews>
    <sheetView tabSelected="1" topLeftCell="B1" workbookViewId="0">
      <selection activeCell="J25" sqref="J25:O25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2" t="s">
        <v>16</v>
      </c>
      <c r="E4" s="33" t="s">
        <v>17</v>
      </c>
      <c r="F4" s="34" t="s">
        <v>18</v>
      </c>
      <c r="G4" s="34" t="s">
        <v>19</v>
      </c>
      <c r="H4" s="34" t="s">
        <v>20</v>
      </c>
      <c r="I4" s="35" t="s">
        <v>21</v>
      </c>
      <c r="J4" s="36" t="s">
        <v>22</v>
      </c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7" t="s">
        <v>23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9"/>
    </row>
    <row r="5" ht="13.5" customHeight="1" spans="1:41">
      <c r="A5" s="40"/>
      <c r="B5" s="41"/>
      <c r="C5" s="32"/>
      <c r="D5" s="32"/>
      <c r="E5" s="33"/>
      <c r="F5" s="34"/>
      <c r="G5" s="34"/>
      <c r="H5" s="34"/>
      <c r="I5" s="32"/>
      <c r="J5" s="36" t="s">
        <v>24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42" t="s">
        <v>25</v>
      </c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</row>
    <row r="6" customHeight="1" spans="1:41">
      <c r="A6" s="40"/>
      <c r="B6" s="41"/>
      <c r="C6" s="32"/>
      <c r="D6" s="32"/>
      <c r="E6" s="33"/>
      <c r="F6" s="34"/>
      <c r="G6" s="34"/>
      <c r="H6" s="34"/>
      <c r="I6" s="32"/>
      <c r="J6" s="43" t="s">
        <v>26</v>
      </c>
      <c r="K6" s="43" t="s">
        <v>27</v>
      </c>
      <c r="L6" s="43" t="s">
        <v>28</v>
      </c>
      <c r="M6" s="43" t="s">
        <v>29</v>
      </c>
      <c r="N6" s="43" t="s">
        <v>30</v>
      </c>
      <c r="O6" s="43" t="s">
        <v>31</v>
      </c>
      <c r="P6" s="43" t="s">
        <v>32</v>
      </c>
      <c r="Q6" s="43" t="s">
        <v>33</v>
      </c>
      <c r="R6" s="43" t="s">
        <v>34</v>
      </c>
      <c r="S6" s="43" t="s">
        <v>35</v>
      </c>
      <c r="T6" s="43" t="s">
        <v>36</v>
      </c>
      <c r="U6" s="43" t="s">
        <v>37</v>
      </c>
      <c r="V6" s="44"/>
      <c r="W6" s="45"/>
      <c r="X6" s="44"/>
      <c r="Y6" s="44"/>
      <c r="Z6" s="46" t="str">
        <f t="shared" ref="Z6:AO6" si="0">J6</f>
        <v>1-1</v>
      </c>
      <c r="AA6" s="46" t="str">
        <f t="shared" si="0"/>
        <v>1-2</v>
      </c>
      <c r="AB6" s="46" t="str">
        <f t="shared" si="0"/>
        <v>1-3</v>
      </c>
      <c r="AC6" s="46" t="str">
        <f t="shared" si="0"/>
        <v>1-4</v>
      </c>
      <c r="AD6" s="46" t="str">
        <f t="shared" si="0"/>
        <v>1-5</v>
      </c>
      <c r="AE6" s="46" t="str">
        <f t="shared" si="0"/>
        <v>1-6</v>
      </c>
      <c r="AF6" s="46" t="str">
        <f t="shared" si="0"/>
        <v>2-1</v>
      </c>
      <c r="AG6" s="46" t="str">
        <f t="shared" si="0"/>
        <v>2-2</v>
      </c>
      <c r="AH6" s="46" t="str">
        <f t="shared" si="0"/>
        <v>2-3</v>
      </c>
      <c r="AI6" s="46" t="str">
        <f t="shared" si="0"/>
        <v>2-4</v>
      </c>
      <c r="AJ6" s="46" t="str">
        <f t="shared" si="0"/>
        <v>2-5</v>
      </c>
      <c r="AK6" s="46" t="str">
        <f t="shared" si="0"/>
        <v>2-6</v>
      </c>
      <c r="AL6" s="46">
        <f t="shared" si="0"/>
        <v>0</v>
      </c>
      <c r="AM6" s="46">
        <f t="shared" si="0"/>
        <v>0</v>
      </c>
      <c r="AN6" s="46">
        <f t="shared" si="0"/>
        <v>0</v>
      </c>
      <c r="AO6" s="46">
        <f t="shared" si="0"/>
        <v>0</v>
      </c>
    </row>
    <row r="7" ht="15" customHeight="1" spans="1:41">
      <c r="A7" s="47">
        <v>46179</v>
      </c>
      <c r="B7" s="48" t="s">
        <v>38</v>
      </c>
      <c r="C7" s="49"/>
      <c r="D7" s="49">
        <v>8.22</v>
      </c>
      <c r="E7" s="49">
        <v>0.05</v>
      </c>
      <c r="F7" s="49">
        <v>-0.05</v>
      </c>
      <c r="G7" s="50">
        <f>D7+E7</f>
        <v>8.27</v>
      </c>
      <c r="H7" s="50">
        <f>D7+F7</f>
        <v>8.17</v>
      </c>
      <c r="I7" s="49" t="s">
        <v>39</v>
      </c>
      <c r="J7" s="51">
        <v>8.22</v>
      </c>
      <c r="K7" s="51">
        <v>8.217</v>
      </c>
      <c r="L7" s="51">
        <v>8.22</v>
      </c>
      <c r="M7" s="51">
        <v>8.216</v>
      </c>
      <c r="N7" s="51">
        <v>8.221</v>
      </c>
      <c r="O7" s="51">
        <v>8.217</v>
      </c>
      <c r="P7" s="51">
        <v>8.214</v>
      </c>
      <c r="Q7" s="51">
        <v>8.209</v>
      </c>
      <c r="R7" s="51">
        <v>8.214</v>
      </c>
      <c r="S7" s="51">
        <v>8.212</v>
      </c>
      <c r="T7" s="51">
        <v>8.216</v>
      </c>
      <c r="U7" s="51">
        <v>8.208</v>
      </c>
      <c r="V7" s="51"/>
      <c r="W7" s="51"/>
      <c r="X7" s="51"/>
      <c r="Y7" s="51"/>
      <c r="Z7" s="52" t="str">
        <f t="shared" ref="Z7:AO7" si="1">IF(J7="","",IF(J7&gt;($D7+$E7),(J7-$D7-$E7),IF(J7&lt;($D7+$F7),(J7-$D7-$F7),"√")))</f>
        <v>√</v>
      </c>
      <c r="AA7" s="52" t="str">
        <f t="shared" si="1"/>
        <v>√</v>
      </c>
      <c r="AB7" s="52" t="str">
        <f t="shared" si="1"/>
        <v>√</v>
      </c>
      <c r="AC7" s="52" t="str">
        <f t="shared" si="1"/>
        <v>√</v>
      </c>
      <c r="AD7" s="52" t="str">
        <f t="shared" si="1"/>
        <v>√</v>
      </c>
      <c r="AE7" s="52" t="str">
        <f t="shared" si="1"/>
        <v>√</v>
      </c>
      <c r="AF7" s="52" t="str">
        <f t="shared" si="1"/>
        <v>√</v>
      </c>
      <c r="AG7" s="52" t="str">
        <f t="shared" si="1"/>
        <v>√</v>
      </c>
      <c r="AH7" s="52" t="str">
        <f t="shared" si="1"/>
        <v>√</v>
      </c>
      <c r="AI7" s="52" t="str">
        <f t="shared" si="1"/>
        <v>√</v>
      </c>
      <c r="AJ7" s="52" t="str">
        <f t="shared" si="1"/>
        <v>√</v>
      </c>
      <c r="AK7" s="52" t="str">
        <f t="shared" si="1"/>
        <v>√</v>
      </c>
      <c r="AL7" s="52" t="str">
        <f t="shared" si="1"/>
        <v/>
      </c>
      <c r="AM7" s="52" t="str">
        <f t="shared" si="1"/>
        <v/>
      </c>
      <c r="AN7" s="52" t="str">
        <f t="shared" si="1"/>
        <v/>
      </c>
      <c r="AO7" s="52" t="str">
        <f t="shared" si="1"/>
        <v/>
      </c>
    </row>
    <row r="10" customHeight="1" spans="1:41">
      <c r="A10" s="31" t="s">
        <v>13</v>
      </c>
      <c r="B10" s="31" t="s">
        <v>14</v>
      </c>
      <c r="C10" s="32" t="s">
        <v>15</v>
      </c>
      <c r="D10" s="32" t="s">
        <v>16</v>
      </c>
      <c r="E10" s="33" t="s">
        <v>17</v>
      </c>
      <c r="F10" s="34" t="s">
        <v>18</v>
      </c>
      <c r="G10" s="34" t="s">
        <v>19</v>
      </c>
      <c r="H10" s="34" t="s">
        <v>20</v>
      </c>
      <c r="I10" s="35" t="s">
        <v>21</v>
      </c>
      <c r="J10" s="36" t="s">
        <v>22</v>
      </c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7" t="s">
        <v>23</v>
      </c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9"/>
    </row>
    <row r="11" ht="13.5" customHeight="1" spans="1:41">
      <c r="A11" s="40"/>
      <c r="B11" s="41"/>
      <c r="C11" s="32"/>
      <c r="D11" s="32"/>
      <c r="E11" s="33"/>
      <c r="F11" s="34"/>
      <c r="G11" s="34"/>
      <c r="H11" s="34"/>
      <c r="I11" s="32"/>
      <c r="J11" s="36" t="s">
        <v>24</v>
      </c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42" t="s">
        <v>25</v>
      </c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</row>
    <row r="12" customHeight="1" spans="1:41">
      <c r="A12" s="40"/>
      <c r="B12" s="41"/>
      <c r="C12" s="32"/>
      <c r="D12" s="32"/>
      <c r="E12" s="33"/>
      <c r="F12" s="34"/>
      <c r="G12" s="34"/>
      <c r="H12" s="34"/>
      <c r="I12" s="32"/>
      <c r="J12" s="43" t="s">
        <v>40</v>
      </c>
      <c r="K12" s="43" t="s">
        <v>41</v>
      </c>
      <c r="L12" s="43" t="s">
        <v>42</v>
      </c>
      <c r="M12" s="43" t="s">
        <v>43</v>
      </c>
      <c r="N12" s="43" t="s">
        <v>44</v>
      </c>
      <c r="O12" s="43" t="s">
        <v>45</v>
      </c>
      <c r="P12" s="43" t="s">
        <v>46</v>
      </c>
      <c r="Q12" s="43" t="s">
        <v>47</v>
      </c>
      <c r="R12" s="43" t="s">
        <v>48</v>
      </c>
      <c r="S12" s="43" t="s">
        <v>49</v>
      </c>
      <c r="T12" s="43" t="s">
        <v>50</v>
      </c>
      <c r="U12" s="43" t="s">
        <v>51</v>
      </c>
      <c r="V12" s="44"/>
      <c r="W12" s="45"/>
      <c r="X12" s="44"/>
      <c r="Y12" s="44"/>
      <c r="Z12" s="46" t="str">
        <f t="shared" ref="Z12:AO12" si="2">J12</f>
        <v>3-1</v>
      </c>
      <c r="AA12" s="46" t="str">
        <f t="shared" si="2"/>
        <v>3-2</v>
      </c>
      <c r="AB12" s="46" t="str">
        <f t="shared" si="2"/>
        <v>3-3</v>
      </c>
      <c r="AC12" s="46" t="str">
        <f t="shared" si="2"/>
        <v>3-4</v>
      </c>
      <c r="AD12" s="46" t="str">
        <f t="shared" si="2"/>
        <v>3-5</v>
      </c>
      <c r="AE12" s="46" t="str">
        <f t="shared" si="2"/>
        <v>3-6</v>
      </c>
      <c r="AF12" s="46" t="str">
        <f t="shared" si="2"/>
        <v>4-1</v>
      </c>
      <c r="AG12" s="46" t="str">
        <f t="shared" si="2"/>
        <v>4-2</v>
      </c>
      <c r="AH12" s="46" t="str">
        <f t="shared" si="2"/>
        <v>4-3</v>
      </c>
      <c r="AI12" s="46" t="str">
        <f t="shared" si="2"/>
        <v>4-4</v>
      </c>
      <c r="AJ12" s="46" t="str">
        <f t="shared" si="2"/>
        <v>4-5</v>
      </c>
      <c r="AK12" s="46" t="str">
        <f t="shared" si="2"/>
        <v>4-6</v>
      </c>
      <c r="AL12" s="46">
        <f t="shared" si="2"/>
        <v>0</v>
      </c>
      <c r="AM12" s="46">
        <f t="shared" si="2"/>
        <v>0</v>
      </c>
      <c r="AN12" s="46">
        <f t="shared" si="2"/>
        <v>0</v>
      </c>
      <c r="AO12" s="46">
        <f t="shared" si="2"/>
        <v>0</v>
      </c>
    </row>
    <row r="13" ht="15" customHeight="1" spans="1:41">
      <c r="A13" s="47">
        <v>46179</v>
      </c>
      <c r="B13" s="48" t="s">
        <v>38</v>
      </c>
      <c r="C13" s="49"/>
      <c r="D13" s="49">
        <v>8.22</v>
      </c>
      <c r="E13" s="49">
        <v>0.05</v>
      </c>
      <c r="F13" s="49">
        <v>-0.05</v>
      </c>
      <c r="G13" s="50">
        <f>D13+E13</f>
        <v>8.27</v>
      </c>
      <c r="H13" s="50">
        <f>D13+F13</f>
        <v>8.17</v>
      </c>
      <c r="I13" s="49" t="s">
        <v>39</v>
      </c>
      <c r="J13" s="51">
        <v>8.214</v>
      </c>
      <c r="K13" s="51">
        <v>8.216</v>
      </c>
      <c r="L13" s="51">
        <v>8.206</v>
      </c>
      <c r="M13" s="51">
        <v>8.207</v>
      </c>
      <c r="N13" s="51">
        <v>8.206</v>
      </c>
      <c r="O13" s="51">
        <v>8.21</v>
      </c>
      <c r="P13" s="51">
        <v>8.21</v>
      </c>
      <c r="Q13" s="51">
        <v>8.207</v>
      </c>
      <c r="R13" s="51">
        <v>8.212</v>
      </c>
      <c r="S13" s="51">
        <v>8.212</v>
      </c>
      <c r="T13" s="51">
        <v>8.212</v>
      </c>
      <c r="U13" s="51">
        <v>8.215</v>
      </c>
      <c r="V13" s="51"/>
      <c r="W13" s="51"/>
      <c r="X13" s="51"/>
      <c r="Y13" s="51"/>
      <c r="Z13" s="52" t="str">
        <f t="shared" ref="Z13:AO13" si="3">IF(J13="","",IF(J13&gt;($D13+$E13),(J13-$D13-$E13),IF(J13&lt;($D13+$F13),(J13-$D13-$F13),"√")))</f>
        <v>√</v>
      </c>
      <c r="AA13" s="52" t="str">
        <f t="shared" si="3"/>
        <v>√</v>
      </c>
      <c r="AB13" s="52" t="str">
        <f t="shared" si="3"/>
        <v>√</v>
      </c>
      <c r="AC13" s="52" t="str">
        <f t="shared" si="3"/>
        <v>√</v>
      </c>
      <c r="AD13" s="52" t="str">
        <f t="shared" si="3"/>
        <v>√</v>
      </c>
      <c r="AE13" s="52" t="str">
        <f t="shared" si="3"/>
        <v>√</v>
      </c>
      <c r="AF13" s="52" t="str">
        <f t="shared" si="3"/>
        <v>√</v>
      </c>
      <c r="AG13" s="52" t="str">
        <f t="shared" si="3"/>
        <v>√</v>
      </c>
      <c r="AH13" s="52" t="str">
        <f t="shared" si="3"/>
        <v>√</v>
      </c>
      <c r="AI13" s="52" t="str">
        <f t="shared" si="3"/>
        <v>√</v>
      </c>
      <c r="AJ13" s="52" t="str">
        <f t="shared" si="3"/>
        <v>√</v>
      </c>
      <c r="AK13" s="52" t="str">
        <f t="shared" si="3"/>
        <v>√</v>
      </c>
      <c r="AL13" s="52" t="str">
        <f t="shared" si="3"/>
        <v/>
      </c>
      <c r="AM13" s="52" t="str">
        <f t="shared" si="3"/>
        <v/>
      </c>
      <c r="AN13" s="52" t="str">
        <f t="shared" si="3"/>
        <v/>
      </c>
      <c r="AO13" s="52" t="str">
        <f t="shared" si="3"/>
        <v/>
      </c>
    </row>
    <row r="16" customHeight="1" spans="1:41">
      <c r="A16" s="31" t="s">
        <v>13</v>
      </c>
      <c r="B16" s="31" t="s">
        <v>14</v>
      </c>
      <c r="C16" s="32" t="s">
        <v>15</v>
      </c>
      <c r="D16" s="32" t="s">
        <v>16</v>
      </c>
      <c r="E16" s="33" t="s">
        <v>17</v>
      </c>
      <c r="F16" s="34" t="s">
        <v>18</v>
      </c>
      <c r="G16" s="34" t="s">
        <v>19</v>
      </c>
      <c r="H16" s="34" t="s">
        <v>20</v>
      </c>
      <c r="I16" s="35" t="s">
        <v>21</v>
      </c>
      <c r="J16" s="36" t="s">
        <v>22</v>
      </c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7" t="s">
        <v>23</v>
      </c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9"/>
    </row>
    <row r="17" ht="13.5" customHeight="1" spans="1:41">
      <c r="A17" s="40"/>
      <c r="B17" s="41"/>
      <c r="C17" s="32"/>
      <c r="D17" s="32"/>
      <c r="E17" s="33"/>
      <c r="F17" s="34"/>
      <c r="G17" s="34"/>
      <c r="H17" s="34"/>
      <c r="I17" s="32"/>
      <c r="J17" s="36" t="s">
        <v>24</v>
      </c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42" t="s">
        <v>25</v>
      </c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</row>
    <row r="18" customHeight="1" spans="1:41">
      <c r="A18" s="40"/>
      <c r="B18" s="41"/>
      <c r="C18" s="32"/>
      <c r="D18" s="32"/>
      <c r="E18" s="33"/>
      <c r="F18" s="34"/>
      <c r="G18" s="34"/>
      <c r="H18" s="34"/>
      <c r="I18" s="32"/>
      <c r="J18" s="43" t="s">
        <v>52</v>
      </c>
      <c r="K18" s="43" t="s">
        <v>53</v>
      </c>
      <c r="L18" s="43" t="s">
        <v>54</v>
      </c>
      <c r="M18" s="43" t="s">
        <v>55</v>
      </c>
      <c r="N18" s="43" t="s">
        <v>56</v>
      </c>
      <c r="O18" s="43" t="s">
        <v>57</v>
      </c>
      <c r="P18" s="43" t="s">
        <v>58</v>
      </c>
      <c r="Q18" s="43" t="s">
        <v>59</v>
      </c>
      <c r="R18" s="43" t="s">
        <v>60</v>
      </c>
      <c r="S18" s="43" t="s">
        <v>61</v>
      </c>
      <c r="T18" s="43" t="s">
        <v>62</v>
      </c>
      <c r="U18" s="43" t="s">
        <v>63</v>
      </c>
      <c r="V18" s="44"/>
      <c r="W18" s="45"/>
      <c r="X18" s="44"/>
      <c r="Y18" s="44"/>
      <c r="Z18" s="46" t="str">
        <f t="shared" ref="Z18:AO18" si="4">J18</f>
        <v>5-1</v>
      </c>
      <c r="AA18" s="46" t="str">
        <f t="shared" si="4"/>
        <v>5-2</v>
      </c>
      <c r="AB18" s="46" t="str">
        <f t="shared" si="4"/>
        <v>5-3</v>
      </c>
      <c r="AC18" s="46" t="str">
        <f t="shared" si="4"/>
        <v>5-4</v>
      </c>
      <c r="AD18" s="46" t="str">
        <f t="shared" si="4"/>
        <v>5-5</v>
      </c>
      <c r="AE18" s="46" t="str">
        <f t="shared" si="4"/>
        <v>5-6</v>
      </c>
      <c r="AF18" s="46" t="str">
        <f t="shared" si="4"/>
        <v>6-1</v>
      </c>
      <c r="AG18" s="46" t="str">
        <f t="shared" si="4"/>
        <v>6-2</v>
      </c>
      <c r="AH18" s="46" t="str">
        <f t="shared" si="4"/>
        <v>6-3</v>
      </c>
      <c r="AI18" s="46" t="str">
        <f t="shared" si="4"/>
        <v>6-4</v>
      </c>
      <c r="AJ18" s="46" t="str">
        <f t="shared" si="4"/>
        <v>6-5</v>
      </c>
      <c r="AK18" s="46" t="str">
        <f t="shared" si="4"/>
        <v>6-6</v>
      </c>
      <c r="AL18" s="46">
        <f t="shared" si="4"/>
        <v>0</v>
      </c>
      <c r="AM18" s="46">
        <f t="shared" si="4"/>
        <v>0</v>
      </c>
      <c r="AN18" s="46">
        <f t="shared" si="4"/>
        <v>0</v>
      </c>
      <c r="AO18" s="46">
        <f t="shared" si="4"/>
        <v>0</v>
      </c>
    </row>
    <row r="19" ht="15" customHeight="1" spans="1:41">
      <c r="A19" s="47">
        <v>46179</v>
      </c>
      <c r="B19" s="48" t="s">
        <v>38</v>
      </c>
      <c r="C19" s="49"/>
      <c r="D19" s="49">
        <v>8.22</v>
      </c>
      <c r="E19" s="49">
        <v>0.05</v>
      </c>
      <c r="F19" s="49">
        <v>-0.05</v>
      </c>
      <c r="G19" s="50">
        <f>D19+E19</f>
        <v>8.27</v>
      </c>
      <c r="H19" s="50">
        <f>D19+F19</f>
        <v>8.17</v>
      </c>
      <c r="I19" s="49" t="s">
        <v>39</v>
      </c>
      <c r="J19" s="51">
        <v>8.208</v>
      </c>
      <c r="K19" s="51">
        <v>8.216</v>
      </c>
      <c r="L19" s="51">
        <v>8.212</v>
      </c>
      <c r="M19" s="51">
        <v>8.223</v>
      </c>
      <c r="N19" s="51">
        <v>8.202</v>
      </c>
      <c r="O19" s="51">
        <v>8.209</v>
      </c>
      <c r="P19" s="51">
        <v>8.214</v>
      </c>
      <c r="Q19" s="51">
        <v>8.205</v>
      </c>
      <c r="R19" s="51">
        <v>8.214</v>
      </c>
      <c r="S19" s="51">
        <v>8.215</v>
      </c>
      <c r="T19" s="51">
        <v>8.215</v>
      </c>
      <c r="U19" s="51">
        <v>8.222</v>
      </c>
      <c r="V19" s="51"/>
      <c r="W19" s="51"/>
      <c r="X19" s="51"/>
      <c r="Y19" s="51"/>
      <c r="Z19" s="52" t="str">
        <f t="shared" ref="Z19:AO19" si="5">IF(J19="","",IF(J19&gt;($D19+$E19),(J19-$D19-$E19),IF(J19&lt;($D19+$F19),(J19-$D19-$F19),"√")))</f>
        <v>√</v>
      </c>
      <c r="AA19" s="52" t="str">
        <f t="shared" si="5"/>
        <v>√</v>
      </c>
      <c r="AB19" s="52" t="str">
        <f t="shared" si="5"/>
        <v>√</v>
      </c>
      <c r="AC19" s="52" t="str">
        <f t="shared" si="5"/>
        <v>√</v>
      </c>
      <c r="AD19" s="52" t="str">
        <f t="shared" si="5"/>
        <v>√</v>
      </c>
      <c r="AE19" s="52" t="str">
        <f t="shared" si="5"/>
        <v>√</v>
      </c>
      <c r="AF19" s="52" t="str">
        <f t="shared" si="5"/>
        <v>√</v>
      </c>
      <c r="AG19" s="52" t="str">
        <f t="shared" si="5"/>
        <v>√</v>
      </c>
      <c r="AH19" s="52" t="str">
        <f t="shared" si="5"/>
        <v>√</v>
      </c>
      <c r="AI19" s="52" t="str">
        <f t="shared" si="5"/>
        <v>√</v>
      </c>
      <c r="AJ19" s="52" t="str">
        <f t="shared" si="5"/>
        <v>√</v>
      </c>
      <c r="AK19" s="52" t="str">
        <f t="shared" si="5"/>
        <v>√</v>
      </c>
      <c r="AL19" s="52" t="str">
        <f t="shared" si="5"/>
        <v/>
      </c>
      <c r="AM19" s="52" t="str">
        <f t="shared" si="5"/>
        <v/>
      </c>
      <c r="AN19" s="52" t="str">
        <f t="shared" si="5"/>
        <v/>
      </c>
      <c r="AO19" s="52" t="str">
        <f t="shared" si="5"/>
        <v/>
      </c>
    </row>
    <row r="22" customHeight="1" spans="1:41">
      <c r="A22" s="31" t="s">
        <v>13</v>
      </c>
      <c r="B22" s="31" t="s">
        <v>14</v>
      </c>
      <c r="C22" s="32" t="s">
        <v>15</v>
      </c>
      <c r="D22" s="32" t="s">
        <v>16</v>
      </c>
      <c r="E22" s="33" t="s">
        <v>17</v>
      </c>
      <c r="F22" s="34" t="s">
        <v>18</v>
      </c>
      <c r="G22" s="34" t="s">
        <v>19</v>
      </c>
      <c r="H22" s="34" t="s">
        <v>20</v>
      </c>
      <c r="I22" s="35" t="s">
        <v>21</v>
      </c>
      <c r="J22" s="36" t="s">
        <v>22</v>
      </c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7" t="s">
        <v>23</v>
      </c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9"/>
    </row>
    <row r="23" ht="13.5" customHeight="1" spans="1:41">
      <c r="A23" s="40"/>
      <c r="B23" s="41"/>
      <c r="C23" s="32"/>
      <c r="D23" s="32"/>
      <c r="E23" s="33"/>
      <c r="F23" s="34"/>
      <c r="G23" s="34"/>
      <c r="H23" s="34"/>
      <c r="I23" s="32"/>
      <c r="J23" s="36" t="s">
        <v>24</v>
      </c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42" t="s">
        <v>25</v>
      </c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</row>
    <row r="24" customHeight="1" spans="1:41">
      <c r="A24" s="40"/>
      <c r="B24" s="41"/>
      <c r="C24" s="32"/>
      <c r="D24" s="32"/>
      <c r="E24" s="33"/>
      <c r="F24" s="34"/>
      <c r="G24" s="34"/>
      <c r="H24" s="34"/>
      <c r="I24" s="32"/>
      <c r="J24" s="43" t="s">
        <v>64</v>
      </c>
      <c r="K24" s="43" t="s">
        <v>65</v>
      </c>
      <c r="L24" s="43" t="s">
        <v>66</v>
      </c>
      <c r="M24" s="43" t="s">
        <v>67</v>
      </c>
      <c r="N24" s="43" t="s">
        <v>68</v>
      </c>
      <c r="O24" s="43" t="s">
        <v>69</v>
      </c>
      <c r="P24" s="44"/>
      <c r="Q24" s="44"/>
      <c r="R24" s="44"/>
      <c r="S24" s="44"/>
      <c r="T24" s="44"/>
      <c r="U24" s="44"/>
      <c r="V24" s="44"/>
      <c r="W24" s="45"/>
      <c r="X24" s="44"/>
      <c r="Y24" s="44"/>
      <c r="Z24" s="46" t="str">
        <f t="shared" ref="Z24:AO24" si="6">J24</f>
        <v>8-1</v>
      </c>
      <c r="AA24" s="46" t="str">
        <f t="shared" si="6"/>
        <v>8-2</v>
      </c>
      <c r="AB24" s="46" t="str">
        <f t="shared" si="6"/>
        <v>8-3</v>
      </c>
      <c r="AC24" s="46" t="str">
        <f t="shared" si="6"/>
        <v>8-4</v>
      </c>
      <c r="AD24" s="46" t="str">
        <f t="shared" si="6"/>
        <v>8-5</v>
      </c>
      <c r="AE24" s="46" t="str">
        <f t="shared" si="6"/>
        <v>8-6</v>
      </c>
      <c r="AF24" s="46">
        <f t="shared" si="6"/>
        <v>0</v>
      </c>
      <c r="AG24" s="46">
        <f t="shared" si="6"/>
        <v>0</v>
      </c>
      <c r="AH24" s="46">
        <f t="shared" si="6"/>
        <v>0</v>
      </c>
      <c r="AI24" s="46">
        <f t="shared" si="6"/>
        <v>0</v>
      </c>
      <c r="AJ24" s="46">
        <f t="shared" si="6"/>
        <v>0</v>
      </c>
      <c r="AK24" s="46">
        <f t="shared" si="6"/>
        <v>0</v>
      </c>
      <c r="AL24" s="46">
        <f t="shared" si="6"/>
        <v>0</v>
      </c>
      <c r="AM24" s="46">
        <f t="shared" si="6"/>
        <v>0</v>
      </c>
      <c r="AN24" s="46">
        <f t="shared" si="6"/>
        <v>0</v>
      </c>
      <c r="AO24" s="46">
        <f t="shared" si="6"/>
        <v>0</v>
      </c>
    </row>
    <row r="25" ht="15" customHeight="1" spans="1:41">
      <c r="A25" s="47">
        <v>46179</v>
      </c>
      <c r="B25" s="48" t="s">
        <v>38</v>
      </c>
      <c r="C25" s="49"/>
      <c r="D25" s="49">
        <v>8.22</v>
      </c>
      <c r="E25" s="49">
        <v>0.05</v>
      </c>
      <c r="F25" s="49">
        <v>-0.05</v>
      </c>
      <c r="G25" s="50">
        <f>D25+E25</f>
        <v>8.27</v>
      </c>
      <c r="H25" s="50">
        <f>D25+F25</f>
        <v>8.17</v>
      </c>
      <c r="I25" s="49" t="s">
        <v>39</v>
      </c>
      <c r="J25" s="51">
        <v>8.203</v>
      </c>
      <c r="K25" s="51">
        <v>8.207</v>
      </c>
      <c r="L25" s="51">
        <v>8.223</v>
      </c>
      <c r="M25" s="51">
        <v>8.209</v>
      </c>
      <c r="N25" s="51">
        <v>8.205</v>
      </c>
      <c r="O25" s="51">
        <v>8.213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7">IF(J25="","",IF(J25&gt;($D25+$E25),(J25-$D25-$E25),IF(J25&lt;($D25+$F25),(J25-$D25-$F25),"√")))</f>
        <v>√</v>
      </c>
      <c r="AA25" s="52" t="str">
        <f t="shared" si="7"/>
        <v>√</v>
      </c>
      <c r="AB25" s="52" t="str">
        <f t="shared" si="7"/>
        <v>√</v>
      </c>
      <c r="AC25" s="52" t="str">
        <f t="shared" si="7"/>
        <v>√</v>
      </c>
      <c r="AD25" s="52" t="str">
        <f t="shared" si="7"/>
        <v>√</v>
      </c>
      <c r="AE25" s="52" t="str">
        <f t="shared" si="7"/>
        <v>√</v>
      </c>
      <c r="AF25" s="52" t="str">
        <f t="shared" si="7"/>
        <v/>
      </c>
      <c r="AG25" s="52" t="str">
        <f t="shared" si="7"/>
        <v/>
      </c>
      <c r="AH25" s="52" t="str">
        <f t="shared" si="7"/>
        <v/>
      </c>
      <c r="AI25" s="52" t="str">
        <f t="shared" si="7"/>
        <v/>
      </c>
      <c r="AJ25" s="52" t="str">
        <f t="shared" si="7"/>
        <v/>
      </c>
      <c r="AK25" s="52" t="str">
        <f t="shared" si="7"/>
        <v/>
      </c>
      <c r="AL25" s="52" t="str">
        <f t="shared" si="7"/>
        <v/>
      </c>
      <c r="AM25" s="52" t="str">
        <f t="shared" si="7"/>
        <v/>
      </c>
      <c r="AN25" s="52" t="str">
        <f t="shared" si="7"/>
        <v/>
      </c>
      <c r="AO25" s="52" t="str">
        <f t="shared" si="7"/>
        <v/>
      </c>
    </row>
  </sheetData>
  <mergeCells count="67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0:Y10"/>
    <mergeCell ref="Z10:AO10"/>
    <mergeCell ref="J11:Y11"/>
    <mergeCell ref="Z11:AO11"/>
    <mergeCell ref="J16:Y16"/>
    <mergeCell ref="Z16:AO16"/>
    <mergeCell ref="J17:Y17"/>
    <mergeCell ref="Z17:AO17"/>
    <mergeCell ref="J22:Y22"/>
    <mergeCell ref="Z22:AO22"/>
    <mergeCell ref="J23:Y23"/>
    <mergeCell ref="Z23:AO23"/>
    <mergeCell ref="A2:A3"/>
    <mergeCell ref="A4:A6"/>
    <mergeCell ref="A10:A12"/>
    <mergeCell ref="A16:A18"/>
    <mergeCell ref="A22:A24"/>
    <mergeCell ref="B4:B6"/>
    <mergeCell ref="B10:B12"/>
    <mergeCell ref="B16:B18"/>
    <mergeCell ref="B22:B24"/>
    <mergeCell ref="C4:C6"/>
    <mergeCell ref="C10:C12"/>
    <mergeCell ref="C16:C18"/>
    <mergeCell ref="C22:C24"/>
    <mergeCell ref="D4:D6"/>
    <mergeCell ref="D10:D12"/>
    <mergeCell ref="D16:D18"/>
    <mergeCell ref="D22:D24"/>
    <mergeCell ref="E4:E6"/>
    <mergeCell ref="E10:E12"/>
    <mergeCell ref="E16:E18"/>
    <mergeCell ref="E22:E24"/>
    <mergeCell ref="F4:F6"/>
    <mergeCell ref="F10:F12"/>
    <mergeCell ref="F16:F18"/>
    <mergeCell ref="F22:F24"/>
    <mergeCell ref="G4:G6"/>
    <mergeCell ref="G10:G12"/>
    <mergeCell ref="G16:G18"/>
    <mergeCell ref="G22:G24"/>
    <mergeCell ref="H4:H6"/>
    <mergeCell ref="H10:H12"/>
    <mergeCell ref="H16:H18"/>
    <mergeCell ref="H22:H24"/>
    <mergeCell ref="I4:I6"/>
    <mergeCell ref="I10:I12"/>
    <mergeCell ref="I16:I18"/>
    <mergeCell ref="I22:I24"/>
    <mergeCell ref="H2:K3"/>
    <mergeCell ref="L2:R3"/>
    <mergeCell ref="B2:G3"/>
  </mergeCells>
  <conditionalFormatting sqref="J7:W7">
    <cfRule type="cellIs" dxfId="0" priority="40" operator="notBetween">
      <formula>$G7</formula>
      <formula>$H7</formula>
    </cfRule>
  </conditionalFormatting>
  <conditionalFormatting sqref="X7:Y7">
    <cfRule type="cellIs" dxfId="0" priority="25" operator="notBetween">
      <formula>$G7</formula>
      <formula>$H7</formula>
    </cfRule>
  </conditionalFormatting>
  <conditionalFormatting sqref="J13:W13">
    <cfRule type="cellIs" dxfId="0" priority="6" operator="notBetween">
      <formula>$G13</formula>
      <formula>$H13</formula>
    </cfRule>
  </conditionalFormatting>
  <conditionalFormatting sqref="X13:Y13">
    <cfRule type="cellIs" dxfId="0" priority="5" operator="notBetween">
      <formula>$G13</formula>
      <formula>$H13</formula>
    </cfRule>
  </conditionalFormatting>
  <conditionalFormatting sqref="J19:W19">
    <cfRule type="cellIs" dxfId="0" priority="4" operator="notBetween">
      <formula>$G19</formula>
      <formula>$H19</formula>
    </cfRule>
  </conditionalFormatting>
  <conditionalFormatting sqref="X19:Y19">
    <cfRule type="cellIs" dxfId="0" priority="3" operator="notBetween">
      <formula>$G19</formula>
      <formula>$H19</formula>
    </cfRule>
  </conditionalFormatting>
  <conditionalFormatting sqref="J25:W25">
    <cfRule type="cellIs" dxfId="0" priority="2" operator="notBetween">
      <formula>$G25</formula>
      <formula>$H25</formula>
    </cfRule>
  </conditionalFormatting>
  <conditionalFormatting sqref="X25:Y25">
    <cfRule type="cellIs" dxfId="0" priority="1" operator="notBetween">
      <formula>$G25</formula>
      <formula>$H25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2026-06-06T21:28:44Z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