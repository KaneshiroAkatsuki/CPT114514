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<sst xmlns="http://schemas.openxmlformats.org/spreadsheetml/2006/main" count="47" uniqueCount="40">
  <si>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安徽中耀智能科技有限公司首件尺寸报告</t>
  </si>
  <si>
    <t>料号</t>
  </si>
  <si>
    <t>X806-64563</t>
  </si>
  <si>
    <t>工单号</t>
  </si>
  <si>
    <t>ww115-260506003</t>
  </si>
  <si>
    <t>工站</t>
  </si>
  <si>
    <t>射出机台号</t>
  </si>
  <si>
    <t>测量机台</t>
  </si>
  <si>
    <t>测量人员</t>
  </si>
  <si>
    <t>审核</t>
  </si>
  <si>
    <t>射出</t>
  </si>
  <si>
    <t>1#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</si>
  <si>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</si>
  <si>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</si>
  <si>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</si>
  <si>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</si>
  <si>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</si>
  <si>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</si>
  <si>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</si>
  <si>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</si>
  <si>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</si>
  <si>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</si>
  <si>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</si>
  <si>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</si>
  <si>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</si>
  <si>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</si>
  <si>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</si>
  <si>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</si>
  <si>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5</t>
    </r>
  </si>
  <si>
    <t>复测7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</si>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</sst>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70" applyNumberFormat="1" applyFont="1" applyFill="1" applyBorder="1" applyAlignment="1" applyProtection="1">
      <alignment horizontal="center" vertical="center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 t="s">
        <v>28</v>
      </c>
      <c r="Y6" s="47" t="s">
        <v>29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 t="str">
        <f t="shared" si="0"/>
        <v>复测5</v>
      </c>
      <c r="AO6" s="48" t="str">
        <f t="shared" si="0"/>
        <v>复测7</v>
      </c>
    </row>
    <row r="7" ht="15" customHeight="1" spans="1:41">
      <c r="A7" s="49">
        <v>46180</v>
      </c>
      <c r="B7" s="50" t="s">
        <v>30</v>
      </c>
      <c r="C7" s="50" t="s">
        <v>31</v>
      </c>
      <c r="D7" s="51">
        <v>6.26</v>
      </c>
      <c r="E7" s="51">
        <v>0.025</v>
      </c>
      <c r="F7" s="51">
        <v>-0.025</v>
      </c>
      <c r="G7" s="52">
        <f t="shared" ref="G7:G13" si="1">D7+E7</f>
        <v>6.285</v>
      </c>
      <c r="H7" s="52">
        <f t="shared" ref="H7:H13" si="2">D7+F7</f>
        <v>6.235</v>
      </c>
      <c r="I7" s="51" t="s">
        <v>32</v>
      </c>
      <c r="J7" s="53">
        <v>6.2717</v>
      </c>
      <c r="K7" s="53">
        <v>6.2688</v>
      </c>
      <c r="L7" s="53">
        <v>6.225</v>
      </c>
      <c r="M7" s="53">
        <v>6.2619</v>
      </c>
      <c r="N7" s="53">
        <v>6.3383</v>
      </c>
      <c r="O7" s="53">
        <v>6.2587</v>
      </c>
      <c r="P7" s="53">
        <v>6.2585</v>
      </c>
      <c r="Q7" s="53">
        <v>6.266</v>
      </c>
      <c r="R7" s="53">
        <v>6.2815</v>
      </c>
      <c r="S7" s="53">
        <v>6.2752</v>
      </c>
      <c r="T7" s="53">
        <v>6.2657</v>
      </c>
      <c r="U7" s="53">
        <v>6.2728</v>
      </c>
      <c r="V7" s="53">
        <v>6.2618</v>
      </c>
      <c r="W7" s="53">
        <v>6.2486</v>
      </c>
      <c r="X7" s="53">
        <v>6.3338</v>
      </c>
      <c r="Y7" s="53"/>
      <c r="Z7" s="54" t="str">
        <f t="shared" ref="Z7:Z13" si="3">IF(J7="","",IF(J7&gt;($D7+$E7),(J7-$D7-$E7),IF(J7&lt;($D7+$F7),(J7-$D7-$F7),"√")))</f>
        <v>√</v>
      </c>
      <c r="AA7" s="54" t="str">
        <f t="shared" ref="AA7:AA13" si="4">IF(K7="","",IF(K7&gt;($D7+$E7),(K7-$D7-$E7),IF(K7&lt;($D7+$F7),(K7-$D7-$F7),"√")))</f>
        <v>√</v>
      </c>
      <c r="AB7" s="54">
        <f t="shared" ref="AB7:AO11" si="5">IF(L7="","",IF(L7&gt;($D7+$E7),(L7-$D7-$E7),IF(L7&lt;($D7+$F7),(L7-$D7-$F7),"√")))</f>
        <v>-0.0100000000000001</v>
      </c>
      <c r="AC7" s="54" t="str">
        <f t="shared" si="5"/>
        <v>√</v>
      </c>
      <c r="AD7" s="54">
        <f t="shared" si="5"/>
        <v>0.0533000000000005</v>
      </c>
      <c r="AE7" s="54" t="str">
        <f t="shared" si="5"/>
        <v>√</v>
      </c>
      <c r="AF7" s="54" t="str">
        <f t="shared" si="5"/>
        <v>√</v>
      </c>
      <c r="AG7" s="54" t="str">
        <f t="shared" si="5"/>
        <v>√</v>
      </c>
      <c r="AH7" s="54" t="str">
        <f t="shared" si="5"/>
        <v>√</v>
      </c>
      <c r="AI7" s="54" t="str">
        <f t="shared" si="5"/>
        <v>√</v>
      </c>
      <c r="AJ7" s="54" t="str">
        <f t="shared" si="5"/>
        <v>√</v>
      </c>
      <c r="AK7" s="54" t="str">
        <f t="shared" si="5"/>
        <v>√</v>
      </c>
      <c r="AL7" s="54" t="str">
        <f t="shared" si="5"/>
        <v>√</v>
      </c>
      <c r="AM7" s="54" t="str">
        <f t="shared" si="5"/>
        <v>√</v>
      </c>
      <c r="AN7" s="54">
        <f t="shared" si="5"/>
        <v>0.0488000000000003</v>
      </c>
      <c r="AO7" s="54" t="str">
        <f t="shared" si="5"/>
        <v/>
      </c>
    </row>
    <row r="8" ht="15" customHeight="1" spans="1:41">
      <c r="A8" s="55"/>
      <c r="B8" s="50" t="s">
        <v>33</v>
      </c>
      <c r="C8" s="50" t="s">
        <v>34</v>
      </c>
      <c r="D8" s="51">
        <v>2.44</v>
      </c>
      <c r="E8" s="51">
        <v>0.03</v>
      </c>
      <c r="F8" s="51">
        <v>-0.03</v>
      </c>
      <c r="G8" s="52">
        <f t="shared" si="1"/>
        <v>2.47</v>
      </c>
      <c r="H8" s="52">
        <f t="shared" si="2"/>
        <v>2.41</v>
      </c>
      <c r="I8" s="51" t="s">
        <v>32</v>
      </c>
      <c r="J8" s="53">
        <v>2.4358</v>
      </c>
      <c r="K8" s="53">
        <v>2.4356</v>
      </c>
      <c r="L8" s="53">
        <v>2.4382</v>
      </c>
      <c r="M8" s="53">
        <v>2.4322</v>
      </c>
      <c r="N8" s="53">
        <v>2.4327</v>
      </c>
      <c r="O8" s="53">
        <v>2.4304</v>
      </c>
      <c r="P8" s="53">
        <v>2.4272</v>
      </c>
      <c r="Q8" s="53">
        <v>2.4264</v>
      </c>
      <c r="R8" s="53">
        <v>2.4397</v>
      </c>
      <c r="S8" s="53">
        <v>2.4305</v>
      </c>
      <c r="T8" s="53">
        <v>2.4423</v>
      </c>
      <c r="U8" s="53">
        <v>2.4316</v>
      </c>
      <c r="V8" s="53">
        <v>2.4319</v>
      </c>
      <c r="W8" s="53">
        <v>2.4332</v>
      </c>
      <c r="X8" s="53">
        <v>2.4372</v>
      </c>
      <c r="Y8" s="53"/>
      <c r="Z8" s="54" t="str">
        <f t="shared" si="3"/>
        <v>√</v>
      </c>
      <c r="AA8" s="54" t="str">
        <f t="shared" si="4"/>
        <v>√</v>
      </c>
      <c r="AB8" s="54" t="str">
        <f t="shared" ref="AB8:AO8" si="6">IF(L8="","",IF(L8&gt;($D8+$E8),(L8-$D8-$E8),IF(L8&lt;($D8+$F8),(L8-$D8-$F8),"√")))</f>
        <v>√</v>
      </c>
      <c r="AC8" s="54" t="str">
        <f t="shared" si="6"/>
        <v>√</v>
      </c>
      <c r="AD8" s="54" t="str">
        <f t="shared" si="6"/>
        <v>√</v>
      </c>
      <c r="AE8" s="54" t="str">
        <f t="shared" si="6"/>
        <v>√</v>
      </c>
      <c r="AF8" s="54" t="str">
        <f t="shared" si="6"/>
        <v>√</v>
      </c>
      <c r="AG8" s="54" t="str">
        <f t="shared" si="6"/>
        <v>√</v>
      </c>
      <c r="AH8" s="54" t="str">
        <f t="shared" si="6"/>
        <v>√</v>
      </c>
      <c r="AI8" s="54" t="str">
        <f t="shared" si="6"/>
        <v>√</v>
      </c>
      <c r="AJ8" s="54" t="str">
        <f t="shared" si="6"/>
        <v>√</v>
      </c>
      <c r="AK8" s="54" t="str">
        <f t="shared" si="6"/>
        <v>√</v>
      </c>
      <c r="AL8" s="54" t="str">
        <f t="shared" si="6"/>
        <v>√</v>
      </c>
      <c r="AM8" s="54" t="str">
        <f t="shared" si="6"/>
        <v>√</v>
      </c>
      <c r="AN8" s="54" t="str">
        <f t="shared" si="6"/>
        <v>√</v>
      </c>
      <c r="AO8" s="54" t="str">
        <f t="shared" si="6"/>
        <v/>
      </c>
    </row>
    <row r="9" ht="15" customHeight="1" spans="1:41">
      <c r="A9" s="55"/>
      <c r="B9" s="50" t="s">
        <v>35</v>
      </c>
      <c r="C9" s="50" t="s">
        <v>34</v>
      </c>
      <c r="D9" s="51">
        <v>2.44</v>
      </c>
      <c r="E9" s="51">
        <v>0.03</v>
      </c>
      <c r="F9" s="51">
        <v>-0.03</v>
      </c>
      <c r="G9" s="52">
        <f t="shared" si="1"/>
        <v>2.47</v>
      </c>
      <c r="H9" s="52">
        <f t="shared" si="2"/>
        <v>2.41</v>
      </c>
      <c r="I9" s="51" t="s">
        <v>32</v>
      </c>
      <c r="J9" s="53">
        <v>2.4343</v>
      </c>
      <c r="K9" s="53">
        <v>2.4352</v>
      </c>
      <c r="L9" s="53">
        <v>2.4384</v>
      </c>
      <c r="M9" s="53">
        <v>2.4283</v>
      </c>
      <c r="N9" s="53">
        <v>2.442</v>
      </c>
      <c r="O9" s="53">
        <v>2.431</v>
      </c>
      <c r="P9" s="53">
        <v>2.4322</v>
      </c>
      <c r="Q9" s="53">
        <v>2.4564</v>
      </c>
      <c r="R9" s="53">
        <v>2.4339</v>
      </c>
      <c r="S9" s="53">
        <v>2.4342</v>
      </c>
      <c r="T9" s="53">
        <v>2.4387</v>
      </c>
      <c r="U9" s="53">
        <v>2.4336</v>
      </c>
      <c r="V9" s="53">
        <v>2.4309</v>
      </c>
      <c r="W9" s="53">
        <v>2.4478</v>
      </c>
      <c r="X9" s="53">
        <v>2.446</v>
      </c>
      <c r="Y9" s="53"/>
      <c r="Z9" s="54" t="str">
        <f t="shared" si="3"/>
        <v>√</v>
      </c>
      <c r="AA9" s="54" t="str">
        <f t="shared" si="4"/>
        <v>√</v>
      </c>
      <c r="AB9" s="54" t="str">
        <f t="shared" ref="AB9:AO9" si="7">IF(L9="","",IF(L9&gt;($D9+$E9),(L9-$D9-$E9),IF(L9&lt;($D9+$F9),(L9-$D9-$F9),"√")))</f>
        <v>√</v>
      </c>
      <c r="AC9" s="54" t="str">
        <f t="shared" si="7"/>
        <v>√</v>
      </c>
      <c r="AD9" s="54" t="str">
        <f t="shared" si="7"/>
        <v>√</v>
      </c>
      <c r="AE9" s="54" t="str">
        <f t="shared" si="7"/>
        <v>√</v>
      </c>
      <c r="AF9" s="54" t="str">
        <f t="shared" si="7"/>
        <v>√</v>
      </c>
      <c r="AG9" s="54" t="str">
        <f t="shared" si="7"/>
        <v>√</v>
      </c>
      <c r="AH9" s="54" t="str">
        <f t="shared" si="7"/>
        <v>√</v>
      </c>
      <c r="AI9" s="54" t="str">
        <f t="shared" si="7"/>
        <v>√</v>
      </c>
      <c r="AJ9" s="54" t="str">
        <f t="shared" si="7"/>
        <v>√</v>
      </c>
      <c r="AK9" s="54" t="str">
        <f t="shared" si="7"/>
        <v>√</v>
      </c>
      <c r="AL9" s="54" t="str">
        <f t="shared" si="7"/>
        <v>√</v>
      </c>
      <c r="AM9" s="54" t="str">
        <f t="shared" si="7"/>
        <v>√</v>
      </c>
      <c r="AN9" s="54" t="str">
        <f t="shared" si="7"/>
        <v>√</v>
      </c>
      <c r="AO9" s="54" t="str">
        <f t="shared" si="7"/>
        <v/>
      </c>
    </row>
    <row r="10" ht="15" customHeight="1" spans="1:41">
      <c r="A10" s="55"/>
      <c r="B10" s="50" t="s">
        <v>36</v>
      </c>
      <c r="C10" s="50"/>
      <c r="D10" s="51">
        <v>0.81</v>
      </c>
      <c r="E10" s="51">
        <v>0.03</v>
      </c>
      <c r="F10" s="51">
        <v>-0.03</v>
      </c>
      <c r="G10" s="52">
        <f t="shared" ref="G10:G11" si="8">D10+E10</f>
        <v>0.84</v>
      </c>
      <c r="H10" s="52">
        <f t="shared" ref="H10:H11" si="9">D10+F10</f>
        <v>0.78</v>
      </c>
      <c r="I10" s="51" t="s">
        <v>32</v>
      </c>
      <c r="J10" s="53">
        <v>0.7941</v>
      </c>
      <c r="K10" s="53">
        <v>0.7834</v>
      </c>
      <c r="L10" s="53">
        <v>0.788</v>
      </c>
      <c r="M10" s="53">
        <v>0.7834</v>
      </c>
      <c r="N10" s="53">
        <v>0.798</v>
      </c>
      <c r="O10" s="53">
        <v>0.8167</v>
      </c>
      <c r="P10" s="53">
        <v>0.7891</v>
      </c>
      <c r="Q10" s="53">
        <v>0.7884</v>
      </c>
      <c r="R10" s="53">
        <v>0.8021</v>
      </c>
      <c r="S10" s="53">
        <v>0.7915</v>
      </c>
      <c r="T10" s="53">
        <v>0.8176</v>
      </c>
      <c r="U10" s="53">
        <v>0.789</v>
      </c>
      <c r="V10" s="53">
        <v>0.8164</v>
      </c>
      <c r="W10" s="53">
        <v>0.7949</v>
      </c>
      <c r="X10" s="53"/>
      <c r="Y10" s="53">
        <v>0.7819</v>
      </c>
      <c r="Z10" s="54" t="str">
        <f t="shared" ref="Z10:Z11" si="10">IF(J10="","",IF(J10&gt;($D10+$E10),(J10-$D10-$E10),IF(J10&lt;($D10+$F10),(J10-$D10-$F10),"√")))</f>
        <v>√</v>
      </c>
      <c r="AA10" s="54" t="str">
        <f t="shared" ref="AA10:AA11" si="11">IF(K10="","",IF(K10&gt;($D10+$E10),(K10-$D10-$E10),IF(K10&lt;($D10+$F10),(K10-$D10-$F10),"√")))</f>
        <v>√</v>
      </c>
      <c r="AB10" s="54" t="str">
        <f t="shared" ref="AB10:AB13" si="12">IF(L10="","",IF(L10&gt;($D10+$E10),(L10-$D10-$E10),IF(L10&lt;($D10+$F10),(L10-$D10-$F10),"√")))</f>
        <v>√</v>
      </c>
      <c r="AC10" s="54" t="str">
        <f t="shared" si="5"/>
        <v>√</v>
      </c>
      <c r="AD10" s="54" t="str">
        <f t="shared" si="5"/>
        <v>√</v>
      </c>
      <c r="AE10" s="54" t="str">
        <f t="shared" si="5"/>
        <v>√</v>
      </c>
      <c r="AF10" s="54" t="str">
        <f t="shared" si="5"/>
        <v>√</v>
      </c>
      <c r="AG10" s="54" t="str">
        <f t="shared" si="5"/>
        <v>√</v>
      </c>
      <c r="AH10" s="54" t="str">
        <f t="shared" si="5"/>
        <v>√</v>
      </c>
      <c r="AI10" s="54" t="str">
        <f t="shared" si="5"/>
        <v>√</v>
      </c>
      <c r="AJ10" s="54" t="str">
        <f t="shared" si="5"/>
        <v>√</v>
      </c>
      <c r="AK10" s="54" t="str">
        <f t="shared" si="5"/>
        <v>√</v>
      </c>
      <c r="AL10" s="54" t="str">
        <f t="shared" si="5"/>
        <v>√</v>
      </c>
      <c r="AM10" s="54" t="str">
        <f t="shared" si="5"/>
        <v>√</v>
      </c>
      <c r="AN10" s="54" t="str">
        <f t="shared" si="5"/>
        <v/>
      </c>
      <c r="AO10" s="54" t="str">
        <f t="shared" si="5"/>
        <v>√</v>
      </c>
    </row>
    <row r="11" ht="15" customHeight="1" spans="1:41">
      <c r="A11" s="55"/>
      <c r="B11" s="50" t="s">
        <v>37</v>
      </c>
      <c r="C11" s="50"/>
      <c r="D11" s="51">
        <v>0.81</v>
      </c>
      <c r="E11" s="51">
        <v>0.03</v>
      </c>
      <c r="F11" s="51">
        <v>-0.03</v>
      </c>
      <c r="G11" s="52">
        <f t="shared" si="8"/>
        <v>0.84</v>
      </c>
      <c r="H11" s="52">
        <f t="shared" si="9"/>
        <v>0.78</v>
      </c>
      <c r="I11" s="51" t="s">
        <v>32</v>
      </c>
      <c r="J11" s="53">
        <v>0.7928</v>
      </c>
      <c r="K11" s="53">
        <v>0.7914</v>
      </c>
      <c r="L11" s="53">
        <v>0.7843</v>
      </c>
      <c r="M11" s="53">
        <v>0.7825</v>
      </c>
      <c r="N11" s="53">
        <v>0.7963</v>
      </c>
      <c r="O11" s="53">
        <v>0.7945</v>
      </c>
      <c r="P11" s="53">
        <v>0.796</v>
      </c>
      <c r="Q11" s="53">
        <v>0.7829</v>
      </c>
      <c r="R11" s="53">
        <v>0.8113</v>
      </c>
      <c r="S11" s="53">
        <v>0.7984</v>
      </c>
      <c r="T11" s="53">
        <v>0.7971</v>
      </c>
      <c r="U11" s="53">
        <v>0.7977</v>
      </c>
      <c r="V11" s="53">
        <v>0.7843</v>
      </c>
      <c r="W11" s="53">
        <v>0.7955</v>
      </c>
      <c r="X11" s="53"/>
      <c r="Y11" s="53">
        <v>0.792</v>
      </c>
      <c r="Z11" s="54" t="str">
        <f t="shared" si="10"/>
        <v>√</v>
      </c>
      <c r="AA11" s="54" t="str">
        <f t="shared" si="11"/>
        <v>√</v>
      </c>
      <c r="AB11" s="54" t="str">
        <f t="shared" si="12"/>
        <v>√</v>
      </c>
      <c r="AC11" s="54" t="str">
        <f t="shared" si="5"/>
        <v>√</v>
      </c>
      <c r="AD11" s="54" t="str">
        <f t="shared" si="5"/>
        <v>√</v>
      </c>
      <c r="AE11" s="54" t="str">
        <f t="shared" si="5"/>
        <v>√</v>
      </c>
      <c r="AF11" s="54" t="str">
        <f t="shared" si="5"/>
        <v>√</v>
      </c>
      <c r="AG11" s="54" t="str">
        <f t="shared" si="5"/>
        <v>√</v>
      </c>
      <c r="AH11" s="54" t="str">
        <f t="shared" si="5"/>
        <v>√</v>
      </c>
      <c r="AI11" s="54" t="str">
        <f t="shared" si="5"/>
        <v>√</v>
      </c>
      <c r="AJ11" s="54" t="str">
        <f t="shared" si="5"/>
        <v>√</v>
      </c>
      <c r="AK11" s="54" t="str">
        <f t="shared" si="5"/>
        <v>√</v>
      </c>
      <c r="AL11" s="54" t="str">
        <f t="shared" si="5"/>
        <v>√</v>
      </c>
      <c r="AM11" s="54" t="str">
        <f t="shared" si="5"/>
        <v>√</v>
      </c>
      <c r="AN11" s="54" t="str">
        <f t="shared" si="5"/>
        <v/>
      </c>
      <c r="AO11" s="54" t="str">
        <f t="shared" si="5"/>
        <v>√</v>
      </c>
    </row>
    <row r="12" ht="15" customHeight="1" spans="1:41">
      <c r="A12" s="55"/>
      <c r="B12" s="50" t="s">
        <v>38</v>
      </c>
      <c r="C12" s="50"/>
      <c r="D12" s="51">
        <v>2.03</v>
      </c>
      <c r="E12" s="51">
        <v>0.05</v>
      </c>
      <c r="F12" s="51">
        <v>-0.05</v>
      </c>
      <c r="G12" s="52">
        <f t="shared" si="1"/>
        <v>2.08</v>
      </c>
      <c r="H12" s="52">
        <f t="shared" si="2"/>
        <v>1.98</v>
      </c>
      <c r="I12" s="51" t="s">
        <v>32</v>
      </c>
      <c r="J12" s="53">
        <v>1.9773</v>
      </c>
      <c r="K12" s="53">
        <v>1.9724</v>
      </c>
      <c r="L12" s="53">
        <v>2.002</v>
      </c>
      <c r="M12" s="53">
        <v>1.9503</v>
      </c>
      <c r="N12" s="53">
        <v>1.9622</v>
      </c>
      <c r="O12" s="53">
        <v>1.9802</v>
      </c>
      <c r="P12" s="53">
        <v>1.9422</v>
      </c>
      <c r="Q12" s="53">
        <v>1.973</v>
      </c>
      <c r="R12" s="53">
        <v>1.9842</v>
      </c>
      <c r="S12" s="53">
        <v>1.9689</v>
      </c>
      <c r="T12" s="53">
        <v>2.0421</v>
      </c>
      <c r="U12" s="53">
        <v>1.9435</v>
      </c>
      <c r="V12" s="53">
        <v>1.974</v>
      </c>
      <c r="W12" s="53">
        <v>1.9657</v>
      </c>
      <c r="X12" s="53"/>
      <c r="Y12" s="53">
        <v>1.9463</v>
      </c>
      <c r="Z12" s="54">
        <f t="shared" si="3"/>
        <v>-0.00269999999999974</v>
      </c>
      <c r="AA12" s="54">
        <f t="shared" si="4"/>
        <v>-0.00759999999999987</v>
      </c>
      <c r="AB12" s="54" t="str">
        <f t="shared" si="12"/>
        <v>√</v>
      </c>
      <c r="AC12" s="54">
        <f t="shared" ref="AC12:AO12" si="13">IF(M12="","",IF(M12&gt;($D12+$E12),(M12-$D12-$E12),IF(M12&lt;($D12+$F12),(M12-$D12-$F12),"√")))</f>
        <v>-0.0296999999999999</v>
      </c>
      <c r="AD12" s="54">
        <f t="shared" si="13"/>
        <v>-0.0177999999999999</v>
      </c>
      <c r="AE12" s="54" t="str">
        <f t="shared" si="13"/>
        <v>√</v>
      </c>
      <c r="AF12" s="54">
        <f t="shared" si="13"/>
        <v>-0.0377999999999999</v>
      </c>
      <c r="AG12" s="54">
        <f t="shared" si="13"/>
        <v>-0.00699999999999971</v>
      </c>
      <c r="AH12" s="54" t="str">
        <f t="shared" si="13"/>
        <v>√</v>
      </c>
      <c r="AI12" s="54">
        <f t="shared" si="13"/>
        <v>-0.0110999999999997</v>
      </c>
      <c r="AJ12" s="54" t="str">
        <f t="shared" si="13"/>
        <v>√</v>
      </c>
      <c r="AK12" s="54">
        <f t="shared" si="13"/>
        <v>-0.0364999999999998</v>
      </c>
      <c r="AL12" s="54">
        <f t="shared" si="13"/>
        <v>-0.00599999999999982</v>
      </c>
      <c r="AM12" s="54">
        <f t="shared" si="13"/>
        <v>-0.0142999999999998</v>
      </c>
      <c r="AN12" s="54" t="str">
        <f t="shared" si="13"/>
        <v/>
      </c>
      <c r="AO12" s="54">
        <f t="shared" si="13"/>
        <v>-0.0336999999999999</v>
      </c>
    </row>
    <row r="13" ht="15" customHeight="1" spans="1:41">
      <c r="A13" s="56"/>
      <c r="B13" s="50" t="s">
        <v>39</v>
      </c>
      <c r="C13" s="50"/>
      <c r="D13" s="51">
        <v>2.03</v>
      </c>
      <c r="E13" s="51">
        <v>0.05</v>
      </c>
      <c r="F13" s="51">
        <v>-0.05</v>
      </c>
      <c r="G13" s="52">
        <f t="shared" si="1"/>
        <v>2.08</v>
      </c>
      <c r="H13" s="52">
        <f t="shared" si="2"/>
        <v>1.98</v>
      </c>
      <c r="I13" s="51" t="s">
        <v>32</v>
      </c>
      <c r="J13" s="53">
        <v>1.9801</v>
      </c>
      <c r="K13" s="53">
        <v>1.9722</v>
      </c>
      <c r="L13" s="53">
        <v>1.9981</v>
      </c>
      <c r="M13" s="53">
        <v>1.9515</v>
      </c>
      <c r="N13" s="53">
        <v>1.9606</v>
      </c>
      <c r="O13" s="53">
        <v>1.9741</v>
      </c>
      <c r="P13" s="53">
        <v>1.9639</v>
      </c>
      <c r="Q13" s="53">
        <v>1.9605</v>
      </c>
      <c r="R13" s="53">
        <v>1.9842</v>
      </c>
      <c r="S13" s="53">
        <v>1.966</v>
      </c>
      <c r="T13" s="53">
        <v>1.9768</v>
      </c>
      <c r="U13" s="53">
        <v>2.0304</v>
      </c>
      <c r="V13" s="53">
        <v>1.9717</v>
      </c>
      <c r="W13" s="53">
        <v>1.9558</v>
      </c>
      <c r="X13" s="53"/>
      <c r="Y13" s="53">
        <v>1.9667</v>
      </c>
      <c r="Z13" s="54" t="str">
        <f t="shared" si="3"/>
        <v>√</v>
      </c>
      <c r="AA13" s="54">
        <f t="shared" si="4"/>
        <v>-0.00779999999999985</v>
      </c>
      <c r="AB13" s="54" t="str">
        <f t="shared" si="12"/>
        <v>√</v>
      </c>
      <c r="AC13" s="54">
        <f t="shared" ref="AC13:AO13" si="14">IF(M13="","",IF(M13&gt;($D13+$E13),(M13-$D13-$E13),IF(M13&lt;($D13+$F13),(M13-$D13-$F13),"√")))</f>
        <v>-0.0284999999999998</v>
      </c>
      <c r="AD13" s="54">
        <f t="shared" si="14"/>
        <v>-0.0193999999999999</v>
      </c>
      <c r="AE13" s="54">
        <f t="shared" si="14"/>
        <v>-0.00589999999999984</v>
      </c>
      <c r="AF13" s="54">
        <f t="shared" si="14"/>
        <v>-0.0160999999999998</v>
      </c>
      <c r="AG13" s="54">
        <f t="shared" si="14"/>
        <v>-0.0194999999999999</v>
      </c>
      <c r="AH13" s="54" t="str">
        <f t="shared" si="14"/>
        <v>√</v>
      </c>
      <c r="AI13" s="54">
        <f t="shared" si="14"/>
        <v>-0.0139999999999998</v>
      </c>
      <c r="AJ13" s="54">
        <f t="shared" si="14"/>
        <v>-0.00319999999999991</v>
      </c>
      <c r="AK13" s="54" t="str">
        <f t="shared" si="14"/>
        <v>√</v>
      </c>
      <c r="AL13" s="54">
        <f t="shared" si="14"/>
        <v>-0.00829999999999979</v>
      </c>
      <c r="AM13" s="54">
        <f t="shared" si="14"/>
        <v>-0.0241999999999998</v>
      </c>
      <c r="AN13" s="54" t="str">
        <f t="shared" si="14"/>
        <v/>
      </c>
      <c r="AO13" s="54">
        <f t="shared" si="14"/>
        <v>-0.0132999999999999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Y10:Y11">
    <cfRule type="cellIs" dxfId="0" priority="1" operator="notBetween">
      <formula>$G10</formula>
      <formula>$H10</formula>
    </cfRule>
  </conditionalFormatting>
  <conditionalFormatting sqref="Y12:Y13">
    <cfRule type="cellIs" dxfId="0" priority="2" operator="notBetween">
      <formula>$G12</formula>
      <formula>$H12</formula>
    </cfRule>
  </conditionalFormatting>
  <conditionalFormatting sqref="J7:Y9 J12:X13">
    <cfRule type="cellIs" dxfId="0" priority="20" operator="notBetween">
      <formula>$G7</formula>
      <formula>$H7</formula>
    </cfRule>
  </conditionalFormatting>
  <conditionalFormatting sqref="J10:X11">
    <cfRule type="cellIs" dxfId="0" priority="3" operator="notBetween">
      <formula>$G10</formula>
      <formula>$H10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2026-06-06T18:09:40Z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