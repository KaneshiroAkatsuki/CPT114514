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613-41424" sheetId="8" r:id="rId1"/>
  </sheets>
  <definedNames>
    <definedName name="_xlnm.Print_Area" localSheetId="0">'613-41424'!$B$1:$AD$6</definedName>
    <definedName name="_xlnm.Print_Titles" localSheetId="0">'613-41424'!$1:$6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<sst xmlns="http://schemas.openxmlformats.org/spreadsheetml/2006/main" count="40" uniqueCount="33">
  <si>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安徽中耀智能科技有限公司首件尺寸报告</t>
  </si>
  <si>
    <t>料号</t>
  </si>
  <si>
    <t>036</t>
  </si>
  <si>
    <t>工单号</t>
  </si>
  <si>
    <t>/</t>
  </si>
  <si>
    <t>工站</t>
  </si>
  <si>
    <t>炉号</t>
  </si>
  <si>
    <t>测量机台号</t>
  </si>
  <si>
    <t>测量人员</t>
  </si>
  <si>
    <t>审核</t>
  </si>
  <si>
    <t>焊接</t>
  </si>
  <si>
    <t>CMM6#/OMM5#</t>
  </si>
  <si>
    <t>郑家午/禹欣</t>
  </si>
  <si>
    <t>王婷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</si>
  <si>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</si>
  <si>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</si>
  <si>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</si>
  <si>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</si>
  <si>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</si>
  <si>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</si>
  <si>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</si>
  <si>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</si>
  <si>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</si>
  <si>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</si>
  <si>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</si>
  <si>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</si>
  <si>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rPr>
        <b/>
        <sz val="11"/>
        <rFont val="宋体"/>
        <charset val="134"/>
      </rPr>
      <t>复测</t>
    </r>
    <r>
      <rPr>
        <b/>
        <sz val="11"/>
        <rFont val="Arial"/>
        <charset val="134"/>
      </rPr>
      <t xml:space="preserve"> 6</t>
    </r>
  </si>
  <si>
    <t>FAI 14</t>
  </si>
  <si>
    <t>OMM</t>
  </si>
  <si>
    <t>FAI 11</t>
  </si>
  <si>
    <t>CMM</t>
  </si>
  <si>
    <t>FAI 12</t>
  </si>
  <si>
    <t>FAI 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</si>
</sst>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1"/>
      <name val="Calibri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5" applyNumberFormat="0" applyAlignment="0" applyProtection="0">
      <alignment vertical="center"/>
    </xf>
    <xf numFmtId="0" fontId="23" fillId="8" borderId="16" applyNumberFormat="0" applyAlignment="0" applyProtection="0">
      <alignment vertical="center"/>
    </xf>
    <xf numFmtId="0" fontId="24" fillId="8" borderId="15" applyNumberFormat="0" applyAlignment="0" applyProtection="0">
      <alignment vertical="center"/>
    </xf>
    <xf numFmtId="0" fontId="25" fillId="9" borderId="17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2" fillId="2" borderId="1" xfId="61" applyNumberFormat="1" applyFont="1" applyFill="1" applyBorder="1" applyAlignment="1">
      <alignment horizontal="center" vertical="center"/>
    </xf>
    <xf numFmtId="0" fontId="13" fillId="4" borderId="1" xfId="60" applyFont="1" applyFill="1" applyBorder="1" applyAlignment="1">
      <alignment horizontal="center" vertical="center"/>
    </xf>
    <xf numFmtId="0" fontId="12" fillId="0" borderId="7" xfId="53" applyFont="1" applyFill="1" applyBorder="1" applyAlignment="1">
      <alignment horizontal="center" vertical="center"/>
    </xf>
    <xf numFmtId="0" fontId="13" fillId="5" borderId="1" xfId="6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right" vertical="center"/>
    </xf>
    <xf numFmtId="0" fontId="0" fillId="0" borderId="7" xfId="0" applyFont="1" applyFill="1" applyBorder="1" applyAlignment="1">
      <alignment horizontal="right" vertical="center"/>
    </xf>
    <xf numFmtId="0" fontId="3" fillId="0" borderId="2" xfId="60" applyFont="1" applyBorder="1" applyAlignment="1" applyProtection="1" quotePrefix="1">
      <alignment horizontal="center" vertical="center"/>
      <protection locked="0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1</xdr:col>
      <xdr:colOff>942975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7350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5"/>
  <sheetViews>
    <sheetView tabSelected="1" workbookViewId="0">
      <selection activeCell="I7" sqref="I7:W7"/>
    </sheetView>
  </sheetViews>
  <sheetFormatPr defaultColWidth="9" defaultRowHeight="14.25"/>
  <cols>
    <col min="1" max="1" width="9.375" customWidth="1"/>
    <col min="2" max="2" width="13" customWidth="1"/>
    <col min="3" max="3" width="9.625" customWidth="1"/>
    <col min="4" max="4" width="5.625" customWidth="1"/>
    <col min="5" max="7" width="7.5" customWidth="1"/>
    <col min="8" max="8" width="4.5" customWidth="1"/>
    <col min="9" max="40" width="6.5" customWidth="1"/>
  </cols>
  <sheetData>
    <row r="1" ht="70.5" customHeight="1" spans="1:4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15" customHeight="1" spans="1:40">
      <c r="A2" s="2" t="s">
        <v>1</v>
      </c>
      <c r="B2" s="61" t="s">
        <v>2</v>
      </c>
      <c r="C2" s="4"/>
      <c r="D2" s="4"/>
      <c r="E2" s="4"/>
      <c r="F2" s="5"/>
      <c r="G2" s="6" t="s">
        <v>3</v>
      </c>
      <c r="H2" s="7"/>
      <c r="I2" s="7"/>
      <c r="J2" s="8"/>
      <c r="K2" s="9" t="s">
        <v>4</v>
      </c>
      <c r="L2" s="9"/>
      <c r="M2" s="9"/>
      <c r="N2" s="9"/>
      <c r="O2" s="9"/>
      <c r="P2" s="9"/>
      <c r="Q2" s="9"/>
      <c r="R2" s="10" t="s">
        <v>5</v>
      </c>
      <c r="S2" s="11"/>
      <c r="T2" s="11"/>
      <c r="U2" s="11"/>
      <c r="V2" s="11"/>
      <c r="W2" s="12"/>
      <c r="X2" s="13" t="s">
        <v>6</v>
      </c>
      <c r="Y2" s="14"/>
      <c r="Z2" s="14"/>
      <c r="AA2" s="14"/>
      <c r="AB2" s="14"/>
      <c r="AC2" s="15"/>
      <c r="AD2" s="13" t="s">
        <v>7</v>
      </c>
      <c r="AE2" s="14"/>
      <c r="AF2" s="14"/>
      <c r="AG2" s="14"/>
      <c r="AH2" s="15"/>
      <c r="AI2" s="16" t="s">
        <v>8</v>
      </c>
      <c r="AJ2" s="17"/>
      <c r="AK2" s="17"/>
      <c r="AL2" s="18"/>
      <c r="AM2" s="16" t="s">
        <v>9</v>
      </c>
      <c r="AN2" s="18"/>
    </row>
    <row r="3" ht="15" customHeight="1" spans="1:40">
      <c r="A3" s="2"/>
      <c r="B3" s="19"/>
      <c r="C3" s="20"/>
      <c r="D3" s="20"/>
      <c r="E3" s="20"/>
      <c r="F3" s="21"/>
      <c r="G3" s="22"/>
      <c r="H3" s="23"/>
      <c r="I3" s="23"/>
      <c r="J3" s="24"/>
      <c r="K3" s="9"/>
      <c r="L3" s="9"/>
      <c r="M3" s="9"/>
      <c r="N3" s="9"/>
      <c r="O3" s="9"/>
      <c r="P3" s="9"/>
      <c r="Q3" s="9"/>
      <c r="R3" s="25" t="s">
        <v>10</v>
      </c>
      <c r="S3" s="26"/>
      <c r="T3" s="26"/>
      <c r="U3" s="26"/>
      <c r="V3" s="26"/>
      <c r="W3" s="27"/>
      <c r="X3" s="13" t="s">
        <v>4</v>
      </c>
      <c r="Y3" s="14"/>
      <c r="Z3" s="14"/>
      <c r="AA3" s="14"/>
      <c r="AB3" s="14"/>
      <c r="AC3" s="15"/>
      <c r="AD3" s="28" t="s">
        <v>11</v>
      </c>
      <c r="AE3" s="29"/>
      <c r="AF3" s="29"/>
      <c r="AG3" s="29"/>
      <c r="AH3" s="30"/>
      <c r="AI3" s="28" t="s">
        <v>12</v>
      </c>
      <c r="AJ3" s="29"/>
      <c r="AK3" s="29"/>
      <c r="AL3" s="30"/>
      <c r="AM3" s="28" t="s">
        <v>13</v>
      </c>
      <c r="AN3" s="30"/>
    </row>
    <row r="4" customHeight="1" spans="1:40">
      <c r="A4" s="31" t="s">
        <v>14</v>
      </c>
      <c r="B4" s="31" t="s">
        <v>15</v>
      </c>
      <c r="C4" s="32" t="s">
        <v>16</v>
      </c>
      <c r="D4" s="33" t="s">
        <v>17</v>
      </c>
      <c r="E4" s="34" t="s">
        <v>18</v>
      </c>
      <c r="F4" s="34" t="s">
        <v>19</v>
      </c>
      <c r="G4" s="34" t="s">
        <v>20</v>
      </c>
      <c r="H4" s="35" t="s">
        <v>21</v>
      </c>
      <c r="I4" s="36" t="s">
        <v>22</v>
      </c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7" t="s">
        <v>23</v>
      </c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9"/>
    </row>
    <row r="5" ht="13.5" customHeight="1" spans="1:40">
      <c r="A5" s="40"/>
      <c r="B5" s="41"/>
      <c r="C5" s="32"/>
      <c r="D5" s="33"/>
      <c r="E5" s="34"/>
      <c r="F5" s="34"/>
      <c r="G5" s="34"/>
      <c r="H5" s="32"/>
      <c r="I5" s="36" t="s">
        <v>24</v>
      </c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42" t="s">
        <v>25</v>
      </c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</row>
    <row r="6" customHeight="1" spans="1:40">
      <c r="A6" s="40"/>
      <c r="B6" s="41"/>
      <c r="C6" s="32"/>
      <c r="D6" s="33"/>
      <c r="E6" s="34"/>
      <c r="F6" s="34"/>
      <c r="G6" s="34"/>
      <c r="H6" s="32"/>
      <c r="I6" s="43">
        <v>1</v>
      </c>
      <c r="J6" s="43">
        <v>2</v>
      </c>
      <c r="K6" s="43">
        <v>3</v>
      </c>
      <c r="L6" s="43">
        <v>4</v>
      </c>
      <c r="M6" s="43">
        <v>5</v>
      </c>
      <c r="N6" s="43">
        <v>6</v>
      </c>
      <c r="O6" s="43">
        <v>7</v>
      </c>
      <c r="P6" s="43">
        <v>8</v>
      </c>
      <c r="Q6" s="43">
        <v>9</v>
      </c>
      <c r="R6" s="43">
        <v>10</v>
      </c>
      <c r="S6" s="43">
        <v>11</v>
      </c>
      <c r="T6" s="43">
        <v>12</v>
      </c>
      <c r="U6" s="43">
        <v>13</v>
      </c>
      <c r="V6" s="44">
        <v>14</v>
      </c>
      <c r="W6" s="43">
        <v>15</v>
      </c>
      <c r="X6" s="44" t="s">
        <v>26</v>
      </c>
      <c r="Y6" s="45">
        <f t="shared" ref="Y6:AN6" si="0">I6</f>
        <v>1</v>
      </c>
      <c r="Z6" s="45">
        <f t="shared" si="0"/>
        <v>2</v>
      </c>
      <c r="AA6" s="45">
        <f t="shared" si="0"/>
        <v>3</v>
      </c>
      <c r="AB6" s="45">
        <f t="shared" si="0"/>
        <v>4</v>
      </c>
      <c r="AC6" s="45">
        <f t="shared" si="0"/>
        <v>5</v>
      </c>
      <c r="AD6" s="45">
        <f t="shared" si="0"/>
        <v>6</v>
      </c>
      <c r="AE6" s="45">
        <f t="shared" si="0"/>
        <v>7</v>
      </c>
      <c r="AF6" s="45">
        <f t="shared" si="0"/>
        <v>8</v>
      </c>
      <c r="AG6" s="45">
        <f t="shared" si="0"/>
        <v>9</v>
      </c>
      <c r="AH6" s="45">
        <f t="shared" si="0"/>
        <v>10</v>
      </c>
      <c r="AI6" s="45">
        <f t="shared" si="0"/>
        <v>11</v>
      </c>
      <c r="AJ6" s="45">
        <f t="shared" si="0"/>
        <v>12</v>
      </c>
      <c r="AK6" s="45">
        <f t="shared" si="0"/>
        <v>13</v>
      </c>
      <c r="AL6" s="45">
        <f t="shared" si="0"/>
        <v>14</v>
      </c>
      <c r="AM6" s="45">
        <f t="shared" si="0"/>
        <v>15</v>
      </c>
      <c r="AN6" s="45" t="str">
        <f t="shared" si="0"/>
        <v>复测 6</v>
      </c>
    </row>
    <row r="7" ht="15" customHeight="1" spans="1:40">
      <c r="A7" s="46">
        <v>46191</v>
      </c>
      <c r="B7" s="47" t="s">
        <v>27</v>
      </c>
      <c r="C7" s="48">
        <v>0.5</v>
      </c>
      <c r="D7" s="48">
        <v>0.03</v>
      </c>
      <c r="E7" s="48">
        <v>-0.03</v>
      </c>
      <c r="F7" s="49">
        <f>C7+D7</f>
        <v>0.53</v>
      </c>
      <c r="G7" s="49">
        <f>C7+E7</f>
        <v>0.47</v>
      </c>
      <c r="H7" s="48" t="s">
        <v>28</v>
      </c>
      <c r="I7" s="50">
        <v>0.4956</v>
      </c>
      <c r="J7" s="50">
        <v>0.4962</v>
      </c>
      <c r="K7" s="50">
        <v>0.4958</v>
      </c>
      <c r="L7" s="50">
        <v>0.5233</v>
      </c>
      <c r="M7" s="50">
        <v>0.4928</v>
      </c>
      <c r="N7" s="50">
        <v>0.4906</v>
      </c>
      <c r="O7" s="50">
        <v>0.4947</v>
      </c>
      <c r="P7" s="50">
        <v>0.4987</v>
      </c>
      <c r="Q7" s="50">
        <v>0.4921</v>
      </c>
      <c r="R7" s="50">
        <v>0.5004</v>
      </c>
      <c r="S7" s="50">
        <v>0.4947</v>
      </c>
      <c r="T7" s="50">
        <v>0.4907</v>
      </c>
      <c r="U7" s="50">
        <v>0.5167</v>
      </c>
      <c r="V7" s="50">
        <v>0.519</v>
      </c>
      <c r="W7" s="50">
        <v>0.5057</v>
      </c>
      <c r="X7" s="50"/>
      <c r="Y7" s="51" t="str">
        <f t="shared" ref="Y7:AN7" si="1">IF(I7="","",IF(I7&gt;($C7+$D7),(I7-$C7-$D7),IF(I7&lt;($C7+$E7),(I7-$C7-$E7),"√")))</f>
        <v>√</v>
      </c>
      <c r="Z7" s="51" t="str">
        <f t="shared" si="1"/>
        <v>√</v>
      </c>
      <c r="AA7" s="51" t="str">
        <f t="shared" si="1"/>
        <v>√</v>
      </c>
      <c r="AB7" s="51" t="str">
        <f t="shared" si="1"/>
        <v>√</v>
      </c>
      <c r="AC7" s="51" t="str">
        <f t="shared" si="1"/>
        <v>√</v>
      </c>
      <c r="AD7" s="51" t="str">
        <f t="shared" si="1"/>
        <v>√</v>
      </c>
      <c r="AE7" s="51" t="str">
        <f t="shared" si="1"/>
        <v>√</v>
      </c>
      <c r="AF7" s="51" t="str">
        <f t="shared" si="1"/>
        <v>√</v>
      </c>
      <c r="AG7" s="51" t="str">
        <f t="shared" si="1"/>
        <v>√</v>
      </c>
      <c r="AH7" s="51" t="str">
        <f t="shared" si="1"/>
        <v>√</v>
      </c>
      <c r="AI7" s="51" t="str">
        <f t="shared" si="1"/>
        <v>√</v>
      </c>
      <c r="AJ7" s="51" t="str">
        <f t="shared" si="1"/>
        <v>√</v>
      </c>
      <c r="AK7" s="51" t="str">
        <f t="shared" si="1"/>
        <v>√</v>
      </c>
      <c r="AL7" s="51" t="str">
        <f t="shared" si="1"/>
        <v>√</v>
      </c>
      <c r="AM7" s="51" t="str">
        <f t="shared" si="1"/>
        <v>√</v>
      </c>
      <c r="AN7" s="51" t="str">
        <f t="shared" si="1"/>
        <v/>
      </c>
    </row>
    <row r="8" ht="15" customHeight="1" spans="1:40">
      <c r="A8" s="46"/>
      <c r="B8" s="52" t="s">
        <v>29</v>
      </c>
      <c r="C8" s="48">
        <v>0</v>
      </c>
      <c r="D8" s="48">
        <v>0.03</v>
      </c>
      <c r="E8" s="48">
        <v>0</v>
      </c>
      <c r="F8" s="49">
        <f>C8+D8</f>
        <v>0.03</v>
      </c>
      <c r="G8" s="49">
        <f>C8+E8</f>
        <v>0</v>
      </c>
      <c r="H8" s="48" t="s">
        <v>30</v>
      </c>
      <c r="I8" s="50">
        <v>0.015</v>
      </c>
      <c r="J8" s="50">
        <v>0.0224</v>
      </c>
      <c r="K8" s="50">
        <v>0.0107</v>
      </c>
      <c r="L8" s="50">
        <v>0.0251</v>
      </c>
      <c r="M8" s="50">
        <v>0.0226</v>
      </c>
      <c r="N8" s="50">
        <v>0.0234</v>
      </c>
      <c r="O8" s="50">
        <v>0.0238</v>
      </c>
      <c r="P8" s="50">
        <v>0.0264</v>
      </c>
      <c r="Q8" s="50">
        <v>0.0182</v>
      </c>
      <c r="R8" s="50">
        <v>0.0235</v>
      </c>
      <c r="S8" s="50">
        <v>0.0234</v>
      </c>
      <c r="T8" s="50">
        <v>0.0258</v>
      </c>
      <c r="U8" s="50">
        <v>0.0188</v>
      </c>
      <c r="V8" s="50">
        <v>0.0184</v>
      </c>
      <c r="W8" s="50">
        <v>0.0193</v>
      </c>
      <c r="X8" s="50">
        <v>0.0235</v>
      </c>
      <c r="Y8" s="53" t="str">
        <f t="shared" ref="Y8:AN8" si="2">IF(I8="","",IF(I8&gt;($C8+$D8),(I8-$C8-$D8),IF(I8&lt;($C8+$E8),(I8-$C8-$E8),"√")))</f>
        <v>√</v>
      </c>
      <c r="Z8" s="53" t="str">
        <f t="shared" si="2"/>
        <v>√</v>
      </c>
      <c r="AA8" s="53" t="str">
        <f t="shared" si="2"/>
        <v>√</v>
      </c>
      <c r="AB8" s="53" t="str">
        <f t="shared" si="2"/>
        <v>√</v>
      </c>
      <c r="AC8" s="53" t="str">
        <f t="shared" si="2"/>
        <v>√</v>
      </c>
      <c r="AD8" s="53" t="str">
        <f t="shared" si="2"/>
        <v>√</v>
      </c>
      <c r="AE8" s="53" t="str">
        <f t="shared" si="2"/>
        <v>√</v>
      </c>
      <c r="AF8" s="53" t="str">
        <f t="shared" si="2"/>
        <v>√</v>
      </c>
      <c r="AG8" s="53" t="str">
        <f t="shared" si="2"/>
        <v>√</v>
      </c>
      <c r="AH8" s="53" t="str">
        <f t="shared" si="2"/>
        <v>√</v>
      </c>
      <c r="AI8" s="53" t="str">
        <f t="shared" si="2"/>
        <v>√</v>
      </c>
      <c r="AJ8" s="53" t="str">
        <f t="shared" si="2"/>
        <v>√</v>
      </c>
      <c r="AK8" s="53" t="str">
        <f t="shared" si="2"/>
        <v>√</v>
      </c>
      <c r="AL8" s="53" t="str">
        <f t="shared" si="2"/>
        <v>√</v>
      </c>
      <c r="AM8" s="53" t="str">
        <f t="shared" si="2"/>
        <v>√</v>
      </c>
      <c r="AN8" s="53" t="str">
        <f t="shared" si="2"/>
        <v>√</v>
      </c>
    </row>
    <row r="9" ht="15" customHeight="1" spans="1:40">
      <c r="A9" s="46"/>
      <c r="B9" s="52">
        <v>1</v>
      </c>
      <c r="C9" s="48"/>
      <c r="D9" s="48"/>
      <c r="E9" s="48"/>
      <c r="F9" s="49"/>
      <c r="G9" s="49"/>
      <c r="H9" s="48" t="s">
        <v>30</v>
      </c>
      <c r="I9" s="50">
        <v>0.0075</v>
      </c>
      <c r="J9" s="50">
        <v>0.0112</v>
      </c>
      <c r="K9" s="50">
        <v>0.0053</v>
      </c>
      <c r="L9" s="50">
        <v>0.0125</v>
      </c>
      <c r="M9" s="50">
        <v>0.0113</v>
      </c>
      <c r="N9" s="50">
        <v>0.0117</v>
      </c>
      <c r="O9" s="50">
        <v>0.0119</v>
      </c>
      <c r="P9" s="50">
        <v>0.0132</v>
      </c>
      <c r="Q9" s="50">
        <v>0.0091</v>
      </c>
      <c r="R9" s="50">
        <v>0.0117</v>
      </c>
      <c r="S9" s="50">
        <v>0.0117</v>
      </c>
      <c r="T9" s="50">
        <v>0.0129</v>
      </c>
      <c r="U9" s="50">
        <v>0.0094</v>
      </c>
      <c r="V9" s="50">
        <v>0.0092</v>
      </c>
      <c r="W9" s="50">
        <v>0.0097</v>
      </c>
      <c r="X9" s="50">
        <v>0.0117</v>
      </c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</row>
    <row r="10" ht="15" customHeight="1" spans="1:40">
      <c r="A10" s="46"/>
      <c r="B10" s="52">
        <v>2</v>
      </c>
      <c r="C10" s="48"/>
      <c r="D10" s="48"/>
      <c r="E10" s="48"/>
      <c r="F10" s="49"/>
      <c r="G10" s="49"/>
      <c r="H10" s="48" t="s">
        <v>30</v>
      </c>
      <c r="I10" s="50">
        <v>0.0028</v>
      </c>
      <c r="J10" s="50">
        <v>-0.0019</v>
      </c>
      <c r="K10" s="50">
        <v>-0.0008</v>
      </c>
      <c r="L10" s="50">
        <v>-0.0002</v>
      </c>
      <c r="M10" s="50">
        <v>-0.0022</v>
      </c>
      <c r="N10" s="50">
        <v>-0.0024</v>
      </c>
      <c r="O10" s="50">
        <v>-0.0004</v>
      </c>
      <c r="P10" s="50">
        <v>-0.0012</v>
      </c>
      <c r="Q10" s="50">
        <v>0.0024</v>
      </c>
      <c r="R10" s="50">
        <v>-0.0005</v>
      </c>
      <c r="S10" s="50">
        <v>0.0023</v>
      </c>
      <c r="T10" s="50">
        <v>-0.0009</v>
      </c>
      <c r="U10" s="50">
        <v>0.0006</v>
      </c>
      <c r="V10" s="50">
        <v>0.0038</v>
      </c>
      <c r="W10" s="50">
        <v>-0.0019</v>
      </c>
      <c r="X10" s="50">
        <v>-0.0024</v>
      </c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</row>
    <row r="11" ht="15" customHeight="1" spans="1:40">
      <c r="A11" s="46"/>
      <c r="B11" s="52">
        <v>3</v>
      </c>
      <c r="C11" s="48"/>
      <c r="D11" s="48"/>
      <c r="E11" s="48"/>
      <c r="F11" s="49"/>
      <c r="G11" s="49"/>
      <c r="H11" s="48" t="s">
        <v>30</v>
      </c>
      <c r="I11" s="50">
        <v>-0.0009</v>
      </c>
      <c r="J11" s="50">
        <v>-0.0091</v>
      </c>
      <c r="K11" s="50">
        <v>-0.0037</v>
      </c>
      <c r="L11" s="50">
        <v>-0.0085</v>
      </c>
      <c r="M11" s="50">
        <v>-0.0062</v>
      </c>
      <c r="N11" s="50">
        <v>-0.0087</v>
      </c>
      <c r="O11" s="50">
        <v>-0.0046</v>
      </c>
      <c r="P11" s="50">
        <v>-0.0077</v>
      </c>
      <c r="Q11" s="50">
        <v>-0.0022</v>
      </c>
      <c r="R11" s="50">
        <v>-0.007</v>
      </c>
      <c r="S11" s="50">
        <v>-0.0014</v>
      </c>
      <c r="T11" s="50">
        <v>-0.005</v>
      </c>
      <c r="U11" s="50">
        <v>-0.0021</v>
      </c>
      <c r="V11" s="50">
        <v>-0.0032</v>
      </c>
      <c r="W11" s="50">
        <v>-0.0086</v>
      </c>
      <c r="X11" s="50">
        <v>-0.0087</v>
      </c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</row>
    <row r="12" ht="15" customHeight="1" spans="1:40">
      <c r="A12" s="46"/>
      <c r="B12" s="52">
        <v>4</v>
      </c>
      <c r="C12" s="48"/>
      <c r="D12" s="48"/>
      <c r="E12" s="48"/>
      <c r="F12" s="49"/>
      <c r="G12" s="49"/>
      <c r="H12" s="48" t="s">
        <v>30</v>
      </c>
      <c r="I12" s="50">
        <v>-0.0075</v>
      </c>
      <c r="J12" s="50">
        <v>-0.0112</v>
      </c>
      <c r="K12" s="50">
        <v>-0.0053</v>
      </c>
      <c r="L12" s="50">
        <v>-0.0125</v>
      </c>
      <c r="M12" s="50">
        <v>-0.0113</v>
      </c>
      <c r="N12" s="50">
        <v>-0.0117</v>
      </c>
      <c r="O12" s="50">
        <v>-0.0119</v>
      </c>
      <c r="P12" s="50">
        <v>-0.0132</v>
      </c>
      <c r="Q12" s="50">
        <v>-0.0091</v>
      </c>
      <c r="R12" s="50">
        <v>-0.0117</v>
      </c>
      <c r="S12" s="50">
        <v>-0.0117</v>
      </c>
      <c r="T12" s="50">
        <v>-0.0129</v>
      </c>
      <c r="U12" s="50">
        <v>-0.0094</v>
      </c>
      <c r="V12" s="50">
        <v>-0.0092</v>
      </c>
      <c r="W12" s="50">
        <v>-0.0097</v>
      </c>
      <c r="X12" s="50">
        <v>-0.0117</v>
      </c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</row>
    <row r="13" ht="15" customHeight="1" spans="1:40">
      <c r="A13" s="46"/>
      <c r="B13" s="52" t="s">
        <v>31</v>
      </c>
      <c r="C13" s="48">
        <v>186.04</v>
      </c>
      <c r="D13" s="48">
        <v>1</v>
      </c>
      <c r="E13" s="48">
        <v>-1</v>
      </c>
      <c r="F13" s="49">
        <f>C13+D13</f>
        <v>187.04</v>
      </c>
      <c r="G13" s="49">
        <f>C13+E13</f>
        <v>185.04</v>
      </c>
      <c r="H13" s="48" t="s">
        <v>30</v>
      </c>
      <c r="I13" s="50">
        <v>186.1117</v>
      </c>
      <c r="J13" s="50">
        <v>186.7957</v>
      </c>
      <c r="K13" s="50">
        <v>186.2949</v>
      </c>
      <c r="L13" s="50">
        <v>185.9645</v>
      </c>
      <c r="M13" s="50">
        <v>186.1993</v>
      </c>
      <c r="N13" s="50">
        <v>186.2788</v>
      </c>
      <c r="O13" s="50">
        <v>186.4468</v>
      </c>
      <c r="P13" s="50">
        <v>186.0923</v>
      </c>
      <c r="Q13" s="50">
        <v>186.1338</v>
      </c>
      <c r="R13" s="50">
        <v>186.2707</v>
      </c>
      <c r="S13" s="50">
        <v>186.0931</v>
      </c>
      <c r="T13" s="50">
        <v>186.1316</v>
      </c>
      <c r="U13" s="50">
        <v>186.1863</v>
      </c>
      <c r="V13" s="50">
        <v>186.2827</v>
      </c>
      <c r="W13" s="50">
        <v>186.23</v>
      </c>
      <c r="X13" s="50">
        <v>186.2745</v>
      </c>
      <c r="Y13" s="53" t="str">
        <f t="shared" ref="Y13:AN13" si="3">IF(I13="","",IF(I13&gt;($C13+$D13),(I13-$C13-$D13),IF(I13&lt;($C13+$E13),(I13-$C13-$E13),"√")))</f>
        <v>√</v>
      </c>
      <c r="Z13" s="53" t="str">
        <f t="shared" si="3"/>
        <v>√</v>
      </c>
      <c r="AA13" s="53" t="str">
        <f t="shared" si="3"/>
        <v>√</v>
      </c>
      <c r="AB13" s="53" t="str">
        <f t="shared" si="3"/>
        <v>√</v>
      </c>
      <c r="AC13" s="53" t="str">
        <f t="shared" si="3"/>
        <v>√</v>
      </c>
      <c r="AD13" s="53" t="str">
        <f t="shared" si="3"/>
        <v>√</v>
      </c>
      <c r="AE13" s="53" t="str">
        <f t="shared" si="3"/>
        <v>√</v>
      </c>
      <c r="AF13" s="53" t="str">
        <f t="shared" si="3"/>
        <v>√</v>
      </c>
      <c r="AG13" s="53" t="str">
        <f t="shared" si="3"/>
        <v>√</v>
      </c>
      <c r="AH13" s="53" t="str">
        <f t="shared" si="3"/>
        <v>√</v>
      </c>
      <c r="AI13" s="53" t="str">
        <f t="shared" si="3"/>
        <v>√</v>
      </c>
      <c r="AJ13" s="53" t="str">
        <f t="shared" si="3"/>
        <v>√</v>
      </c>
      <c r="AK13" s="53" t="str">
        <f t="shared" si="3"/>
        <v>√</v>
      </c>
      <c r="AL13" s="53" t="str">
        <f t="shared" si="3"/>
        <v>√</v>
      </c>
      <c r="AM13" s="53" t="str">
        <f t="shared" si="3"/>
        <v>√</v>
      </c>
      <c r="AN13" s="53" t="str">
        <f t="shared" si="3"/>
        <v>√</v>
      </c>
    </row>
    <row r="14" ht="15" customHeight="1" spans="1:40">
      <c r="A14" s="46"/>
      <c r="B14" s="52" t="s">
        <v>32</v>
      </c>
      <c r="C14" s="48">
        <v>1.3</v>
      </c>
      <c r="D14" s="48">
        <v>0.03</v>
      </c>
      <c r="E14" s="48">
        <v>-0.03</v>
      </c>
      <c r="F14" s="49">
        <f>C14+D14</f>
        <v>1.33</v>
      </c>
      <c r="G14" s="49">
        <f>C14+E14</f>
        <v>1.27</v>
      </c>
      <c r="H14" s="48" t="s">
        <v>30</v>
      </c>
      <c r="I14" s="50">
        <v>1.2456</v>
      </c>
      <c r="J14" s="50">
        <v>1.3234</v>
      </c>
      <c r="K14" s="50">
        <v>1.2667</v>
      </c>
      <c r="L14" s="50">
        <v>1.2467</v>
      </c>
      <c r="M14" s="50">
        <v>1.2522</v>
      </c>
      <c r="N14" s="50">
        <v>1.2371</v>
      </c>
      <c r="O14" s="50">
        <v>1.2617</v>
      </c>
      <c r="P14" s="50">
        <v>1.2588</v>
      </c>
      <c r="Q14" s="50">
        <v>1.2527</v>
      </c>
      <c r="R14" s="50">
        <v>1.2463</v>
      </c>
      <c r="S14" s="50">
        <v>1.2504</v>
      </c>
      <c r="T14" s="50">
        <v>1.2558</v>
      </c>
      <c r="U14" s="50">
        <v>1.2416</v>
      </c>
      <c r="V14" s="50">
        <v>1.2576</v>
      </c>
      <c r="W14" s="50">
        <v>1.2519</v>
      </c>
      <c r="X14" s="50">
        <v>1.2367</v>
      </c>
      <c r="Y14" s="53">
        <f t="shared" ref="Y14:AN14" si="4">IF(I14="","",IF(I14&gt;($C14+$D14),(I14-$C14-$D14),IF(I14&lt;($C14+$E14),(I14-$C14-$E14),"√")))</f>
        <v>-0.0244</v>
      </c>
      <c r="Z14" s="53" t="str">
        <f t="shared" si="4"/>
        <v>√</v>
      </c>
      <c r="AA14" s="53">
        <f t="shared" si="4"/>
        <v>-0.00330000000000011</v>
      </c>
      <c r="AB14" s="53">
        <f t="shared" si="4"/>
        <v>-0.0233000000000001</v>
      </c>
      <c r="AC14" s="53">
        <f t="shared" si="4"/>
        <v>-0.0178000000000001</v>
      </c>
      <c r="AD14" s="53">
        <f t="shared" si="4"/>
        <v>-0.0329</v>
      </c>
      <c r="AE14" s="53">
        <f t="shared" si="4"/>
        <v>-0.0083</v>
      </c>
      <c r="AF14" s="53">
        <f t="shared" si="4"/>
        <v>-0.0112000000000001</v>
      </c>
      <c r="AG14" s="53">
        <f t="shared" si="4"/>
        <v>-0.0173000000000001</v>
      </c>
      <c r="AH14" s="53">
        <f t="shared" si="4"/>
        <v>-0.0237000000000001</v>
      </c>
      <c r="AI14" s="53">
        <f t="shared" si="4"/>
        <v>-0.0196000000000001</v>
      </c>
      <c r="AJ14" s="53">
        <f t="shared" si="4"/>
        <v>-0.0142</v>
      </c>
      <c r="AK14" s="53">
        <f t="shared" si="4"/>
        <v>-0.0284</v>
      </c>
      <c r="AL14" s="53">
        <f t="shared" si="4"/>
        <v>-0.0124</v>
      </c>
      <c r="AM14" s="53">
        <f t="shared" si="4"/>
        <v>-0.0181</v>
      </c>
      <c r="AN14" s="53">
        <f t="shared" si="4"/>
        <v>-0.0333000000000001</v>
      </c>
    </row>
    <row r="15" spans="1:40">
      <c r="A15" s="54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6"/>
      <c r="AK15" s="57"/>
      <c r="AL15" s="58"/>
      <c r="AM15" s="59"/>
      <c r="AN15" s="60"/>
    </row>
  </sheetData>
  <mergeCells count="31">
    <mergeCell ref="A1:AN1"/>
    <mergeCell ref="R2:W2"/>
    <mergeCell ref="X2:AC2"/>
    <mergeCell ref="AD2:AH2"/>
    <mergeCell ref="AI2:AL2"/>
    <mergeCell ref="AM2:AN2"/>
    <mergeCell ref="R3:W3"/>
    <mergeCell ref="X3:AC3"/>
    <mergeCell ref="AD3:AH3"/>
    <mergeCell ref="AI3:AL3"/>
    <mergeCell ref="AM3:AN3"/>
    <mergeCell ref="I4:X4"/>
    <mergeCell ref="Y4:AN4"/>
    <mergeCell ref="I5:X5"/>
    <mergeCell ref="Y5:AN5"/>
    <mergeCell ref="A15:AJ15"/>
    <mergeCell ref="AK15:AL15"/>
    <mergeCell ref="AM15:AN15"/>
    <mergeCell ref="A2:A3"/>
    <mergeCell ref="A4:A6"/>
    <mergeCell ref="A7:A14"/>
    <mergeCell ref="B4:B6"/>
    <mergeCell ref="C4:C6"/>
    <mergeCell ref="D4:D6"/>
    <mergeCell ref="E4:E6"/>
    <mergeCell ref="F4:F6"/>
    <mergeCell ref="G4:G6"/>
    <mergeCell ref="H4:H6"/>
    <mergeCell ref="G2:J3"/>
    <mergeCell ref="K2:Q3"/>
    <mergeCell ref="B2:F3"/>
  </mergeCells>
  <conditionalFormatting sqref="I7:X7">
    <cfRule type="cellIs" dxfId="0" priority="7" operator="notBetween">
      <formula>$F7</formula>
      <formula>$G7</formula>
    </cfRule>
  </conditionalFormatting>
  <conditionalFormatting sqref="J8:X8">
    <cfRule type="cellIs" dxfId="0" priority="4" operator="notBetween">
      <formula>$F8</formula>
      <formula>$G8</formula>
    </cfRule>
  </conditionalFormatting>
  <conditionalFormatting sqref="J13:X13">
    <cfRule type="cellIs" dxfId="0" priority="3" operator="notBetween">
      <formula>$F13</formula>
      <formula>$G13</formula>
    </cfRule>
  </conditionalFormatting>
  <conditionalFormatting sqref="J14:X14">
    <cfRule type="cellIs" dxfId="0" priority="2" operator="notBetween">
      <formula>$F14</formula>
      <formula>$G14</formula>
    </cfRule>
  </conditionalFormatting>
  <conditionalFormatting sqref="I8 I13:I14">
    <cfRule type="cellIs" dxfId="0" priority="5" operator="notBetween">
      <formula>$F8</formula>
      <formula>$G8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613-41424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2026-06-18T12:45:12Z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