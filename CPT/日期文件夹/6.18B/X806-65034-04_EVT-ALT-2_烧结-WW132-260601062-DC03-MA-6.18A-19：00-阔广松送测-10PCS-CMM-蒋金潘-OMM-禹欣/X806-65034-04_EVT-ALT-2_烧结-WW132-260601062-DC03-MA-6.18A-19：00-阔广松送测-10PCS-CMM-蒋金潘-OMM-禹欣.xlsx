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806-65034" sheetId="8" r:id="rId1"/>
  </sheets>
  <definedNames>
    <definedName name="_xlnm.Print_Area" localSheetId="0">'806-65034'!$B$1:$AE$6</definedName>
    <definedName name="_xlnm.Print_Titles" localSheetId="0">'806-65034'!$1:$6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<sst xmlns="http://schemas.openxmlformats.org/spreadsheetml/2006/main" count="48" uniqueCount="39">
  <si>
    <t>安徽中耀智能科技有限公司首件尺寸报告</t>
  </si>
  <si>
    <t>料号</t>
  </si>
  <si>
    <t>806-65034</t>
  </si>
  <si>
    <t>工单号</t>
  </si>
  <si>
    <t>WW132-260601062</t>
  </si>
  <si>
    <t>工站</t>
  </si>
  <si>
    <t>烧结炉号</t>
  </si>
  <si>
    <t>量测机台号</t>
  </si>
  <si>
    <t>测量人员</t>
  </si>
  <si>
    <t>审核</t>
  </si>
  <si>
    <t>烧结</t>
  </si>
  <si>
    <t>DC03</t>
  </si>
  <si>
    <t>CMM4#/OMM5#</t>
  </si>
  <si>
    <t>蒋金潘/禹欣</t>
  </si>
  <si>
    <t>陈跃进</t>
  </si>
  <si>
    <t>日期</t>
  </si>
  <si>
    <t>尺寸编号</t>
  </si>
  <si>
    <t>SPC</t>
  </si>
  <si>
    <t>标准值</t>
  </si>
  <si>
    <t>上公差</t>
  </si>
  <si>
    <t>下公差</t>
  </si>
  <si>
    <t>上限</t>
  </si>
  <si>
    <t>下限</t>
  </si>
  <si>
    <t>检测
工具</t>
  </si>
  <si>
    <t>检测结果</t>
  </si>
  <si>
    <t>量测分析</t>
  </si>
  <si>
    <t>测量值</t>
  </si>
  <si>
    <t>判断（√ OR DEV)</t>
  </si>
  <si>
    <t>复测1</t>
  </si>
  <si>
    <t>FAI14</t>
  </si>
  <si>
    <t>N</t>
  </si>
  <si>
    <t>OMM</t>
  </si>
  <si>
    <t>FAI20</t>
  </si>
  <si>
    <t>CMM</t>
  </si>
  <si>
    <t>FAI22</t>
  </si>
  <si>
    <t>FAI24</t>
  </si>
  <si>
    <t>X</t>
  </si>
  <si>
    <t>FAI4</t>
  </si>
  <si>
    <t>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</si>
</sst>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h:mm;@"/>
    <numFmt numFmtId="177" formatCode="0.000"/>
  </numFmts>
  <fonts count="35">
    <font>
      <sz val="11"/>
      <color theme="1"/>
      <name val="等线"/>
      <charset val="134"/>
      <scheme val="minor"/>
    </font>
    <font>
      <b/>
      <sz val="26"/>
      <name val="宋体"/>
      <charset val="134"/>
    </font>
    <font>
      <b/>
      <sz val="18"/>
      <name val="宋体"/>
      <charset val="134"/>
    </font>
    <font>
      <b/>
      <sz val="12"/>
      <name val="宋体"/>
      <charset val="134"/>
    </font>
    <font>
      <b/>
      <sz val="16"/>
      <name val="宋体"/>
      <charset val="134"/>
    </font>
    <font>
      <b/>
      <sz val="9"/>
      <name val="宋体"/>
      <charset val="134"/>
    </font>
    <font>
      <b/>
      <sz val="11"/>
      <name val="宋体"/>
      <charset val="134"/>
    </font>
    <font>
      <b/>
      <sz val="9"/>
      <name val="Arial"/>
      <charset val="134"/>
    </font>
    <font>
      <b/>
      <sz val="11"/>
      <name val="Arial"/>
      <charset val="134"/>
    </font>
    <font>
      <sz val="10"/>
      <color theme="1"/>
      <name val="等线"/>
      <charset val="134"/>
      <scheme val="minor"/>
    </font>
    <font>
      <sz val="10"/>
      <color theme="1"/>
      <name val="Arial"/>
      <charset val="134"/>
    </font>
    <font>
      <sz val="10"/>
      <name val="Arial"/>
      <charset val="134"/>
    </font>
    <font>
      <sz val="8"/>
      <name val="Arial"/>
      <charset val="134"/>
    </font>
    <font>
      <sz val="10"/>
      <color theme="1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2"/>
      <name val="新細明體"/>
      <charset val="134"/>
    </font>
    <font>
      <sz val="12"/>
      <color indexed="8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7" tint="0.79973754081850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8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4" borderId="14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1" fillId="0" borderId="16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5" borderId="17" applyNumberFormat="0" applyAlignment="0" applyProtection="0">
      <alignment vertical="center"/>
    </xf>
    <xf numFmtId="0" fontId="23" fillId="6" borderId="18" applyNumberFormat="0" applyAlignment="0" applyProtection="0">
      <alignment vertical="center"/>
    </xf>
    <xf numFmtId="0" fontId="24" fillId="6" borderId="17" applyNumberFormat="0" applyAlignment="0" applyProtection="0">
      <alignment vertical="center"/>
    </xf>
    <xf numFmtId="0" fontId="25" fillId="7" borderId="19" applyNumberFormat="0" applyAlignment="0" applyProtection="0">
      <alignment vertical="center"/>
    </xf>
    <xf numFmtId="0" fontId="26" fillId="0" borderId="20" applyNumberFormat="0" applyFill="0" applyAlignment="0" applyProtection="0">
      <alignment vertical="center"/>
    </xf>
    <xf numFmtId="0" fontId="27" fillId="0" borderId="21" applyNumberFormat="0" applyFill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3" fillId="0" borderId="0"/>
    <xf numFmtId="0" fontId="33" fillId="0" borderId="0"/>
    <xf numFmtId="0" fontId="33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4" fillId="0" borderId="0">
      <alignment vertical="center"/>
    </xf>
  </cellStyleXfs>
  <cellXfs count="56">
    <xf numFmtId="0" fontId="0" fillId="0" borderId="0" xfId="0">
      <alignment vertical="center"/>
    </xf>
    <xf numFmtId="0" fontId="1" fillId="0" borderId="1" xfId="60" applyFont="1" applyBorder="1" applyAlignment="1" applyProtection="1">
      <alignment horizontal="center" vertical="center"/>
      <protection locked="0"/>
    </xf>
    <xf numFmtId="0" fontId="2" fillId="0" borderId="1" xfId="60" applyFont="1" applyBorder="1" applyAlignment="1" applyProtection="1">
      <alignment horizontal="center" vertical="center"/>
      <protection locked="0"/>
    </xf>
    <xf numFmtId="0" fontId="3" fillId="0" borderId="2" xfId="60" applyFont="1" applyBorder="1" applyAlignment="1" applyProtection="1">
      <alignment horizontal="center" vertical="center"/>
      <protection locked="0"/>
    </xf>
    <xf numFmtId="0" fontId="3" fillId="0" borderId="3" xfId="60" applyFont="1" applyBorder="1" applyAlignment="1" applyProtection="1">
      <alignment horizontal="center" vertical="center"/>
      <protection locked="0"/>
    </xf>
    <xf numFmtId="0" fontId="3" fillId="0" borderId="4" xfId="60" applyFont="1" applyBorder="1" applyAlignment="1" applyProtection="1">
      <alignment horizontal="center" vertical="center"/>
      <protection locked="0"/>
    </xf>
    <xf numFmtId="49" fontId="2" fillId="0" borderId="2" xfId="60" applyNumberFormat="1" applyFont="1" applyBorder="1" applyAlignment="1">
      <alignment horizontal="center" vertical="center"/>
    </xf>
    <xf numFmtId="49" fontId="2" fillId="0" borderId="3" xfId="60" applyNumberFormat="1" applyFont="1" applyBorder="1" applyAlignment="1">
      <alignment horizontal="center" vertical="center"/>
    </xf>
    <xf numFmtId="49" fontId="2" fillId="0" borderId="4" xfId="60" applyNumberFormat="1" applyFont="1" applyBorder="1" applyAlignment="1">
      <alignment horizontal="center" vertical="center"/>
    </xf>
    <xf numFmtId="49" fontId="3" fillId="0" borderId="1" xfId="60" applyNumberFormat="1" applyFont="1" applyBorder="1" applyAlignment="1">
      <alignment horizontal="center" vertical="center"/>
    </xf>
    <xf numFmtId="49" fontId="3" fillId="0" borderId="5" xfId="60" applyNumberFormat="1" applyFont="1" applyBorder="1" applyAlignment="1">
      <alignment horizontal="center" vertical="center"/>
    </xf>
    <xf numFmtId="49" fontId="3" fillId="0" borderId="6" xfId="60" applyNumberFormat="1" applyFont="1" applyBorder="1" applyAlignment="1">
      <alignment horizontal="center" vertical="center"/>
    </xf>
    <xf numFmtId="49" fontId="3" fillId="0" borderId="7" xfId="60" applyNumberFormat="1" applyFont="1" applyBorder="1" applyAlignment="1">
      <alignment horizontal="center" vertical="center"/>
    </xf>
    <xf numFmtId="49" fontId="4" fillId="0" borderId="5" xfId="60" applyNumberFormat="1" applyFont="1" applyBorder="1" applyAlignment="1" applyProtection="1">
      <alignment horizontal="center" vertical="center"/>
      <protection locked="0"/>
    </xf>
    <xf numFmtId="49" fontId="4" fillId="0" borderId="6" xfId="60" applyNumberFormat="1" applyFont="1" applyBorder="1" applyAlignment="1" applyProtection="1">
      <alignment horizontal="center" vertical="center"/>
      <protection locked="0"/>
    </xf>
    <xf numFmtId="49" fontId="4" fillId="0" borderId="7" xfId="60" applyNumberFormat="1" applyFont="1" applyBorder="1" applyAlignment="1" applyProtection="1">
      <alignment horizontal="center" vertical="center"/>
      <protection locked="0"/>
    </xf>
    <xf numFmtId="49" fontId="3" fillId="0" borderId="5" xfId="79" applyNumberFormat="1" applyFont="1" applyBorder="1" applyAlignment="1">
      <alignment horizontal="center" vertical="center"/>
    </xf>
    <xf numFmtId="49" fontId="3" fillId="0" borderId="6" xfId="79" applyNumberFormat="1" applyFont="1" applyBorder="1" applyAlignment="1">
      <alignment horizontal="center" vertical="center"/>
    </xf>
    <xf numFmtId="49" fontId="3" fillId="0" borderId="7" xfId="79" applyNumberFormat="1" applyFont="1" applyBorder="1" applyAlignment="1">
      <alignment horizontal="center" vertical="center"/>
    </xf>
    <xf numFmtId="0" fontId="3" fillId="0" borderId="8" xfId="60" applyFont="1" applyBorder="1" applyAlignment="1" applyProtection="1">
      <alignment horizontal="center" vertical="center"/>
      <protection locked="0"/>
    </xf>
    <xf numFmtId="0" fontId="3" fillId="0" borderId="9" xfId="60" applyFont="1" applyBorder="1" applyAlignment="1" applyProtection="1">
      <alignment horizontal="center" vertical="center"/>
      <protection locked="0"/>
    </xf>
    <xf numFmtId="0" fontId="3" fillId="0" borderId="10" xfId="60" applyFont="1" applyBorder="1" applyAlignment="1" applyProtection="1">
      <alignment horizontal="center" vertical="center"/>
      <protection locked="0"/>
    </xf>
    <xf numFmtId="49" fontId="2" fillId="0" borderId="8" xfId="60" applyNumberFormat="1" applyFont="1" applyBorder="1" applyAlignment="1">
      <alignment horizontal="center" vertical="center"/>
    </xf>
    <xf numFmtId="49" fontId="2" fillId="0" borderId="9" xfId="60" applyNumberFormat="1" applyFont="1" applyBorder="1" applyAlignment="1">
      <alignment horizontal="center" vertical="center"/>
    </xf>
    <xf numFmtId="49" fontId="2" fillId="0" borderId="10" xfId="60" applyNumberFormat="1" applyFont="1" applyBorder="1" applyAlignment="1">
      <alignment horizontal="center" vertical="center"/>
    </xf>
    <xf numFmtId="0" fontId="3" fillId="0" borderId="5" xfId="60" applyFont="1" applyBorder="1" applyAlignment="1" applyProtection="1">
      <alignment horizontal="center" vertical="center"/>
      <protection locked="0"/>
    </xf>
    <xf numFmtId="0" fontId="3" fillId="0" borderId="6" xfId="60" applyFont="1" applyBorder="1" applyAlignment="1" applyProtection="1">
      <alignment horizontal="center" vertical="center"/>
      <protection locked="0"/>
    </xf>
    <xf numFmtId="0" fontId="3" fillId="0" borderId="7" xfId="60" applyFont="1" applyBorder="1" applyAlignment="1" applyProtection="1">
      <alignment horizontal="center" vertical="center"/>
      <protection locked="0"/>
    </xf>
    <xf numFmtId="176" fontId="3" fillId="0" borderId="5" xfId="79" applyNumberFormat="1" applyFont="1" applyBorder="1" applyAlignment="1">
      <alignment horizontal="center" vertical="center"/>
    </xf>
    <xf numFmtId="176" fontId="3" fillId="0" borderId="6" xfId="79" applyNumberFormat="1" applyFont="1" applyBorder="1" applyAlignment="1">
      <alignment horizontal="center" vertical="center"/>
    </xf>
    <xf numFmtId="176" fontId="3" fillId="0" borderId="7" xfId="79" applyNumberFormat="1" applyFont="1" applyBorder="1" applyAlignment="1">
      <alignment horizontal="center" vertical="center"/>
    </xf>
    <xf numFmtId="49" fontId="5" fillId="0" borderId="1" xfId="60" applyNumberFormat="1" applyFont="1" applyBorder="1" applyAlignment="1" applyProtection="1">
      <alignment horizontal="center" vertical="center" wrapText="1"/>
      <protection locked="0"/>
    </xf>
    <xf numFmtId="49" fontId="5" fillId="0" borderId="11" xfId="60" applyNumberFormat="1" applyFont="1" applyBorder="1" applyAlignment="1" applyProtection="1">
      <alignment horizontal="center" vertical="center" wrapText="1"/>
      <protection locked="0"/>
    </xf>
    <xf numFmtId="0" fontId="5" fillId="0" borderId="1" xfId="60" applyFont="1" applyBorder="1" applyAlignment="1" applyProtection="1">
      <alignment horizontal="center" vertical="center"/>
      <protection locked="0"/>
    </xf>
    <xf numFmtId="177" fontId="5" fillId="0" borderId="1" xfId="60" applyNumberFormat="1" applyFont="1" applyBorder="1" applyAlignment="1">
      <alignment horizontal="center" vertical="center"/>
    </xf>
    <xf numFmtId="177" fontId="5" fillId="0" borderId="1" xfId="60" applyNumberFormat="1" applyFont="1" applyBorder="1" applyAlignment="1" applyProtection="1">
      <alignment horizontal="center" vertical="center"/>
      <protection locked="0"/>
    </xf>
    <xf numFmtId="0" fontId="5" fillId="0" borderId="1" xfId="60" applyFont="1" applyBorder="1" applyAlignment="1" applyProtection="1">
      <alignment horizontal="center" vertical="center" wrapText="1"/>
      <protection locked="0"/>
    </xf>
    <xf numFmtId="0" fontId="6" fillId="2" borderId="1" xfId="60" applyFont="1" applyFill="1" applyBorder="1" applyAlignment="1" applyProtection="1">
      <alignment horizontal="center" vertical="center"/>
      <protection locked="0"/>
    </xf>
    <xf numFmtId="0" fontId="6" fillId="3" borderId="5" xfId="60" applyFont="1" applyFill="1" applyBorder="1" applyAlignment="1">
      <alignment horizontal="center" vertical="center"/>
    </xf>
    <xf numFmtId="0" fontId="6" fillId="3" borderId="6" xfId="60" applyFont="1" applyFill="1" applyBorder="1" applyAlignment="1">
      <alignment horizontal="center" vertical="center"/>
    </xf>
    <xf numFmtId="0" fontId="6" fillId="3" borderId="7" xfId="60" applyFont="1" applyFill="1" applyBorder="1" applyAlignment="1">
      <alignment horizontal="center" vertical="center"/>
    </xf>
    <xf numFmtId="49" fontId="7" fillId="0" borderId="1" xfId="60" applyNumberFormat="1" applyFont="1" applyBorder="1" applyAlignment="1" applyProtection="1">
      <alignment horizontal="center" vertical="center" wrapText="1"/>
      <protection locked="0"/>
    </xf>
    <xf numFmtId="49" fontId="7" fillId="0" borderId="1" xfId="60" applyNumberFormat="1" applyFont="1" applyBorder="1" applyAlignment="1" applyProtection="1">
      <alignment horizontal="center" vertical="center"/>
      <protection locked="0"/>
    </xf>
    <xf numFmtId="49" fontId="5" fillId="0" borderId="12" xfId="60" applyNumberFormat="1" applyFont="1" applyBorder="1" applyAlignment="1" applyProtection="1">
      <alignment horizontal="center" vertical="center" wrapText="1"/>
      <protection locked="0"/>
    </xf>
    <xf numFmtId="0" fontId="8" fillId="2" borderId="1" xfId="60" applyFont="1" applyFill="1" applyBorder="1" applyAlignment="1" applyProtection="1">
      <alignment horizontal="center" vertical="center"/>
      <protection locked="0"/>
    </xf>
    <xf numFmtId="0" fontId="6" fillId="3" borderId="1" xfId="60" applyFont="1" applyFill="1" applyBorder="1" applyAlignment="1">
      <alignment horizontal="center" vertical="center"/>
    </xf>
    <xf numFmtId="49" fontId="5" fillId="0" borderId="13" xfId="60" applyNumberFormat="1" applyFont="1" applyBorder="1" applyAlignment="1" applyProtection="1">
      <alignment horizontal="center" vertical="center" wrapText="1"/>
      <protection locked="0"/>
    </xf>
    <xf numFmtId="0" fontId="8" fillId="3" borderId="1" xfId="60" applyFont="1" applyFill="1" applyBorder="1" applyAlignment="1">
      <alignment horizontal="center" vertical="center"/>
    </xf>
    <xf numFmtId="14" fontId="9" fillId="0" borderId="12" xfId="0" applyNumberFormat="1" applyFont="1" applyBorder="1" applyAlignment="1">
      <alignment horizontal="center" vertical="center"/>
    </xf>
    <xf numFmtId="0" fontId="10" fillId="0" borderId="7" xfId="53" applyFont="1" applyBorder="1" applyAlignment="1">
      <alignment horizontal="center" vertical="center"/>
    </xf>
    <xf numFmtId="0" fontId="11" fillId="0" borderId="1" xfId="59" applyFont="1" applyBorder="1" applyAlignment="1">
      <alignment horizontal="center" vertical="center"/>
    </xf>
    <xf numFmtId="177" fontId="10" fillId="2" borderId="1" xfId="61" applyNumberFormat="1" applyFont="1" applyFill="1" applyBorder="1" applyAlignment="1">
      <alignment horizontal="center" vertical="center"/>
    </xf>
    <xf numFmtId="0" fontId="12" fillId="3" borderId="1" xfId="60" applyFont="1" applyFill="1" applyBorder="1" applyAlignment="1">
      <alignment horizontal="center" vertical="center"/>
    </xf>
    <xf numFmtId="0" fontId="13" fillId="0" borderId="7" xfId="53" applyFont="1" applyBorder="1" applyAlignment="1">
      <alignment horizontal="center" vertical="center"/>
    </xf>
    <xf numFmtId="177" fontId="10" fillId="2" borderId="1" xfId="61" applyNumberFormat="1" applyFont="1" applyFill="1" applyBorder="1" applyAlignment="1">
      <alignment horizontal="center" vertical="center" wrapText="1"/>
    </xf>
    <xf numFmtId="14" fontId="9" fillId="0" borderId="13" xfId="0" applyNumberFormat="1" applyFont="1" applyBorder="1" applyAlignment="1">
      <alignment horizontal="center" vertical="center"/>
    </xf>
  </cellXfs>
  <cellStyles count="8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" xfId="49"/>
    <cellStyle name="常规 11" xfId="50"/>
    <cellStyle name="常规 12" xfId="51"/>
    <cellStyle name="常规 13" xfId="52"/>
    <cellStyle name="常规 14" xfId="53"/>
    <cellStyle name="常规 15" xfId="54"/>
    <cellStyle name="常规 16" xfId="55"/>
    <cellStyle name="常规 17" xfId="56"/>
    <cellStyle name="常规 18" xfId="57"/>
    <cellStyle name="常规 19" xfId="58"/>
    <cellStyle name="常规 2" xfId="59"/>
    <cellStyle name="常规 2 2" xfId="60"/>
    <cellStyle name="常规 2 2 2 4" xfId="61"/>
    <cellStyle name="常规 20" xfId="62"/>
    <cellStyle name="常规 21" xfId="63"/>
    <cellStyle name="常规 22" xfId="64"/>
    <cellStyle name="常规 23" xfId="65"/>
    <cellStyle name="常规 24" xfId="66"/>
    <cellStyle name="常规 25" xfId="67"/>
    <cellStyle name="常规 26" xfId="68"/>
    <cellStyle name="常规 27" xfId="69"/>
    <cellStyle name="常规 28" xfId="70"/>
    <cellStyle name="常规 29" xfId="71"/>
    <cellStyle name="常规 3" xfId="72"/>
    <cellStyle name="常规 4" xfId="73"/>
    <cellStyle name="常规 5" xfId="74"/>
    <cellStyle name="常规 6" xfId="75"/>
    <cellStyle name="常规 7" xfId="76"/>
    <cellStyle name="常规 8" xfId="77"/>
    <cellStyle name="常规 9" xfId="78"/>
    <cellStyle name="普通 2" xfId="79"/>
  </cellStyles>
  <dxfs count="1">
    <dxf>
      <font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89648</xdr:rowOff>
    </xdr:from>
    <xdr:to>
      <xdr:col>2</xdr:col>
      <xdr:colOff>262255</xdr:colOff>
      <xdr:row>0</xdr:row>
      <xdr:rowOff>775448</xdr:rowOff>
    </xdr:to>
    <xdr:pic>
      <xdr:nvPicPr>
        <xdr:cNvPr id="3" name="Picture 1" descr="D:\Documents\WXWork\1688851116443126\Cache\Image\2022-09\企业微信截图_16637321137590.png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0" y="89535"/>
          <a:ext cx="1675765" cy="685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17"/>
  <sheetViews>
    <sheetView tabSelected="1" topLeftCell="R1" workbookViewId="0">
      <selection activeCell="AJ3" sqref="AJ3:AM3"/>
    </sheetView>
  </sheetViews>
  <sheetFormatPr defaultColWidth="9" defaultRowHeight="14.25"/>
  <cols>
    <col min="1" max="41" width="9.275" customWidth="1"/>
  </cols>
  <sheetData>
    <row r="1" ht="70.5" customHeight="1" spans="1:4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</row>
    <row r="2" ht="15" customHeight="1" spans="1:41">
      <c r="A2" s="2" t="s">
        <v>1</v>
      </c>
      <c r="B2" s="3" t="s">
        <v>2</v>
      </c>
      <c r="C2" s="4"/>
      <c r="D2" s="4"/>
      <c r="E2" s="4"/>
      <c r="F2" s="4"/>
      <c r="G2" s="5"/>
      <c r="H2" s="6" t="s">
        <v>3</v>
      </c>
      <c r="I2" s="7"/>
      <c r="J2" s="7"/>
      <c r="K2" s="8"/>
      <c r="L2" s="9" t="s">
        <v>4</v>
      </c>
      <c r="M2" s="9"/>
      <c r="N2" s="9"/>
      <c r="O2" s="9"/>
      <c r="P2" s="9"/>
      <c r="Q2" s="9"/>
      <c r="R2" s="9"/>
      <c r="S2" s="10" t="s">
        <v>5</v>
      </c>
      <c r="T2" s="11"/>
      <c r="U2" s="11"/>
      <c r="V2" s="11"/>
      <c r="W2" s="11"/>
      <c r="X2" s="12"/>
      <c r="Y2" s="13" t="s">
        <v>6</v>
      </c>
      <c r="Z2" s="14"/>
      <c r="AA2" s="14"/>
      <c r="AB2" s="14"/>
      <c r="AC2" s="14"/>
      <c r="AD2" s="15"/>
      <c r="AE2" s="13" t="s">
        <v>7</v>
      </c>
      <c r="AF2" s="14"/>
      <c r="AG2" s="14"/>
      <c r="AH2" s="14"/>
      <c r="AI2" s="15"/>
      <c r="AJ2" s="16" t="s">
        <v>8</v>
      </c>
      <c r="AK2" s="17"/>
      <c r="AL2" s="17"/>
      <c r="AM2" s="18"/>
      <c r="AN2" s="16" t="s">
        <v>9</v>
      </c>
      <c r="AO2" s="18"/>
    </row>
    <row r="3" ht="15" customHeight="1" spans="1:41">
      <c r="A3" s="2"/>
      <c r="B3" s="19"/>
      <c r="C3" s="20"/>
      <c r="D3" s="20"/>
      <c r="E3" s="20"/>
      <c r="F3" s="20"/>
      <c r="G3" s="21"/>
      <c r="H3" s="22"/>
      <c r="I3" s="23"/>
      <c r="J3" s="23"/>
      <c r="K3" s="24"/>
      <c r="L3" s="9"/>
      <c r="M3" s="9"/>
      <c r="N3" s="9"/>
      <c r="O3" s="9"/>
      <c r="P3" s="9"/>
      <c r="Q3" s="9"/>
      <c r="R3" s="9"/>
      <c r="S3" s="25" t="s">
        <v>10</v>
      </c>
      <c r="T3" s="26"/>
      <c r="U3" s="26"/>
      <c r="V3" s="26"/>
      <c r="W3" s="26"/>
      <c r="X3" s="27"/>
      <c r="Y3" s="13" t="s">
        <v>11</v>
      </c>
      <c r="Z3" s="14"/>
      <c r="AA3" s="14"/>
      <c r="AB3" s="14"/>
      <c r="AC3" s="14"/>
      <c r="AD3" s="15"/>
      <c r="AE3" s="28" t="s">
        <v>12</v>
      </c>
      <c r="AF3" s="29"/>
      <c r="AG3" s="29"/>
      <c r="AH3" s="29"/>
      <c r="AI3" s="30"/>
      <c r="AJ3" s="28" t="s">
        <v>13</v>
      </c>
      <c r="AK3" s="29"/>
      <c r="AL3" s="29"/>
      <c r="AM3" s="30"/>
      <c r="AN3" s="28" t="s">
        <v>14</v>
      </c>
      <c r="AO3" s="30"/>
    </row>
    <row r="4" customHeight="1" spans="1:41">
      <c r="A4" s="31" t="s">
        <v>15</v>
      </c>
      <c r="B4" s="31" t="s">
        <v>16</v>
      </c>
      <c r="C4" s="32" t="s">
        <v>17</v>
      </c>
      <c r="D4" s="33" t="s">
        <v>18</v>
      </c>
      <c r="E4" s="34" t="s">
        <v>19</v>
      </c>
      <c r="F4" s="35" t="s">
        <v>20</v>
      </c>
      <c r="G4" s="35" t="s">
        <v>21</v>
      </c>
      <c r="H4" s="35" t="s">
        <v>22</v>
      </c>
      <c r="I4" s="36" t="s">
        <v>23</v>
      </c>
      <c r="J4" s="37" t="s">
        <v>24</v>
      </c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8" t="s">
        <v>25</v>
      </c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40"/>
    </row>
    <row r="5" ht="13.5" customHeight="1" spans="1:41">
      <c r="A5" s="41"/>
      <c r="B5" s="42"/>
      <c r="C5" s="43"/>
      <c r="D5" s="33"/>
      <c r="E5" s="34"/>
      <c r="F5" s="35"/>
      <c r="G5" s="35"/>
      <c r="H5" s="35"/>
      <c r="I5" s="33"/>
      <c r="J5" s="44" t="s">
        <v>26</v>
      </c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5" t="s">
        <v>27</v>
      </c>
      <c r="AA5" s="45"/>
      <c r="AB5" s="45"/>
      <c r="AC5" s="45"/>
      <c r="AD5" s="45"/>
      <c r="AE5" s="45"/>
      <c r="AF5" s="45"/>
      <c r="AG5" s="45"/>
      <c r="AH5" s="45"/>
      <c r="AI5" s="45"/>
      <c r="AJ5" s="45"/>
      <c r="AK5" s="45"/>
      <c r="AL5" s="45"/>
      <c r="AM5" s="45"/>
      <c r="AN5" s="45"/>
      <c r="AO5" s="45"/>
    </row>
    <row r="6" customHeight="1" spans="1:41">
      <c r="A6" s="41"/>
      <c r="B6" s="42"/>
      <c r="C6" s="46"/>
      <c r="D6" s="33"/>
      <c r="E6" s="34"/>
      <c r="F6" s="35"/>
      <c r="G6" s="35"/>
      <c r="H6" s="35"/>
      <c r="I6" s="33"/>
      <c r="J6" s="44">
        <v>1</v>
      </c>
      <c r="K6" s="44">
        <v>2</v>
      </c>
      <c r="L6" s="44">
        <v>3</v>
      </c>
      <c r="M6" s="44">
        <v>4</v>
      </c>
      <c r="N6" s="44">
        <v>5</v>
      </c>
      <c r="O6" s="44">
        <v>6</v>
      </c>
      <c r="P6" s="44">
        <v>7</v>
      </c>
      <c r="Q6" s="44">
        <v>8</v>
      </c>
      <c r="R6" s="44">
        <v>9</v>
      </c>
      <c r="S6" s="44">
        <v>10</v>
      </c>
      <c r="T6" s="44" t="s">
        <v>28</v>
      </c>
      <c r="U6" s="44"/>
      <c r="V6" s="44"/>
      <c r="W6" s="37"/>
      <c r="X6" s="44"/>
      <c r="Y6" s="44"/>
      <c r="Z6" s="47">
        <f t="shared" ref="Z6:AO6" si="0">J6</f>
        <v>1</v>
      </c>
      <c r="AA6" s="47">
        <f t="shared" si="0"/>
        <v>2</v>
      </c>
      <c r="AB6" s="47">
        <f t="shared" si="0"/>
        <v>3</v>
      </c>
      <c r="AC6" s="47">
        <f t="shared" si="0"/>
        <v>4</v>
      </c>
      <c r="AD6" s="47">
        <f t="shared" si="0"/>
        <v>5</v>
      </c>
      <c r="AE6" s="47">
        <f t="shared" si="0"/>
        <v>6</v>
      </c>
      <c r="AF6" s="47">
        <f t="shared" si="0"/>
        <v>7</v>
      </c>
      <c r="AG6" s="47">
        <f t="shared" si="0"/>
        <v>8</v>
      </c>
      <c r="AH6" s="47">
        <f t="shared" si="0"/>
        <v>9</v>
      </c>
      <c r="AI6" s="47">
        <f t="shared" si="0"/>
        <v>10</v>
      </c>
      <c r="AJ6" s="47" t="str">
        <f t="shared" si="0"/>
        <v>复测1</v>
      </c>
      <c r="AK6" s="47">
        <f t="shared" si="0"/>
        <v>0</v>
      </c>
      <c r="AL6" s="47">
        <f t="shared" si="0"/>
        <v>0</v>
      </c>
      <c r="AM6" s="47">
        <f t="shared" si="0"/>
        <v>0</v>
      </c>
      <c r="AN6" s="47">
        <f t="shared" si="0"/>
        <v>0</v>
      </c>
      <c r="AO6" s="47">
        <f t="shared" si="0"/>
        <v>0</v>
      </c>
    </row>
    <row r="7" ht="15" customHeight="1" spans="1:41">
      <c r="A7" s="48">
        <v>46191</v>
      </c>
      <c r="B7" s="49" t="s">
        <v>29</v>
      </c>
      <c r="C7" s="49" t="s">
        <v>30</v>
      </c>
      <c r="D7" s="50">
        <v>0.5</v>
      </c>
      <c r="E7" s="50">
        <v>0.03</v>
      </c>
      <c r="F7" s="50">
        <v>-0.03</v>
      </c>
      <c r="G7" s="50">
        <f>D7+E7</f>
        <v>0.53</v>
      </c>
      <c r="H7" s="50">
        <f>D7+F7</f>
        <v>0.47</v>
      </c>
      <c r="I7" s="50" t="s">
        <v>31</v>
      </c>
      <c r="J7" s="51">
        <v>0.4834</v>
      </c>
      <c r="K7" s="51">
        <v>0.5001</v>
      </c>
      <c r="L7" s="51">
        <v>0.4962</v>
      </c>
      <c r="M7" s="51">
        <v>0.4875</v>
      </c>
      <c r="N7" s="51">
        <v>0.4847</v>
      </c>
      <c r="O7" s="51">
        <v>0.4804</v>
      </c>
      <c r="P7" s="51">
        <v>0.4971</v>
      </c>
      <c r="Q7" s="51">
        <v>0.4996</v>
      </c>
      <c r="R7" s="51">
        <v>0.4993</v>
      </c>
      <c r="S7" s="51">
        <v>0.4955</v>
      </c>
      <c r="T7" s="51"/>
      <c r="U7" s="51"/>
      <c r="V7" s="51"/>
      <c r="W7" s="51"/>
      <c r="X7" s="51"/>
      <c r="Y7" s="51"/>
      <c r="Z7" s="52" t="str">
        <f t="shared" ref="Z7:AO7" si="1">IF(J7="","",IF(J7&gt;($D7+$E7),(J7-$D7-$E7),IF(J7&lt;($D7+$F7),(J7-$D7-$F7),"√")))</f>
        <v>√</v>
      </c>
      <c r="AA7" s="52" t="str">
        <f t="shared" si="1"/>
        <v>√</v>
      </c>
      <c r="AB7" s="52" t="str">
        <f t="shared" si="1"/>
        <v>√</v>
      </c>
      <c r="AC7" s="52" t="str">
        <f t="shared" si="1"/>
        <v>√</v>
      </c>
      <c r="AD7" s="52" t="str">
        <f t="shared" si="1"/>
        <v>√</v>
      </c>
      <c r="AE7" s="52" t="str">
        <f t="shared" si="1"/>
        <v>√</v>
      </c>
      <c r="AF7" s="52" t="str">
        <f t="shared" si="1"/>
        <v>√</v>
      </c>
      <c r="AG7" s="52" t="str">
        <f t="shared" si="1"/>
        <v>√</v>
      </c>
      <c r="AH7" s="52" t="str">
        <f t="shared" si="1"/>
        <v>√</v>
      </c>
      <c r="AI7" s="52" t="str">
        <f t="shared" si="1"/>
        <v>√</v>
      </c>
      <c r="AJ7" s="52" t="str">
        <f t="shared" si="1"/>
        <v/>
      </c>
      <c r="AK7" s="52" t="str">
        <f t="shared" si="1"/>
        <v/>
      </c>
      <c r="AL7" s="52" t="str">
        <f t="shared" si="1"/>
        <v/>
      </c>
      <c r="AM7" s="52" t="str">
        <f t="shared" si="1"/>
        <v/>
      </c>
      <c r="AN7" s="52" t="str">
        <f t="shared" si="1"/>
        <v/>
      </c>
      <c r="AO7" s="52" t="str">
        <f t="shared" si="1"/>
        <v/>
      </c>
    </row>
    <row r="8" ht="15" customHeight="1" spans="1:41">
      <c r="A8" s="48"/>
      <c r="B8" s="49" t="s">
        <v>32</v>
      </c>
      <c r="C8" s="53"/>
      <c r="D8" s="50">
        <v>8.2</v>
      </c>
      <c r="E8" s="50">
        <v>0.05</v>
      </c>
      <c r="F8" s="50">
        <v>-0.05</v>
      </c>
      <c r="G8" s="50">
        <f>D8+E8</f>
        <v>8.25</v>
      </c>
      <c r="H8" s="50">
        <f>D8+F8</f>
        <v>8.15</v>
      </c>
      <c r="I8" s="50" t="s">
        <v>33</v>
      </c>
      <c r="J8" s="51">
        <v>8.1386</v>
      </c>
      <c r="K8" s="51">
        <v>8.1393</v>
      </c>
      <c r="L8" s="51">
        <v>8.1435</v>
      </c>
      <c r="M8" s="51">
        <v>8.1449</v>
      </c>
      <c r="N8" s="51">
        <v>8.1451</v>
      </c>
      <c r="O8" s="51">
        <v>8.1412</v>
      </c>
      <c r="P8" s="51">
        <v>8.1476</v>
      </c>
      <c r="Q8" s="51">
        <v>8.1491</v>
      </c>
      <c r="R8" s="51">
        <v>8.1453</v>
      </c>
      <c r="S8" s="51">
        <v>8.1436</v>
      </c>
      <c r="T8" s="51">
        <v>8.1381</v>
      </c>
      <c r="U8" s="51"/>
      <c r="V8" s="51"/>
      <c r="W8" s="51"/>
      <c r="X8" s="51"/>
      <c r="Y8" s="51"/>
      <c r="Z8" s="52">
        <f t="shared" ref="Z8:AO8" si="2">IF(J8="","",IF(J8&gt;($D8+$E8),(J8-$D8-$E8),IF(J8&lt;($D8+$F8),(J8-$D8-$F8),"√")))</f>
        <v>-0.011399999999999</v>
      </c>
      <c r="AA8" s="52">
        <f t="shared" si="2"/>
        <v>-0.0106999999999989</v>
      </c>
      <c r="AB8" s="52">
        <f t="shared" si="2"/>
        <v>-0.00649999999999977</v>
      </c>
      <c r="AC8" s="52">
        <f t="shared" si="2"/>
        <v>-0.00509999999999948</v>
      </c>
      <c r="AD8" s="52">
        <f t="shared" si="2"/>
        <v>-0.00489999999999995</v>
      </c>
      <c r="AE8" s="52">
        <f t="shared" si="2"/>
        <v>-0.00879999999999974</v>
      </c>
      <c r="AF8" s="52">
        <f t="shared" si="2"/>
        <v>-0.00239999999999867</v>
      </c>
      <c r="AG8" s="52">
        <f t="shared" si="2"/>
        <v>-0.00089999999999861</v>
      </c>
      <c r="AH8" s="52">
        <f t="shared" si="2"/>
        <v>-0.00469999999999864</v>
      </c>
      <c r="AI8" s="52">
        <f t="shared" si="2"/>
        <v>-0.0064</v>
      </c>
      <c r="AJ8" s="52">
        <f t="shared" si="2"/>
        <v>-0.0118999999999996</v>
      </c>
      <c r="AK8" s="52" t="str">
        <f t="shared" si="2"/>
        <v/>
      </c>
      <c r="AL8" s="52" t="str">
        <f t="shared" si="2"/>
        <v/>
      </c>
      <c r="AM8" s="52" t="str">
        <f t="shared" si="2"/>
        <v/>
      </c>
      <c r="AN8" s="52" t="str">
        <f t="shared" si="2"/>
        <v/>
      </c>
      <c r="AO8" s="52" t="str">
        <f t="shared" si="2"/>
        <v/>
      </c>
    </row>
    <row r="9" ht="15" customHeight="1" spans="1:41">
      <c r="A9" s="48"/>
      <c r="B9" s="49" t="s">
        <v>34</v>
      </c>
      <c r="C9" s="53"/>
      <c r="D9" s="50">
        <v>5.58</v>
      </c>
      <c r="E9" s="50">
        <v>0.03</v>
      </c>
      <c r="F9" s="50">
        <v>-0.03</v>
      </c>
      <c r="G9" s="50">
        <f>D9+E9</f>
        <v>5.61</v>
      </c>
      <c r="H9" s="50">
        <f>D9+F9</f>
        <v>5.55</v>
      </c>
      <c r="I9" s="50" t="s">
        <v>33</v>
      </c>
      <c r="J9" s="51">
        <v>5.5541</v>
      </c>
      <c r="K9" s="51">
        <v>5.5634</v>
      </c>
      <c r="L9" s="51">
        <v>5.5645</v>
      </c>
      <c r="M9" s="51">
        <v>5.5744</v>
      </c>
      <c r="N9" s="51">
        <v>5.5688</v>
      </c>
      <c r="O9" s="51">
        <v>5.5497</v>
      </c>
      <c r="P9" s="51">
        <v>5.5625</v>
      </c>
      <c r="Q9" s="51">
        <v>5.5655</v>
      </c>
      <c r="R9" s="51">
        <v>5.5681</v>
      </c>
      <c r="S9" s="51">
        <v>5.5642</v>
      </c>
      <c r="T9" s="51">
        <v>5.5567</v>
      </c>
      <c r="U9" s="51"/>
      <c r="V9" s="51"/>
      <c r="W9" s="51"/>
      <c r="X9" s="51"/>
      <c r="Y9" s="51"/>
      <c r="Z9" s="52" t="str">
        <f t="shared" ref="Z9:AO9" si="3">IF(J9="","",IF(J9&gt;($D9+$E9),(J9-$D9-$E9),IF(J9&lt;($D9+$F9),(J9-$D9-$F9),"√")))</f>
        <v>√</v>
      </c>
      <c r="AA9" s="52" t="str">
        <f t="shared" si="3"/>
        <v>√</v>
      </c>
      <c r="AB9" s="52" t="str">
        <f t="shared" si="3"/>
        <v>√</v>
      </c>
      <c r="AC9" s="52" t="str">
        <f t="shared" si="3"/>
        <v>√</v>
      </c>
      <c r="AD9" s="52" t="str">
        <f t="shared" si="3"/>
        <v>√</v>
      </c>
      <c r="AE9" s="52">
        <f t="shared" si="3"/>
        <v>-0.000300000000000439</v>
      </c>
      <c r="AF9" s="52" t="str">
        <f t="shared" si="3"/>
        <v>√</v>
      </c>
      <c r="AG9" s="52" t="str">
        <f t="shared" si="3"/>
        <v>√</v>
      </c>
      <c r="AH9" s="52" t="str">
        <f t="shared" si="3"/>
        <v>√</v>
      </c>
      <c r="AI9" s="52" t="str">
        <f t="shared" si="3"/>
        <v>√</v>
      </c>
      <c r="AJ9" s="52" t="str">
        <f t="shared" si="3"/>
        <v>√</v>
      </c>
      <c r="AK9" s="52" t="str">
        <f t="shared" si="3"/>
        <v/>
      </c>
      <c r="AL9" s="52" t="str">
        <f t="shared" si="3"/>
        <v/>
      </c>
      <c r="AM9" s="52" t="str">
        <f t="shared" si="3"/>
        <v/>
      </c>
      <c r="AN9" s="52" t="str">
        <f t="shared" si="3"/>
        <v/>
      </c>
      <c r="AO9" s="52" t="str">
        <f t="shared" si="3"/>
        <v/>
      </c>
    </row>
    <row r="10" ht="15" customHeight="1" spans="1:41">
      <c r="A10" s="48"/>
      <c r="B10" s="49" t="s">
        <v>35</v>
      </c>
      <c r="C10" s="49" t="s">
        <v>36</v>
      </c>
      <c r="D10" s="50">
        <v>3.34</v>
      </c>
      <c r="E10" s="50">
        <v>0.03</v>
      </c>
      <c r="F10" s="50">
        <v>-0.03</v>
      </c>
      <c r="G10" s="50">
        <f t="shared" ref="G10:G11" si="4">D10+E10</f>
        <v>3.37</v>
      </c>
      <c r="H10" s="50">
        <f t="shared" ref="H10:H11" si="5">D10+F10</f>
        <v>3.31</v>
      </c>
      <c r="I10" s="50" t="s">
        <v>33</v>
      </c>
      <c r="J10" s="51">
        <v>3.3069</v>
      </c>
      <c r="K10" s="51">
        <v>3.318</v>
      </c>
      <c r="L10" s="51">
        <v>3.3037</v>
      </c>
      <c r="M10" s="51">
        <v>3.3058</v>
      </c>
      <c r="N10" s="51">
        <v>3.3044</v>
      </c>
      <c r="O10" s="51">
        <v>3.3075</v>
      </c>
      <c r="P10" s="51">
        <v>3.3047</v>
      </c>
      <c r="Q10" s="51">
        <v>3.3194</v>
      </c>
      <c r="R10" s="51">
        <v>3.3195</v>
      </c>
      <c r="S10" s="51">
        <v>3.3043</v>
      </c>
      <c r="T10" s="51">
        <v>3.3064</v>
      </c>
      <c r="U10" s="51"/>
      <c r="V10" s="51"/>
      <c r="W10" s="51"/>
      <c r="X10" s="51"/>
      <c r="Y10" s="51"/>
      <c r="Z10" s="52">
        <f t="shared" ref="Z10:AO10" si="6">IF(J10="","",IF(J10&gt;($D10+$E10),(J10-$D10-$E10),IF(J10&lt;($D10+$F10),(J10-$D10-$F10),"√")))</f>
        <v>-0.00309999999999969</v>
      </c>
      <c r="AA10" s="52" t="str">
        <f t="shared" si="6"/>
        <v>√</v>
      </c>
      <c r="AB10" s="52">
        <f t="shared" si="6"/>
        <v>-0.00629999999999978</v>
      </c>
      <c r="AC10" s="52">
        <f t="shared" si="6"/>
        <v>-0.00419999999999979</v>
      </c>
      <c r="AD10" s="52">
        <f t="shared" si="6"/>
        <v>-0.00560000000000008</v>
      </c>
      <c r="AE10" s="52">
        <f t="shared" si="6"/>
        <v>-0.00249999999999975</v>
      </c>
      <c r="AF10" s="52">
        <f t="shared" si="6"/>
        <v>-0.00529999999999989</v>
      </c>
      <c r="AG10" s="52" t="str">
        <f t="shared" si="6"/>
        <v>√</v>
      </c>
      <c r="AH10" s="52" t="str">
        <f t="shared" si="6"/>
        <v>√</v>
      </c>
      <c r="AI10" s="52">
        <f t="shared" si="6"/>
        <v>-0.00569999999999984</v>
      </c>
      <c r="AJ10" s="52">
        <f t="shared" si="6"/>
        <v>-0.00359999999999985</v>
      </c>
      <c r="AK10" s="52" t="str">
        <f t="shared" si="6"/>
        <v/>
      </c>
      <c r="AL10" s="52" t="str">
        <f t="shared" si="6"/>
        <v/>
      </c>
      <c r="AM10" s="52" t="str">
        <f t="shared" si="6"/>
        <v/>
      </c>
      <c r="AN10" s="52" t="str">
        <f t="shared" si="6"/>
        <v/>
      </c>
      <c r="AO10" s="52" t="str">
        <f t="shared" si="6"/>
        <v/>
      </c>
    </row>
    <row r="11" ht="15" customHeight="1" spans="1:41">
      <c r="A11" s="48"/>
      <c r="B11" s="49" t="s">
        <v>37</v>
      </c>
      <c r="C11" s="49" t="s">
        <v>38</v>
      </c>
      <c r="D11" s="50">
        <v>0</v>
      </c>
      <c r="E11" s="50">
        <v>0.05</v>
      </c>
      <c r="F11" s="50">
        <v>0</v>
      </c>
      <c r="G11" s="50">
        <f t="shared" si="4"/>
        <v>0.05</v>
      </c>
      <c r="H11" s="50">
        <f t="shared" si="5"/>
        <v>0</v>
      </c>
      <c r="I11" s="50" t="s">
        <v>33</v>
      </c>
      <c r="J11" s="51">
        <v>0.0041</v>
      </c>
      <c r="K11" s="51">
        <v>0.0037</v>
      </c>
      <c r="L11" s="51">
        <v>0.0021</v>
      </c>
      <c r="M11" s="51">
        <v>0.0033</v>
      </c>
      <c r="N11" s="51">
        <v>0.0005</v>
      </c>
      <c r="O11" s="51">
        <v>0.0033</v>
      </c>
      <c r="P11" s="51">
        <v>0.0018</v>
      </c>
      <c r="Q11" s="51">
        <v>0.0036</v>
      </c>
      <c r="R11" s="51">
        <v>0.0025</v>
      </c>
      <c r="S11" s="51">
        <v>0.0018</v>
      </c>
      <c r="T11" s="51">
        <v>0.0035</v>
      </c>
      <c r="U11" s="51"/>
      <c r="V11" s="51"/>
      <c r="W11" s="51"/>
      <c r="X11" s="51"/>
      <c r="Y11" s="51"/>
      <c r="Z11" s="52" t="str">
        <f t="shared" ref="Z11:AO11" si="7">IF(J11="","",IF(J11&gt;($D11+$E11),(J11-$D11-$E11),IF(J11&lt;($D11+$F11),(J11-$D11-$F11),"√")))</f>
        <v>√</v>
      </c>
      <c r="AA11" s="52" t="str">
        <f t="shared" si="7"/>
        <v>√</v>
      </c>
      <c r="AB11" s="52" t="str">
        <f t="shared" si="7"/>
        <v>√</v>
      </c>
      <c r="AC11" s="52" t="str">
        <f t="shared" si="7"/>
        <v>√</v>
      </c>
      <c r="AD11" s="52" t="str">
        <f t="shared" si="7"/>
        <v>√</v>
      </c>
      <c r="AE11" s="52" t="str">
        <f t="shared" si="7"/>
        <v>√</v>
      </c>
      <c r="AF11" s="52" t="str">
        <f t="shared" si="7"/>
        <v>√</v>
      </c>
      <c r="AG11" s="52" t="str">
        <f t="shared" si="7"/>
        <v>√</v>
      </c>
      <c r="AH11" s="52" t="str">
        <f t="shared" si="7"/>
        <v>√</v>
      </c>
      <c r="AI11" s="52" t="str">
        <f t="shared" si="7"/>
        <v>√</v>
      </c>
      <c r="AJ11" s="52" t="str">
        <f t="shared" si="7"/>
        <v>√</v>
      </c>
      <c r="AK11" s="52" t="str">
        <f t="shared" si="7"/>
        <v/>
      </c>
      <c r="AL11" s="52" t="str">
        <f t="shared" si="7"/>
        <v/>
      </c>
      <c r="AM11" s="52" t="str">
        <f t="shared" si="7"/>
        <v/>
      </c>
      <c r="AN11" s="52" t="str">
        <f t="shared" si="7"/>
        <v/>
      </c>
      <c r="AO11" s="52" t="str">
        <f t="shared" si="7"/>
        <v/>
      </c>
    </row>
    <row r="12" ht="15" customHeight="1" spans="1:41">
      <c r="A12" s="48"/>
      <c r="B12" s="49">
        <v>1</v>
      </c>
      <c r="C12" s="49"/>
      <c r="D12" s="50"/>
      <c r="E12" s="50"/>
      <c r="F12" s="50"/>
      <c r="G12" s="50"/>
      <c r="H12" s="50"/>
      <c r="I12" s="50" t="s">
        <v>33</v>
      </c>
      <c r="J12" s="51">
        <v>-0.0002</v>
      </c>
      <c r="K12" s="51">
        <v>-0.0011</v>
      </c>
      <c r="L12" s="51">
        <v>0.0012</v>
      </c>
      <c r="M12" s="51">
        <v>0.0008</v>
      </c>
      <c r="N12" s="51">
        <v>-0.0001</v>
      </c>
      <c r="O12" s="51">
        <v>-0.0001</v>
      </c>
      <c r="P12" s="51">
        <v>-0.0007</v>
      </c>
      <c r="Q12" s="51">
        <v>-0.0002</v>
      </c>
      <c r="R12" s="51">
        <v>-0.0006</v>
      </c>
      <c r="S12" s="51">
        <v>0.0004</v>
      </c>
      <c r="T12" s="51">
        <v>-0.0003</v>
      </c>
      <c r="U12" s="51"/>
      <c r="V12" s="51"/>
      <c r="W12" s="51"/>
      <c r="X12" s="51"/>
      <c r="Y12" s="51"/>
      <c r="Z12" s="52"/>
      <c r="AA12" s="52"/>
      <c r="AB12" s="52"/>
      <c r="AC12" s="52"/>
      <c r="AD12" s="52"/>
      <c r="AE12" s="52"/>
      <c r="AF12" s="52"/>
      <c r="AG12" s="52"/>
      <c r="AH12" s="52"/>
      <c r="AI12" s="52"/>
      <c r="AJ12" s="52"/>
      <c r="AK12" s="52"/>
      <c r="AL12" s="52"/>
      <c r="AM12" s="52"/>
      <c r="AN12" s="52"/>
      <c r="AO12" s="52"/>
    </row>
    <row r="13" ht="15" customHeight="1" spans="1:41">
      <c r="A13" s="48"/>
      <c r="B13" s="49">
        <v>2</v>
      </c>
      <c r="C13" s="49"/>
      <c r="D13" s="50"/>
      <c r="E13" s="50"/>
      <c r="F13" s="50"/>
      <c r="G13" s="50"/>
      <c r="H13" s="50"/>
      <c r="I13" s="50" t="s">
        <v>33</v>
      </c>
      <c r="J13" s="51">
        <v>0.0007</v>
      </c>
      <c r="K13" s="51">
        <v>-0.0009</v>
      </c>
      <c r="L13" s="51">
        <v>-0.0009</v>
      </c>
      <c r="M13" s="51">
        <v>-0.0001</v>
      </c>
      <c r="N13" s="51">
        <v>0.0001</v>
      </c>
      <c r="O13" s="51">
        <v>0.0002</v>
      </c>
      <c r="P13" s="51">
        <v>0</v>
      </c>
      <c r="Q13" s="51">
        <v>-0.0017</v>
      </c>
      <c r="R13" s="51">
        <v>-0.0003</v>
      </c>
      <c r="S13" s="51">
        <v>-0.0006</v>
      </c>
      <c r="T13" s="51">
        <v>0.001</v>
      </c>
      <c r="U13" s="51"/>
      <c r="V13" s="51"/>
      <c r="W13" s="51"/>
      <c r="X13" s="51"/>
      <c r="Y13" s="51"/>
      <c r="Z13" s="52"/>
      <c r="AA13" s="52"/>
      <c r="AB13" s="52"/>
      <c r="AC13" s="52"/>
      <c r="AD13" s="52"/>
      <c r="AE13" s="52"/>
      <c r="AF13" s="52"/>
      <c r="AG13" s="52"/>
      <c r="AH13" s="52"/>
      <c r="AI13" s="52"/>
      <c r="AJ13" s="52"/>
      <c r="AK13" s="52"/>
      <c r="AL13" s="52"/>
      <c r="AM13" s="52"/>
      <c r="AN13" s="52"/>
      <c r="AO13" s="52"/>
    </row>
    <row r="14" ht="15" customHeight="1" spans="1:41">
      <c r="A14" s="48"/>
      <c r="B14" s="49">
        <v>3</v>
      </c>
      <c r="C14" s="49"/>
      <c r="D14" s="50"/>
      <c r="E14" s="50"/>
      <c r="F14" s="50"/>
      <c r="G14" s="50"/>
      <c r="H14" s="50"/>
      <c r="I14" s="50" t="s">
        <v>33</v>
      </c>
      <c r="J14" s="51">
        <v>0.0012</v>
      </c>
      <c r="K14" s="51">
        <v>0.0025</v>
      </c>
      <c r="L14" s="51">
        <v>-0.0006</v>
      </c>
      <c r="M14" s="51">
        <v>0.0001</v>
      </c>
      <c r="N14" s="51">
        <v>0.0003</v>
      </c>
      <c r="O14" s="51">
        <v>0.0015</v>
      </c>
      <c r="P14" s="54">
        <v>0.0011</v>
      </c>
      <c r="Q14" s="51">
        <v>0.0019</v>
      </c>
      <c r="R14" s="51">
        <v>0.0006</v>
      </c>
      <c r="S14" s="51">
        <v>0.0004</v>
      </c>
      <c r="T14" s="51">
        <v>0.0008</v>
      </c>
      <c r="U14" s="51"/>
      <c r="V14" s="51"/>
      <c r="W14" s="51"/>
      <c r="X14" s="51"/>
      <c r="Y14" s="51"/>
      <c r="Z14" s="52"/>
      <c r="AA14" s="52"/>
      <c r="AB14" s="52"/>
      <c r="AC14" s="52"/>
      <c r="AD14" s="52"/>
      <c r="AE14" s="52"/>
      <c r="AF14" s="52"/>
      <c r="AG14" s="52"/>
      <c r="AH14" s="52"/>
      <c r="AI14" s="52"/>
      <c r="AJ14" s="52"/>
      <c r="AK14" s="52"/>
      <c r="AL14" s="52"/>
      <c r="AM14" s="52"/>
      <c r="AN14" s="52"/>
      <c r="AO14" s="52"/>
    </row>
    <row r="15" ht="15" customHeight="1" spans="1:41">
      <c r="A15" s="48"/>
      <c r="B15" s="49">
        <v>4</v>
      </c>
      <c r="C15" s="49"/>
      <c r="D15" s="50"/>
      <c r="E15" s="50"/>
      <c r="F15" s="50"/>
      <c r="G15" s="50"/>
      <c r="H15" s="50"/>
      <c r="I15" s="50" t="s">
        <v>33</v>
      </c>
      <c r="J15" s="51">
        <v>-0.0024</v>
      </c>
      <c r="K15" s="51">
        <v>0.0015</v>
      </c>
      <c r="L15" s="51">
        <v>-0.0001</v>
      </c>
      <c r="M15" s="51">
        <v>-0.0015</v>
      </c>
      <c r="N15" s="51">
        <v>-0.0002</v>
      </c>
      <c r="O15" s="51">
        <v>-0.0017</v>
      </c>
      <c r="P15" s="51">
        <v>0.0004</v>
      </c>
      <c r="Q15" s="51">
        <v>0.0017</v>
      </c>
      <c r="R15" s="51">
        <v>0.0014</v>
      </c>
      <c r="S15" s="51">
        <v>-0.0003</v>
      </c>
      <c r="T15" s="51">
        <v>-0.0022</v>
      </c>
      <c r="U15" s="51"/>
      <c r="V15" s="51"/>
      <c r="W15" s="51"/>
      <c r="X15" s="51"/>
      <c r="Y15" s="51"/>
      <c r="Z15" s="52"/>
      <c r="AA15" s="52"/>
      <c r="AB15" s="52"/>
      <c r="AC15" s="52"/>
      <c r="AD15" s="52"/>
      <c r="AE15" s="52"/>
      <c r="AF15" s="52"/>
      <c r="AG15" s="52"/>
      <c r="AH15" s="52"/>
      <c r="AI15" s="52"/>
      <c r="AJ15" s="52"/>
      <c r="AK15" s="52"/>
      <c r="AL15" s="52"/>
      <c r="AM15" s="52"/>
      <c r="AN15" s="52"/>
      <c r="AO15" s="52"/>
    </row>
    <row r="16" ht="15" customHeight="1" spans="1:41">
      <c r="A16" s="48"/>
      <c r="B16" s="49">
        <v>5</v>
      </c>
      <c r="C16" s="49"/>
      <c r="D16" s="50"/>
      <c r="E16" s="50"/>
      <c r="F16" s="50"/>
      <c r="G16" s="50"/>
      <c r="H16" s="50"/>
      <c r="I16" s="50" t="s">
        <v>33</v>
      </c>
      <c r="J16" s="51">
        <v>-0.0011</v>
      </c>
      <c r="K16" s="51">
        <v>-0.0012</v>
      </c>
      <c r="L16" s="51">
        <v>-0.0006</v>
      </c>
      <c r="M16" s="51">
        <v>-0.001</v>
      </c>
      <c r="N16" s="51">
        <v>-0.0002</v>
      </c>
      <c r="O16" s="51">
        <v>-0.0014</v>
      </c>
      <c r="P16" s="51">
        <v>-0.0003</v>
      </c>
      <c r="Q16" s="51">
        <v>-0.0016</v>
      </c>
      <c r="R16" s="51">
        <v>0.0001</v>
      </c>
      <c r="S16" s="51">
        <v>-0.0009</v>
      </c>
      <c r="T16" s="51">
        <v>-0.0006</v>
      </c>
      <c r="U16" s="51"/>
      <c r="V16" s="51"/>
      <c r="W16" s="51"/>
      <c r="X16" s="51"/>
      <c r="Y16" s="51"/>
      <c r="Z16" s="52"/>
      <c r="AA16" s="52"/>
      <c r="AB16" s="52"/>
      <c r="AC16" s="52"/>
      <c r="AD16" s="52"/>
      <c r="AE16" s="52"/>
      <c r="AF16" s="52"/>
      <c r="AG16" s="52"/>
      <c r="AH16" s="52"/>
      <c r="AI16" s="52"/>
      <c r="AJ16" s="52"/>
      <c r="AK16" s="52"/>
      <c r="AL16" s="52"/>
      <c r="AM16" s="52"/>
      <c r="AN16" s="52"/>
      <c r="AO16" s="52"/>
    </row>
    <row r="17" ht="15" customHeight="1" spans="1:41">
      <c r="A17" s="55"/>
      <c r="B17" s="49">
        <v>6</v>
      </c>
      <c r="C17" s="49"/>
      <c r="D17" s="50"/>
      <c r="E17" s="50"/>
      <c r="F17" s="50"/>
      <c r="G17" s="50"/>
      <c r="H17" s="50"/>
      <c r="I17" s="50" t="s">
        <v>33</v>
      </c>
      <c r="J17" s="51">
        <v>0.0017</v>
      </c>
      <c r="K17" s="51">
        <v>-0.0008</v>
      </c>
      <c r="L17" s="51">
        <v>0.0011</v>
      </c>
      <c r="M17" s="51">
        <v>0.0017</v>
      </c>
      <c r="N17" s="51">
        <v>0.0002</v>
      </c>
      <c r="O17" s="51">
        <v>0.0016</v>
      </c>
      <c r="P17" s="51">
        <v>-0.0004</v>
      </c>
      <c r="Q17" s="51">
        <v>-0.0001</v>
      </c>
      <c r="R17" s="51">
        <v>-0.0011</v>
      </c>
      <c r="S17" s="51">
        <v>0.0009</v>
      </c>
      <c r="T17" s="51">
        <v>0.0013</v>
      </c>
      <c r="U17" s="51"/>
      <c r="V17" s="51"/>
      <c r="W17" s="51"/>
      <c r="X17" s="51"/>
      <c r="Y17" s="51"/>
      <c r="Z17" s="52"/>
      <c r="AA17" s="52"/>
      <c r="AB17" s="52"/>
      <c r="AC17" s="52"/>
      <c r="AD17" s="52"/>
      <c r="AE17" s="52"/>
      <c r="AF17" s="52"/>
      <c r="AG17" s="52"/>
      <c r="AH17" s="52"/>
      <c r="AI17" s="52"/>
      <c r="AJ17" s="52"/>
      <c r="AK17" s="52"/>
      <c r="AL17" s="52"/>
      <c r="AM17" s="52"/>
      <c r="AN17" s="52"/>
      <c r="AO17" s="52"/>
    </row>
  </sheetData>
  <mergeCells count="28">
    <mergeCell ref="A1:AO1"/>
    <mergeCell ref="S2:X2"/>
    <mergeCell ref="Y2:AD2"/>
    <mergeCell ref="AE2:AI2"/>
    <mergeCell ref="AJ2:AM2"/>
    <mergeCell ref="AN2:AO2"/>
    <mergeCell ref="S3:X3"/>
    <mergeCell ref="Y3:AD3"/>
    <mergeCell ref="AE3:AI3"/>
    <mergeCell ref="AJ3:AM3"/>
    <mergeCell ref="AN3:AO3"/>
    <mergeCell ref="J4:Y4"/>
    <mergeCell ref="Z4:AO4"/>
    <mergeCell ref="Z5:AO5"/>
    <mergeCell ref="A2:A3"/>
    <mergeCell ref="A4:A6"/>
    <mergeCell ref="A7:A17"/>
    <mergeCell ref="B4:B6"/>
    <mergeCell ref="C4:C6"/>
    <mergeCell ref="D4:D6"/>
    <mergeCell ref="E4:E6"/>
    <mergeCell ref="F4:F6"/>
    <mergeCell ref="G4:G6"/>
    <mergeCell ref="H4:H6"/>
    <mergeCell ref="I4:I6"/>
    <mergeCell ref="H2:K3"/>
    <mergeCell ref="L2:R3"/>
    <mergeCell ref="B2:G3"/>
  </mergeCells>
  <conditionalFormatting sqref="M9">
    <cfRule type="cellIs" dxfId="0" priority="6" operator="notBetween">
      <formula>$G9</formula>
      <formula>$H9</formula>
    </cfRule>
  </conditionalFormatting>
  <conditionalFormatting sqref="J7:Y7 J9:L9 N9:Y9">
    <cfRule type="cellIs" dxfId="0" priority="89" operator="notBetween">
      <formula>$G7</formula>
      <formula>$H7</formula>
    </cfRule>
  </conditionalFormatting>
  <conditionalFormatting sqref="J8:Y8 J10:Y11">
    <cfRule type="cellIs" dxfId="0" priority="10" operator="notBetween">
      <formula>$G8</formula>
      <formula>$H8</formula>
    </cfRule>
  </conditionalFormatting>
  <printOptions horizontalCentered="1"/>
  <pageMargins left="0.16" right="0" top="0.39" bottom="0.2" header="0" footer="0.12"/>
  <pageSetup paperSize="9" scale="51" orientation="portrait"/>
  <headerFooter alignWithMargins="0"/>
  <ignoredErrors>
    <ignoredError sqref="AL7:AO8 Z15:AO15" emptyCellReference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806-65034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2020-05-08T02:47:00Z</dcterms:created>
  <dcterms:modified xsi:type="dcterms:W3CDTF">2026-06-18T14:52:45Z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AA961B9ADC184DBE958373A72F4D771C</vt:lpwstr>
  </property>
  <property fmtid="{D5CDD505-2E9C-101B-9397-08002B2CF9AE}" pid="4" name="CalculationRule">
    <vt:i4>0</vt:i4>
  </property>
</Properties>
</file>