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3639" sheetId="8" r:id="rId1"/>
  </sheets>
  <definedNames>
    <definedName name="_xlnm.Print_Area" localSheetId="0">'806-63639'!$B$1:$AE$6</definedName>
    <definedName name="_xlnm.Print_Titles" localSheetId="0">'806-63639'!$1:$6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<sst xmlns="http://schemas.openxmlformats.org/spreadsheetml/2006/main" count="93" uniqueCount="63">
  <si>
    <t>安徽中耀智能科技有限公司首件尺寸报告</t>
  </si>
  <si>
    <t>料号</t>
  </si>
  <si>
    <t>X806-63639</t>
  </si>
  <si>
    <t>工单号</t>
  </si>
  <si>
    <t>ww115-260502011</t>
  </si>
  <si>
    <t>工站</t>
  </si>
  <si>
    <t xml:space="preserve">射出机台号     
</t>
  </si>
  <si>
    <t>量测机台号</t>
  </si>
  <si>
    <t>测量人员</t>
  </si>
  <si>
    <t>审核</t>
  </si>
  <si>
    <t>射出</t>
  </si>
  <si>
    <t>3FB01#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</si>
  <si>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</si>
  <si>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</si>
  <si>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</si>
  <si>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</si>
  <si>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</si>
  <si>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</si>
  <si>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</si>
  <si>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</si>
  <si>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</si>
  <si>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</si>
  <si>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</si>
  <si>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</si>
  <si>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</si>
  <si>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</si>
  <si>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</si>
  <si>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</si>
  <si>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</si>
  <si>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</si>
  <si>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</si>
  <si>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</si>
  <si>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</si>
  <si>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</si>
  <si>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</si>
  <si>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</si>
  <si>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</si>
  <si>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</si>
  <si>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</si>
  <si>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</si>
  <si>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</si>
  <si>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</si>
  <si>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</si>
  <si>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</si>
  <si>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 15</t>
  </si>
  <si>
    <t>OMM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</si>
  <si>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</si>
  <si>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</si>
  <si>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</si>
  <si>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</si>
  <si>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</si>
  <si>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</si>
  <si>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</si>
  <si>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</si>
  <si>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</si>
  <si>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</si>
  <si>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</si>
  <si>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</si>
  <si>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</si>
  <si>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</si>
  <si>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</si>
  <si>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</si>
  <si>
    <r>
      <t>复测</t>
    </r>
    <r>
      <rPr>
        <b/>
        <sz val="11"/>
        <rFont val="Arial"/>
        <charset val="134"/>
      </rPr>
      <t>2-4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</si>
</sst>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2" borderId="2" xfId="60" applyFont="1" applyFill="1" applyBorder="1" applyAlignment="1" applyProtection="1">
      <alignment horizontal="center" vertical="center"/>
      <protection locked="0"/>
    </xf>
    <xf numFmtId="0" fontId="3" fillId="2" borderId="3" xfId="60" applyFont="1" applyFill="1" applyBorder="1" applyAlignment="1" applyProtection="1">
      <alignment horizontal="center" vertical="center"/>
      <protection locked="0"/>
    </xf>
    <xf numFmtId="0" fontId="3" fillId="2" borderId="4" xfId="60" applyFont="1" applyFill="1" applyBorder="1" applyAlignment="1" applyProtection="1">
      <alignment horizontal="center" vertical="center"/>
      <protection locked="0"/>
    </xf>
    <xf numFmtId="49" fontId="2" fillId="2" borderId="2" xfId="60" applyNumberFormat="1" applyFont="1" applyFill="1" applyBorder="1" applyAlignment="1">
      <alignment horizontal="center" vertical="center"/>
    </xf>
    <xf numFmtId="49" fontId="2" fillId="2" borderId="3" xfId="60" applyNumberFormat="1" applyFont="1" applyFill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4" fillId="0" borderId="1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>
      <alignment horizontal="center" vertical="center"/>
    </xf>
    <xf numFmtId="49" fontId="5" fillId="0" borderId="6" xfId="60" applyNumberFormat="1" applyFont="1" applyBorder="1" applyAlignment="1">
      <alignment horizontal="center" vertical="center"/>
    </xf>
    <xf numFmtId="49" fontId="5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5" fillId="0" borderId="5" xfId="79" applyNumberFormat="1" applyFont="1" applyBorder="1" applyAlignment="1">
      <alignment horizontal="center" vertical="center"/>
    </xf>
    <xf numFmtId="49" fontId="5" fillId="0" borderId="6" xfId="79" applyNumberFormat="1" applyFont="1" applyBorder="1" applyAlignment="1">
      <alignment horizontal="center" vertical="center"/>
    </xf>
    <xf numFmtId="49" fontId="5" fillId="0" borderId="7" xfId="79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5" xfId="60" applyFont="1" applyBorder="1" applyAlignment="1" applyProtection="1">
      <alignment horizontal="center" vertical="center"/>
      <protection locked="0"/>
    </xf>
    <xf numFmtId="0" fontId="5" fillId="0" borderId="6" xfId="60" applyFont="1" applyBorder="1" applyAlignment="1" applyProtection="1">
      <alignment horizontal="center" vertical="center"/>
      <protection locked="0"/>
    </xf>
    <xf numFmtId="0" fontId="5" fillId="0" borderId="7" xfId="60" applyFont="1" applyBorder="1" applyAlignment="1" applyProtection="1">
      <alignment horizontal="center" vertical="center"/>
      <protection locked="0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176" fontId="4" fillId="0" borderId="5" xfId="79" applyNumberFormat="1" applyFont="1" applyBorder="1" applyAlignment="1">
      <alignment horizontal="center" vertical="center"/>
    </xf>
    <xf numFmtId="176" fontId="4" fillId="0" borderId="6" xfId="79" applyNumberFormat="1" applyFont="1" applyBorder="1" applyAlignment="1">
      <alignment horizontal="center" vertical="center"/>
    </xf>
    <xf numFmtId="176" fontId="4" fillId="0" borderId="7" xfId="79" applyNumberFormat="1" applyFont="1" applyBorder="1" applyAlignment="1">
      <alignment horizontal="center" vertical="center"/>
    </xf>
    <xf numFmtId="176" fontId="5" fillId="0" borderId="5" xfId="79" applyNumberFormat="1" applyFont="1" applyBorder="1" applyAlignment="1">
      <alignment horizontal="center" vertical="center"/>
    </xf>
    <xf numFmtId="176" fontId="5" fillId="0" borderId="7" xfId="79" applyNumberFormat="1" applyFont="1" applyBorder="1" applyAlignment="1">
      <alignment horizontal="center" vertical="center"/>
    </xf>
    <xf numFmtId="49" fontId="6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6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60" applyFont="1" applyFill="1" applyBorder="1" applyAlignment="1" applyProtection="1">
      <alignment horizontal="center" vertical="center"/>
      <protection locked="0"/>
    </xf>
    <xf numFmtId="177" fontId="6" fillId="0" borderId="1" xfId="60" applyNumberFormat="1" applyFont="1" applyFill="1" applyBorder="1" applyAlignment="1">
      <alignment horizontal="center" vertical="center"/>
    </xf>
    <xf numFmtId="177" fontId="6" fillId="0" borderId="1" xfId="60" applyNumberFormat="1" applyFont="1" applyFill="1" applyBorder="1" applyAlignment="1" applyProtection="1">
      <alignment horizontal="center" vertical="center"/>
      <protection locked="0"/>
    </xf>
    <xf numFmtId="0" fontId="6" fillId="0" borderId="1" xfId="60" applyFont="1" applyFill="1" applyBorder="1" applyAlignment="1" applyProtection="1">
      <alignment horizontal="center" vertical="center" wrapText="1"/>
      <protection locked="0"/>
    </xf>
    <xf numFmtId="0" fontId="7" fillId="3" borderId="1" xfId="60" applyFont="1" applyFill="1" applyBorder="1" applyAlignment="1" applyProtection="1">
      <alignment horizontal="center" vertical="center"/>
      <protection locked="0"/>
    </xf>
    <xf numFmtId="0" fontId="7" fillId="4" borderId="5" xfId="60" applyFont="1" applyFill="1" applyBorder="1" applyAlignment="1">
      <alignment horizontal="center" vertical="center"/>
    </xf>
    <xf numFmtId="0" fontId="7" fillId="4" borderId="6" xfId="60" applyFont="1" applyFill="1" applyBorder="1" applyAlignment="1">
      <alignment horizontal="center" vertical="center"/>
    </xf>
    <xf numFmtId="0" fontId="7" fillId="4" borderId="7" xfId="60" applyFont="1" applyFill="1" applyBorder="1" applyAlignment="1">
      <alignment horizontal="center" vertical="center"/>
    </xf>
    <xf numFmtId="49" fontId="8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8" fillId="0" borderId="1" xfId="60" applyNumberFormat="1" applyFont="1" applyFill="1" applyBorder="1" applyAlignment="1" applyProtection="1">
      <alignment horizontal="center" vertical="center"/>
      <protection locked="0"/>
    </xf>
    <xf numFmtId="49" fontId="6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7" fillId="4" borderId="1" xfId="60" applyFont="1" applyFill="1" applyBorder="1" applyAlignment="1">
      <alignment horizontal="center" vertical="center"/>
    </xf>
    <xf numFmtId="49" fontId="6" fillId="0" borderId="13" xfId="60" applyNumberFormat="1" applyFont="1" applyFill="1" applyBorder="1" applyAlignment="1" applyProtection="1">
      <alignment horizontal="center" vertical="center" wrapText="1"/>
      <protection locked="0"/>
    </xf>
    <xf numFmtId="49" fontId="9" fillId="3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4" borderId="1" xfId="6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0" fontId="11" fillId="0" borderId="7" xfId="53" applyFont="1" applyBorder="1" applyAlignment="1">
      <alignment horizontal="center" vertical="center"/>
    </xf>
    <xf numFmtId="0" fontId="12" fillId="0" borderId="1" xfId="59" applyFont="1" applyBorder="1" applyAlignment="1">
      <alignment horizontal="center" vertical="center"/>
    </xf>
    <xf numFmtId="0" fontId="12" fillId="0" borderId="1" xfId="59" applyFont="1" applyFill="1" applyBorder="1" applyAlignment="1">
      <alignment horizontal="center" vertical="center"/>
    </xf>
    <xf numFmtId="177" fontId="11" fillId="3" borderId="1" xfId="61" applyNumberFormat="1" applyFont="1" applyFill="1" applyBorder="1" applyAlignment="1">
      <alignment horizontal="center" vertical="center"/>
    </xf>
    <xf numFmtId="0" fontId="13" fillId="4" borderId="1" xfId="60" applyFont="1" applyFill="1" applyBorder="1" applyAlignment="1">
      <alignment horizontal="center" vertical="center"/>
    </xf>
    <xf numFmtId="0" fontId="7" fillId="3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3" borderId="1" xfId="60" applyNumberFormat="1" applyFont="1" applyFill="1" applyBorder="1" applyAlignment="1" applyProtection="1">
      <alignment horizontal="center" vertical="center" wrapText="1"/>
      <protection locked="0"/>
    </xf>
    <xf numFmtId="0" fontId="9" fillId="3" borderId="1" xfId="60" applyNumberFormat="1" applyFont="1" applyFill="1" applyBorder="1" applyAlignment="1" applyProtection="1">
      <alignment horizontal="center" vertical="center"/>
      <protection locked="0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244475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417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0"/>
  <sheetViews>
    <sheetView tabSelected="1" workbookViewId="0">
      <selection activeCell="L26" sqref="L26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1" t="s">
        <v>6</v>
      </c>
      <c r="Z2" s="12"/>
      <c r="AA2" s="12"/>
      <c r="AB2" s="12"/>
      <c r="AC2" s="12"/>
      <c r="AD2" s="13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2"/>
      <c r="B3" s="20"/>
      <c r="C3" s="21"/>
      <c r="D3" s="21"/>
      <c r="E3" s="21"/>
      <c r="F3" s="21"/>
      <c r="G3" s="22"/>
      <c r="H3" s="23"/>
      <c r="I3" s="24"/>
      <c r="J3" s="25"/>
      <c r="K3" s="26"/>
      <c r="L3" s="10"/>
      <c r="M3" s="10"/>
      <c r="N3" s="10"/>
      <c r="O3" s="10"/>
      <c r="P3" s="10"/>
      <c r="Q3" s="10"/>
      <c r="R3" s="10"/>
      <c r="S3" s="27" t="s">
        <v>10</v>
      </c>
      <c r="T3" s="28"/>
      <c r="U3" s="28"/>
      <c r="V3" s="28"/>
      <c r="W3" s="28"/>
      <c r="X3" s="29"/>
      <c r="Y3" s="30" t="s">
        <v>11</v>
      </c>
      <c r="Z3" s="31"/>
      <c r="AA3" s="31"/>
      <c r="AB3" s="31"/>
      <c r="AC3" s="31"/>
      <c r="AD3" s="32"/>
      <c r="AE3" s="33" t="s">
        <v>12</v>
      </c>
      <c r="AF3" s="34"/>
      <c r="AG3" s="34"/>
      <c r="AH3" s="34"/>
      <c r="AI3" s="35"/>
      <c r="AJ3" s="33" t="s">
        <v>13</v>
      </c>
      <c r="AK3" s="34"/>
      <c r="AL3" s="34"/>
      <c r="AM3" s="35"/>
      <c r="AN3" s="36" t="s">
        <v>14</v>
      </c>
      <c r="AO3" s="37"/>
    </row>
    <row r="4" customHeight="1" spans="1:41">
      <c r="A4" s="38" t="s">
        <v>15</v>
      </c>
      <c r="B4" s="38" t="s">
        <v>16</v>
      </c>
      <c r="C4" s="39" t="s">
        <v>17</v>
      </c>
      <c r="D4" s="40" t="s">
        <v>18</v>
      </c>
      <c r="E4" s="41" t="s">
        <v>19</v>
      </c>
      <c r="F4" s="42" t="s">
        <v>20</v>
      </c>
      <c r="G4" s="42" t="s">
        <v>21</v>
      </c>
      <c r="H4" s="42" t="s">
        <v>22</v>
      </c>
      <c r="I4" s="43" t="s">
        <v>23</v>
      </c>
      <c r="J4" s="44" t="s">
        <v>24</v>
      </c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5" t="s">
        <v>25</v>
      </c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7"/>
    </row>
    <row r="5" ht="13.5" customHeight="1" spans="1:41">
      <c r="A5" s="48"/>
      <c r="B5" s="49"/>
      <c r="C5" s="50"/>
      <c r="D5" s="40"/>
      <c r="E5" s="41"/>
      <c r="F5" s="42"/>
      <c r="G5" s="42"/>
      <c r="H5" s="42"/>
      <c r="I5" s="40"/>
      <c r="J5" s="44" t="s">
        <v>26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51" t="s">
        <v>27</v>
      </c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</row>
    <row r="6" customHeight="1" spans="1:41">
      <c r="A6" s="48"/>
      <c r="B6" s="49"/>
      <c r="C6" s="52"/>
      <c r="D6" s="40"/>
      <c r="E6" s="41"/>
      <c r="F6" s="42"/>
      <c r="G6" s="42"/>
      <c r="H6" s="42"/>
      <c r="I6" s="40"/>
      <c r="J6" s="53" t="s">
        <v>28</v>
      </c>
      <c r="K6" s="53" t="s">
        <v>29</v>
      </c>
      <c r="L6" s="53" t="s">
        <v>30</v>
      </c>
      <c r="M6" s="53" t="s">
        <v>31</v>
      </c>
      <c r="N6" s="53" t="s">
        <v>32</v>
      </c>
      <c r="O6" s="53" t="s">
        <v>33</v>
      </c>
      <c r="P6" s="53" t="s">
        <v>34</v>
      </c>
      <c r="Q6" s="53" t="s">
        <v>35</v>
      </c>
      <c r="R6" s="53" t="s">
        <v>36</v>
      </c>
      <c r="S6" s="53" t="s">
        <v>37</v>
      </c>
      <c r="T6" s="53" t="s">
        <v>38</v>
      </c>
      <c r="U6" s="53" t="s">
        <v>39</v>
      </c>
      <c r="V6" s="53" t="s">
        <v>40</v>
      </c>
      <c r="W6" s="53" t="s">
        <v>41</v>
      </c>
      <c r="X6" s="53" t="s">
        <v>42</v>
      </c>
      <c r="Y6" s="53" t="s">
        <v>43</v>
      </c>
      <c r="Z6" s="54" t="str">
        <f t="shared" ref="Z6:AO6" si="0">J6</f>
        <v>1-1</v>
      </c>
      <c r="AA6" s="54" t="str">
        <f t="shared" si="0"/>
        <v>1-2</v>
      </c>
      <c r="AB6" s="54" t="str">
        <f t="shared" si="0"/>
        <v>1-3</v>
      </c>
      <c r="AC6" s="54" t="str">
        <f t="shared" si="0"/>
        <v>1-4</v>
      </c>
      <c r="AD6" s="54" t="str">
        <f t="shared" si="0"/>
        <v>1-5</v>
      </c>
      <c r="AE6" s="54" t="str">
        <f t="shared" si="0"/>
        <v>1-6</v>
      </c>
      <c r="AF6" s="54" t="str">
        <f t="shared" si="0"/>
        <v>1-7</v>
      </c>
      <c r="AG6" s="54" t="str">
        <f t="shared" si="0"/>
        <v>1-8</v>
      </c>
      <c r="AH6" s="54" t="str">
        <f t="shared" si="0"/>
        <v>1-9</v>
      </c>
      <c r="AI6" s="54" t="str">
        <f t="shared" si="0"/>
        <v>1-10</v>
      </c>
      <c r="AJ6" s="54" t="str">
        <f t="shared" si="0"/>
        <v>1-11</v>
      </c>
      <c r="AK6" s="54" t="str">
        <f t="shared" si="0"/>
        <v>1-12</v>
      </c>
      <c r="AL6" s="54" t="str">
        <f t="shared" si="0"/>
        <v>1-13</v>
      </c>
      <c r="AM6" s="54" t="str">
        <f t="shared" si="0"/>
        <v>1-14</v>
      </c>
      <c r="AN6" s="54" t="str">
        <f t="shared" si="0"/>
        <v>1-15</v>
      </c>
      <c r="AO6" s="54" t="str">
        <f t="shared" si="0"/>
        <v>1-16</v>
      </c>
    </row>
    <row r="7" ht="15" customHeight="1" spans="1:41">
      <c r="A7" s="55">
        <v>46191</v>
      </c>
      <c r="B7" s="56" t="s">
        <v>44</v>
      </c>
      <c r="C7" s="56"/>
      <c r="D7" s="57">
        <v>6.26</v>
      </c>
      <c r="E7" s="57">
        <v>0.015</v>
      </c>
      <c r="F7" s="57">
        <v>-0.015</v>
      </c>
      <c r="G7" s="58">
        <f t="shared" ref="G7" si="1">D7+E7</f>
        <v>6.275</v>
      </c>
      <c r="H7" s="58">
        <f t="shared" ref="H7" si="2">D7+F7</f>
        <v>6.245</v>
      </c>
      <c r="I7" s="57" t="s">
        <v>45</v>
      </c>
      <c r="J7" s="59">
        <v>6.2814</v>
      </c>
      <c r="K7" s="59">
        <v>6.2796</v>
      </c>
      <c r="L7" s="59">
        <v>6.2642</v>
      </c>
      <c r="M7" s="59">
        <v>6.2738</v>
      </c>
      <c r="N7" s="59">
        <v>6.271</v>
      </c>
      <c r="O7" s="59">
        <v>6.2738</v>
      </c>
      <c r="P7" s="59">
        <v>6.2661</v>
      </c>
      <c r="Q7" s="59">
        <v>6.2691</v>
      </c>
      <c r="R7" s="59">
        <v>6.2638</v>
      </c>
      <c r="S7" s="59">
        <v>6.2632</v>
      </c>
      <c r="T7" s="59">
        <v>6.2696</v>
      </c>
      <c r="U7" s="59">
        <v>6.27</v>
      </c>
      <c r="V7" s="59">
        <v>6.2655</v>
      </c>
      <c r="W7" s="59">
        <v>6.2651</v>
      </c>
      <c r="X7" s="59">
        <v>6.2717</v>
      </c>
      <c r="Y7" s="59">
        <v>6.2713</v>
      </c>
      <c r="Z7" s="60">
        <f t="shared" ref="Z7" si="3">IF(J7="","",IF(J7&gt;($D7+$E7),(J7-$D7-$E7),IF(J7&lt;($D7+$F7),(J7-$D7-$F7),"√")))</f>
        <v>0.00639999999999986</v>
      </c>
      <c r="AA7" s="60">
        <f t="shared" ref="AA7" si="4">IF(K7="","",IF(K7&gt;($D7+$E7),(K7-$D7-$E7),IF(K7&lt;($D7+$F7),(K7-$D7-$F7),"√")))</f>
        <v>0.00460000000000051</v>
      </c>
      <c r="AB7" s="60" t="str">
        <f t="shared" ref="AB7:AO7" si="5">IF(L7="","",IF(L7&gt;($D7+$E7),(L7-$D7-$E7),IF(L7&lt;($D7+$F7),(L7-$D7-$F7),"√")))</f>
        <v>√</v>
      </c>
      <c r="AC7" s="60" t="str">
        <f t="shared" si="5"/>
        <v>√</v>
      </c>
      <c r="AD7" s="60" t="str">
        <f t="shared" si="5"/>
        <v>√</v>
      </c>
      <c r="AE7" s="60" t="str">
        <f t="shared" si="5"/>
        <v>√</v>
      </c>
      <c r="AF7" s="60" t="str">
        <f t="shared" si="5"/>
        <v>√</v>
      </c>
      <c r="AG7" s="60" t="str">
        <f t="shared" si="5"/>
        <v>√</v>
      </c>
      <c r="AH7" s="60" t="str">
        <f t="shared" si="5"/>
        <v>√</v>
      </c>
      <c r="AI7" s="60" t="str">
        <f t="shared" si="5"/>
        <v>√</v>
      </c>
      <c r="AJ7" s="60" t="str">
        <f t="shared" si="5"/>
        <v>√</v>
      </c>
      <c r="AK7" s="60" t="str">
        <f t="shared" si="5"/>
        <v>√</v>
      </c>
      <c r="AL7" s="60" t="str">
        <f t="shared" si="5"/>
        <v>√</v>
      </c>
      <c r="AM7" s="60" t="str">
        <f t="shared" si="5"/>
        <v>√</v>
      </c>
      <c r="AN7" s="60" t="str">
        <f t="shared" si="5"/>
        <v>√</v>
      </c>
      <c r="AO7" s="60" t="str">
        <f t="shared" si="5"/>
        <v>√</v>
      </c>
    </row>
    <row r="11" customHeight="1" spans="1:41">
      <c r="A11" s="38" t="s">
        <v>15</v>
      </c>
      <c r="B11" s="38" t="s">
        <v>16</v>
      </c>
      <c r="C11" s="39" t="s">
        <v>17</v>
      </c>
      <c r="D11" s="40" t="s">
        <v>18</v>
      </c>
      <c r="E11" s="41" t="s">
        <v>19</v>
      </c>
      <c r="F11" s="42" t="s">
        <v>20</v>
      </c>
      <c r="G11" s="42" t="s">
        <v>21</v>
      </c>
      <c r="H11" s="42" t="s">
        <v>22</v>
      </c>
      <c r="I11" s="43" t="s">
        <v>23</v>
      </c>
      <c r="J11" s="44" t="s">
        <v>24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5" t="s">
        <v>25</v>
      </c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7"/>
    </row>
    <row r="12" ht="13.5" customHeight="1" spans="1:41">
      <c r="A12" s="48"/>
      <c r="B12" s="49"/>
      <c r="C12" s="50"/>
      <c r="D12" s="40"/>
      <c r="E12" s="41"/>
      <c r="F12" s="42"/>
      <c r="G12" s="42"/>
      <c r="H12" s="42"/>
      <c r="I12" s="40"/>
      <c r="J12" s="44" t="s">
        <v>26</v>
      </c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51" t="s">
        <v>27</v>
      </c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</row>
    <row r="13" customHeight="1" spans="1:41">
      <c r="A13" s="48"/>
      <c r="B13" s="49"/>
      <c r="C13" s="52"/>
      <c r="D13" s="40"/>
      <c r="E13" s="41"/>
      <c r="F13" s="42"/>
      <c r="G13" s="42"/>
      <c r="H13" s="42"/>
      <c r="I13" s="40"/>
      <c r="J13" s="53" t="s">
        <v>46</v>
      </c>
      <c r="K13" s="53" t="s">
        <v>47</v>
      </c>
      <c r="L13" s="53" t="s">
        <v>48</v>
      </c>
      <c r="M13" s="53" t="s">
        <v>49</v>
      </c>
      <c r="N13" s="53" t="s">
        <v>50</v>
      </c>
      <c r="O13" s="53" t="s">
        <v>51</v>
      </c>
      <c r="P13" s="53" t="s">
        <v>52</v>
      </c>
      <c r="Q13" s="53" t="s">
        <v>53</v>
      </c>
      <c r="R13" s="53" t="s">
        <v>54</v>
      </c>
      <c r="S13" s="53" t="s">
        <v>55</v>
      </c>
      <c r="T13" s="53" t="s">
        <v>56</v>
      </c>
      <c r="U13" s="53" t="s">
        <v>57</v>
      </c>
      <c r="V13" s="53" t="s">
        <v>58</v>
      </c>
      <c r="W13" s="53" t="s">
        <v>59</v>
      </c>
      <c r="X13" s="53" t="s">
        <v>60</v>
      </c>
      <c r="Y13" s="53" t="s">
        <v>61</v>
      </c>
      <c r="Z13" s="54" t="str">
        <f t="shared" ref="Z13:AO13" si="6">J13</f>
        <v>2-1</v>
      </c>
      <c r="AA13" s="54" t="str">
        <f t="shared" si="6"/>
        <v>2-2</v>
      </c>
      <c r="AB13" s="54" t="str">
        <f t="shared" si="6"/>
        <v>2-3</v>
      </c>
      <c r="AC13" s="54" t="str">
        <f t="shared" si="6"/>
        <v>2-4</v>
      </c>
      <c r="AD13" s="54" t="str">
        <f t="shared" si="6"/>
        <v>2-5</v>
      </c>
      <c r="AE13" s="54" t="str">
        <f t="shared" si="6"/>
        <v>2-6</v>
      </c>
      <c r="AF13" s="54" t="str">
        <f t="shared" si="6"/>
        <v>2-7</v>
      </c>
      <c r="AG13" s="54" t="str">
        <f t="shared" si="6"/>
        <v>2-8</v>
      </c>
      <c r="AH13" s="54" t="str">
        <f t="shared" si="6"/>
        <v>2-9</v>
      </c>
      <c r="AI13" s="54" t="str">
        <f t="shared" si="6"/>
        <v>2-10</v>
      </c>
      <c r="AJ13" s="54" t="str">
        <f t="shared" si="6"/>
        <v>2-11</v>
      </c>
      <c r="AK13" s="54" t="str">
        <f t="shared" si="6"/>
        <v>2-12</v>
      </c>
      <c r="AL13" s="54" t="str">
        <f t="shared" si="6"/>
        <v>2-13</v>
      </c>
      <c r="AM13" s="54" t="str">
        <f t="shared" si="6"/>
        <v>2-14</v>
      </c>
      <c r="AN13" s="54" t="str">
        <f t="shared" si="6"/>
        <v>2-15</v>
      </c>
      <c r="AO13" s="54" t="str">
        <f t="shared" si="6"/>
        <v>2-16</v>
      </c>
    </row>
    <row r="14" ht="15" customHeight="1" spans="1:41">
      <c r="A14" s="55">
        <v>46191</v>
      </c>
      <c r="B14" s="56" t="s">
        <v>44</v>
      </c>
      <c r="C14" s="56"/>
      <c r="D14" s="57">
        <v>6.26</v>
      </c>
      <c r="E14" s="57">
        <v>0.015</v>
      </c>
      <c r="F14" s="57">
        <v>-0.015</v>
      </c>
      <c r="G14" s="58">
        <f>D14+E14</f>
        <v>6.275</v>
      </c>
      <c r="H14" s="58">
        <f>D14+F14</f>
        <v>6.245</v>
      </c>
      <c r="I14" s="57" t="s">
        <v>45</v>
      </c>
      <c r="J14" s="59">
        <v>6.2691</v>
      </c>
      <c r="K14" s="59">
        <v>6.2659</v>
      </c>
      <c r="L14" s="59">
        <v>6.2775</v>
      </c>
      <c r="M14" s="59">
        <v>6.2833</v>
      </c>
      <c r="N14" s="59">
        <v>6.2781</v>
      </c>
      <c r="O14" s="59">
        <v>6.2805</v>
      </c>
      <c r="P14" s="59">
        <v>6.2663</v>
      </c>
      <c r="Q14" s="59">
        <v>6.2696</v>
      </c>
      <c r="R14" s="59">
        <v>6.2649</v>
      </c>
      <c r="S14" s="59">
        <v>6.2653</v>
      </c>
      <c r="T14" s="59">
        <v>6.2701</v>
      </c>
      <c r="U14" s="59">
        <v>6.2726</v>
      </c>
      <c r="V14" s="59">
        <v>6.2653</v>
      </c>
      <c r="W14" s="59">
        <v>6.2614</v>
      </c>
      <c r="X14" s="59">
        <v>6.2675</v>
      </c>
      <c r="Y14" s="59">
        <v>6.262</v>
      </c>
      <c r="Z14" s="60" t="str">
        <f t="shared" ref="Z14:AO14" si="7">IF(J14="","",IF(J14&gt;($D14+$E14),(J14-$D14-$E14),IF(J14&lt;($D14+$F14),(J14-$D14-$F14),"√")))</f>
        <v>√</v>
      </c>
      <c r="AA14" s="60" t="str">
        <f t="shared" si="7"/>
        <v>√</v>
      </c>
      <c r="AB14" s="60">
        <f t="shared" si="7"/>
        <v>0.00250000000000007</v>
      </c>
      <c r="AC14" s="60">
        <f t="shared" si="7"/>
        <v>0.00829999999999988</v>
      </c>
      <c r="AD14" s="60">
        <f t="shared" si="7"/>
        <v>0.00310000000000045</v>
      </c>
      <c r="AE14" s="60">
        <f t="shared" si="7"/>
        <v>0.00550000000000019</v>
      </c>
      <c r="AF14" s="60" t="str">
        <f t="shared" si="7"/>
        <v>√</v>
      </c>
      <c r="AG14" s="60" t="str">
        <f t="shared" si="7"/>
        <v>√</v>
      </c>
      <c r="AH14" s="60" t="str">
        <f t="shared" si="7"/>
        <v>√</v>
      </c>
      <c r="AI14" s="60" t="str">
        <f t="shared" si="7"/>
        <v>√</v>
      </c>
      <c r="AJ14" s="60" t="str">
        <f t="shared" si="7"/>
        <v>√</v>
      </c>
      <c r="AK14" s="60" t="str">
        <f t="shared" si="7"/>
        <v>√</v>
      </c>
      <c r="AL14" s="60" t="str">
        <f t="shared" si="7"/>
        <v>√</v>
      </c>
      <c r="AM14" s="60" t="str">
        <f t="shared" si="7"/>
        <v>√</v>
      </c>
      <c r="AN14" s="60" t="str">
        <f t="shared" si="7"/>
        <v>√</v>
      </c>
      <c r="AO14" s="60" t="str">
        <f t="shared" si="7"/>
        <v>√</v>
      </c>
    </row>
    <row r="17" customHeight="1" spans="1:41">
      <c r="A17" s="38" t="s">
        <v>15</v>
      </c>
      <c r="B17" s="38" t="s">
        <v>16</v>
      </c>
      <c r="C17" s="39" t="s">
        <v>17</v>
      </c>
      <c r="D17" s="40" t="s">
        <v>18</v>
      </c>
      <c r="E17" s="41" t="s">
        <v>19</v>
      </c>
      <c r="F17" s="42" t="s">
        <v>20</v>
      </c>
      <c r="G17" s="42" t="s">
        <v>21</v>
      </c>
      <c r="H17" s="42" t="s">
        <v>22</v>
      </c>
      <c r="I17" s="43" t="s">
        <v>23</v>
      </c>
      <c r="J17" s="44" t="s">
        <v>24</v>
      </c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5" t="s">
        <v>25</v>
      </c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7"/>
    </row>
    <row r="18" ht="13.5" customHeight="1" spans="1:41">
      <c r="A18" s="48"/>
      <c r="B18" s="49"/>
      <c r="C18" s="50"/>
      <c r="D18" s="40"/>
      <c r="E18" s="41"/>
      <c r="F18" s="42"/>
      <c r="G18" s="42"/>
      <c r="H18" s="42"/>
      <c r="I18" s="40"/>
      <c r="J18" s="44" t="s">
        <v>26</v>
      </c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51" t="s">
        <v>27</v>
      </c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</row>
    <row r="19" customHeight="1" spans="1:41">
      <c r="A19" s="48"/>
      <c r="B19" s="49"/>
      <c r="C19" s="52"/>
      <c r="D19" s="40"/>
      <c r="E19" s="41"/>
      <c r="F19" s="42"/>
      <c r="G19" s="42"/>
      <c r="H19" s="42"/>
      <c r="I19" s="40"/>
      <c r="J19" s="61" t="s">
        <v>62</v>
      </c>
      <c r="K19" s="62">
        <v>2</v>
      </c>
      <c r="L19" s="62">
        <v>3</v>
      </c>
      <c r="M19" s="62">
        <v>4</v>
      </c>
      <c r="N19" s="62">
        <v>5</v>
      </c>
      <c r="O19" s="62">
        <v>6</v>
      </c>
      <c r="P19" s="62">
        <v>7</v>
      </c>
      <c r="Q19" s="62">
        <v>8</v>
      </c>
      <c r="R19" s="62">
        <v>9</v>
      </c>
      <c r="S19" s="62">
        <v>10</v>
      </c>
      <c r="T19" s="62">
        <v>11</v>
      </c>
      <c r="U19" s="62">
        <v>12</v>
      </c>
      <c r="V19" s="62">
        <v>13</v>
      </c>
      <c r="W19" s="62">
        <v>14</v>
      </c>
      <c r="X19" s="63">
        <v>15</v>
      </c>
      <c r="Y19" s="63">
        <v>16</v>
      </c>
      <c r="Z19" s="54" t="str">
        <f t="shared" ref="Z19:AO19" si="8">J19</f>
        <v>复测2-4</v>
      </c>
      <c r="AA19" s="54">
        <f t="shared" si="8"/>
        <v>2</v>
      </c>
      <c r="AB19" s="54">
        <f t="shared" si="8"/>
        <v>3</v>
      </c>
      <c r="AC19" s="54">
        <f t="shared" si="8"/>
        <v>4</v>
      </c>
      <c r="AD19" s="54">
        <f t="shared" si="8"/>
        <v>5</v>
      </c>
      <c r="AE19" s="54">
        <f t="shared" si="8"/>
        <v>6</v>
      </c>
      <c r="AF19" s="54">
        <f t="shared" si="8"/>
        <v>7</v>
      </c>
      <c r="AG19" s="54">
        <f t="shared" si="8"/>
        <v>8</v>
      </c>
      <c r="AH19" s="54">
        <f t="shared" si="8"/>
        <v>9</v>
      </c>
      <c r="AI19" s="54">
        <f t="shared" si="8"/>
        <v>10</v>
      </c>
      <c r="AJ19" s="54">
        <f t="shared" si="8"/>
        <v>11</v>
      </c>
      <c r="AK19" s="54">
        <f t="shared" si="8"/>
        <v>12</v>
      </c>
      <c r="AL19" s="54">
        <f t="shared" si="8"/>
        <v>13</v>
      </c>
      <c r="AM19" s="54">
        <f t="shared" si="8"/>
        <v>14</v>
      </c>
      <c r="AN19" s="54">
        <f t="shared" si="8"/>
        <v>15</v>
      </c>
      <c r="AO19" s="54">
        <f t="shared" si="8"/>
        <v>16</v>
      </c>
    </row>
    <row r="20" ht="15" customHeight="1" spans="1:41">
      <c r="A20" s="55">
        <v>46191</v>
      </c>
      <c r="B20" s="56" t="s">
        <v>44</v>
      </c>
      <c r="C20" s="56"/>
      <c r="D20" s="57">
        <v>6.26</v>
      </c>
      <c r="E20" s="57">
        <v>0.015</v>
      </c>
      <c r="F20" s="57">
        <v>-0.015</v>
      </c>
      <c r="G20" s="58">
        <f>D20+E20</f>
        <v>6.275</v>
      </c>
      <c r="H20" s="58">
        <f>D20+F20</f>
        <v>6.245</v>
      </c>
      <c r="I20" s="57" t="s">
        <v>45</v>
      </c>
      <c r="J20" s="59">
        <v>6.2841</v>
      </c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60">
        <f t="shared" ref="Z20:AO20" si="9">IF(J20="","",IF(J20&gt;($D20+$E20),(J20-$D20-$E20),IF(J20&lt;($D20+$F20),(J20-$D20-$F20),"√")))</f>
        <v>0.00909999999999979</v>
      </c>
      <c r="AA20" s="60" t="str">
        <f t="shared" si="9"/>
        <v/>
      </c>
      <c r="AB20" s="60" t="str">
        <f t="shared" si="9"/>
        <v/>
      </c>
      <c r="AC20" s="60" t="str">
        <f t="shared" si="9"/>
        <v/>
      </c>
      <c r="AD20" s="60" t="str">
        <f t="shared" si="9"/>
        <v/>
      </c>
      <c r="AE20" s="60" t="str">
        <f t="shared" si="9"/>
        <v/>
      </c>
      <c r="AF20" s="60" t="str">
        <f t="shared" si="9"/>
        <v/>
      </c>
      <c r="AG20" s="60" t="str">
        <f t="shared" si="9"/>
        <v/>
      </c>
      <c r="AH20" s="60" t="str">
        <f t="shared" si="9"/>
        <v/>
      </c>
      <c r="AI20" s="60" t="str">
        <f t="shared" si="9"/>
        <v/>
      </c>
      <c r="AJ20" s="60" t="str">
        <f t="shared" si="9"/>
        <v/>
      </c>
      <c r="AK20" s="60" t="str">
        <f t="shared" si="9"/>
        <v/>
      </c>
      <c r="AL20" s="60" t="str">
        <f t="shared" si="9"/>
        <v/>
      </c>
      <c r="AM20" s="60" t="str">
        <f t="shared" si="9"/>
        <v/>
      </c>
      <c r="AN20" s="60" t="str">
        <f t="shared" si="9"/>
        <v/>
      </c>
      <c r="AO20" s="60" t="str">
        <f t="shared" si="9"/>
        <v/>
      </c>
    </row>
  </sheetData>
  <mergeCells count="54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1:Y11"/>
    <mergeCell ref="Z11:AO11"/>
    <mergeCell ref="J12:Y12"/>
    <mergeCell ref="Z12:AO12"/>
    <mergeCell ref="J17:Y17"/>
    <mergeCell ref="Z17:AO17"/>
    <mergeCell ref="J18:Y18"/>
    <mergeCell ref="Z18:AO18"/>
    <mergeCell ref="A2:A3"/>
    <mergeCell ref="A4:A6"/>
    <mergeCell ref="A11:A13"/>
    <mergeCell ref="A17:A19"/>
    <mergeCell ref="B4:B6"/>
    <mergeCell ref="B11:B13"/>
    <mergeCell ref="B17:B19"/>
    <mergeCell ref="C4:C6"/>
    <mergeCell ref="C11:C13"/>
    <mergeCell ref="C17:C19"/>
    <mergeCell ref="D4:D6"/>
    <mergeCell ref="D11:D13"/>
    <mergeCell ref="D17:D19"/>
    <mergeCell ref="E4:E6"/>
    <mergeCell ref="E11:E13"/>
    <mergeCell ref="E17:E19"/>
    <mergeCell ref="F4:F6"/>
    <mergeCell ref="F11:F13"/>
    <mergeCell ref="F17:F19"/>
    <mergeCell ref="G4:G6"/>
    <mergeCell ref="G11:G13"/>
    <mergeCell ref="G17:G19"/>
    <mergeCell ref="H4:H6"/>
    <mergeCell ref="H11:H13"/>
    <mergeCell ref="H17:H19"/>
    <mergeCell ref="I4:I6"/>
    <mergeCell ref="I11:I13"/>
    <mergeCell ref="I17:I19"/>
    <mergeCell ref="H2:K3"/>
    <mergeCell ref="L2:R3"/>
    <mergeCell ref="B2:G3"/>
  </mergeCells>
  <conditionalFormatting sqref="J7:Y7">
    <cfRule type="cellIs" dxfId="0" priority="19" operator="notBetween">
      <formula>$G7</formula>
      <formula>$H7</formula>
    </cfRule>
  </conditionalFormatting>
  <conditionalFormatting sqref="J14:Y14">
    <cfRule type="cellIs" dxfId="0" priority="2" operator="notBetween">
      <formula>$G14</formula>
      <formula>$H14</formula>
    </cfRule>
  </conditionalFormatting>
  <conditionalFormatting sqref="J20:Y20">
    <cfRule type="cellIs" dxfId="0" priority="1" operator="notBetween">
      <formula>$G20</formula>
      <formula>$H20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7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806-63639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2026-06-18T17:21:24Z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