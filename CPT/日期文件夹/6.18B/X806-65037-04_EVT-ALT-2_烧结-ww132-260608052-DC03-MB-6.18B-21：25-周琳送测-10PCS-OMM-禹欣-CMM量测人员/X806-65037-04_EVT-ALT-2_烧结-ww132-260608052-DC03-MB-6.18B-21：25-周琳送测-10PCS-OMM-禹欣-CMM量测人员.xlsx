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7" sheetId="8" r:id="rId1"/>
  </sheets>
  <definedNames>
    <definedName name="_xlnm.Print_Area" localSheetId="0">'806-65037'!$B$1:$AE$6</definedName>
    <definedName name="_xlnm.Print_Titles" localSheetId="0">'806-65037'!$1:$6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<sst xmlns="http://schemas.openxmlformats.org/spreadsheetml/2006/main" count="56" uniqueCount="43">
  <si>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安徽中耀智能科技有限公司首件尺寸报告</t>
  </si>
  <si>
    <t>料号</t>
  </si>
  <si>
    <t>806-65037</t>
  </si>
  <si>
    <t>工单号</t>
  </si>
  <si>
    <t>ww132-260608052</t>
  </si>
  <si>
    <t>工站</t>
  </si>
  <si>
    <t>烧结炉号</t>
  </si>
  <si>
    <t>量测机台号</t>
  </si>
  <si>
    <t>测量人员</t>
  </si>
  <si>
    <t>审核</t>
  </si>
  <si>
    <t>烧结</t>
  </si>
  <si>
    <t>DC03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</si>
  <si>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</si>
  <si>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</si>
  <si>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</si>
  <si>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</si>
  <si>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</si>
  <si>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</si>
  <si>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</si>
  <si>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</si>
  <si>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</si>
  <si>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</si>
  <si>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</si>
  <si>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</si>
  <si>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</si>
  <si>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</si>
  <si>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</si>
  <si>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</si>
  <si>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FAI14</t>
  </si>
  <si>
    <t>N</t>
  </si>
  <si>
    <t>OMM</t>
  </si>
  <si>
    <t>FAI16</t>
  </si>
  <si>
    <t>CMM</t>
  </si>
  <si>
    <t>FAI23</t>
  </si>
  <si>
    <t>W</t>
  </si>
  <si>
    <t>FAI24</t>
  </si>
  <si>
    <t>FAI50</t>
  </si>
  <si>
    <t>FAI4</t>
  </si>
  <si>
    <t>D</t>
  </si>
  <si>
    <t>FAI30_Y</t>
  </si>
  <si>
    <t>FAI30_Z</t>
  </si>
  <si>
    <t>FAI30</t>
  </si>
  <si>
    <t>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</si>
</sst>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7" xfId="5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2"/>
  <sheetViews>
    <sheetView tabSelected="1" workbookViewId="0">
      <selection activeCell="J7" sqref="J7:S7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46191</v>
      </c>
      <c r="B7" s="49" t="s">
        <v>28</v>
      </c>
      <c r="C7" s="49" t="s">
        <v>29</v>
      </c>
      <c r="D7" s="50">
        <v>0.5</v>
      </c>
      <c r="E7" s="50">
        <v>0.03</v>
      </c>
      <c r="F7" s="50">
        <v>-0.03</v>
      </c>
      <c r="G7" s="50">
        <f t="shared" ref="G7:G12" si="1">D7+E7</f>
        <v>0.53</v>
      </c>
      <c r="H7" s="50">
        <f t="shared" ref="H7:H12" si="2">D7+F7</f>
        <v>0.47</v>
      </c>
      <c r="I7" s="50" t="s">
        <v>30</v>
      </c>
      <c r="J7" s="51">
        <v>0.4929</v>
      </c>
      <c r="K7" s="51">
        <v>0.487</v>
      </c>
      <c r="L7" s="51">
        <v>0.4858</v>
      </c>
      <c r="M7" s="51">
        <v>0.4815</v>
      </c>
      <c r="N7" s="51">
        <v>0.494</v>
      </c>
      <c r="O7" s="51">
        <v>0.4863</v>
      </c>
      <c r="P7" s="51">
        <v>0.5039</v>
      </c>
      <c r="Q7" s="51">
        <v>0.5045</v>
      </c>
      <c r="R7" s="51">
        <v>0.5</v>
      </c>
      <c r="S7" s="51">
        <v>0.48</v>
      </c>
      <c r="T7" s="51"/>
      <c r="U7" s="51"/>
      <c r="V7" s="51"/>
      <c r="W7" s="51"/>
      <c r="X7" s="51"/>
      <c r="Y7" s="51"/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>√</v>
      </c>
      <c r="AI7" s="52" t="str">
        <f t="shared" si="3"/>
        <v>√</v>
      </c>
      <c r="AJ7" s="52" t="str">
        <f t="shared" si="3"/>
        <v/>
      </c>
      <c r="AK7" s="52" t="str">
        <f t="shared" si="3"/>
        <v/>
      </c>
      <c r="AL7" s="52" t="str">
        <f t="shared" si="3"/>
        <v/>
      </c>
      <c r="AM7" s="52" t="str">
        <f t="shared" si="3"/>
        <v/>
      </c>
      <c r="AN7" s="52" t="str">
        <f t="shared" si="3"/>
        <v/>
      </c>
      <c r="AO7" s="52" t="str">
        <f t="shared" si="3"/>
        <v/>
      </c>
    </row>
    <row r="8" ht="15" customHeight="1" spans="1:41">
      <c r="A8" s="48"/>
      <c r="B8" s="49" t="s">
        <v>31</v>
      </c>
      <c r="C8" s="53"/>
      <c r="D8" s="50">
        <v>8.2</v>
      </c>
      <c r="E8" s="50">
        <v>0.05</v>
      </c>
      <c r="F8" s="50">
        <v>-0.05</v>
      </c>
      <c r="G8" s="50">
        <f t="shared" si="1"/>
        <v>8.25</v>
      </c>
      <c r="H8" s="50">
        <f t="shared" si="2"/>
        <v>8.15</v>
      </c>
      <c r="I8" s="50" t="s">
        <v>32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2" t="str">
        <f t="shared" ref="Z8:AO8" si="4">IF(J8="","",IF(J8&gt;($D8+$E8),(J8-$D8-$E8),IF(J8&lt;($D8+$F8),(J8-$D8-$F8),"√")))</f>
        <v/>
      </c>
      <c r="AA8" s="52" t="str">
        <f t="shared" si="4"/>
        <v/>
      </c>
      <c r="AB8" s="52" t="str">
        <f t="shared" si="4"/>
        <v/>
      </c>
      <c r="AC8" s="52" t="str">
        <f t="shared" si="4"/>
        <v/>
      </c>
      <c r="AD8" s="52" t="str">
        <f t="shared" si="4"/>
        <v/>
      </c>
      <c r="AE8" s="52" t="str">
        <f t="shared" si="4"/>
        <v/>
      </c>
      <c r="AF8" s="52" t="str">
        <f t="shared" si="4"/>
        <v/>
      </c>
      <c r="AG8" s="52" t="str">
        <f t="shared" si="4"/>
        <v/>
      </c>
      <c r="AH8" s="52" t="str">
        <f t="shared" si="4"/>
        <v/>
      </c>
      <c r="AI8" s="52" t="str">
        <f t="shared" si="4"/>
        <v/>
      </c>
      <c r="AJ8" s="52" t="str">
        <f t="shared" si="4"/>
        <v/>
      </c>
      <c r="AK8" s="52" t="str">
        <f t="shared" si="4"/>
        <v/>
      </c>
      <c r="AL8" s="52" t="str">
        <f t="shared" si="4"/>
        <v/>
      </c>
      <c r="AM8" s="52" t="str">
        <f t="shared" si="4"/>
        <v/>
      </c>
      <c r="AN8" s="52" t="str">
        <f t="shared" si="4"/>
        <v/>
      </c>
      <c r="AO8" s="52" t="str">
        <f t="shared" si="4"/>
        <v/>
      </c>
    </row>
    <row r="9" ht="15" customHeight="1" spans="1:41">
      <c r="A9" s="48"/>
      <c r="B9" s="49" t="s">
        <v>33</v>
      </c>
      <c r="C9" s="49" t="s">
        <v>34</v>
      </c>
      <c r="D9" s="50">
        <v>2.76</v>
      </c>
      <c r="E9" s="50">
        <v>0.03</v>
      </c>
      <c r="F9" s="50">
        <v>-0.03</v>
      </c>
      <c r="G9" s="50">
        <f t="shared" si="1"/>
        <v>2.79</v>
      </c>
      <c r="H9" s="50">
        <f t="shared" si="2"/>
        <v>2.73</v>
      </c>
      <c r="I9" s="50" t="s">
        <v>32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2" t="str">
        <f t="shared" ref="Z9:AO9" si="5">IF(J9="","",IF(J9&gt;($D9+$E9),(J9-$D9-$E9),IF(J9&lt;($D9+$F9),(J9-$D9-$F9),"√")))</f>
        <v/>
      </c>
      <c r="AA9" s="52" t="str">
        <f t="shared" si="5"/>
        <v/>
      </c>
      <c r="AB9" s="52" t="str">
        <f t="shared" si="5"/>
        <v/>
      </c>
      <c r="AC9" s="52" t="str">
        <f t="shared" si="5"/>
        <v/>
      </c>
      <c r="AD9" s="52" t="str">
        <f t="shared" si="5"/>
        <v/>
      </c>
      <c r="AE9" s="52" t="str">
        <f t="shared" si="5"/>
        <v/>
      </c>
      <c r="AF9" s="52" t="str">
        <f t="shared" si="5"/>
        <v/>
      </c>
      <c r="AG9" s="52" t="str">
        <f t="shared" si="5"/>
        <v/>
      </c>
      <c r="AH9" s="52" t="str">
        <f t="shared" si="5"/>
        <v/>
      </c>
      <c r="AI9" s="52" t="str">
        <f t="shared" si="5"/>
        <v/>
      </c>
      <c r="AJ9" s="52" t="str">
        <f t="shared" si="5"/>
        <v/>
      </c>
      <c r="AK9" s="52" t="str">
        <f t="shared" si="5"/>
        <v/>
      </c>
      <c r="AL9" s="52" t="str">
        <f t="shared" si="5"/>
        <v/>
      </c>
      <c r="AM9" s="52" t="str">
        <f t="shared" si="5"/>
        <v/>
      </c>
      <c r="AN9" s="52" t="str">
        <f t="shared" si="5"/>
        <v/>
      </c>
      <c r="AO9" s="52" t="str">
        <f t="shared" si="5"/>
        <v/>
      </c>
    </row>
    <row r="10" ht="15" customHeight="1" spans="1:41">
      <c r="A10" s="48"/>
      <c r="B10" s="49" t="s">
        <v>35</v>
      </c>
      <c r="C10" s="53"/>
      <c r="D10" s="50">
        <v>3.6</v>
      </c>
      <c r="E10" s="50">
        <v>0.05</v>
      </c>
      <c r="F10" s="50">
        <v>-0.05</v>
      </c>
      <c r="G10" s="50">
        <f t="shared" si="1"/>
        <v>3.65</v>
      </c>
      <c r="H10" s="50">
        <f t="shared" si="2"/>
        <v>3.55</v>
      </c>
      <c r="I10" s="50" t="s">
        <v>32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/>
      </c>
      <c r="AA10" s="52" t="str">
        <f t="shared" si="6"/>
        <v/>
      </c>
      <c r="AB10" s="52" t="str">
        <f t="shared" si="6"/>
        <v/>
      </c>
      <c r="AC10" s="52" t="str">
        <f t="shared" si="6"/>
        <v/>
      </c>
      <c r="AD10" s="52" t="str">
        <f t="shared" si="6"/>
        <v/>
      </c>
      <c r="AE10" s="52" t="str">
        <f t="shared" si="6"/>
        <v/>
      </c>
      <c r="AF10" s="52" t="str">
        <f t="shared" si="6"/>
        <v/>
      </c>
      <c r="AG10" s="52" t="str">
        <f t="shared" si="6"/>
        <v/>
      </c>
      <c r="AH10" s="52" t="str">
        <f t="shared" si="6"/>
        <v/>
      </c>
      <c r="AI10" s="52" t="str">
        <f t="shared" si="6"/>
        <v/>
      </c>
      <c r="AJ10" s="52" t="str">
        <f t="shared" si="6"/>
        <v/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49" t="s">
        <v>36</v>
      </c>
      <c r="C11" s="49"/>
      <c r="D11" s="50">
        <v>0.6</v>
      </c>
      <c r="E11" s="50">
        <v>0.02</v>
      </c>
      <c r="F11" s="50">
        <v>-0.02</v>
      </c>
      <c r="G11" s="50">
        <f t="shared" si="1"/>
        <v>0.62</v>
      </c>
      <c r="H11" s="50">
        <f t="shared" si="2"/>
        <v>0.58</v>
      </c>
      <c r="I11" s="50" t="s">
        <v>32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/>
      </c>
      <c r="AA11" s="52" t="str">
        <f t="shared" si="7"/>
        <v/>
      </c>
      <c r="AB11" s="52" t="str">
        <f t="shared" si="7"/>
        <v/>
      </c>
      <c r="AC11" s="52" t="str">
        <f t="shared" si="7"/>
        <v/>
      </c>
      <c r="AD11" s="52" t="str">
        <f t="shared" si="7"/>
        <v/>
      </c>
      <c r="AE11" s="52" t="str">
        <f t="shared" si="7"/>
        <v/>
      </c>
      <c r="AF11" s="52" t="str">
        <f t="shared" si="7"/>
        <v/>
      </c>
      <c r="AG11" s="52" t="str">
        <f t="shared" si="7"/>
        <v/>
      </c>
      <c r="AH11" s="52" t="str">
        <f t="shared" si="7"/>
        <v/>
      </c>
      <c r="AI11" s="52" t="str">
        <f t="shared" si="7"/>
        <v/>
      </c>
      <c r="AJ11" s="52" t="str">
        <f t="shared" si="7"/>
        <v/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49" t="s">
        <v>37</v>
      </c>
      <c r="C12" s="49" t="s">
        <v>38</v>
      </c>
      <c r="D12" s="50">
        <v>0</v>
      </c>
      <c r="E12" s="50">
        <v>0.05</v>
      </c>
      <c r="F12" s="50">
        <v>0</v>
      </c>
      <c r="G12" s="50">
        <f t="shared" si="1"/>
        <v>0.05</v>
      </c>
      <c r="H12" s="50">
        <f t="shared" si="2"/>
        <v>0</v>
      </c>
      <c r="I12" s="50" t="s">
        <v>32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2" t="str">
        <f t="shared" ref="Z12:AO12" si="8">IF(J12="","",IF(J12&gt;($D12+$E12),(J12-$D12-$E12),IF(J12&lt;($D12+$F12),(J12-$D12-$F12),"√")))</f>
        <v/>
      </c>
      <c r="AA12" s="52" t="str">
        <f t="shared" si="8"/>
        <v/>
      </c>
      <c r="AB12" s="52" t="str">
        <f t="shared" si="8"/>
        <v/>
      </c>
      <c r="AC12" s="52" t="str">
        <f t="shared" si="8"/>
        <v/>
      </c>
      <c r="AD12" s="52" t="str">
        <f t="shared" si="8"/>
        <v/>
      </c>
      <c r="AE12" s="52" t="str">
        <f t="shared" si="8"/>
        <v/>
      </c>
      <c r="AF12" s="52" t="str">
        <f t="shared" si="8"/>
        <v/>
      </c>
      <c r="AG12" s="52" t="str">
        <f t="shared" si="8"/>
        <v/>
      </c>
      <c r="AH12" s="52" t="str">
        <f t="shared" si="8"/>
        <v/>
      </c>
      <c r="AI12" s="52" t="str">
        <f t="shared" si="8"/>
        <v/>
      </c>
      <c r="AJ12" s="52" t="str">
        <f t="shared" si="8"/>
        <v/>
      </c>
      <c r="AK12" s="52" t="str">
        <f t="shared" si="8"/>
        <v/>
      </c>
      <c r="AL12" s="52" t="str">
        <f t="shared" si="8"/>
        <v/>
      </c>
      <c r="AM12" s="52" t="str">
        <f t="shared" si="8"/>
        <v/>
      </c>
      <c r="AN12" s="52" t="str">
        <f t="shared" si="8"/>
        <v/>
      </c>
      <c r="AO12" s="52" t="str">
        <f t="shared" si="8"/>
        <v/>
      </c>
    </row>
    <row r="13" ht="15" customHeight="1" spans="1:41">
      <c r="A13" s="48"/>
      <c r="B13" s="49">
        <v>1</v>
      </c>
      <c r="C13" s="49"/>
      <c r="D13" s="50"/>
      <c r="E13" s="50"/>
      <c r="F13" s="50"/>
      <c r="G13" s="50"/>
      <c r="H13" s="50"/>
      <c r="I13" s="50" t="s">
        <v>32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</row>
    <row r="14" ht="15" customHeight="1" spans="1:41">
      <c r="A14" s="48"/>
      <c r="B14" s="49">
        <v>2</v>
      </c>
      <c r="C14" s="49"/>
      <c r="D14" s="50"/>
      <c r="E14" s="50"/>
      <c r="F14" s="50"/>
      <c r="G14" s="50"/>
      <c r="H14" s="50"/>
      <c r="I14" s="50" t="s">
        <v>32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</row>
    <row r="15" ht="15" customHeight="1" spans="1:41">
      <c r="A15" s="48"/>
      <c r="B15" s="49">
        <v>3</v>
      </c>
      <c r="C15" s="49"/>
      <c r="D15" s="50"/>
      <c r="E15" s="50"/>
      <c r="F15" s="50"/>
      <c r="G15" s="50"/>
      <c r="H15" s="50"/>
      <c r="I15" s="50" t="s">
        <v>32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</row>
    <row r="16" ht="15" customHeight="1" spans="1:41">
      <c r="A16" s="48"/>
      <c r="B16" s="49">
        <v>4</v>
      </c>
      <c r="C16" s="49"/>
      <c r="D16" s="50"/>
      <c r="E16" s="50"/>
      <c r="F16" s="50"/>
      <c r="G16" s="50"/>
      <c r="H16" s="50"/>
      <c r="I16" s="50" t="s">
        <v>32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</row>
    <row r="17" ht="15" customHeight="1" spans="1:41">
      <c r="A17" s="48"/>
      <c r="B17" s="49">
        <v>5</v>
      </c>
      <c r="C17" s="49"/>
      <c r="D17" s="50"/>
      <c r="E17" s="50"/>
      <c r="F17" s="50"/>
      <c r="G17" s="50"/>
      <c r="H17" s="50"/>
      <c r="I17" s="50" t="s">
        <v>32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</row>
    <row r="18" ht="15" customHeight="1" spans="1:41">
      <c r="A18" s="48"/>
      <c r="B18" s="49">
        <v>6</v>
      </c>
      <c r="C18" s="49"/>
      <c r="D18" s="50"/>
      <c r="E18" s="50"/>
      <c r="F18" s="50"/>
      <c r="G18" s="50"/>
      <c r="H18" s="50"/>
      <c r="I18" s="50" t="s">
        <v>32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</row>
    <row r="19" ht="15" customHeight="1" spans="1:41">
      <c r="A19" s="48"/>
      <c r="B19" s="49" t="s">
        <v>39</v>
      </c>
      <c r="C19" s="49"/>
      <c r="D19" s="50"/>
      <c r="E19" s="50"/>
      <c r="F19" s="50"/>
      <c r="G19" s="50"/>
      <c r="H19" s="50"/>
      <c r="I19" s="50" t="s">
        <v>32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</row>
    <row r="20" ht="15" customHeight="1" spans="1:41">
      <c r="A20" s="48"/>
      <c r="B20" s="49" t="s">
        <v>40</v>
      </c>
      <c r="C20" s="49"/>
      <c r="D20" s="50"/>
      <c r="E20" s="50"/>
      <c r="F20" s="50"/>
      <c r="G20" s="50"/>
      <c r="H20" s="50"/>
      <c r="I20" s="50" t="s">
        <v>32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</row>
    <row r="21" ht="15" customHeight="1" spans="1:41">
      <c r="A21" s="48"/>
      <c r="B21" s="49" t="s">
        <v>41</v>
      </c>
      <c r="C21" s="49" t="s">
        <v>42</v>
      </c>
      <c r="D21" s="50">
        <v>0</v>
      </c>
      <c r="E21" s="50">
        <v>0.1</v>
      </c>
      <c r="F21" s="50">
        <v>0</v>
      </c>
      <c r="G21" s="50">
        <f>D21+E21</f>
        <v>0.1</v>
      </c>
      <c r="H21" s="50">
        <f>D21+F21</f>
        <v>0</v>
      </c>
      <c r="I21" s="50" t="s">
        <v>32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ref="Z21:AO21" si="9">IF(J21="","",IF(J21&gt;($D21+$E21),(J21-$D21-$E21),IF(J21&lt;($D21+$F21),(J21-$D21-$F21),"√")))</f>
        <v/>
      </c>
      <c r="AA21" s="52" t="str">
        <f t="shared" si="9"/>
        <v/>
      </c>
      <c r="AB21" s="52" t="str">
        <f t="shared" si="9"/>
        <v/>
      </c>
      <c r="AC21" s="52" t="str">
        <f t="shared" si="9"/>
        <v/>
      </c>
      <c r="AD21" s="52" t="str">
        <f t="shared" si="9"/>
        <v/>
      </c>
      <c r="AE21" s="52" t="str">
        <f t="shared" si="9"/>
        <v/>
      </c>
      <c r="AF21" s="52" t="str">
        <f t="shared" si="9"/>
        <v/>
      </c>
      <c r="AG21" s="52" t="str">
        <f t="shared" si="9"/>
        <v/>
      </c>
      <c r="AH21" s="52" t="str">
        <f t="shared" si="9"/>
        <v/>
      </c>
      <c r="AI21" s="52" t="str">
        <f t="shared" si="9"/>
        <v/>
      </c>
      <c r="AJ21" s="52" t="str">
        <f t="shared" si="9"/>
        <v/>
      </c>
      <c r="AK21" s="52" t="str">
        <f t="shared" si="9"/>
        <v/>
      </c>
      <c r="AL21" s="52" t="str">
        <f t="shared" si="9"/>
        <v/>
      </c>
      <c r="AM21" s="52" t="str">
        <f t="shared" si="9"/>
        <v/>
      </c>
      <c r="AN21" s="52" t="str">
        <f t="shared" si="9"/>
        <v/>
      </c>
      <c r="AO21" s="52" t="str">
        <f t="shared" si="9"/>
        <v/>
      </c>
    </row>
    <row r="22" spans="1:4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2:AO22"/>
    <mergeCell ref="A2:A3"/>
    <mergeCell ref="A4:A6"/>
    <mergeCell ref="A7:A21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11:Y11">
    <cfRule type="cellIs" dxfId="0" priority="6" operator="notBetween">
      <formula>$G11</formula>
      <formula>$H11</formula>
    </cfRule>
  </conditionalFormatting>
  <conditionalFormatting sqref="J21:Y21">
    <cfRule type="cellIs" dxfId="0" priority="5" operator="notBetween">
      <formula>$G21</formula>
      <formula>$H21</formula>
    </cfRule>
  </conditionalFormatting>
  <conditionalFormatting sqref="J7:Y8 J12:Y12">
    <cfRule type="cellIs" dxfId="0" priority="18" operator="notBetween">
      <formula>$G7</formula>
      <formula>$H7</formula>
    </cfRule>
  </conditionalFormatting>
  <conditionalFormatting sqref="J9:Y10">
    <cfRule type="cellIs" dxfId="0" priority="20" operator="notBetween">
      <formula>$G9</formula>
      <formula>$H9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2026-06-18T16:30:11Z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