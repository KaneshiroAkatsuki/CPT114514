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<sst xmlns="http://schemas.openxmlformats.org/spreadsheetml/2006/main" count="107" uniqueCount="56">
  <si>
    <t>安徽中耀智能科技有限公司首件尺寸报告</t>
  </si>
  <si>
    <t>料号</t>
  </si>
  <si>
    <t>X806-64563</t>
  </si>
  <si>
    <t>工单号</t>
  </si>
  <si>
    <t>ww115-260602013</t>
  </si>
  <si>
    <t>工站</t>
  </si>
  <si>
    <t>射出机台号</t>
  </si>
  <si>
    <t>测量机台</t>
  </si>
  <si>
    <t>测量人员</t>
  </si>
  <si>
    <t>审核</t>
  </si>
  <si>
    <t>射出</t>
  </si>
  <si>
    <t>16#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</si>
  <si>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</si>
  <si>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</si>
  <si>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</si>
  <si>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</si>
  <si>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</si>
  <si>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</si>
  <si>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</si>
  <si>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</si>
  <si>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</si>
  <si>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</si>
  <si>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</si>
  <si>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</si>
  <si>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</si>
  <si>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</si>
  <si>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</si>
  <si>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</si>
  <si>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</si>
  <si>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</si>
  <si>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</si>
  <si>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</si>
  <si>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</si>
  <si>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</si>
  <si>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</si>
  <si>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</si>
  <si>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</si>
  <si>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</si>
  <si>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2-3</t>
  </si>
  <si>
    <t>2-4</t>
  </si>
  <si>
    <t>2-5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</si>
  <si>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</si>
  <si>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</si>
  <si>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</si>
  <si>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</si>
  <si>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</si>
  <si>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</si>
  <si>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</si>
  <si>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</si>
  <si>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</si>
  <si>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</si>
  <si>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</si>
  <si>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</si>
  <si>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</si>
  <si>
    <r>
      <t>复测</t>
    </r>
    <r>
      <rPr>
        <b/>
        <sz val="11"/>
        <rFont val="Arial"/>
        <charset val="134"/>
      </rPr>
      <t>1-2</t>
    </r>
  </si>
  <si>
    <r>
      <t>复测</t>
    </r>
    <r>
      <rPr>
        <b/>
        <sz val="11"/>
        <rFont val="Arial"/>
        <charset val="134"/>
      </rPr>
      <t>1-6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</si>
</sst>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7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8" borderId="20" applyNumberFormat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5" fillId="0" borderId="0"/>
    <xf numFmtId="0" fontId="35" fillId="0" borderId="0"/>
    <xf numFmtId="0" fontId="35" fillId="0" borderId="0">
      <alignment vertical="center"/>
    </xf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/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6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  <xf numFmtId="49" fontId="6" fillId="2" borderId="1" xfId="70" applyNumberFormat="1" applyFont="1" applyFill="1" applyBorder="1" applyAlignment="1" applyProtection="1">
      <alignment horizontal="center" vertical="center" wrapText="1"/>
      <protection locked="0"/>
    </xf>
    <xf numFmtId="177" fontId="13" fillId="4" borderId="14" xfId="0" applyNumberFormat="1" applyFont="1" applyFill="1" applyBorder="1" applyAlignment="1">
      <alignment horizontal="center" vertical="center"/>
    </xf>
    <xf numFmtId="177" fontId="14" fillId="4" borderId="14" xfId="0" applyNumberFormat="1" applyFont="1" applyFill="1" applyBorder="1" applyAlignment="1">
      <alignment horizontal="center" vertical="center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6"/>
  <sheetViews>
    <sheetView tabSelected="1" workbookViewId="0">
      <selection activeCell="N24" sqref="N24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6" t="s">
        <v>42</v>
      </c>
      <c r="Y6" s="46" t="s">
        <v>43</v>
      </c>
      <c r="Z6" s="47" t="str">
        <f t="shared" ref="Z6:AO6" si="0">J6</f>
        <v>1-1</v>
      </c>
      <c r="AA6" s="47" t="str">
        <f t="shared" si="0"/>
        <v>1-2</v>
      </c>
      <c r="AB6" s="47" t="str">
        <f t="shared" si="0"/>
        <v>1-3</v>
      </c>
      <c r="AC6" s="47" t="str">
        <f t="shared" si="0"/>
        <v>1-4</v>
      </c>
      <c r="AD6" s="47" t="str">
        <f t="shared" si="0"/>
        <v>1-5</v>
      </c>
      <c r="AE6" s="47" t="str">
        <f t="shared" si="0"/>
        <v>1-6</v>
      </c>
      <c r="AF6" s="47" t="str">
        <f t="shared" si="0"/>
        <v>1-7</v>
      </c>
      <c r="AG6" s="47" t="str">
        <f t="shared" si="0"/>
        <v>1-8</v>
      </c>
      <c r="AH6" s="47" t="str">
        <f t="shared" si="0"/>
        <v>2-1</v>
      </c>
      <c r="AI6" s="47" t="str">
        <f t="shared" si="0"/>
        <v>2-2</v>
      </c>
      <c r="AJ6" s="47" t="str">
        <f t="shared" si="0"/>
        <v>2-3</v>
      </c>
      <c r="AK6" s="47" t="str">
        <f t="shared" si="0"/>
        <v>2-4</v>
      </c>
      <c r="AL6" s="47" t="str">
        <f t="shared" si="0"/>
        <v>2-5</v>
      </c>
      <c r="AM6" s="47" t="str">
        <f t="shared" si="0"/>
        <v>2-6</v>
      </c>
      <c r="AN6" s="47" t="str">
        <f t="shared" si="0"/>
        <v>2-7</v>
      </c>
      <c r="AO6" s="47" t="str">
        <f t="shared" si="0"/>
        <v>2-8</v>
      </c>
    </row>
    <row r="7" ht="15" customHeight="1" spans="1:41">
      <c r="A7" s="48">
        <v>46190</v>
      </c>
      <c r="B7" s="49" t="s">
        <v>44</v>
      </c>
      <c r="C7" s="49" t="s">
        <v>45</v>
      </c>
      <c r="D7" s="50">
        <v>6.26</v>
      </c>
      <c r="E7" s="50">
        <v>0.025</v>
      </c>
      <c r="F7" s="50">
        <v>-0.025</v>
      </c>
      <c r="G7" s="51">
        <f t="shared" ref="G7:G13" si="1">D7+E7</f>
        <v>6.285</v>
      </c>
      <c r="H7" s="51">
        <f t="shared" ref="H7:H13" si="2">D7+F7</f>
        <v>6.235</v>
      </c>
      <c r="I7" s="50" t="s">
        <v>46</v>
      </c>
      <c r="J7" s="52">
        <v>6.2987</v>
      </c>
      <c r="K7" s="52">
        <v>6.285</v>
      </c>
      <c r="L7" s="52">
        <v>6.3132</v>
      </c>
      <c r="M7" s="52">
        <v>6.286</v>
      </c>
      <c r="N7" s="52">
        <v>6.2902</v>
      </c>
      <c r="O7" s="52">
        <v>6.3567</v>
      </c>
      <c r="P7" s="52">
        <v>6.2759</v>
      </c>
      <c r="Q7" s="52">
        <v>6.2944</v>
      </c>
      <c r="R7" s="52">
        <v>6.2811</v>
      </c>
      <c r="S7" s="52">
        <v>6.3637</v>
      </c>
      <c r="T7" s="52">
        <v>6.2958</v>
      </c>
      <c r="U7" s="52">
        <v>6.2948</v>
      </c>
      <c r="V7" s="52">
        <v>6.2978</v>
      </c>
      <c r="W7" s="52">
        <v>6.3108</v>
      </c>
      <c r="X7" s="52">
        <v>6.3029</v>
      </c>
      <c r="Y7" s="52">
        <v>6.3308</v>
      </c>
      <c r="Z7" s="53">
        <f t="shared" ref="Z7:Z13" si="3">IF(J7="","",IF(J7&gt;($D7+$E7),(J7-$D7-$E7),IF(J7&lt;($D7+$F7),(J7-$D7-$F7),"√")))</f>
        <v>0.0137000000000004</v>
      </c>
      <c r="AA7" s="53" t="str">
        <f t="shared" ref="AA7:AA13" si="4">IF(K7="","",IF(K7&gt;($D7+$E7),(K7-$D7-$E7),IF(K7&lt;($D7+$F7),(K7-$D7-$F7),"√")))</f>
        <v>√</v>
      </c>
      <c r="AB7" s="53">
        <f t="shared" ref="AB7:AO11" si="5">IF(L7="","",IF(L7&gt;($D7+$E7),(L7-$D7-$E7),IF(L7&lt;($D7+$F7),(L7-$D7-$F7),"√")))</f>
        <v>0.0282000000000004</v>
      </c>
      <c r="AC7" s="53">
        <f t="shared" si="5"/>
        <v>0.0009999999999998</v>
      </c>
      <c r="AD7" s="53">
        <f t="shared" si="5"/>
        <v>0.00519999999999978</v>
      </c>
      <c r="AE7" s="53">
        <f t="shared" si="5"/>
        <v>0.0717000000000002</v>
      </c>
      <c r="AF7" s="53" t="str">
        <f t="shared" si="5"/>
        <v>√</v>
      </c>
      <c r="AG7" s="53">
        <f t="shared" si="5"/>
        <v>0.00940000000000065</v>
      </c>
      <c r="AH7" s="53" t="str">
        <f t="shared" si="5"/>
        <v>√</v>
      </c>
      <c r="AI7" s="53">
        <f t="shared" si="5"/>
        <v>0.0786999999999999</v>
      </c>
      <c r="AJ7" s="53">
        <f t="shared" si="5"/>
        <v>0.0108000000000001</v>
      </c>
      <c r="AK7" s="53">
        <f t="shared" si="5"/>
        <v>0.00980000000000061</v>
      </c>
      <c r="AL7" s="53">
        <f t="shared" si="5"/>
        <v>0.0127999999999998</v>
      </c>
      <c r="AM7" s="53">
        <f t="shared" si="5"/>
        <v>0.0258000000000006</v>
      </c>
      <c r="AN7" s="53">
        <f t="shared" si="5"/>
        <v>0.0179000000000004</v>
      </c>
      <c r="AO7" s="53">
        <f t="shared" si="5"/>
        <v>0.0458000000000002</v>
      </c>
    </row>
    <row r="8" ht="15" customHeight="1" spans="1:41">
      <c r="A8" s="54"/>
      <c r="B8" s="49" t="s">
        <v>47</v>
      </c>
      <c r="C8" s="49" t="s">
        <v>48</v>
      </c>
      <c r="D8" s="50">
        <v>2.44</v>
      </c>
      <c r="E8" s="50">
        <v>0.03</v>
      </c>
      <c r="F8" s="50">
        <v>-0.03</v>
      </c>
      <c r="G8" s="51">
        <f t="shared" si="1"/>
        <v>2.47</v>
      </c>
      <c r="H8" s="51">
        <f t="shared" si="2"/>
        <v>2.41</v>
      </c>
      <c r="I8" s="50" t="s">
        <v>46</v>
      </c>
      <c r="J8" s="52">
        <v>2.445</v>
      </c>
      <c r="K8" s="52">
        <v>2.3812</v>
      </c>
      <c r="L8" s="52">
        <v>2.415</v>
      </c>
      <c r="M8" s="52">
        <v>2.4169</v>
      </c>
      <c r="N8" s="52">
        <v>2.4288</v>
      </c>
      <c r="O8" s="52">
        <v>2.4284</v>
      </c>
      <c r="P8" s="52">
        <v>2.4141</v>
      </c>
      <c r="Q8" s="52">
        <v>2.4223</v>
      </c>
      <c r="R8" s="52">
        <v>2.4198</v>
      </c>
      <c r="S8" s="52">
        <v>2.4173</v>
      </c>
      <c r="T8" s="52">
        <v>2.4163</v>
      </c>
      <c r="U8" s="52">
        <v>2.4252</v>
      </c>
      <c r="V8" s="52">
        <v>2.4171</v>
      </c>
      <c r="W8" s="52">
        <v>2.4173</v>
      </c>
      <c r="X8" s="52">
        <v>2.4271</v>
      </c>
      <c r="Y8" s="52">
        <v>2.4214</v>
      </c>
      <c r="Z8" s="53" t="str">
        <f t="shared" si="3"/>
        <v>√</v>
      </c>
      <c r="AA8" s="53">
        <f t="shared" si="4"/>
        <v>-0.0287999999999997</v>
      </c>
      <c r="AB8" s="53" t="str">
        <f t="shared" ref="AB8:AO8" si="6">IF(L8="","",IF(L8&gt;($D8+$E8),(L8-$D8-$E8),IF(L8&lt;($D8+$F8),(L8-$D8-$F8),"√")))</f>
        <v>√</v>
      </c>
      <c r="AC8" s="53" t="str">
        <f t="shared" si="6"/>
        <v>√</v>
      </c>
      <c r="AD8" s="53" t="str">
        <f t="shared" si="6"/>
        <v>√</v>
      </c>
      <c r="AE8" s="53" t="str">
        <f t="shared" si="6"/>
        <v>√</v>
      </c>
      <c r="AF8" s="53" t="str">
        <f t="shared" si="6"/>
        <v>√</v>
      </c>
      <c r="AG8" s="53" t="str">
        <f t="shared" si="6"/>
        <v>√</v>
      </c>
      <c r="AH8" s="53" t="str">
        <f t="shared" si="6"/>
        <v>√</v>
      </c>
      <c r="AI8" s="53" t="str">
        <f t="shared" si="6"/>
        <v>√</v>
      </c>
      <c r="AJ8" s="53" t="str">
        <f t="shared" si="6"/>
        <v>√</v>
      </c>
      <c r="AK8" s="53" t="str">
        <f t="shared" si="6"/>
        <v>√</v>
      </c>
      <c r="AL8" s="53" t="str">
        <f t="shared" si="6"/>
        <v>√</v>
      </c>
      <c r="AM8" s="53" t="str">
        <f t="shared" si="6"/>
        <v>√</v>
      </c>
      <c r="AN8" s="53" t="str">
        <f t="shared" si="6"/>
        <v>√</v>
      </c>
      <c r="AO8" s="53" t="str">
        <f t="shared" si="6"/>
        <v>√</v>
      </c>
    </row>
    <row r="9" ht="15" customHeight="1" spans="1:41">
      <c r="A9" s="54"/>
      <c r="B9" s="49" t="s">
        <v>49</v>
      </c>
      <c r="C9" s="49" t="s">
        <v>48</v>
      </c>
      <c r="D9" s="50">
        <v>2.44</v>
      </c>
      <c r="E9" s="50">
        <v>0.03</v>
      </c>
      <c r="F9" s="50">
        <v>-0.03</v>
      </c>
      <c r="G9" s="51">
        <f t="shared" si="1"/>
        <v>2.47</v>
      </c>
      <c r="H9" s="51">
        <f t="shared" si="2"/>
        <v>2.41</v>
      </c>
      <c r="I9" s="50" t="s">
        <v>46</v>
      </c>
      <c r="J9" s="52">
        <v>2.4046</v>
      </c>
      <c r="K9" s="52">
        <v>2.4047</v>
      </c>
      <c r="L9" s="52">
        <v>2.4037</v>
      </c>
      <c r="M9" s="52">
        <v>2.4079</v>
      </c>
      <c r="N9" s="52">
        <v>2.4256</v>
      </c>
      <c r="O9" s="52">
        <v>2.4235</v>
      </c>
      <c r="P9" s="52">
        <v>2.4157</v>
      </c>
      <c r="Q9" s="52">
        <v>2.4176</v>
      </c>
      <c r="R9" s="52">
        <v>2.4292</v>
      </c>
      <c r="S9" s="52">
        <v>2.4225</v>
      </c>
      <c r="T9" s="52">
        <v>2.4224</v>
      </c>
      <c r="U9" s="52">
        <v>2.4258</v>
      </c>
      <c r="V9" s="52">
        <v>2.4189</v>
      </c>
      <c r="W9" s="52">
        <v>2.4192</v>
      </c>
      <c r="X9" s="52">
        <v>2.4329</v>
      </c>
      <c r="Y9" s="52">
        <v>2.435</v>
      </c>
      <c r="Z9" s="53">
        <f t="shared" si="3"/>
        <v>-0.0054000000000001</v>
      </c>
      <c r="AA9" s="53">
        <f t="shared" si="4"/>
        <v>-0.00529999999999989</v>
      </c>
      <c r="AB9" s="53">
        <f t="shared" ref="AB9:AO9" si="7">IF(L9="","",IF(L9&gt;($D9+$E9),(L9-$D9-$E9),IF(L9&lt;($D9+$F9),(L9-$D9-$F9),"√")))</f>
        <v>-0.00629999999999978</v>
      </c>
      <c r="AC9" s="53">
        <f t="shared" si="7"/>
        <v>-0.0020999999999998</v>
      </c>
      <c r="AD9" s="53" t="str">
        <f t="shared" si="7"/>
        <v>√</v>
      </c>
      <c r="AE9" s="53" t="str">
        <f t="shared" si="7"/>
        <v>√</v>
      </c>
      <c r="AF9" s="53" t="str">
        <f t="shared" si="7"/>
        <v>√</v>
      </c>
      <c r="AG9" s="53" t="str">
        <f t="shared" si="7"/>
        <v>√</v>
      </c>
      <c r="AH9" s="53" t="str">
        <f t="shared" si="7"/>
        <v>√</v>
      </c>
      <c r="AI9" s="53" t="str">
        <f t="shared" si="7"/>
        <v>√</v>
      </c>
      <c r="AJ9" s="53" t="str">
        <f t="shared" si="7"/>
        <v>√</v>
      </c>
      <c r="AK9" s="53" t="str">
        <f t="shared" si="7"/>
        <v>√</v>
      </c>
      <c r="AL9" s="53" t="str">
        <f t="shared" si="7"/>
        <v>√</v>
      </c>
      <c r="AM9" s="53" t="str">
        <f t="shared" si="7"/>
        <v>√</v>
      </c>
      <c r="AN9" s="53" t="str">
        <f t="shared" si="7"/>
        <v>√</v>
      </c>
      <c r="AO9" s="53" t="str">
        <f t="shared" si="7"/>
        <v>√</v>
      </c>
    </row>
    <row r="10" ht="15" customHeight="1" spans="1:41">
      <c r="A10" s="54"/>
      <c r="B10" s="49" t="s">
        <v>50</v>
      </c>
      <c r="C10" s="49"/>
      <c r="D10" s="50">
        <v>0.81</v>
      </c>
      <c r="E10" s="50">
        <v>0.03</v>
      </c>
      <c r="F10" s="50">
        <v>-0.03</v>
      </c>
      <c r="G10" s="51">
        <f t="shared" ref="G10:G11" si="8">D10+E10</f>
        <v>0.84</v>
      </c>
      <c r="H10" s="51">
        <f t="shared" ref="H10:H11" si="9">D10+F10</f>
        <v>0.78</v>
      </c>
      <c r="I10" s="50" t="s">
        <v>46</v>
      </c>
      <c r="J10" s="52">
        <v>0.7826</v>
      </c>
      <c r="K10" s="52">
        <v>0.7906</v>
      </c>
      <c r="L10" s="52">
        <v>0.7948</v>
      </c>
      <c r="M10" s="52">
        <v>0.783</v>
      </c>
      <c r="N10" s="52">
        <v>0.7835</v>
      </c>
      <c r="O10" s="52">
        <v>0.7908</v>
      </c>
      <c r="P10" s="52">
        <v>0.7899</v>
      </c>
      <c r="Q10" s="52">
        <v>0.7832</v>
      </c>
      <c r="R10" s="52">
        <v>0.7898</v>
      </c>
      <c r="S10" s="52">
        <v>0.7895</v>
      </c>
      <c r="T10" s="52">
        <v>0.7875</v>
      </c>
      <c r="U10" s="52">
        <v>0.7808</v>
      </c>
      <c r="V10" s="52">
        <v>0.7926</v>
      </c>
      <c r="W10" s="52">
        <v>0.7942</v>
      </c>
      <c r="X10" s="52">
        <v>0.7802</v>
      </c>
      <c r="Y10" s="52">
        <v>0.7827</v>
      </c>
      <c r="Z10" s="53" t="str">
        <f t="shared" ref="Z10:Z11" si="10">IF(J10="","",IF(J10&gt;($D10+$E10),(J10-$D10-$E10),IF(J10&lt;($D10+$F10),(J10-$D10-$F10),"√")))</f>
        <v>√</v>
      </c>
      <c r="AA10" s="53" t="str">
        <f t="shared" ref="AA10:AA11" si="11">IF(K10="","",IF(K10&gt;($D10+$E10),(K10-$D10-$E10),IF(K10&lt;($D10+$F10),(K10-$D10-$F10),"√")))</f>
        <v>√</v>
      </c>
      <c r="AB10" s="53" t="str">
        <f t="shared" ref="AB10:AB13" si="12">IF(L10="","",IF(L10&gt;($D10+$E10),(L10-$D10-$E10),IF(L10&lt;($D10+$F10),(L10-$D10-$F10),"√")))</f>
        <v>√</v>
      </c>
      <c r="AC10" s="53" t="str">
        <f t="shared" si="5"/>
        <v>√</v>
      </c>
      <c r="AD10" s="53" t="str">
        <f t="shared" si="5"/>
        <v>√</v>
      </c>
      <c r="AE10" s="53" t="str">
        <f t="shared" si="5"/>
        <v>√</v>
      </c>
      <c r="AF10" s="53" t="str">
        <f t="shared" si="5"/>
        <v>√</v>
      </c>
      <c r="AG10" s="53" t="str">
        <f t="shared" si="5"/>
        <v>√</v>
      </c>
      <c r="AH10" s="53" t="str">
        <f t="shared" si="5"/>
        <v>√</v>
      </c>
      <c r="AI10" s="53" t="str">
        <f t="shared" si="5"/>
        <v>√</v>
      </c>
      <c r="AJ10" s="53" t="str">
        <f t="shared" si="5"/>
        <v>√</v>
      </c>
      <c r="AK10" s="53" t="str">
        <f t="shared" si="5"/>
        <v>√</v>
      </c>
      <c r="AL10" s="53" t="str">
        <f t="shared" si="5"/>
        <v>√</v>
      </c>
      <c r="AM10" s="53" t="str">
        <f t="shared" si="5"/>
        <v>√</v>
      </c>
      <c r="AN10" s="53" t="str">
        <f t="shared" si="5"/>
        <v>√</v>
      </c>
      <c r="AO10" s="53" t="str">
        <f t="shared" si="5"/>
        <v>√</v>
      </c>
    </row>
    <row r="11" ht="15" customHeight="1" spans="1:41">
      <c r="A11" s="54"/>
      <c r="B11" s="49" t="s">
        <v>51</v>
      </c>
      <c r="C11" s="49"/>
      <c r="D11" s="50">
        <v>0.81</v>
      </c>
      <c r="E11" s="50">
        <v>0.03</v>
      </c>
      <c r="F11" s="50">
        <v>-0.03</v>
      </c>
      <c r="G11" s="51">
        <f t="shared" si="8"/>
        <v>0.84</v>
      </c>
      <c r="H11" s="51">
        <f t="shared" si="9"/>
        <v>0.78</v>
      </c>
      <c r="I11" s="50" t="s">
        <v>46</v>
      </c>
      <c r="J11" s="52">
        <v>0.7851</v>
      </c>
      <c r="K11" s="52">
        <v>0.789</v>
      </c>
      <c r="L11" s="52">
        <v>0.7908</v>
      </c>
      <c r="M11" s="52">
        <v>0.7812</v>
      </c>
      <c r="N11" s="52">
        <v>0.7892</v>
      </c>
      <c r="O11" s="52">
        <v>0.7912</v>
      </c>
      <c r="P11" s="52">
        <v>0.7858</v>
      </c>
      <c r="Q11" s="52">
        <v>0.7922</v>
      </c>
      <c r="R11" s="52">
        <v>0.7814</v>
      </c>
      <c r="S11" s="52">
        <v>0.7944</v>
      </c>
      <c r="T11" s="52">
        <v>0.7828</v>
      </c>
      <c r="U11" s="52">
        <v>0.7851</v>
      </c>
      <c r="V11" s="52">
        <v>0.7927</v>
      </c>
      <c r="W11" s="52">
        <v>0.7956</v>
      </c>
      <c r="X11" s="52">
        <v>0.7824</v>
      </c>
      <c r="Y11" s="52">
        <v>0.7807</v>
      </c>
      <c r="Z11" s="53" t="str">
        <f t="shared" si="10"/>
        <v>√</v>
      </c>
      <c r="AA11" s="53" t="str">
        <f t="shared" si="11"/>
        <v>√</v>
      </c>
      <c r="AB11" s="53" t="str">
        <f t="shared" si="12"/>
        <v>√</v>
      </c>
      <c r="AC11" s="53" t="str">
        <f t="shared" si="5"/>
        <v>√</v>
      </c>
      <c r="AD11" s="53" t="str">
        <f t="shared" si="5"/>
        <v>√</v>
      </c>
      <c r="AE11" s="53" t="str">
        <f t="shared" si="5"/>
        <v>√</v>
      </c>
      <c r="AF11" s="53" t="str">
        <f t="shared" si="5"/>
        <v>√</v>
      </c>
      <c r="AG11" s="53" t="str">
        <f t="shared" si="5"/>
        <v>√</v>
      </c>
      <c r="AH11" s="53" t="str">
        <f t="shared" si="5"/>
        <v>√</v>
      </c>
      <c r="AI11" s="53" t="str">
        <f t="shared" si="5"/>
        <v>√</v>
      </c>
      <c r="AJ11" s="53" t="str">
        <f t="shared" si="5"/>
        <v>√</v>
      </c>
      <c r="AK11" s="53" t="str">
        <f t="shared" si="5"/>
        <v>√</v>
      </c>
      <c r="AL11" s="53" t="str">
        <f t="shared" si="5"/>
        <v>√</v>
      </c>
      <c r="AM11" s="53" t="str">
        <f t="shared" si="5"/>
        <v>√</v>
      </c>
      <c r="AN11" s="53" t="str">
        <f t="shared" si="5"/>
        <v>√</v>
      </c>
      <c r="AO11" s="53" t="str">
        <f t="shared" si="5"/>
        <v>√</v>
      </c>
    </row>
    <row r="12" ht="15" customHeight="1" spans="1:41">
      <c r="A12" s="54"/>
      <c r="B12" s="49" t="s">
        <v>52</v>
      </c>
      <c r="C12" s="49"/>
      <c r="D12" s="50">
        <v>2.03</v>
      </c>
      <c r="E12" s="50">
        <v>0.05</v>
      </c>
      <c r="F12" s="50">
        <v>-0.05</v>
      </c>
      <c r="G12" s="51">
        <f t="shared" si="1"/>
        <v>2.08</v>
      </c>
      <c r="H12" s="51">
        <f t="shared" si="2"/>
        <v>1.98</v>
      </c>
      <c r="I12" s="50" t="s">
        <v>46</v>
      </c>
      <c r="J12" s="52">
        <v>1.9879</v>
      </c>
      <c r="K12" s="52">
        <v>2.009</v>
      </c>
      <c r="L12" s="52">
        <v>1.9958</v>
      </c>
      <c r="M12" s="52">
        <v>1.9962</v>
      </c>
      <c r="N12" s="52">
        <v>1.9744</v>
      </c>
      <c r="O12" s="52">
        <v>1.9641</v>
      </c>
      <c r="P12" s="52">
        <v>1.9932</v>
      </c>
      <c r="Q12" s="52">
        <v>1.9844</v>
      </c>
      <c r="R12" s="52">
        <v>2.0413</v>
      </c>
      <c r="S12" s="52">
        <v>2.0044</v>
      </c>
      <c r="T12" s="52">
        <v>2.0069</v>
      </c>
      <c r="U12" s="52">
        <v>2.0144</v>
      </c>
      <c r="V12" s="52">
        <v>2.0112</v>
      </c>
      <c r="W12" s="52">
        <v>2.0128</v>
      </c>
      <c r="X12" s="52">
        <v>1.9995</v>
      </c>
      <c r="Y12" s="52">
        <v>1.9994</v>
      </c>
      <c r="Z12" s="53" t="str">
        <f t="shared" si="3"/>
        <v>√</v>
      </c>
      <c r="AA12" s="53" t="str">
        <f t="shared" si="4"/>
        <v>√</v>
      </c>
      <c r="AB12" s="53" t="str">
        <f t="shared" si="12"/>
        <v>√</v>
      </c>
      <c r="AC12" s="53" t="str">
        <f t="shared" ref="AC12:AO12" si="13">IF(M12="","",IF(M12&gt;($D12+$E12),(M12-$D12-$E12),IF(M12&lt;($D12+$F12),(M12-$D12-$F12),"√")))</f>
        <v>√</v>
      </c>
      <c r="AD12" s="53">
        <f t="shared" si="13"/>
        <v>-0.00559999999999987</v>
      </c>
      <c r="AE12" s="53">
        <f t="shared" si="13"/>
        <v>-0.0158999999999998</v>
      </c>
      <c r="AF12" s="53" t="str">
        <f t="shared" si="13"/>
        <v>√</v>
      </c>
      <c r="AG12" s="53" t="str">
        <f t="shared" si="13"/>
        <v>√</v>
      </c>
      <c r="AH12" s="53" t="str">
        <f t="shared" si="13"/>
        <v>√</v>
      </c>
      <c r="AI12" s="53" t="str">
        <f t="shared" si="13"/>
        <v>√</v>
      </c>
      <c r="AJ12" s="53" t="str">
        <f t="shared" si="13"/>
        <v>√</v>
      </c>
      <c r="AK12" s="53" t="str">
        <f t="shared" si="13"/>
        <v>√</v>
      </c>
      <c r="AL12" s="53" t="str">
        <f t="shared" si="13"/>
        <v>√</v>
      </c>
      <c r="AM12" s="53" t="str">
        <f t="shared" si="13"/>
        <v>√</v>
      </c>
      <c r="AN12" s="53" t="str">
        <f t="shared" si="13"/>
        <v>√</v>
      </c>
      <c r="AO12" s="53" t="str">
        <f t="shared" si="13"/>
        <v>√</v>
      </c>
    </row>
    <row r="13" ht="15" customHeight="1" spans="1:41">
      <c r="A13" s="55"/>
      <c r="B13" s="49" t="s">
        <v>53</v>
      </c>
      <c r="C13" s="49"/>
      <c r="D13" s="50">
        <v>2.03</v>
      </c>
      <c r="E13" s="50">
        <v>0.05</v>
      </c>
      <c r="F13" s="50">
        <v>-0.05</v>
      </c>
      <c r="G13" s="51">
        <f t="shared" si="1"/>
        <v>2.08</v>
      </c>
      <c r="H13" s="51">
        <f t="shared" si="2"/>
        <v>1.98</v>
      </c>
      <c r="I13" s="50" t="s">
        <v>46</v>
      </c>
      <c r="J13" s="52">
        <v>1.9921</v>
      </c>
      <c r="K13" s="52">
        <v>1.9965</v>
      </c>
      <c r="L13" s="52">
        <v>1.9936</v>
      </c>
      <c r="M13" s="52">
        <v>1.9978</v>
      </c>
      <c r="N13" s="52">
        <v>1.9829</v>
      </c>
      <c r="O13" s="52">
        <v>1.9812</v>
      </c>
      <c r="P13" s="52">
        <v>1.9969</v>
      </c>
      <c r="Q13" s="52">
        <v>1.9902</v>
      </c>
      <c r="R13" s="52">
        <v>1.9926</v>
      </c>
      <c r="S13" s="52">
        <v>1.9987</v>
      </c>
      <c r="T13" s="52">
        <v>2.0082</v>
      </c>
      <c r="U13" s="52">
        <v>2.0134</v>
      </c>
      <c r="V13" s="52">
        <v>2.0043</v>
      </c>
      <c r="W13" s="52">
        <v>1.9981</v>
      </c>
      <c r="X13" s="52">
        <v>2.0056</v>
      </c>
      <c r="Y13" s="52">
        <v>2.0053</v>
      </c>
      <c r="Z13" s="53" t="str">
        <f t="shared" si="3"/>
        <v>√</v>
      </c>
      <c r="AA13" s="53" t="str">
        <f t="shared" si="4"/>
        <v>√</v>
      </c>
      <c r="AB13" s="53" t="str">
        <f t="shared" si="12"/>
        <v>√</v>
      </c>
      <c r="AC13" s="53" t="str">
        <f t="shared" ref="AC13:AO13" si="14">IF(M13="","",IF(M13&gt;($D13+$E13),(M13-$D13-$E13),IF(M13&lt;($D13+$F13),(M13-$D13-$F13),"√")))</f>
        <v>√</v>
      </c>
      <c r="AD13" s="53" t="str">
        <f t="shared" si="14"/>
        <v>√</v>
      </c>
      <c r="AE13" s="53" t="str">
        <f t="shared" si="14"/>
        <v>√</v>
      </c>
      <c r="AF13" s="53" t="str">
        <f t="shared" si="14"/>
        <v>√</v>
      </c>
      <c r="AG13" s="53" t="str">
        <f t="shared" si="14"/>
        <v>√</v>
      </c>
      <c r="AH13" s="53" t="str">
        <f t="shared" si="14"/>
        <v>√</v>
      </c>
      <c r="AI13" s="53" t="str">
        <f t="shared" si="14"/>
        <v>√</v>
      </c>
      <c r="AJ13" s="53" t="str">
        <f t="shared" si="14"/>
        <v>√</v>
      </c>
      <c r="AK13" s="53" t="str">
        <f t="shared" si="14"/>
        <v>√</v>
      </c>
      <c r="AL13" s="53" t="str">
        <f t="shared" si="14"/>
        <v>√</v>
      </c>
      <c r="AM13" s="53" t="str">
        <f t="shared" si="14"/>
        <v>√</v>
      </c>
      <c r="AN13" s="53" t="str">
        <f t="shared" si="14"/>
        <v>√</v>
      </c>
      <c r="AO13" s="53" t="str">
        <f t="shared" si="14"/>
        <v>√</v>
      </c>
    </row>
    <row r="17" customHeight="1" spans="1:41">
      <c r="A17" s="31" t="s">
        <v>15</v>
      </c>
      <c r="B17" s="31" t="s">
        <v>16</v>
      </c>
      <c r="C17" s="32" t="s">
        <v>17</v>
      </c>
      <c r="D17" s="33" t="s">
        <v>18</v>
      </c>
      <c r="E17" s="34" t="s">
        <v>19</v>
      </c>
      <c r="F17" s="35" t="s">
        <v>20</v>
      </c>
      <c r="G17" s="35" t="s">
        <v>21</v>
      </c>
      <c r="H17" s="35" t="s">
        <v>22</v>
      </c>
      <c r="I17" s="36" t="s">
        <v>23</v>
      </c>
      <c r="J17" s="37" t="s">
        <v>24</v>
      </c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 t="s">
        <v>25</v>
      </c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40"/>
    </row>
    <row r="18" ht="13.5" customHeight="1" spans="1:41">
      <c r="A18" s="41"/>
      <c r="B18" s="42"/>
      <c r="C18" s="43"/>
      <c r="D18" s="33"/>
      <c r="E18" s="34"/>
      <c r="F18" s="35"/>
      <c r="G18" s="35"/>
      <c r="H18" s="35"/>
      <c r="I18" s="33"/>
      <c r="J18" s="37" t="s">
        <v>26</v>
      </c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44" t="s">
        <v>27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</row>
    <row r="19" customHeight="1" spans="1:41">
      <c r="A19" s="41"/>
      <c r="B19" s="42"/>
      <c r="C19" s="45"/>
      <c r="D19" s="33"/>
      <c r="E19" s="34"/>
      <c r="F19" s="35"/>
      <c r="G19" s="35"/>
      <c r="H19" s="35"/>
      <c r="I19" s="33"/>
      <c r="J19" s="56" t="s">
        <v>54</v>
      </c>
      <c r="K19" s="56" t="s">
        <v>55</v>
      </c>
      <c r="L19" s="46" t="s">
        <v>30</v>
      </c>
      <c r="M19" s="46" t="s">
        <v>31</v>
      </c>
      <c r="N19" s="46" t="s">
        <v>32</v>
      </c>
      <c r="O19" s="46" t="s">
        <v>33</v>
      </c>
      <c r="P19" s="46" t="s">
        <v>34</v>
      </c>
      <c r="Q19" s="46" t="s">
        <v>35</v>
      </c>
      <c r="R19" s="46" t="s">
        <v>36</v>
      </c>
      <c r="S19" s="46" t="s">
        <v>37</v>
      </c>
      <c r="T19" s="46" t="s">
        <v>38</v>
      </c>
      <c r="U19" s="46" t="s">
        <v>39</v>
      </c>
      <c r="V19" s="46" t="s">
        <v>40</v>
      </c>
      <c r="W19" s="46" t="s">
        <v>41</v>
      </c>
      <c r="X19" s="46" t="s">
        <v>42</v>
      </c>
      <c r="Y19" s="46" t="s">
        <v>43</v>
      </c>
      <c r="Z19" s="47" t="str">
        <f t="shared" ref="Z19:AO19" si="15">J19</f>
        <v>复测1-2</v>
      </c>
      <c r="AA19" s="47" t="str">
        <f t="shared" si="15"/>
        <v>复测1-6</v>
      </c>
      <c r="AB19" s="47" t="str">
        <f t="shared" si="15"/>
        <v>1-3</v>
      </c>
      <c r="AC19" s="47" t="str">
        <f t="shared" si="15"/>
        <v>1-4</v>
      </c>
      <c r="AD19" s="47" t="str">
        <f t="shared" si="15"/>
        <v>1-5</v>
      </c>
      <c r="AE19" s="47" t="str">
        <f t="shared" si="15"/>
        <v>1-6</v>
      </c>
      <c r="AF19" s="47" t="str">
        <f t="shared" si="15"/>
        <v>1-7</v>
      </c>
      <c r="AG19" s="47" t="str">
        <f t="shared" si="15"/>
        <v>1-8</v>
      </c>
      <c r="AH19" s="47" t="str">
        <f t="shared" si="15"/>
        <v>2-1</v>
      </c>
      <c r="AI19" s="47" t="str">
        <f t="shared" si="15"/>
        <v>2-2</v>
      </c>
      <c r="AJ19" s="47" t="str">
        <f t="shared" si="15"/>
        <v>2-3</v>
      </c>
      <c r="AK19" s="47" t="str">
        <f t="shared" si="15"/>
        <v>2-4</v>
      </c>
      <c r="AL19" s="47" t="str">
        <f t="shared" si="15"/>
        <v>2-5</v>
      </c>
      <c r="AM19" s="47" t="str">
        <f t="shared" si="15"/>
        <v>2-6</v>
      </c>
      <c r="AN19" s="47" t="str">
        <f t="shared" si="15"/>
        <v>2-7</v>
      </c>
      <c r="AO19" s="47" t="str">
        <f t="shared" si="15"/>
        <v>2-8</v>
      </c>
    </row>
    <row r="20" ht="15" customHeight="1" spans="1:41">
      <c r="A20" s="48">
        <v>46190</v>
      </c>
      <c r="B20" s="49" t="s">
        <v>44</v>
      </c>
      <c r="C20" s="49" t="s">
        <v>45</v>
      </c>
      <c r="D20" s="50">
        <v>6.26</v>
      </c>
      <c r="E20" s="50">
        <v>0.025</v>
      </c>
      <c r="F20" s="50">
        <v>-0.025</v>
      </c>
      <c r="G20" s="51">
        <f t="shared" ref="G20:G26" si="16">D20+E20</f>
        <v>6.285</v>
      </c>
      <c r="H20" s="51">
        <f t="shared" ref="H20:H26" si="17">D20+F20</f>
        <v>6.235</v>
      </c>
      <c r="I20" s="50" t="s">
        <v>46</v>
      </c>
      <c r="J20" s="52">
        <v>6.2841</v>
      </c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3" t="str">
        <f t="shared" ref="Z20:AO20" si="18">IF(J20="","",IF(J20&gt;($D20+$E20),(J20-$D20-$E20),IF(J20&lt;($D20+$F20),(J20-$D20-$F20),"√")))</f>
        <v>√</v>
      </c>
      <c r="AA20" s="53" t="str">
        <f t="shared" si="18"/>
        <v/>
      </c>
      <c r="AB20" s="53" t="str">
        <f t="shared" si="18"/>
        <v/>
      </c>
      <c r="AC20" s="53" t="str">
        <f t="shared" si="18"/>
        <v/>
      </c>
      <c r="AD20" s="53" t="str">
        <f t="shared" si="18"/>
        <v/>
      </c>
      <c r="AE20" s="53" t="str">
        <f t="shared" si="18"/>
        <v/>
      </c>
      <c r="AF20" s="53" t="str">
        <f t="shared" si="18"/>
        <v/>
      </c>
      <c r="AG20" s="53" t="str">
        <f t="shared" si="18"/>
        <v/>
      </c>
      <c r="AH20" s="53" t="str">
        <f t="shared" si="18"/>
        <v/>
      </c>
      <c r="AI20" s="53" t="str">
        <f t="shared" si="18"/>
        <v/>
      </c>
      <c r="AJ20" s="53" t="str">
        <f t="shared" si="18"/>
        <v/>
      </c>
      <c r="AK20" s="53" t="str">
        <f t="shared" si="18"/>
        <v/>
      </c>
      <c r="AL20" s="53" t="str">
        <f t="shared" si="18"/>
        <v/>
      </c>
      <c r="AM20" s="53" t="str">
        <f t="shared" si="18"/>
        <v/>
      </c>
      <c r="AN20" s="53" t="str">
        <f t="shared" si="18"/>
        <v/>
      </c>
      <c r="AO20" s="53" t="str">
        <f t="shared" si="18"/>
        <v/>
      </c>
    </row>
    <row r="21" ht="15" customHeight="1" spans="1:41">
      <c r="A21" s="54"/>
      <c r="B21" s="49" t="s">
        <v>47</v>
      </c>
      <c r="C21" s="49" t="s">
        <v>48</v>
      </c>
      <c r="D21" s="50">
        <v>2.44</v>
      </c>
      <c r="E21" s="50">
        <v>0.03</v>
      </c>
      <c r="F21" s="50">
        <v>-0.03</v>
      </c>
      <c r="G21" s="51">
        <f t="shared" si="16"/>
        <v>2.47</v>
      </c>
      <c r="H21" s="51">
        <f t="shared" si="17"/>
        <v>2.41</v>
      </c>
      <c r="I21" s="50" t="s">
        <v>46</v>
      </c>
      <c r="J21" s="52">
        <v>2.3836</v>
      </c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3">
        <f t="shared" ref="Z21:AO21" si="19">IF(J21="","",IF(J21&gt;($D21+$E21),(J21-$D21-$E21),IF(J21&lt;($D21+$F21),(J21-$D21-$F21),"√")))</f>
        <v>-0.0264</v>
      </c>
      <c r="AA21" s="53" t="str">
        <f t="shared" si="19"/>
        <v/>
      </c>
      <c r="AB21" s="53" t="str">
        <f t="shared" si="19"/>
        <v/>
      </c>
      <c r="AC21" s="53" t="str">
        <f t="shared" si="19"/>
        <v/>
      </c>
      <c r="AD21" s="53" t="str">
        <f t="shared" si="19"/>
        <v/>
      </c>
      <c r="AE21" s="53" t="str">
        <f t="shared" si="19"/>
        <v/>
      </c>
      <c r="AF21" s="53" t="str">
        <f t="shared" si="19"/>
        <v/>
      </c>
      <c r="AG21" s="53" t="str">
        <f t="shared" si="19"/>
        <v/>
      </c>
      <c r="AH21" s="53" t="str">
        <f t="shared" si="19"/>
        <v/>
      </c>
      <c r="AI21" s="53" t="str">
        <f t="shared" si="19"/>
        <v/>
      </c>
      <c r="AJ21" s="53" t="str">
        <f t="shared" si="19"/>
        <v/>
      </c>
      <c r="AK21" s="53" t="str">
        <f t="shared" si="19"/>
        <v/>
      </c>
      <c r="AL21" s="53" t="str">
        <f t="shared" si="19"/>
        <v/>
      </c>
      <c r="AM21" s="53" t="str">
        <f t="shared" si="19"/>
        <v/>
      </c>
      <c r="AN21" s="53" t="str">
        <f t="shared" si="19"/>
        <v/>
      </c>
      <c r="AO21" s="53" t="str">
        <f t="shared" si="19"/>
        <v/>
      </c>
    </row>
    <row r="22" ht="15" customHeight="1" spans="1:41">
      <c r="A22" s="54"/>
      <c r="B22" s="49" t="s">
        <v>49</v>
      </c>
      <c r="C22" s="49" t="s">
        <v>48</v>
      </c>
      <c r="D22" s="50">
        <v>2.44</v>
      </c>
      <c r="E22" s="50">
        <v>0.03</v>
      </c>
      <c r="F22" s="50">
        <v>-0.03</v>
      </c>
      <c r="G22" s="51">
        <f t="shared" si="16"/>
        <v>2.47</v>
      </c>
      <c r="H22" s="51">
        <f t="shared" si="17"/>
        <v>2.41</v>
      </c>
      <c r="I22" s="50" t="s">
        <v>46</v>
      </c>
      <c r="J22" s="52">
        <v>2.401</v>
      </c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>
        <f t="shared" ref="Z22:AO22" si="20">IF(J22="","",IF(J22&gt;($D22+$E22),(J22-$D22-$E22),IF(J22&lt;($D22+$F22),(J22-$D22-$F22),"√")))</f>
        <v>-0.00900000000000015</v>
      </c>
      <c r="AA22" s="53" t="str">
        <f t="shared" si="20"/>
        <v/>
      </c>
      <c r="AB22" s="53" t="str">
        <f t="shared" si="20"/>
        <v/>
      </c>
      <c r="AC22" s="53" t="str">
        <f t="shared" si="20"/>
        <v/>
      </c>
      <c r="AD22" s="53" t="str">
        <f t="shared" si="20"/>
        <v/>
      </c>
      <c r="AE22" s="53" t="str">
        <f t="shared" si="20"/>
        <v/>
      </c>
      <c r="AF22" s="53" t="str">
        <f t="shared" si="20"/>
        <v/>
      </c>
      <c r="AG22" s="53" t="str">
        <f t="shared" si="20"/>
        <v/>
      </c>
      <c r="AH22" s="53" t="str">
        <f t="shared" si="20"/>
        <v/>
      </c>
      <c r="AI22" s="53" t="str">
        <f t="shared" si="20"/>
        <v/>
      </c>
      <c r="AJ22" s="53" t="str">
        <f t="shared" si="20"/>
        <v/>
      </c>
      <c r="AK22" s="53" t="str">
        <f t="shared" si="20"/>
        <v/>
      </c>
      <c r="AL22" s="53" t="str">
        <f t="shared" si="20"/>
        <v/>
      </c>
      <c r="AM22" s="53" t="str">
        <f t="shared" si="20"/>
        <v/>
      </c>
      <c r="AN22" s="53" t="str">
        <f t="shared" si="20"/>
        <v/>
      </c>
      <c r="AO22" s="53" t="str">
        <f t="shared" si="20"/>
        <v/>
      </c>
    </row>
    <row r="23" ht="15" customHeight="1" spans="1:41">
      <c r="A23" s="54"/>
      <c r="B23" s="49" t="s">
        <v>50</v>
      </c>
      <c r="C23" s="49"/>
      <c r="D23" s="50">
        <v>0.81</v>
      </c>
      <c r="E23" s="50">
        <v>0.03</v>
      </c>
      <c r="F23" s="50">
        <v>-0.03</v>
      </c>
      <c r="G23" s="51">
        <f t="shared" si="16"/>
        <v>0.84</v>
      </c>
      <c r="H23" s="51">
        <f t="shared" si="17"/>
        <v>0.78</v>
      </c>
      <c r="I23" s="50" t="s">
        <v>46</v>
      </c>
      <c r="J23" s="52"/>
      <c r="K23" s="57">
        <v>0.7922</v>
      </c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3" t="str">
        <f t="shared" ref="Z23:AO23" si="21">IF(J23="","",IF(J23&gt;($D23+$E23),(J23-$D23-$E23),IF(J23&lt;($D23+$F23),(J23-$D23-$F23),"√")))</f>
        <v/>
      </c>
      <c r="AA23" s="53" t="str">
        <f t="shared" si="21"/>
        <v>√</v>
      </c>
      <c r="AB23" s="53" t="str">
        <f t="shared" si="21"/>
        <v/>
      </c>
      <c r="AC23" s="53" t="str">
        <f t="shared" si="21"/>
        <v/>
      </c>
      <c r="AD23" s="53" t="str">
        <f t="shared" si="21"/>
        <v/>
      </c>
      <c r="AE23" s="53" t="str">
        <f t="shared" si="21"/>
        <v/>
      </c>
      <c r="AF23" s="53" t="str">
        <f t="shared" si="21"/>
        <v/>
      </c>
      <c r="AG23" s="53" t="str">
        <f t="shared" si="21"/>
        <v/>
      </c>
      <c r="AH23" s="53" t="str">
        <f t="shared" si="21"/>
        <v/>
      </c>
      <c r="AI23" s="53" t="str">
        <f t="shared" si="21"/>
        <v/>
      </c>
      <c r="AJ23" s="53" t="str">
        <f t="shared" si="21"/>
        <v/>
      </c>
      <c r="AK23" s="53" t="str">
        <f t="shared" si="21"/>
        <v/>
      </c>
      <c r="AL23" s="53" t="str">
        <f t="shared" si="21"/>
        <v/>
      </c>
      <c r="AM23" s="53" t="str">
        <f t="shared" si="21"/>
        <v/>
      </c>
      <c r="AN23" s="53" t="str">
        <f t="shared" si="21"/>
        <v/>
      </c>
      <c r="AO23" s="53" t="str">
        <f t="shared" si="21"/>
        <v/>
      </c>
    </row>
    <row r="24" ht="15" customHeight="1" spans="1:41">
      <c r="A24" s="54"/>
      <c r="B24" s="49" t="s">
        <v>51</v>
      </c>
      <c r="C24" s="49"/>
      <c r="D24" s="50">
        <v>0.81</v>
      </c>
      <c r="E24" s="50">
        <v>0.03</v>
      </c>
      <c r="F24" s="50">
        <v>-0.03</v>
      </c>
      <c r="G24" s="51">
        <f t="shared" si="16"/>
        <v>0.84</v>
      </c>
      <c r="H24" s="51">
        <f t="shared" si="17"/>
        <v>0.78</v>
      </c>
      <c r="I24" s="50" t="s">
        <v>46</v>
      </c>
      <c r="J24" s="52"/>
      <c r="K24" s="57">
        <v>0.7938</v>
      </c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3" t="str">
        <f t="shared" ref="Z24:AO24" si="22">IF(J24="","",IF(J24&gt;($D24+$E24),(J24-$D24-$E24),IF(J24&lt;($D24+$F24),(J24-$D24-$F24),"√")))</f>
        <v/>
      </c>
      <c r="AA24" s="53" t="str">
        <f t="shared" si="22"/>
        <v>√</v>
      </c>
      <c r="AB24" s="53" t="str">
        <f t="shared" si="22"/>
        <v/>
      </c>
      <c r="AC24" s="53" t="str">
        <f t="shared" si="22"/>
        <v/>
      </c>
      <c r="AD24" s="53" t="str">
        <f t="shared" si="22"/>
        <v/>
      </c>
      <c r="AE24" s="53" t="str">
        <f t="shared" si="22"/>
        <v/>
      </c>
      <c r="AF24" s="53" t="str">
        <f t="shared" si="22"/>
        <v/>
      </c>
      <c r="AG24" s="53" t="str">
        <f t="shared" si="22"/>
        <v/>
      </c>
      <c r="AH24" s="53" t="str">
        <f t="shared" si="22"/>
        <v/>
      </c>
      <c r="AI24" s="53" t="str">
        <f t="shared" si="22"/>
        <v/>
      </c>
      <c r="AJ24" s="53" t="str">
        <f t="shared" si="22"/>
        <v/>
      </c>
      <c r="AK24" s="53" t="str">
        <f t="shared" si="22"/>
        <v/>
      </c>
      <c r="AL24" s="53" t="str">
        <f t="shared" si="22"/>
        <v/>
      </c>
      <c r="AM24" s="53" t="str">
        <f t="shared" si="22"/>
        <v/>
      </c>
      <c r="AN24" s="53" t="str">
        <f t="shared" si="22"/>
        <v/>
      </c>
      <c r="AO24" s="53" t="str">
        <f t="shared" si="22"/>
        <v/>
      </c>
    </row>
    <row r="25" ht="15" customHeight="1" spans="1:41">
      <c r="A25" s="54"/>
      <c r="B25" s="49" t="s">
        <v>52</v>
      </c>
      <c r="C25" s="49"/>
      <c r="D25" s="50">
        <v>2.03</v>
      </c>
      <c r="E25" s="50">
        <v>0.05</v>
      </c>
      <c r="F25" s="50">
        <v>-0.05</v>
      </c>
      <c r="G25" s="51">
        <f t="shared" si="16"/>
        <v>2.08</v>
      </c>
      <c r="H25" s="51">
        <f t="shared" si="17"/>
        <v>1.98</v>
      </c>
      <c r="I25" s="50" t="s">
        <v>46</v>
      </c>
      <c r="J25" s="52"/>
      <c r="K25" s="58">
        <v>1.9612</v>
      </c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3" t="str">
        <f t="shared" ref="Z25:AO25" si="23">IF(J25="","",IF(J25&gt;($D25+$E25),(J25-$D25-$E25),IF(J25&lt;($D25+$F25),(J25-$D25-$F25),"√")))</f>
        <v/>
      </c>
      <c r="AA25" s="53">
        <f t="shared" si="23"/>
        <v>-0.0187999999999997</v>
      </c>
      <c r="AB25" s="53" t="str">
        <f t="shared" si="23"/>
        <v/>
      </c>
      <c r="AC25" s="53" t="str">
        <f t="shared" si="23"/>
        <v/>
      </c>
      <c r="AD25" s="53" t="str">
        <f t="shared" si="23"/>
        <v/>
      </c>
      <c r="AE25" s="53" t="str">
        <f t="shared" si="23"/>
        <v/>
      </c>
      <c r="AF25" s="53" t="str">
        <f t="shared" si="23"/>
        <v/>
      </c>
      <c r="AG25" s="53" t="str">
        <f t="shared" si="23"/>
        <v/>
      </c>
      <c r="AH25" s="53" t="str">
        <f t="shared" si="23"/>
        <v/>
      </c>
      <c r="AI25" s="53" t="str">
        <f t="shared" si="23"/>
        <v/>
      </c>
      <c r="AJ25" s="53" t="str">
        <f t="shared" si="23"/>
        <v/>
      </c>
      <c r="AK25" s="53" t="str">
        <f t="shared" si="23"/>
        <v/>
      </c>
      <c r="AL25" s="53" t="str">
        <f t="shared" si="23"/>
        <v/>
      </c>
      <c r="AM25" s="53" t="str">
        <f t="shared" si="23"/>
        <v/>
      </c>
      <c r="AN25" s="53" t="str">
        <f t="shared" si="23"/>
        <v/>
      </c>
      <c r="AO25" s="53" t="str">
        <f t="shared" si="23"/>
        <v/>
      </c>
    </row>
    <row r="26" ht="15" customHeight="1" spans="1:41">
      <c r="A26" s="55"/>
      <c r="B26" s="49" t="s">
        <v>53</v>
      </c>
      <c r="C26" s="49"/>
      <c r="D26" s="50">
        <v>2.03</v>
      </c>
      <c r="E26" s="50">
        <v>0.05</v>
      </c>
      <c r="F26" s="50">
        <v>-0.05</v>
      </c>
      <c r="G26" s="51">
        <f t="shared" si="16"/>
        <v>2.08</v>
      </c>
      <c r="H26" s="51">
        <f t="shared" si="17"/>
        <v>1.98</v>
      </c>
      <c r="I26" s="50" t="s">
        <v>46</v>
      </c>
      <c r="J26" s="52"/>
      <c r="K26" s="57">
        <v>1.981</v>
      </c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3" t="str">
        <f t="shared" ref="Z26:AO26" si="24">IF(J26="","",IF(J26&gt;($D26+$E26),(J26-$D26-$E26),IF(J26&lt;($D26+$F26),(J26-$D26-$F26),"√")))</f>
        <v/>
      </c>
      <c r="AA26" s="53" t="str">
        <f t="shared" si="24"/>
        <v>√</v>
      </c>
      <c r="AB26" s="53" t="str">
        <f t="shared" si="24"/>
        <v/>
      </c>
      <c r="AC26" s="53" t="str">
        <f t="shared" si="24"/>
        <v/>
      </c>
      <c r="AD26" s="53" t="str">
        <f t="shared" si="24"/>
        <v/>
      </c>
      <c r="AE26" s="53" t="str">
        <f t="shared" si="24"/>
        <v/>
      </c>
      <c r="AF26" s="53" t="str">
        <f t="shared" si="24"/>
        <v/>
      </c>
      <c r="AG26" s="53" t="str">
        <f t="shared" si="24"/>
        <v/>
      </c>
      <c r="AH26" s="53" t="str">
        <f t="shared" si="24"/>
        <v/>
      </c>
      <c r="AI26" s="53" t="str">
        <f t="shared" si="24"/>
        <v/>
      </c>
      <c r="AJ26" s="53" t="str">
        <f t="shared" si="24"/>
        <v/>
      </c>
      <c r="AK26" s="53" t="str">
        <f t="shared" si="24"/>
        <v/>
      </c>
      <c r="AL26" s="53" t="str">
        <f t="shared" si="24"/>
        <v/>
      </c>
      <c r="AM26" s="53" t="str">
        <f t="shared" si="24"/>
        <v/>
      </c>
      <c r="AN26" s="53" t="str">
        <f t="shared" si="24"/>
        <v/>
      </c>
      <c r="AO26" s="53" t="str">
        <f t="shared" si="24"/>
        <v/>
      </c>
    </row>
  </sheetData>
  <mergeCells count="43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7:Y17"/>
    <mergeCell ref="Z17:AO17"/>
    <mergeCell ref="J18:Y18"/>
    <mergeCell ref="Z18:AO18"/>
    <mergeCell ref="A2:A3"/>
    <mergeCell ref="A4:A6"/>
    <mergeCell ref="A7:A13"/>
    <mergeCell ref="A17:A19"/>
    <mergeCell ref="A20:A26"/>
    <mergeCell ref="B4:B6"/>
    <mergeCell ref="B17:B19"/>
    <mergeCell ref="C4:C6"/>
    <mergeCell ref="C17:C19"/>
    <mergeCell ref="D4:D6"/>
    <mergeCell ref="D17:D19"/>
    <mergeCell ref="E4:E6"/>
    <mergeCell ref="E17:E19"/>
    <mergeCell ref="F4:F6"/>
    <mergeCell ref="F17:F19"/>
    <mergeCell ref="G4:G6"/>
    <mergeCell ref="G17:G19"/>
    <mergeCell ref="H4:H6"/>
    <mergeCell ref="H17:H19"/>
    <mergeCell ref="I4:I6"/>
    <mergeCell ref="I17:I19"/>
    <mergeCell ref="B2:G3"/>
    <mergeCell ref="H2:K3"/>
    <mergeCell ref="L2:R3"/>
  </mergeCells>
  <conditionalFormatting sqref="J20:J22">
    <cfRule type="cellIs" dxfId="0" priority="1" operator="notBetween">
      <formula>$G20</formula>
      <formula>$H20</formula>
    </cfRule>
  </conditionalFormatting>
  <conditionalFormatting sqref="J12:Y13 J7:Y9">
    <cfRule type="cellIs" dxfId="0" priority="21" operator="notBetween">
      <formula>$G7</formula>
      <formula>$H7</formula>
    </cfRule>
  </conditionalFormatting>
  <conditionalFormatting sqref="J10:Y11">
    <cfRule type="cellIs" dxfId="0" priority="4" operator="notBetween">
      <formula>$G10</formula>
      <formula>$H10</formula>
    </cfRule>
  </conditionalFormatting>
  <conditionalFormatting sqref="K20:Y22 J25:Y26">
    <cfRule type="cellIs" dxfId="0" priority="3" operator="notBetween">
      <formula>$G20</formula>
      <formula>$H20</formula>
    </cfRule>
  </conditionalFormatting>
  <conditionalFormatting sqref="J23:Y24">
    <cfRule type="cellIs" dxfId="0" priority="2" operator="notBetween">
      <formula>$G23</formula>
      <formula>$H23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12:AO13 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2026-06-17T21:26:14Z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