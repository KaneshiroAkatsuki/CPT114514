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<sst xmlns="http://schemas.openxmlformats.org/spreadsheetml/2006/main" count="91" uniqueCount="54">
  <si>
    <t>安徽中耀智能科技有限公司首件尺寸报告</t>
  </si>
  <si>
    <t>料号</t>
  </si>
  <si>
    <t>X806-64563</t>
  </si>
  <si>
    <t>工单号</t>
  </si>
  <si>
    <t>WW115-260602013</t>
  </si>
  <si>
    <t>工站</t>
  </si>
  <si>
    <t>射出机台号</t>
  </si>
  <si>
    <t>测量机台</t>
  </si>
  <si>
    <t>测量人员</t>
  </si>
  <si>
    <t>审核</t>
  </si>
  <si>
    <t>射出</t>
  </si>
  <si>
    <t>16#</t>
  </si>
  <si>
    <t>OMM5#</t>
  </si>
  <si>
    <t>禹欣</t>
  </si>
  <si>
    <t>王婷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</si>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</sst>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0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/>
      <protection locked="0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7"/>
  <sheetViews>
    <sheetView tabSelected="1" topLeftCell="D1" workbookViewId="0">
      <selection activeCell="K26" sqref="K26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 t="s">
        <v>42</v>
      </c>
      <c r="Y6" s="46" t="s">
        <v>43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2-1</v>
      </c>
      <c r="AI6" s="47" t="str">
        <f t="shared" si="0"/>
        <v>2-2</v>
      </c>
      <c r="AJ6" s="47" t="str">
        <f t="shared" si="0"/>
        <v>2-3</v>
      </c>
      <c r="AK6" s="47" t="str">
        <f t="shared" si="0"/>
        <v>2-4</v>
      </c>
      <c r="AL6" s="47" t="str">
        <f t="shared" si="0"/>
        <v>2-5</v>
      </c>
      <c r="AM6" s="47" t="str">
        <f t="shared" si="0"/>
        <v>2-6</v>
      </c>
      <c r="AN6" s="47" t="str">
        <f t="shared" si="0"/>
        <v>2-7</v>
      </c>
      <c r="AO6" s="47" t="str">
        <f t="shared" si="0"/>
        <v>2-8</v>
      </c>
    </row>
    <row r="7" ht="15" customHeight="1" spans="1:41">
      <c r="A7" s="48">
        <v>46190</v>
      </c>
      <c r="B7" s="49" t="s">
        <v>44</v>
      </c>
      <c r="C7" s="49" t="s">
        <v>45</v>
      </c>
      <c r="D7" s="50">
        <v>6.26</v>
      </c>
      <c r="E7" s="50">
        <v>0.025</v>
      </c>
      <c r="F7" s="50">
        <v>-0.025</v>
      </c>
      <c r="G7" s="51">
        <f t="shared" ref="G7:G13" si="1">D7+E7</f>
        <v>6.285</v>
      </c>
      <c r="H7" s="51">
        <f t="shared" ref="H7:H13" si="2">D7+F7</f>
        <v>6.235</v>
      </c>
      <c r="I7" s="50" t="s">
        <v>46</v>
      </c>
      <c r="J7" s="52">
        <v>6.2413</v>
      </c>
      <c r="K7" s="52">
        <v>6.2838</v>
      </c>
      <c r="L7" s="52">
        <v>6.2822</v>
      </c>
      <c r="M7" s="52">
        <v>6.2492</v>
      </c>
      <c r="N7" s="52">
        <v>6.2761</v>
      </c>
      <c r="O7" s="52">
        <v>6.2673</v>
      </c>
      <c r="P7" s="52">
        <v>6.2522</v>
      </c>
      <c r="Q7" s="52">
        <v>6.2708</v>
      </c>
      <c r="R7" s="52">
        <v>6.285</v>
      </c>
      <c r="S7" s="52">
        <v>6.2848</v>
      </c>
      <c r="T7" s="52">
        <v>6.2538</v>
      </c>
      <c r="U7" s="52">
        <v>6.2827</v>
      </c>
      <c r="V7" s="52">
        <v>6.2694</v>
      </c>
      <c r="W7" s="52">
        <v>6.2795</v>
      </c>
      <c r="X7" s="52">
        <v>6.2727</v>
      </c>
      <c r="Y7" s="52">
        <v>6.2822</v>
      </c>
      <c r="Z7" s="53" t="str">
        <f t="shared" ref="Z7:Z13" si="3">IF(J7="","",IF(J7&gt;($D7+$E7),(J7-$D7-$E7),IF(J7&lt;($D7+$F7),(J7-$D7-$F7),"√")))</f>
        <v>√</v>
      </c>
      <c r="AA7" s="53" t="str">
        <f t="shared" ref="AA7:AA13" si="4">IF(K7="","",IF(K7&gt;($D7+$E7),(K7-$D7-$E7),IF(K7&lt;($D7+$F7),(K7-$D7-$F7),"√")))</f>
        <v>√</v>
      </c>
      <c r="AB7" s="53" t="str">
        <f t="shared" ref="AB7:AO11" si="5">IF(L7="","",IF(L7&gt;($D7+$E7),(L7-$D7-$E7),IF(L7&lt;($D7+$F7),(L7-$D7-$F7),"√")))</f>
        <v>√</v>
      </c>
      <c r="AC7" s="53" t="str">
        <f t="shared" si="5"/>
        <v>√</v>
      </c>
      <c r="AD7" s="53" t="str">
        <f t="shared" si="5"/>
        <v>√</v>
      </c>
      <c r="AE7" s="53" t="str">
        <f t="shared" si="5"/>
        <v>√</v>
      </c>
      <c r="AF7" s="53" t="str">
        <f t="shared" si="5"/>
        <v>√</v>
      </c>
      <c r="AG7" s="53" t="str">
        <f t="shared" si="5"/>
        <v>√</v>
      </c>
      <c r="AH7" s="53" t="str">
        <f t="shared" si="5"/>
        <v>√</v>
      </c>
      <c r="AI7" s="53" t="str">
        <f t="shared" si="5"/>
        <v>√</v>
      </c>
      <c r="AJ7" s="53" t="str">
        <f t="shared" si="5"/>
        <v>√</v>
      </c>
      <c r="AK7" s="53" t="str">
        <f t="shared" si="5"/>
        <v>√</v>
      </c>
      <c r="AL7" s="53" t="str">
        <f t="shared" si="5"/>
        <v>√</v>
      </c>
      <c r="AM7" s="53" t="str">
        <f t="shared" si="5"/>
        <v>√</v>
      </c>
      <c r="AN7" s="53" t="str">
        <f t="shared" si="5"/>
        <v>√</v>
      </c>
      <c r="AO7" s="53" t="str">
        <f t="shared" si="5"/>
        <v>√</v>
      </c>
    </row>
    <row r="8" ht="15" customHeight="1" spans="1:41">
      <c r="A8" s="54"/>
      <c r="B8" s="49" t="s">
        <v>47</v>
      </c>
      <c r="C8" s="49" t="s">
        <v>48</v>
      </c>
      <c r="D8" s="50">
        <v>2.44</v>
      </c>
      <c r="E8" s="50">
        <v>0.03</v>
      </c>
      <c r="F8" s="50">
        <v>-0.03</v>
      </c>
      <c r="G8" s="51">
        <f t="shared" si="1"/>
        <v>2.47</v>
      </c>
      <c r="H8" s="51">
        <f t="shared" si="2"/>
        <v>2.41</v>
      </c>
      <c r="I8" s="50" t="s">
        <v>46</v>
      </c>
      <c r="J8" s="52">
        <v>2.4286</v>
      </c>
      <c r="K8" s="52">
        <v>2.4327</v>
      </c>
      <c r="L8" s="52">
        <v>2.4169</v>
      </c>
      <c r="M8" s="52">
        <v>2.4201</v>
      </c>
      <c r="N8" s="52">
        <v>2.4179</v>
      </c>
      <c r="O8" s="52">
        <v>2.4325</v>
      </c>
      <c r="P8" s="52">
        <v>2.4223</v>
      </c>
      <c r="Q8" s="52">
        <v>2.4322</v>
      </c>
      <c r="R8" s="52">
        <v>2.4298</v>
      </c>
      <c r="S8" s="52">
        <v>2.4187</v>
      </c>
      <c r="T8" s="52">
        <v>2.4303</v>
      </c>
      <c r="U8" s="52">
        <v>2.4348</v>
      </c>
      <c r="V8" s="52">
        <v>2.4221</v>
      </c>
      <c r="W8" s="52">
        <v>2.418</v>
      </c>
      <c r="X8" s="52">
        <v>2.4152</v>
      </c>
      <c r="Y8" s="52">
        <v>2.4151</v>
      </c>
      <c r="Z8" s="53" t="str">
        <f t="shared" si="3"/>
        <v>√</v>
      </c>
      <c r="AA8" s="53" t="str">
        <f t="shared" si="4"/>
        <v>√</v>
      </c>
      <c r="AB8" s="53" t="str">
        <f t="shared" ref="AB8:AO8" si="6">IF(L8="","",IF(L8&gt;($D8+$E8),(L8-$D8-$E8),IF(L8&lt;($D8+$F8),(L8-$D8-$F8),"√")))</f>
        <v>√</v>
      </c>
      <c r="AC8" s="53" t="str">
        <f t="shared" si="6"/>
        <v>√</v>
      </c>
      <c r="AD8" s="53" t="str">
        <f t="shared" si="6"/>
        <v>√</v>
      </c>
      <c r="AE8" s="53" t="str">
        <f t="shared" si="6"/>
        <v>√</v>
      </c>
      <c r="AF8" s="53" t="str">
        <f t="shared" si="6"/>
        <v>√</v>
      </c>
      <c r="AG8" s="53" t="str">
        <f t="shared" si="6"/>
        <v>√</v>
      </c>
      <c r="AH8" s="53" t="str">
        <f t="shared" si="6"/>
        <v>√</v>
      </c>
      <c r="AI8" s="53" t="str">
        <f t="shared" si="6"/>
        <v>√</v>
      </c>
      <c r="AJ8" s="53" t="str">
        <f t="shared" si="6"/>
        <v>√</v>
      </c>
      <c r="AK8" s="53" t="str">
        <f t="shared" si="6"/>
        <v>√</v>
      </c>
      <c r="AL8" s="53" t="str">
        <f t="shared" si="6"/>
        <v>√</v>
      </c>
      <c r="AM8" s="53" t="str">
        <f t="shared" si="6"/>
        <v>√</v>
      </c>
      <c r="AN8" s="53" t="str">
        <f t="shared" si="6"/>
        <v>√</v>
      </c>
      <c r="AO8" s="53" t="str">
        <f t="shared" si="6"/>
        <v>√</v>
      </c>
    </row>
    <row r="9" ht="15" customHeight="1" spans="1:41">
      <c r="A9" s="54"/>
      <c r="B9" s="49" t="s">
        <v>49</v>
      </c>
      <c r="C9" s="49" t="s">
        <v>48</v>
      </c>
      <c r="D9" s="50">
        <v>2.44</v>
      </c>
      <c r="E9" s="50">
        <v>0.03</v>
      </c>
      <c r="F9" s="50">
        <v>-0.03</v>
      </c>
      <c r="G9" s="51">
        <f t="shared" si="1"/>
        <v>2.47</v>
      </c>
      <c r="H9" s="51">
        <f t="shared" si="2"/>
        <v>2.41</v>
      </c>
      <c r="I9" s="50" t="s">
        <v>46</v>
      </c>
      <c r="J9" s="52">
        <v>2.4315</v>
      </c>
      <c r="K9" s="52">
        <v>2.4308</v>
      </c>
      <c r="L9" s="52">
        <v>2.4222</v>
      </c>
      <c r="M9" s="52">
        <v>2.4147</v>
      </c>
      <c r="N9" s="52">
        <v>2.4131</v>
      </c>
      <c r="O9" s="52">
        <v>2.4253</v>
      </c>
      <c r="P9" s="52">
        <v>2.428</v>
      </c>
      <c r="Q9" s="52">
        <v>2.4429</v>
      </c>
      <c r="R9" s="52">
        <v>2.4328</v>
      </c>
      <c r="S9" s="52">
        <v>2.4294</v>
      </c>
      <c r="T9" s="52">
        <v>2.4231</v>
      </c>
      <c r="U9" s="52">
        <v>2.4294</v>
      </c>
      <c r="V9" s="52">
        <v>2.4151</v>
      </c>
      <c r="W9" s="52">
        <v>2.4103</v>
      </c>
      <c r="X9" s="52">
        <v>2.4101</v>
      </c>
      <c r="Y9" s="52">
        <v>2.4106</v>
      </c>
      <c r="Z9" s="53" t="str">
        <f t="shared" si="3"/>
        <v>√</v>
      </c>
      <c r="AA9" s="53" t="str">
        <f t="shared" si="4"/>
        <v>√</v>
      </c>
      <c r="AB9" s="53" t="str">
        <f t="shared" ref="AB9:AO9" si="7">IF(L9="","",IF(L9&gt;($D9+$E9),(L9-$D9-$E9),IF(L9&lt;($D9+$F9),(L9-$D9-$F9),"√")))</f>
        <v>√</v>
      </c>
      <c r="AC9" s="53" t="str">
        <f t="shared" si="7"/>
        <v>√</v>
      </c>
      <c r="AD9" s="53" t="str">
        <f t="shared" si="7"/>
        <v>√</v>
      </c>
      <c r="AE9" s="53" t="str">
        <f t="shared" si="7"/>
        <v>√</v>
      </c>
      <c r="AF9" s="53" t="str">
        <f t="shared" si="7"/>
        <v>√</v>
      </c>
      <c r="AG9" s="53" t="str">
        <f t="shared" si="7"/>
        <v>√</v>
      </c>
      <c r="AH9" s="53" t="str">
        <f t="shared" si="7"/>
        <v>√</v>
      </c>
      <c r="AI9" s="53" t="str">
        <f t="shared" si="7"/>
        <v>√</v>
      </c>
      <c r="AJ9" s="53" t="str">
        <f t="shared" si="7"/>
        <v>√</v>
      </c>
      <c r="AK9" s="53" t="str">
        <f t="shared" si="7"/>
        <v>√</v>
      </c>
      <c r="AL9" s="53" t="str">
        <f t="shared" si="7"/>
        <v>√</v>
      </c>
      <c r="AM9" s="53" t="str">
        <f t="shared" si="7"/>
        <v>√</v>
      </c>
      <c r="AN9" s="53" t="str">
        <f t="shared" si="7"/>
        <v>√</v>
      </c>
      <c r="AO9" s="53" t="str">
        <f t="shared" si="7"/>
        <v>√</v>
      </c>
    </row>
    <row r="10" ht="15" customHeight="1" spans="1:41">
      <c r="A10" s="54"/>
      <c r="B10" s="49" t="s">
        <v>50</v>
      </c>
      <c r="C10" s="49"/>
      <c r="D10" s="50">
        <v>0.81</v>
      </c>
      <c r="E10" s="50">
        <v>0.03</v>
      </c>
      <c r="F10" s="50">
        <v>-0.03</v>
      </c>
      <c r="G10" s="51">
        <f t="shared" ref="G10:G11" si="8">D10+E10</f>
        <v>0.84</v>
      </c>
      <c r="H10" s="51">
        <f t="shared" ref="H10:H11" si="9">D10+F10</f>
        <v>0.78</v>
      </c>
      <c r="I10" s="50" t="s">
        <v>46</v>
      </c>
      <c r="J10" s="52">
        <v>0.7968</v>
      </c>
      <c r="K10" s="52">
        <v>0.7821</v>
      </c>
      <c r="L10" s="52">
        <v>0.7935</v>
      </c>
      <c r="M10" s="52">
        <v>0.7985</v>
      </c>
      <c r="N10" s="52">
        <v>0.802</v>
      </c>
      <c r="O10" s="52">
        <v>0.8116</v>
      </c>
      <c r="P10" s="52">
        <v>0.7954</v>
      </c>
      <c r="Q10" s="52">
        <v>0.7995</v>
      </c>
      <c r="R10" s="52">
        <v>0.782</v>
      </c>
      <c r="S10" s="52">
        <v>0.7945</v>
      </c>
      <c r="T10" s="52">
        <v>0.7969</v>
      </c>
      <c r="U10" s="52">
        <v>0.7863</v>
      </c>
      <c r="V10" s="52">
        <v>0.7974</v>
      </c>
      <c r="W10" s="52">
        <v>0.7954</v>
      </c>
      <c r="X10" s="52">
        <v>0.7941</v>
      </c>
      <c r="Y10" s="52">
        <v>0.7947</v>
      </c>
      <c r="Z10" s="53" t="str">
        <f t="shared" ref="Z10:Z11" si="10">IF(J10="","",IF(J10&gt;($D10+$E10),(J10-$D10-$E10),IF(J10&lt;($D10+$F10),(J10-$D10-$F10),"√")))</f>
        <v>√</v>
      </c>
      <c r="AA10" s="53" t="str">
        <f t="shared" ref="AA10:AA11" si="11">IF(K10="","",IF(K10&gt;($D10+$E10),(K10-$D10-$E10),IF(K10&lt;($D10+$F10),(K10-$D10-$F10),"√")))</f>
        <v>√</v>
      </c>
      <c r="AB10" s="53" t="str">
        <f t="shared" ref="AB10:AB13" si="12">IF(L10="","",IF(L10&gt;($D10+$E10),(L10-$D10-$E10),IF(L10&lt;($D10+$F10),(L10-$D10-$F10),"√")))</f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>√</v>
      </c>
      <c r="AG10" s="53" t="str">
        <f t="shared" si="5"/>
        <v>√</v>
      </c>
      <c r="AH10" s="53" t="str">
        <f t="shared" si="5"/>
        <v>√</v>
      </c>
      <c r="AI10" s="53" t="str">
        <f t="shared" si="5"/>
        <v>√</v>
      </c>
      <c r="AJ10" s="53" t="str">
        <f t="shared" si="5"/>
        <v>√</v>
      </c>
      <c r="AK10" s="53" t="str">
        <f t="shared" si="5"/>
        <v>√</v>
      </c>
      <c r="AL10" s="53" t="str">
        <f t="shared" si="5"/>
        <v>√</v>
      </c>
      <c r="AM10" s="53" t="str">
        <f t="shared" si="5"/>
        <v>√</v>
      </c>
      <c r="AN10" s="53" t="str">
        <f t="shared" si="5"/>
        <v>√</v>
      </c>
      <c r="AO10" s="53" t="str">
        <f t="shared" si="5"/>
        <v>√</v>
      </c>
    </row>
    <row r="11" ht="15" customHeight="1" spans="1:41">
      <c r="A11" s="54"/>
      <c r="B11" s="49" t="s">
        <v>51</v>
      </c>
      <c r="C11" s="49"/>
      <c r="D11" s="50">
        <v>0.81</v>
      </c>
      <c r="E11" s="50">
        <v>0.03</v>
      </c>
      <c r="F11" s="50">
        <v>-0.03</v>
      </c>
      <c r="G11" s="51">
        <f t="shared" si="8"/>
        <v>0.84</v>
      </c>
      <c r="H11" s="51">
        <f t="shared" si="9"/>
        <v>0.78</v>
      </c>
      <c r="I11" s="50" t="s">
        <v>46</v>
      </c>
      <c r="J11" s="52">
        <v>0.7986</v>
      </c>
      <c r="K11" s="52">
        <v>0.7927</v>
      </c>
      <c r="L11" s="52">
        <v>0.8054</v>
      </c>
      <c r="M11" s="52">
        <v>0.8008</v>
      </c>
      <c r="N11" s="52">
        <v>0.803</v>
      </c>
      <c r="O11" s="52">
        <v>0.8252</v>
      </c>
      <c r="P11" s="52">
        <v>0.7981</v>
      </c>
      <c r="Q11" s="52">
        <v>0.7928</v>
      </c>
      <c r="R11" s="52">
        <v>0.7978</v>
      </c>
      <c r="S11" s="52">
        <v>0.7982</v>
      </c>
      <c r="T11" s="52">
        <v>0.7985</v>
      </c>
      <c r="U11" s="52">
        <v>0.8245</v>
      </c>
      <c r="V11" s="52">
        <v>0.7969</v>
      </c>
      <c r="W11" s="52">
        <v>0.7993</v>
      </c>
      <c r="X11" s="52">
        <v>0.8034</v>
      </c>
      <c r="Y11" s="52">
        <v>0.7978</v>
      </c>
      <c r="Z11" s="53" t="str">
        <f t="shared" si="10"/>
        <v>√</v>
      </c>
      <c r="AA11" s="53" t="str">
        <f t="shared" si="11"/>
        <v>√</v>
      </c>
      <c r="AB11" s="53" t="str">
        <f t="shared" si="12"/>
        <v>√</v>
      </c>
      <c r="AC11" s="53" t="str">
        <f t="shared" si="5"/>
        <v>√</v>
      </c>
      <c r="AD11" s="53" t="str">
        <f t="shared" si="5"/>
        <v>√</v>
      </c>
      <c r="AE11" s="53" t="str">
        <f t="shared" si="5"/>
        <v>√</v>
      </c>
      <c r="AF11" s="53" t="str">
        <f t="shared" si="5"/>
        <v>√</v>
      </c>
      <c r="AG11" s="53" t="str">
        <f t="shared" si="5"/>
        <v>√</v>
      </c>
      <c r="AH11" s="53" t="str">
        <f t="shared" si="5"/>
        <v>√</v>
      </c>
      <c r="AI11" s="53" t="str">
        <f t="shared" si="5"/>
        <v>√</v>
      </c>
      <c r="AJ11" s="53" t="str">
        <f t="shared" si="5"/>
        <v>√</v>
      </c>
      <c r="AK11" s="53" t="str">
        <f t="shared" si="5"/>
        <v>√</v>
      </c>
      <c r="AL11" s="53" t="str">
        <f t="shared" si="5"/>
        <v>√</v>
      </c>
      <c r="AM11" s="53" t="str">
        <f t="shared" si="5"/>
        <v>√</v>
      </c>
      <c r="AN11" s="53" t="str">
        <f t="shared" si="5"/>
        <v>√</v>
      </c>
      <c r="AO11" s="53" t="str">
        <f t="shared" si="5"/>
        <v>√</v>
      </c>
    </row>
    <row r="12" ht="15" customHeight="1" spans="1:41">
      <c r="A12" s="54"/>
      <c r="B12" s="49" t="s">
        <v>52</v>
      </c>
      <c r="C12" s="49"/>
      <c r="D12" s="50">
        <v>2.03</v>
      </c>
      <c r="E12" s="50">
        <v>0.05</v>
      </c>
      <c r="F12" s="50">
        <v>-0.05</v>
      </c>
      <c r="G12" s="51">
        <f t="shared" si="1"/>
        <v>2.08</v>
      </c>
      <c r="H12" s="51">
        <f t="shared" si="2"/>
        <v>1.98</v>
      </c>
      <c r="I12" s="50" t="s">
        <v>46</v>
      </c>
      <c r="J12" s="52">
        <v>2.0171</v>
      </c>
      <c r="K12" s="52">
        <v>1.9896</v>
      </c>
      <c r="L12" s="52">
        <v>2.0057</v>
      </c>
      <c r="M12" s="52">
        <v>2.0142</v>
      </c>
      <c r="N12" s="52">
        <v>2.0079</v>
      </c>
      <c r="O12" s="52">
        <v>1.9924</v>
      </c>
      <c r="P12" s="52">
        <v>1.9988</v>
      </c>
      <c r="Q12" s="52">
        <v>1.9852</v>
      </c>
      <c r="R12" s="52">
        <v>1.9844</v>
      </c>
      <c r="S12" s="52">
        <v>1.9802</v>
      </c>
      <c r="T12" s="52">
        <v>1.9837</v>
      </c>
      <c r="U12" s="52">
        <v>2.0053</v>
      </c>
      <c r="V12" s="52">
        <v>1.9785</v>
      </c>
      <c r="W12" s="52">
        <v>1.9947</v>
      </c>
      <c r="X12" s="52">
        <v>1.9665</v>
      </c>
      <c r="Y12" s="52">
        <v>1.9731</v>
      </c>
      <c r="Z12" s="53" t="str">
        <f t="shared" si="3"/>
        <v>√</v>
      </c>
      <c r="AA12" s="53" t="str">
        <f t="shared" si="4"/>
        <v>√</v>
      </c>
      <c r="AB12" s="53" t="str">
        <f t="shared" si="12"/>
        <v>√</v>
      </c>
      <c r="AC12" s="53" t="str">
        <f t="shared" ref="AC12:AO12" si="13">IF(M12="","",IF(M12&gt;($D12+$E12),(M12-$D12-$E12),IF(M12&lt;($D12+$F12),(M12-$D12-$F12),"√")))</f>
        <v>√</v>
      </c>
      <c r="AD12" s="53" t="str">
        <f t="shared" si="13"/>
        <v>√</v>
      </c>
      <c r="AE12" s="53" t="str">
        <f t="shared" si="13"/>
        <v>√</v>
      </c>
      <c r="AF12" s="53" t="str">
        <f t="shared" si="13"/>
        <v>√</v>
      </c>
      <c r="AG12" s="53" t="str">
        <f t="shared" si="13"/>
        <v>√</v>
      </c>
      <c r="AH12" s="53" t="str">
        <f t="shared" si="13"/>
        <v>√</v>
      </c>
      <c r="AI12" s="53" t="str">
        <f t="shared" si="13"/>
        <v>√</v>
      </c>
      <c r="AJ12" s="53" t="str">
        <f t="shared" si="13"/>
        <v>√</v>
      </c>
      <c r="AK12" s="53" t="str">
        <f t="shared" si="13"/>
        <v>√</v>
      </c>
      <c r="AL12" s="53">
        <f t="shared" si="13"/>
        <v>-0.00149999999999988</v>
      </c>
      <c r="AM12" s="53" t="str">
        <f t="shared" si="13"/>
        <v>√</v>
      </c>
      <c r="AN12" s="53">
        <f t="shared" si="13"/>
        <v>-0.0134999999999999</v>
      </c>
      <c r="AO12" s="53">
        <f t="shared" si="13"/>
        <v>-0.00689999999999973</v>
      </c>
    </row>
    <row r="13" ht="15" customHeight="1" spans="1:41">
      <c r="A13" s="55"/>
      <c r="B13" s="49" t="s">
        <v>53</v>
      </c>
      <c r="C13" s="49"/>
      <c r="D13" s="50">
        <v>2.03</v>
      </c>
      <c r="E13" s="50">
        <v>0.05</v>
      </c>
      <c r="F13" s="50">
        <v>-0.05</v>
      </c>
      <c r="G13" s="51">
        <f t="shared" si="1"/>
        <v>2.08</v>
      </c>
      <c r="H13" s="51">
        <f t="shared" si="2"/>
        <v>1.98</v>
      </c>
      <c r="I13" s="50" t="s">
        <v>46</v>
      </c>
      <c r="J13" s="52">
        <v>2.0191</v>
      </c>
      <c r="K13" s="52">
        <v>1.9997</v>
      </c>
      <c r="L13" s="52">
        <v>1.9948</v>
      </c>
      <c r="M13" s="52">
        <v>2.0087</v>
      </c>
      <c r="N13" s="52">
        <v>2.0075</v>
      </c>
      <c r="O13" s="52">
        <v>2.0151</v>
      </c>
      <c r="P13" s="52">
        <v>1.9946</v>
      </c>
      <c r="Q13" s="52">
        <v>1.9824</v>
      </c>
      <c r="R13" s="52">
        <v>1.9944</v>
      </c>
      <c r="S13" s="52">
        <v>1.9825</v>
      </c>
      <c r="T13" s="52">
        <v>1.9865</v>
      </c>
      <c r="U13" s="52">
        <v>1.9805</v>
      </c>
      <c r="V13" s="52">
        <v>1.9726</v>
      </c>
      <c r="W13" s="52">
        <v>1.9964</v>
      </c>
      <c r="X13" s="52">
        <v>1.9736</v>
      </c>
      <c r="Y13" s="52">
        <v>1.9802</v>
      </c>
      <c r="Z13" s="53" t="str">
        <f t="shared" si="3"/>
        <v>√</v>
      </c>
      <c r="AA13" s="53" t="str">
        <f t="shared" si="4"/>
        <v>√</v>
      </c>
      <c r="AB13" s="53" t="str">
        <f t="shared" si="12"/>
        <v>√</v>
      </c>
      <c r="AC13" s="53" t="str">
        <f t="shared" ref="AC13:AO13" si="14">IF(M13="","",IF(M13&gt;($D13+$E13),(M13-$D13-$E13),IF(M13&lt;($D13+$F13),(M13-$D13-$F13),"√")))</f>
        <v>√</v>
      </c>
      <c r="AD13" s="53" t="str">
        <f t="shared" si="14"/>
        <v>√</v>
      </c>
      <c r="AE13" s="53" t="str">
        <f t="shared" si="14"/>
        <v>√</v>
      </c>
      <c r="AF13" s="53" t="str">
        <f t="shared" si="14"/>
        <v>√</v>
      </c>
      <c r="AG13" s="53" t="str">
        <f t="shared" si="14"/>
        <v>√</v>
      </c>
      <c r="AH13" s="53" t="str">
        <f t="shared" si="14"/>
        <v>√</v>
      </c>
      <c r="AI13" s="53" t="str">
        <f t="shared" si="14"/>
        <v>√</v>
      </c>
      <c r="AJ13" s="53" t="str">
        <f t="shared" si="14"/>
        <v>√</v>
      </c>
      <c r="AK13" s="53" t="str">
        <f t="shared" si="14"/>
        <v>√</v>
      </c>
      <c r="AL13" s="53">
        <f t="shared" si="14"/>
        <v>-0.00739999999999989</v>
      </c>
      <c r="AM13" s="53" t="str">
        <f t="shared" si="14"/>
        <v>√</v>
      </c>
      <c r="AN13" s="53">
        <f t="shared" si="14"/>
        <v>-0.00639999999999978</v>
      </c>
      <c r="AO13" s="53" t="str">
        <f t="shared" si="14"/>
        <v>√</v>
      </c>
    </row>
    <row r="18" customHeight="1" spans="1:41">
      <c r="A18" s="31" t="s">
        <v>15</v>
      </c>
      <c r="B18" s="31" t="s">
        <v>16</v>
      </c>
      <c r="C18" s="32" t="s">
        <v>17</v>
      </c>
      <c r="D18" s="33" t="s">
        <v>18</v>
      </c>
      <c r="E18" s="34" t="s">
        <v>19</v>
      </c>
      <c r="F18" s="35" t="s">
        <v>20</v>
      </c>
      <c r="G18" s="35" t="s">
        <v>21</v>
      </c>
      <c r="H18" s="35" t="s">
        <v>22</v>
      </c>
      <c r="I18" s="36" t="s">
        <v>23</v>
      </c>
      <c r="J18" s="37" t="s">
        <v>24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8" t="s">
        <v>25</v>
      </c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40"/>
    </row>
    <row r="19" ht="13.5" customHeight="1" spans="1:41">
      <c r="A19" s="41"/>
      <c r="B19" s="42"/>
      <c r="C19" s="43"/>
      <c r="D19" s="33"/>
      <c r="E19" s="34"/>
      <c r="F19" s="35"/>
      <c r="G19" s="35"/>
      <c r="H19" s="35"/>
      <c r="I19" s="33"/>
      <c r="J19" s="37" t="s">
        <v>26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44" t="s">
        <v>27</v>
      </c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</row>
    <row r="20" customHeight="1" spans="1:41">
      <c r="A20" s="41"/>
      <c r="B20" s="42"/>
      <c r="C20" s="45"/>
      <c r="D20" s="33"/>
      <c r="E20" s="34"/>
      <c r="F20" s="35"/>
      <c r="G20" s="35"/>
      <c r="H20" s="35"/>
      <c r="I20" s="33"/>
      <c r="J20" s="56">
        <v>1</v>
      </c>
      <c r="K20" s="56">
        <v>2</v>
      </c>
      <c r="L20" s="56">
        <v>3</v>
      </c>
      <c r="M20" s="56">
        <v>4</v>
      </c>
      <c r="N20" s="56">
        <v>5</v>
      </c>
      <c r="O20" s="56">
        <v>6</v>
      </c>
      <c r="P20" s="56">
        <v>7</v>
      </c>
      <c r="Q20" s="56">
        <v>8</v>
      </c>
      <c r="R20" s="56">
        <v>9</v>
      </c>
      <c r="S20" s="56">
        <v>10</v>
      </c>
      <c r="T20" s="56">
        <v>11</v>
      </c>
      <c r="U20" s="56">
        <v>12</v>
      </c>
      <c r="V20" s="56">
        <v>13</v>
      </c>
      <c r="W20" s="56">
        <v>14</v>
      </c>
      <c r="X20" s="57">
        <v>15</v>
      </c>
      <c r="Y20" s="57">
        <v>16</v>
      </c>
      <c r="Z20" s="47">
        <f t="shared" ref="Z20:AO20" si="15">J20</f>
        <v>1</v>
      </c>
      <c r="AA20" s="47">
        <f t="shared" si="15"/>
        <v>2</v>
      </c>
      <c r="AB20" s="47">
        <f t="shared" si="15"/>
        <v>3</v>
      </c>
      <c r="AC20" s="47">
        <f t="shared" si="15"/>
        <v>4</v>
      </c>
      <c r="AD20" s="47">
        <f t="shared" si="15"/>
        <v>5</v>
      </c>
      <c r="AE20" s="47">
        <f t="shared" si="15"/>
        <v>6</v>
      </c>
      <c r="AF20" s="47">
        <f t="shared" si="15"/>
        <v>7</v>
      </c>
      <c r="AG20" s="47">
        <f t="shared" si="15"/>
        <v>8</v>
      </c>
      <c r="AH20" s="47">
        <f t="shared" si="15"/>
        <v>9</v>
      </c>
      <c r="AI20" s="47">
        <f t="shared" si="15"/>
        <v>10</v>
      </c>
      <c r="AJ20" s="47">
        <f t="shared" si="15"/>
        <v>11</v>
      </c>
      <c r="AK20" s="47">
        <f t="shared" si="15"/>
        <v>12</v>
      </c>
      <c r="AL20" s="47">
        <f t="shared" si="15"/>
        <v>13</v>
      </c>
      <c r="AM20" s="47">
        <f t="shared" si="15"/>
        <v>14</v>
      </c>
      <c r="AN20" s="47">
        <f t="shared" si="15"/>
        <v>15</v>
      </c>
      <c r="AO20" s="47">
        <f t="shared" si="15"/>
        <v>16</v>
      </c>
    </row>
    <row r="21" ht="15" customHeight="1" spans="1:41">
      <c r="A21" s="48">
        <v>46190</v>
      </c>
      <c r="B21" s="49" t="s">
        <v>44</v>
      </c>
      <c r="C21" s="49" t="s">
        <v>45</v>
      </c>
      <c r="D21" s="50">
        <v>6.26</v>
      </c>
      <c r="E21" s="50">
        <v>0.025</v>
      </c>
      <c r="F21" s="50">
        <v>-0.025</v>
      </c>
      <c r="G21" s="51">
        <f t="shared" ref="G21:G27" si="16">D21+E21</f>
        <v>6.285</v>
      </c>
      <c r="H21" s="51">
        <f t="shared" ref="H21:H27" si="17">D21+F21</f>
        <v>6.235</v>
      </c>
      <c r="I21" s="50" t="s">
        <v>46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8">IF(J21="","",IF(J21&gt;($D21+$E21),(J21-$D21-$E21),IF(J21&lt;($D21+$F21),(J21-$D21-$F21),"√")))</f>
        <v/>
      </c>
      <c r="AA21" s="53" t="str">
        <f t="shared" si="18"/>
        <v/>
      </c>
      <c r="AB21" s="53" t="str">
        <f t="shared" si="18"/>
        <v/>
      </c>
      <c r="AC21" s="53" t="str">
        <f t="shared" si="18"/>
        <v/>
      </c>
      <c r="AD21" s="53" t="str">
        <f t="shared" si="18"/>
        <v/>
      </c>
      <c r="AE21" s="53" t="str">
        <f t="shared" si="18"/>
        <v/>
      </c>
      <c r="AF21" s="53" t="str">
        <f t="shared" si="18"/>
        <v/>
      </c>
      <c r="AG21" s="53" t="str">
        <f t="shared" si="18"/>
        <v/>
      </c>
      <c r="AH21" s="53" t="str">
        <f t="shared" si="18"/>
        <v/>
      </c>
      <c r="AI21" s="53" t="str">
        <f t="shared" si="18"/>
        <v/>
      </c>
      <c r="AJ21" s="53" t="str">
        <f t="shared" si="18"/>
        <v/>
      </c>
      <c r="AK21" s="53" t="str">
        <f t="shared" si="18"/>
        <v/>
      </c>
      <c r="AL21" s="53" t="str">
        <f t="shared" si="18"/>
        <v/>
      </c>
      <c r="AM21" s="53" t="str">
        <f t="shared" si="18"/>
        <v/>
      </c>
      <c r="AN21" s="53" t="str">
        <f t="shared" si="18"/>
        <v/>
      </c>
      <c r="AO21" s="53" t="str">
        <f t="shared" si="18"/>
        <v/>
      </c>
    </row>
    <row r="22" ht="15" customHeight="1" spans="1:41">
      <c r="A22" s="54"/>
      <c r="B22" s="49" t="s">
        <v>47</v>
      </c>
      <c r="C22" s="49" t="s">
        <v>48</v>
      </c>
      <c r="D22" s="50">
        <v>2.44</v>
      </c>
      <c r="E22" s="50">
        <v>0.03</v>
      </c>
      <c r="F22" s="50">
        <v>-0.03</v>
      </c>
      <c r="G22" s="51">
        <f t="shared" si="16"/>
        <v>2.47</v>
      </c>
      <c r="H22" s="51">
        <f t="shared" si="17"/>
        <v>2.41</v>
      </c>
      <c r="I22" s="50" t="s">
        <v>46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19">IF(J22="","",IF(J22&gt;($D22+$E22),(J22-$D22-$E22),IF(J22&lt;($D22+$F22),(J22-$D22-$F22),"√")))</f>
        <v/>
      </c>
      <c r="AA22" s="53" t="str">
        <f t="shared" si="19"/>
        <v/>
      </c>
      <c r="AB22" s="53" t="str">
        <f t="shared" si="19"/>
        <v/>
      </c>
      <c r="AC22" s="53" t="str">
        <f t="shared" si="19"/>
        <v/>
      </c>
      <c r="AD22" s="53" t="str">
        <f t="shared" si="19"/>
        <v/>
      </c>
      <c r="AE22" s="53" t="str">
        <f t="shared" si="19"/>
        <v/>
      </c>
      <c r="AF22" s="53" t="str">
        <f t="shared" si="19"/>
        <v/>
      </c>
      <c r="AG22" s="53" t="str">
        <f t="shared" si="19"/>
        <v/>
      </c>
      <c r="AH22" s="53" t="str">
        <f t="shared" si="19"/>
        <v/>
      </c>
      <c r="AI22" s="53" t="str">
        <f t="shared" si="19"/>
        <v/>
      </c>
      <c r="AJ22" s="53" t="str">
        <f t="shared" si="19"/>
        <v/>
      </c>
      <c r="AK22" s="53" t="str">
        <f t="shared" si="19"/>
        <v/>
      </c>
      <c r="AL22" s="53" t="str">
        <f t="shared" si="19"/>
        <v/>
      </c>
      <c r="AM22" s="53" t="str">
        <f t="shared" si="19"/>
        <v/>
      </c>
      <c r="AN22" s="53" t="str">
        <f t="shared" si="19"/>
        <v/>
      </c>
      <c r="AO22" s="53" t="str">
        <f t="shared" si="19"/>
        <v/>
      </c>
    </row>
    <row r="23" ht="15" customHeight="1" spans="1:41">
      <c r="A23" s="54"/>
      <c r="B23" s="49" t="s">
        <v>49</v>
      </c>
      <c r="C23" s="49" t="s">
        <v>48</v>
      </c>
      <c r="D23" s="50">
        <v>2.44</v>
      </c>
      <c r="E23" s="50">
        <v>0.03</v>
      </c>
      <c r="F23" s="50">
        <v>-0.03</v>
      </c>
      <c r="G23" s="51">
        <f t="shared" si="16"/>
        <v>2.47</v>
      </c>
      <c r="H23" s="51">
        <f t="shared" si="17"/>
        <v>2.41</v>
      </c>
      <c r="I23" s="50" t="s">
        <v>46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20">IF(J23="","",IF(J23&gt;($D23+$E23),(J23-$D23-$E23),IF(J23&lt;($D23+$F23),(J23-$D23-$F23),"√")))</f>
        <v/>
      </c>
      <c r="AA23" s="53" t="str">
        <f t="shared" si="20"/>
        <v/>
      </c>
      <c r="AB23" s="53" t="str">
        <f t="shared" si="20"/>
        <v/>
      </c>
      <c r="AC23" s="53" t="str">
        <f t="shared" si="20"/>
        <v/>
      </c>
      <c r="AD23" s="53" t="str">
        <f t="shared" si="20"/>
        <v/>
      </c>
      <c r="AE23" s="53" t="str">
        <f t="shared" si="20"/>
        <v/>
      </c>
      <c r="AF23" s="53" t="str">
        <f t="shared" si="20"/>
        <v/>
      </c>
      <c r="AG23" s="53" t="str">
        <f t="shared" si="20"/>
        <v/>
      </c>
      <c r="AH23" s="53" t="str">
        <f t="shared" si="20"/>
        <v/>
      </c>
      <c r="AI23" s="53" t="str">
        <f t="shared" si="20"/>
        <v/>
      </c>
      <c r="AJ23" s="53" t="str">
        <f t="shared" si="20"/>
        <v/>
      </c>
      <c r="AK23" s="53" t="str">
        <f t="shared" si="20"/>
        <v/>
      </c>
      <c r="AL23" s="53" t="str">
        <f t="shared" si="20"/>
        <v/>
      </c>
      <c r="AM23" s="53" t="str">
        <f t="shared" si="20"/>
        <v/>
      </c>
      <c r="AN23" s="53" t="str">
        <f t="shared" si="20"/>
        <v/>
      </c>
      <c r="AO23" s="53" t="str">
        <f t="shared" si="20"/>
        <v/>
      </c>
    </row>
    <row r="24" ht="15" customHeight="1" spans="1:41">
      <c r="A24" s="54"/>
      <c r="B24" s="49" t="s">
        <v>50</v>
      </c>
      <c r="C24" s="49"/>
      <c r="D24" s="50">
        <v>0.81</v>
      </c>
      <c r="E24" s="50">
        <v>0.03</v>
      </c>
      <c r="F24" s="50">
        <v>-0.03</v>
      </c>
      <c r="G24" s="51">
        <f t="shared" si="16"/>
        <v>0.84</v>
      </c>
      <c r="H24" s="51">
        <f t="shared" si="17"/>
        <v>0.78</v>
      </c>
      <c r="I24" s="50" t="s">
        <v>46</v>
      </c>
      <c r="J24" s="52">
        <v>0.7911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21">IF(J24="","",IF(J24&gt;($D24+$E24),(J24-$D24-$E24),IF(J24&lt;($D24+$F24),(J24-$D24-$F24),"√")))</f>
        <v>√</v>
      </c>
      <c r="AA24" s="53" t="str">
        <f t="shared" si="21"/>
        <v/>
      </c>
      <c r="AB24" s="53" t="str">
        <f t="shared" si="21"/>
        <v/>
      </c>
      <c r="AC24" s="53" t="str">
        <f t="shared" si="21"/>
        <v/>
      </c>
      <c r="AD24" s="53" t="str">
        <f t="shared" si="21"/>
        <v/>
      </c>
      <c r="AE24" s="53" t="str">
        <f t="shared" si="21"/>
        <v/>
      </c>
      <c r="AF24" s="53" t="str">
        <f t="shared" si="21"/>
        <v/>
      </c>
      <c r="AG24" s="53" t="str">
        <f t="shared" si="21"/>
        <v/>
      </c>
      <c r="AH24" s="53" t="str">
        <f t="shared" si="21"/>
        <v/>
      </c>
      <c r="AI24" s="53" t="str">
        <f t="shared" si="21"/>
        <v/>
      </c>
      <c r="AJ24" s="53" t="str">
        <f t="shared" si="21"/>
        <v/>
      </c>
      <c r="AK24" s="53" t="str">
        <f t="shared" si="21"/>
        <v/>
      </c>
      <c r="AL24" s="53" t="str">
        <f t="shared" si="21"/>
        <v/>
      </c>
      <c r="AM24" s="53" t="str">
        <f t="shared" si="21"/>
        <v/>
      </c>
      <c r="AN24" s="53" t="str">
        <f t="shared" si="21"/>
        <v/>
      </c>
      <c r="AO24" s="53" t="str">
        <f t="shared" si="21"/>
        <v/>
      </c>
    </row>
    <row r="25" ht="15" customHeight="1" spans="1:41">
      <c r="A25" s="54"/>
      <c r="B25" s="49" t="s">
        <v>51</v>
      </c>
      <c r="C25" s="49"/>
      <c r="D25" s="50">
        <v>0.81</v>
      </c>
      <c r="E25" s="50">
        <v>0.03</v>
      </c>
      <c r="F25" s="50">
        <v>-0.03</v>
      </c>
      <c r="G25" s="51">
        <f t="shared" si="16"/>
        <v>0.84</v>
      </c>
      <c r="H25" s="51">
        <f t="shared" si="17"/>
        <v>0.78</v>
      </c>
      <c r="I25" s="50" t="s">
        <v>46</v>
      </c>
      <c r="J25" s="52">
        <v>0.8003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2">IF(J25="","",IF(J25&gt;($D25+$E25),(J25-$D25-$E25),IF(J25&lt;($D25+$F25),(J25-$D25-$F25),"√")))</f>
        <v>√</v>
      </c>
      <c r="AA25" s="53" t="str">
        <f t="shared" si="22"/>
        <v/>
      </c>
      <c r="AB25" s="53" t="str">
        <f t="shared" si="22"/>
        <v/>
      </c>
      <c r="AC25" s="53" t="str">
        <f t="shared" si="22"/>
        <v/>
      </c>
      <c r="AD25" s="53" t="str">
        <f t="shared" si="22"/>
        <v/>
      </c>
      <c r="AE25" s="53" t="str">
        <f t="shared" si="22"/>
        <v/>
      </c>
      <c r="AF25" s="53" t="str">
        <f t="shared" si="22"/>
        <v/>
      </c>
      <c r="AG25" s="53" t="str">
        <f t="shared" si="22"/>
        <v/>
      </c>
      <c r="AH25" s="53" t="str">
        <f t="shared" si="22"/>
        <v/>
      </c>
      <c r="AI25" s="53" t="str">
        <f t="shared" si="22"/>
        <v/>
      </c>
      <c r="AJ25" s="53" t="str">
        <f t="shared" si="22"/>
        <v/>
      </c>
      <c r="AK25" s="53" t="str">
        <f t="shared" si="22"/>
        <v/>
      </c>
      <c r="AL25" s="53" t="str">
        <f t="shared" si="22"/>
        <v/>
      </c>
      <c r="AM25" s="53" t="str">
        <f t="shared" si="22"/>
        <v/>
      </c>
      <c r="AN25" s="53" t="str">
        <f t="shared" si="22"/>
        <v/>
      </c>
      <c r="AO25" s="53" t="str">
        <f t="shared" si="22"/>
        <v/>
      </c>
    </row>
    <row r="26" ht="15" customHeight="1" spans="1:41">
      <c r="A26" s="54"/>
      <c r="B26" s="49" t="s">
        <v>52</v>
      </c>
      <c r="C26" s="49"/>
      <c r="D26" s="50">
        <v>2.03</v>
      </c>
      <c r="E26" s="50">
        <v>0.05</v>
      </c>
      <c r="F26" s="50">
        <v>-0.05</v>
      </c>
      <c r="G26" s="51">
        <f t="shared" si="16"/>
        <v>2.08</v>
      </c>
      <c r="H26" s="51">
        <f t="shared" si="17"/>
        <v>1.98</v>
      </c>
      <c r="I26" s="50" t="s">
        <v>46</v>
      </c>
      <c r="J26" s="52">
        <v>1.9642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>
        <f t="shared" ref="Z26:AO26" si="23">IF(J26="","",IF(J26&gt;($D26+$E26),(J26-$D26-$E26),IF(J26&lt;($D26+$F26),(J26-$D26-$F26),"√")))</f>
        <v>-0.0157999999999999</v>
      </c>
      <c r="AA26" s="53" t="str">
        <f t="shared" si="23"/>
        <v/>
      </c>
      <c r="AB26" s="53" t="str">
        <f t="shared" si="23"/>
        <v/>
      </c>
      <c r="AC26" s="53" t="str">
        <f t="shared" si="23"/>
        <v/>
      </c>
      <c r="AD26" s="53" t="str">
        <f t="shared" si="23"/>
        <v/>
      </c>
      <c r="AE26" s="53" t="str">
        <f t="shared" si="23"/>
        <v/>
      </c>
      <c r="AF26" s="53" t="str">
        <f t="shared" si="23"/>
        <v/>
      </c>
      <c r="AG26" s="53" t="str">
        <f t="shared" si="23"/>
        <v/>
      </c>
      <c r="AH26" s="53" t="str">
        <f t="shared" si="23"/>
        <v/>
      </c>
      <c r="AI26" s="53" t="str">
        <f t="shared" si="23"/>
        <v/>
      </c>
      <c r="AJ26" s="53" t="str">
        <f t="shared" si="23"/>
        <v/>
      </c>
      <c r="AK26" s="53" t="str">
        <f t="shared" si="23"/>
        <v/>
      </c>
      <c r="AL26" s="53" t="str">
        <f t="shared" si="23"/>
        <v/>
      </c>
      <c r="AM26" s="53" t="str">
        <f t="shared" si="23"/>
        <v/>
      </c>
      <c r="AN26" s="53" t="str">
        <f t="shared" si="23"/>
        <v/>
      </c>
      <c r="AO26" s="53" t="str">
        <f t="shared" si="23"/>
        <v/>
      </c>
    </row>
    <row r="27" ht="15" customHeight="1" spans="1:41">
      <c r="A27" s="55"/>
      <c r="B27" s="49" t="s">
        <v>53</v>
      </c>
      <c r="C27" s="49"/>
      <c r="D27" s="50">
        <v>2.03</v>
      </c>
      <c r="E27" s="50">
        <v>0.05</v>
      </c>
      <c r="F27" s="50">
        <v>-0.05</v>
      </c>
      <c r="G27" s="51">
        <f t="shared" si="16"/>
        <v>2.08</v>
      </c>
      <c r="H27" s="51">
        <f t="shared" si="17"/>
        <v>1.98</v>
      </c>
      <c r="I27" s="50" t="s">
        <v>46</v>
      </c>
      <c r="J27" s="52">
        <v>1.9714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>
        <f t="shared" ref="Z27:AO27" si="24">IF(J27="","",IF(J27&gt;($D27+$E27),(J27-$D27-$E27),IF(J27&lt;($D27+$F27),(J27-$D27-$F27),"√")))</f>
        <v>-0.00859999999999976</v>
      </c>
      <c r="AA27" s="53" t="str">
        <f t="shared" si="24"/>
        <v/>
      </c>
      <c r="AB27" s="53" t="str">
        <f t="shared" si="24"/>
        <v/>
      </c>
      <c r="AC27" s="53" t="str">
        <f t="shared" si="24"/>
        <v/>
      </c>
      <c r="AD27" s="53" t="str">
        <f t="shared" si="24"/>
        <v/>
      </c>
      <c r="AE27" s="53" t="str">
        <f t="shared" si="24"/>
        <v/>
      </c>
      <c r="AF27" s="53" t="str">
        <f t="shared" si="24"/>
        <v/>
      </c>
      <c r="AG27" s="53" t="str">
        <f t="shared" si="24"/>
        <v/>
      </c>
      <c r="AH27" s="53" t="str">
        <f t="shared" si="24"/>
        <v/>
      </c>
      <c r="AI27" s="53" t="str">
        <f t="shared" si="24"/>
        <v/>
      </c>
      <c r="AJ27" s="53" t="str">
        <f t="shared" si="24"/>
        <v/>
      </c>
      <c r="AK27" s="53" t="str">
        <f t="shared" si="24"/>
        <v/>
      </c>
      <c r="AL27" s="53" t="str">
        <f t="shared" si="24"/>
        <v/>
      </c>
      <c r="AM27" s="53" t="str">
        <f t="shared" si="24"/>
        <v/>
      </c>
      <c r="AN27" s="53" t="str">
        <f t="shared" si="24"/>
        <v/>
      </c>
      <c r="AO27" s="53" t="str">
        <f t="shared" si="24"/>
        <v/>
      </c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8:Y18"/>
    <mergeCell ref="Z18:AO18"/>
    <mergeCell ref="J19:Y19"/>
    <mergeCell ref="Z19:AO19"/>
    <mergeCell ref="A2:A3"/>
    <mergeCell ref="A4:A6"/>
    <mergeCell ref="A7:A13"/>
    <mergeCell ref="A18:A20"/>
    <mergeCell ref="A21:A27"/>
    <mergeCell ref="B4:B6"/>
    <mergeCell ref="B18:B20"/>
    <mergeCell ref="C4:C6"/>
    <mergeCell ref="C18:C20"/>
    <mergeCell ref="D4:D6"/>
    <mergeCell ref="D18:D20"/>
    <mergeCell ref="E4:E6"/>
    <mergeCell ref="E18:E20"/>
    <mergeCell ref="F4:F6"/>
    <mergeCell ref="F18:F20"/>
    <mergeCell ref="G4:G6"/>
    <mergeCell ref="G18:G20"/>
    <mergeCell ref="H4:H6"/>
    <mergeCell ref="H18:H20"/>
    <mergeCell ref="I4:I6"/>
    <mergeCell ref="I18:I20"/>
    <mergeCell ref="B2:G3"/>
    <mergeCell ref="H2:K3"/>
    <mergeCell ref="L2:R3"/>
  </mergeCells>
  <conditionalFormatting sqref="J12:Y13 J7:Y9">
    <cfRule type="cellIs" dxfId="0" priority="20" operator="notBetween">
      <formula>$G7</formula>
      <formula>$H7</formula>
    </cfRule>
  </conditionalFormatting>
  <conditionalFormatting sqref="J10:Y11">
    <cfRule type="cellIs" dxfId="0" priority="3" operator="notBetween">
      <formula>$G10</formula>
      <formula>$H10</formula>
    </cfRule>
  </conditionalFormatting>
  <conditionalFormatting sqref="J26:Y27 J21:Y23">
    <cfRule type="cellIs" dxfId="0" priority="2" operator="notBetween">
      <formula>$G21</formula>
      <formula>$H21</formula>
    </cfRule>
  </conditionalFormatting>
  <conditionalFormatting sqref="J24:Y25">
    <cfRule type="cellIs" dxfId="0" priority="1" operator="notBetween">
      <formula>$G24</formula>
      <formula>$H24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12:AO13 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2026-06-17T12:48:20Z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