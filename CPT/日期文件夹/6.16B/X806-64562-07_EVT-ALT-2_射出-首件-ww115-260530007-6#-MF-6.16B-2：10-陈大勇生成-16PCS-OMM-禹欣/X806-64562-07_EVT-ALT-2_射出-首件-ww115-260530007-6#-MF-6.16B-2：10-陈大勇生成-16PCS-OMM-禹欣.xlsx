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<sst xmlns="http://schemas.openxmlformats.org/spreadsheetml/2006/main" count="61" uniqueCount="54">
  <si>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安徽中耀智能科技有限公司首件尺寸报告</t>
  </si>
  <si>
    <t>料号</t>
  </si>
  <si>
    <t>X806-64562</t>
  </si>
  <si>
    <t>工单号</t>
  </si>
  <si>
    <t>ww115-260530007</t>
  </si>
  <si>
    <t>工站</t>
  </si>
  <si>
    <t>射出机台号</t>
  </si>
  <si>
    <t>测量机台</t>
  </si>
  <si>
    <t>测量人员</t>
  </si>
  <si>
    <t>审核</t>
  </si>
  <si>
    <t>射出</t>
  </si>
  <si>
    <t>6#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</si>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</sst>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workbookViewId="0">
      <selection activeCell="J7" sqref="J7:Y11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46189</v>
      </c>
      <c r="B7" s="49" t="s">
        <v>44</v>
      </c>
      <c r="C7" s="49"/>
      <c r="D7" s="50">
        <v>0.8</v>
      </c>
      <c r="E7" s="50">
        <v>0.03</v>
      </c>
      <c r="F7" s="50">
        <v>-0.03</v>
      </c>
      <c r="G7" s="51">
        <f>D7+E7</f>
        <v>0.83</v>
      </c>
      <c r="H7" s="51">
        <f>D7+F7</f>
        <v>0.77</v>
      </c>
      <c r="I7" s="50" t="s">
        <v>45</v>
      </c>
      <c r="J7" s="52">
        <v>0.7984</v>
      </c>
      <c r="K7" s="52">
        <v>0.7982</v>
      </c>
      <c r="L7" s="52">
        <v>0.7972</v>
      </c>
      <c r="M7" s="52">
        <v>0.7977</v>
      </c>
      <c r="N7" s="52">
        <v>0.7938</v>
      </c>
      <c r="O7" s="52">
        <v>0.7976</v>
      </c>
      <c r="P7" s="52">
        <v>0.7984</v>
      </c>
      <c r="Q7" s="52">
        <v>0.8001</v>
      </c>
      <c r="R7" s="52">
        <v>0.7969</v>
      </c>
      <c r="S7" s="52">
        <v>0.7964</v>
      </c>
      <c r="T7" s="52">
        <v>0.796</v>
      </c>
      <c r="U7" s="52">
        <v>0.7972</v>
      </c>
      <c r="V7" s="52">
        <v>0.7966</v>
      </c>
      <c r="W7" s="52">
        <v>0.7969</v>
      </c>
      <c r="X7" s="52">
        <v>0.7976</v>
      </c>
      <c r="Y7" s="52">
        <v>0.7977</v>
      </c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>√</v>
      </c>
      <c r="AK7" s="53" t="str">
        <f t="shared" si="1"/>
        <v>√</v>
      </c>
      <c r="AL7" s="53" t="str">
        <f t="shared" si="1"/>
        <v>√</v>
      </c>
      <c r="AM7" s="53" t="str">
        <f t="shared" si="1"/>
        <v>√</v>
      </c>
      <c r="AN7" s="53" t="str">
        <f t="shared" si="1"/>
        <v>√</v>
      </c>
      <c r="AO7" s="53" t="str">
        <f t="shared" si="1"/>
        <v>√</v>
      </c>
    </row>
    <row r="8" ht="15" customHeight="1" spans="1:41">
      <c r="A8" s="54"/>
      <c r="B8" s="49" t="s">
        <v>46</v>
      </c>
      <c r="C8" s="49"/>
      <c r="D8" s="50">
        <v>0.8</v>
      </c>
      <c r="E8" s="50">
        <v>0.03</v>
      </c>
      <c r="F8" s="50">
        <v>-0.03</v>
      </c>
      <c r="G8" s="51">
        <f>D8+E8</f>
        <v>0.83</v>
      </c>
      <c r="H8" s="51">
        <f>D8+F8</f>
        <v>0.77</v>
      </c>
      <c r="I8" s="50" t="s">
        <v>45</v>
      </c>
      <c r="J8" s="52">
        <v>0.7955</v>
      </c>
      <c r="K8" s="52">
        <v>0.7957</v>
      </c>
      <c r="L8" s="52">
        <v>0.7955</v>
      </c>
      <c r="M8" s="52">
        <v>0.7961</v>
      </c>
      <c r="N8" s="52">
        <v>0.7948</v>
      </c>
      <c r="O8" s="52">
        <v>0.7952</v>
      </c>
      <c r="P8" s="52">
        <v>0.7966</v>
      </c>
      <c r="Q8" s="52">
        <v>0.7981</v>
      </c>
      <c r="R8" s="52">
        <v>0.795</v>
      </c>
      <c r="S8" s="52">
        <v>0.795</v>
      </c>
      <c r="T8" s="52">
        <v>0.794</v>
      </c>
      <c r="U8" s="52">
        <v>0.7948</v>
      </c>
      <c r="V8" s="52">
        <v>0.7946</v>
      </c>
      <c r="W8" s="52">
        <v>0.7947</v>
      </c>
      <c r="X8" s="52">
        <v>0.7958</v>
      </c>
      <c r="Y8" s="52">
        <v>0.7952</v>
      </c>
      <c r="Z8" s="53" t="str">
        <f t="shared" ref="Z8:AO8" si="2">IF(J8="","",IF(J8&gt;($D8+$E8),(J8-$D8-$E8),IF(J8&lt;($D8+$F8),(J8-$D8-$F8),"√")))</f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>√</v>
      </c>
      <c r="AL8" s="53" t="str">
        <f t="shared" si="2"/>
        <v>√</v>
      </c>
      <c r="AM8" s="53" t="str">
        <f t="shared" si="2"/>
        <v>√</v>
      </c>
      <c r="AN8" s="53" t="str">
        <f t="shared" si="2"/>
        <v>√</v>
      </c>
      <c r="AO8" s="53" t="str">
        <f t="shared" si="2"/>
        <v>√</v>
      </c>
    </row>
    <row r="9" ht="15" customHeight="1" spans="1:41">
      <c r="A9" s="54"/>
      <c r="B9" s="49" t="s">
        <v>47</v>
      </c>
      <c r="C9" s="49"/>
      <c r="D9" s="50">
        <v>1.85</v>
      </c>
      <c r="E9" s="50">
        <v>0.06</v>
      </c>
      <c r="F9" s="50">
        <v>-0.06</v>
      </c>
      <c r="G9" s="51">
        <f>D9+E9</f>
        <v>1.91</v>
      </c>
      <c r="H9" s="51">
        <f>D9+F9</f>
        <v>1.79</v>
      </c>
      <c r="I9" s="50" t="s">
        <v>45</v>
      </c>
      <c r="J9" s="52">
        <v>1.8549</v>
      </c>
      <c r="K9" s="52">
        <v>1.8554</v>
      </c>
      <c r="L9" s="52">
        <v>1.855</v>
      </c>
      <c r="M9" s="52">
        <v>1.8544</v>
      </c>
      <c r="N9" s="52">
        <v>1.8543</v>
      </c>
      <c r="O9" s="52">
        <v>1.8545</v>
      </c>
      <c r="P9" s="52">
        <v>1.8554</v>
      </c>
      <c r="Q9" s="52">
        <v>1.8541</v>
      </c>
      <c r="R9" s="52">
        <v>1.8549</v>
      </c>
      <c r="S9" s="52">
        <v>1.8552</v>
      </c>
      <c r="T9" s="52">
        <v>1.8552</v>
      </c>
      <c r="U9" s="52">
        <v>1.854</v>
      </c>
      <c r="V9" s="52">
        <v>1.8549</v>
      </c>
      <c r="W9" s="52">
        <v>1.8547</v>
      </c>
      <c r="X9" s="52">
        <v>1.8548</v>
      </c>
      <c r="Y9" s="52">
        <v>1.8553</v>
      </c>
      <c r="Z9" s="53" t="str">
        <f t="shared" ref="Z9:AB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 t="str">
        <f t="shared" ref="AC9:AO11" si="4">IF(M9="","",IF(M9&gt;($D9+$E9),(M9-$D9-$E9),IF(M9&lt;($D9+$F9),(M9-$D9-$F9),"√")))</f>
        <v>√</v>
      </c>
      <c r="AD9" s="53" t="str">
        <f t="shared" si="4"/>
        <v>√</v>
      </c>
      <c r="AE9" s="53" t="str">
        <f t="shared" si="4"/>
        <v>√</v>
      </c>
      <c r="AF9" s="53" t="str">
        <f t="shared" si="4"/>
        <v>√</v>
      </c>
      <c r="AG9" s="53" t="str">
        <f t="shared" si="4"/>
        <v>√</v>
      </c>
      <c r="AH9" s="53" t="str">
        <f t="shared" si="4"/>
        <v>√</v>
      </c>
      <c r="AI9" s="53" t="str">
        <f t="shared" si="4"/>
        <v>√</v>
      </c>
      <c r="AJ9" s="53" t="str">
        <f t="shared" si="4"/>
        <v>√</v>
      </c>
      <c r="AK9" s="53" t="str">
        <f t="shared" si="4"/>
        <v>√</v>
      </c>
      <c r="AL9" s="53" t="str">
        <f t="shared" si="4"/>
        <v>√</v>
      </c>
      <c r="AM9" s="53" t="str">
        <f t="shared" si="4"/>
        <v>√</v>
      </c>
      <c r="AN9" s="53" t="str">
        <f t="shared" si="4"/>
        <v>√</v>
      </c>
      <c r="AO9" s="53" t="str">
        <f t="shared" si="4"/>
        <v>√</v>
      </c>
    </row>
    <row r="10" ht="15" customHeight="1" spans="1:41">
      <c r="A10" s="54"/>
      <c r="B10" s="49" t="s">
        <v>48</v>
      </c>
      <c r="C10" s="49"/>
      <c r="D10" s="50">
        <v>1.86</v>
      </c>
      <c r="E10" s="50">
        <v>0.06</v>
      </c>
      <c r="F10" s="50">
        <v>-0.06</v>
      </c>
      <c r="G10" s="51">
        <f>D10+E10</f>
        <v>1.92</v>
      </c>
      <c r="H10" s="51">
        <f>D10+F10</f>
        <v>1.8</v>
      </c>
      <c r="I10" s="50" t="s">
        <v>45</v>
      </c>
      <c r="J10" s="52">
        <v>1.8482</v>
      </c>
      <c r="K10" s="52">
        <v>1.8393</v>
      </c>
      <c r="L10" s="52">
        <v>1.8402</v>
      </c>
      <c r="M10" s="52">
        <v>1.8414</v>
      </c>
      <c r="N10" s="52">
        <v>1.8414</v>
      </c>
      <c r="O10" s="52">
        <v>1.8411</v>
      </c>
      <c r="P10" s="52">
        <v>1.8403</v>
      </c>
      <c r="Q10" s="52">
        <v>1.8413</v>
      </c>
      <c r="R10" s="52">
        <v>1.8402</v>
      </c>
      <c r="S10" s="52">
        <v>1.8414</v>
      </c>
      <c r="T10" s="52">
        <v>1.8393</v>
      </c>
      <c r="U10" s="52">
        <v>1.8409</v>
      </c>
      <c r="V10" s="52">
        <v>1.8414</v>
      </c>
      <c r="W10" s="52">
        <v>1.841</v>
      </c>
      <c r="X10" s="52">
        <v>1.8412</v>
      </c>
      <c r="Y10" s="52">
        <v>1.8396</v>
      </c>
      <c r="Z10" s="53" t="str">
        <f t="shared" ref="Z10:AB11" si="5">IF(J10="","",IF(J10&gt;($D10+$E10),(J10-$D10-$E10),IF(J10&lt;($D10+$F10),(J10-$D10-$F10),"√")))</f>
        <v>√</v>
      </c>
      <c r="AA10" s="53" t="str">
        <f t="shared" si="5"/>
        <v>√</v>
      </c>
      <c r="AB10" s="53" t="str">
        <f t="shared" si="5"/>
        <v>√</v>
      </c>
      <c r="AC10" s="53" t="str">
        <f t="shared" si="4"/>
        <v>√</v>
      </c>
      <c r="AD10" s="53" t="str">
        <f t="shared" si="4"/>
        <v>√</v>
      </c>
      <c r="AE10" s="53" t="str">
        <f t="shared" si="4"/>
        <v>√</v>
      </c>
      <c r="AF10" s="53" t="str">
        <f t="shared" si="4"/>
        <v>√</v>
      </c>
      <c r="AG10" s="53" t="str">
        <f t="shared" si="4"/>
        <v>√</v>
      </c>
      <c r="AH10" s="53" t="str">
        <f t="shared" si="4"/>
        <v>√</v>
      </c>
      <c r="AI10" s="53" t="str">
        <f t="shared" si="4"/>
        <v>√</v>
      </c>
      <c r="AJ10" s="53" t="str">
        <f t="shared" si="4"/>
        <v>√</v>
      </c>
      <c r="AK10" s="53" t="str">
        <f t="shared" si="4"/>
        <v>√</v>
      </c>
      <c r="AL10" s="53" t="str">
        <f t="shared" si="4"/>
        <v>√</v>
      </c>
      <c r="AM10" s="53" t="str">
        <f t="shared" si="4"/>
        <v>√</v>
      </c>
      <c r="AN10" s="53" t="str">
        <f t="shared" si="4"/>
        <v>√</v>
      </c>
      <c r="AO10" s="53" t="str">
        <f t="shared" si="4"/>
        <v>√</v>
      </c>
    </row>
    <row r="11" ht="15" customHeight="1" spans="1:41">
      <c r="A11" s="54"/>
      <c r="B11" s="49" t="s">
        <v>49</v>
      </c>
      <c r="C11" s="49"/>
      <c r="D11" s="50">
        <v>1.86</v>
      </c>
      <c r="E11" s="50">
        <v>0.06</v>
      </c>
      <c r="F11" s="50">
        <v>-0.06</v>
      </c>
      <c r="G11" s="51">
        <f>D11+E11</f>
        <v>1.92</v>
      </c>
      <c r="H11" s="51">
        <f>D11+F11</f>
        <v>1.8</v>
      </c>
      <c r="I11" s="50" t="s">
        <v>45</v>
      </c>
      <c r="J11" s="52">
        <v>1.8628</v>
      </c>
      <c r="K11" s="52">
        <v>1.8523</v>
      </c>
      <c r="L11" s="52">
        <v>1.8529</v>
      </c>
      <c r="M11" s="52">
        <v>1.8553</v>
      </c>
      <c r="N11" s="52">
        <v>1.852</v>
      </c>
      <c r="O11" s="52">
        <v>1.8503</v>
      </c>
      <c r="P11" s="52">
        <v>1.8549</v>
      </c>
      <c r="Q11" s="52">
        <v>1.852</v>
      </c>
      <c r="R11" s="52">
        <v>1.8517</v>
      </c>
      <c r="S11" s="52">
        <v>1.8539</v>
      </c>
      <c r="T11" s="52">
        <v>1.8547</v>
      </c>
      <c r="U11" s="52">
        <v>1.8533</v>
      </c>
      <c r="V11" s="52">
        <v>1.8074</v>
      </c>
      <c r="W11" s="52">
        <v>1.8524</v>
      </c>
      <c r="X11" s="52">
        <v>1.8537</v>
      </c>
      <c r="Y11" s="52">
        <v>1.8545</v>
      </c>
      <c r="Z11" s="53" t="str">
        <f t="shared" si="5"/>
        <v>√</v>
      </c>
      <c r="AA11" s="53" t="str">
        <f t="shared" si="5"/>
        <v>√</v>
      </c>
      <c r="AB11" s="53" t="str">
        <f t="shared" si="5"/>
        <v>√</v>
      </c>
      <c r="AC11" s="53" t="str">
        <f t="shared" si="4"/>
        <v>√</v>
      </c>
      <c r="AD11" s="53" t="str">
        <f t="shared" si="4"/>
        <v>√</v>
      </c>
      <c r="AE11" s="53" t="str">
        <f t="shared" si="4"/>
        <v>√</v>
      </c>
      <c r="AF11" s="53" t="str">
        <f t="shared" si="4"/>
        <v>√</v>
      </c>
      <c r="AG11" s="53" t="str">
        <f t="shared" si="4"/>
        <v>√</v>
      </c>
      <c r="AH11" s="53" t="str">
        <f t="shared" si="4"/>
        <v>√</v>
      </c>
      <c r="AI11" s="53" t="str">
        <f t="shared" si="4"/>
        <v>√</v>
      </c>
      <c r="AJ11" s="53" t="str">
        <f t="shared" si="4"/>
        <v>√</v>
      </c>
      <c r="AK11" s="53" t="str">
        <f t="shared" si="4"/>
        <v>√</v>
      </c>
      <c r="AL11" s="53" t="str">
        <f t="shared" si="4"/>
        <v>√</v>
      </c>
      <c r="AM11" s="53" t="str">
        <f t="shared" si="4"/>
        <v>√</v>
      </c>
      <c r="AN11" s="53" t="str">
        <f t="shared" si="4"/>
        <v>√</v>
      </c>
      <c r="AO11" s="53" t="str">
        <f t="shared" si="4"/>
        <v>√</v>
      </c>
    </row>
    <row r="12" ht="15" customHeight="1" spans="1:41">
      <c r="A12" s="54"/>
      <c r="B12" s="49" t="s">
        <v>50</v>
      </c>
      <c r="C12" s="49" t="s">
        <v>51</v>
      </c>
      <c r="D12" s="50">
        <v>6.26</v>
      </c>
      <c r="E12" s="50">
        <v>0.025</v>
      </c>
      <c r="F12" s="50">
        <v>-0.025</v>
      </c>
      <c r="G12" s="51">
        <f t="shared" ref="G12:G14" si="6">D12+E12</f>
        <v>6.285</v>
      </c>
      <c r="H12" s="51">
        <f t="shared" ref="H12:H14" si="7">D12+F12</f>
        <v>6.235</v>
      </c>
      <c r="I12" s="50" t="s">
        <v>45</v>
      </c>
      <c r="J12" s="52">
        <v>6.2621</v>
      </c>
      <c r="K12" s="52">
        <v>6.2605</v>
      </c>
      <c r="L12" s="52">
        <v>6.2535</v>
      </c>
      <c r="M12" s="52">
        <v>6.2573</v>
      </c>
      <c r="N12" s="52">
        <v>6.2546</v>
      </c>
      <c r="O12" s="52">
        <v>6.2605</v>
      </c>
      <c r="P12" s="52">
        <v>6.2728</v>
      </c>
      <c r="Q12" s="52">
        <v>6.2642</v>
      </c>
      <c r="R12" s="52">
        <v>6.244</v>
      </c>
      <c r="S12" s="52">
        <v>6.259</v>
      </c>
      <c r="T12" s="52">
        <v>6.2601</v>
      </c>
      <c r="U12" s="52">
        <v>6.2532</v>
      </c>
      <c r="V12" s="52">
        <v>6.2563</v>
      </c>
      <c r="W12" s="52">
        <v>6.268</v>
      </c>
      <c r="X12" s="52">
        <v>6.2531</v>
      </c>
      <c r="Y12" s="52">
        <v>6.2607</v>
      </c>
      <c r="Z12" s="53" t="str">
        <f t="shared" ref="Z12:Z14" si="8">IF(J12="","",IF(J12&gt;($D12+$E12),(J12-$D12-$E12),IF(J12&lt;($D12+$F12),(J12-$D12-$F12),"√")))</f>
        <v>√</v>
      </c>
      <c r="AA12" s="53" t="str">
        <f t="shared" ref="AA12:AA14" si="9">IF(K12="","",IF(K12&gt;($D12+$E12),(K12-$D12-$E12),IF(K12&lt;($D12+$F12),(K12-$D12-$F12),"√")))</f>
        <v>√</v>
      </c>
      <c r="AB12" s="53" t="str">
        <f t="shared" ref="AB12:AB14" si="10">IF(L12="","",IF(L12&gt;($D12+$E12),(L12-$D12-$E12),IF(L12&lt;($D12+$F12),(L12-$D12-$F12),"√")))</f>
        <v>√</v>
      </c>
      <c r="AC12" s="53" t="str">
        <f t="shared" ref="AC12:AC14" si="11">IF(M12="","",IF(M12&gt;($D12+$E12),(M12-$D12-$E12),IF(M12&lt;($D12+$F12),(M12-$D12-$F12),"√")))</f>
        <v>√</v>
      </c>
      <c r="AD12" s="53" t="str">
        <f t="shared" ref="AD12:AD14" si="12">IF(N12="","",IF(N12&gt;($D12+$E12),(N12-$D12-$E12),IF(N12&lt;($D12+$F12),(N12-$D12-$F12),"√")))</f>
        <v>√</v>
      </c>
      <c r="AE12" s="53" t="str">
        <f t="shared" ref="AE12:AE14" si="13">IF(O12="","",IF(O12&gt;($D12+$E12),(O12-$D12-$E12),IF(O12&lt;($D12+$F12),(O12-$D12-$F12),"√")))</f>
        <v>√</v>
      </c>
      <c r="AF12" s="53" t="str">
        <f t="shared" ref="AF12:AF14" si="14">IF(P12="","",IF(P12&gt;($D12+$E12),(P12-$D12-$E12),IF(P12&lt;($D12+$F12),(P12-$D12-$F12),"√")))</f>
        <v>√</v>
      </c>
      <c r="AG12" s="53" t="str">
        <f t="shared" ref="AG12:AG14" si="15">IF(Q12="","",IF(Q12&gt;($D12+$E12),(Q12-$D12-$E12),IF(Q12&lt;($D12+$F12),(Q12-$D12-$F12),"√")))</f>
        <v>√</v>
      </c>
      <c r="AH12" s="53" t="str">
        <f t="shared" ref="AH12:AH14" si="16">IF(R12="","",IF(R12&gt;($D12+$E12),(R12-$D12-$E12),IF(R12&lt;($D12+$F12),(R12-$D12-$F12),"√")))</f>
        <v>√</v>
      </c>
      <c r="AI12" s="53" t="str">
        <f t="shared" ref="AI12:AI14" si="17">IF(S12="","",IF(S12&gt;($D12+$E12),(S12-$D12-$E12),IF(S12&lt;($D12+$F12),(S12-$D12-$F12),"√")))</f>
        <v>√</v>
      </c>
      <c r="AJ12" s="53" t="str">
        <f t="shared" ref="AJ12:AJ14" si="18">IF(T12="","",IF(T12&gt;($D12+$E12),(T12-$D12-$E12),IF(T12&lt;($D12+$F12),(T12-$D12-$F12),"√")))</f>
        <v>√</v>
      </c>
      <c r="AK12" s="53" t="str">
        <f t="shared" ref="AK12:AK14" si="19">IF(U12="","",IF(U12&gt;($D12+$E12),(U12-$D12-$E12),IF(U12&lt;($D12+$F12),(U12-$D12-$F12),"√")))</f>
        <v>√</v>
      </c>
      <c r="AL12" s="53" t="str">
        <f t="shared" ref="AL12:AL14" si="20">IF(V12="","",IF(V12&gt;($D12+$E12),(V12-$D12-$E12),IF(V12&lt;($D12+$F12),(V12-$D12-$F12),"√")))</f>
        <v>√</v>
      </c>
      <c r="AM12" s="53" t="str">
        <f t="shared" ref="AM12:AM14" si="21">IF(W12="","",IF(W12&gt;($D12+$E12),(W12-$D12-$E12),IF(W12&lt;($D12+$F12),(W12-$D12-$F12),"√")))</f>
        <v>√</v>
      </c>
      <c r="AN12" s="53" t="str">
        <f t="shared" ref="AN12:AN14" si="22">IF(X12="","",IF(X12&gt;($D12+$E12),(X12-$D12-$E12),IF(X12&lt;($D12+$F12),(X12-$D12-$F12),"√")))</f>
        <v>√</v>
      </c>
      <c r="AO12" s="53" t="str">
        <f t="shared" ref="AO12:AO14" si="23">IF(Y12="","",IF(Y12&gt;($D12+$E12),(Y12-$D12-$E12),IF(Y12&lt;($D12+$F12),(Y12-$D12-$F12),"√")))</f>
        <v>√</v>
      </c>
    </row>
    <row r="13" ht="15" customHeight="1" spans="1:41">
      <c r="A13" s="54"/>
      <c r="B13" s="49" t="s">
        <v>52</v>
      </c>
      <c r="C13" s="49"/>
      <c r="D13" s="50">
        <v>1.27</v>
      </c>
      <c r="E13" s="50">
        <v>0.03</v>
      </c>
      <c r="F13" s="50">
        <v>-0.03</v>
      </c>
      <c r="G13" s="51">
        <f t="shared" si="6"/>
        <v>1.3</v>
      </c>
      <c r="H13" s="51">
        <f t="shared" si="7"/>
        <v>1.24</v>
      </c>
      <c r="I13" s="50" t="s">
        <v>45</v>
      </c>
      <c r="J13" s="52">
        <v>1.273</v>
      </c>
      <c r="K13" s="52">
        <v>1.2759</v>
      </c>
      <c r="L13" s="52">
        <v>1.2614</v>
      </c>
      <c r="M13" s="52">
        <v>1.2666</v>
      </c>
      <c r="N13" s="52">
        <v>1.2529</v>
      </c>
      <c r="O13" s="52">
        <v>1.2685</v>
      </c>
      <c r="P13" s="52">
        <v>1.2638</v>
      </c>
      <c r="Q13" s="52">
        <v>1.259</v>
      </c>
      <c r="R13" s="52">
        <v>1.2853</v>
      </c>
      <c r="S13" s="52">
        <v>1.2785</v>
      </c>
      <c r="T13" s="52">
        <v>1.2724</v>
      </c>
      <c r="U13" s="52">
        <v>1.2644</v>
      </c>
      <c r="V13" s="52">
        <v>1.279</v>
      </c>
      <c r="W13" s="52">
        <v>1.272</v>
      </c>
      <c r="X13" s="52">
        <v>1.2729</v>
      </c>
      <c r="Y13" s="52">
        <v>1.2729</v>
      </c>
      <c r="Z13" s="53" t="str">
        <f t="shared" si="8"/>
        <v>√</v>
      </c>
      <c r="AA13" s="53" t="str">
        <f t="shared" si="9"/>
        <v>√</v>
      </c>
      <c r="AB13" s="53" t="str">
        <f t="shared" si="10"/>
        <v>√</v>
      </c>
      <c r="AC13" s="53" t="str">
        <f t="shared" si="11"/>
        <v>√</v>
      </c>
      <c r="AD13" s="53" t="str">
        <f t="shared" si="12"/>
        <v>√</v>
      </c>
      <c r="AE13" s="53" t="str">
        <f t="shared" si="13"/>
        <v>√</v>
      </c>
      <c r="AF13" s="53" t="str">
        <f t="shared" si="14"/>
        <v>√</v>
      </c>
      <c r="AG13" s="53" t="str">
        <f t="shared" si="15"/>
        <v>√</v>
      </c>
      <c r="AH13" s="53" t="str">
        <f t="shared" si="16"/>
        <v>√</v>
      </c>
      <c r="AI13" s="53" t="str">
        <f t="shared" si="17"/>
        <v>√</v>
      </c>
      <c r="AJ13" s="53" t="str">
        <f t="shared" si="18"/>
        <v>√</v>
      </c>
      <c r="AK13" s="53" t="str">
        <f t="shared" si="19"/>
        <v>√</v>
      </c>
      <c r="AL13" s="53" t="str">
        <f t="shared" si="20"/>
        <v>√</v>
      </c>
      <c r="AM13" s="53" t="str">
        <f t="shared" si="21"/>
        <v>√</v>
      </c>
      <c r="AN13" s="53" t="str">
        <f t="shared" si="22"/>
        <v>√</v>
      </c>
      <c r="AO13" s="53" t="str">
        <f t="shared" si="23"/>
        <v>√</v>
      </c>
    </row>
    <row r="14" ht="15" customHeight="1" spans="1:41">
      <c r="A14" s="54"/>
      <c r="B14" s="49" t="s">
        <v>53</v>
      </c>
      <c r="C14" s="49"/>
      <c r="D14" s="50">
        <v>1.27</v>
      </c>
      <c r="E14" s="50">
        <v>0.03</v>
      </c>
      <c r="F14" s="50">
        <v>-0.03</v>
      </c>
      <c r="G14" s="51">
        <f t="shared" si="6"/>
        <v>1.3</v>
      </c>
      <c r="H14" s="51">
        <f t="shared" si="7"/>
        <v>1.24</v>
      </c>
      <c r="I14" s="50" t="s">
        <v>45</v>
      </c>
      <c r="J14" s="52">
        <v>1.269</v>
      </c>
      <c r="K14" s="52">
        <v>1.2739</v>
      </c>
      <c r="L14" s="52">
        <v>1.275</v>
      </c>
      <c r="M14" s="52">
        <v>1.2812</v>
      </c>
      <c r="N14" s="52">
        <v>1.2623</v>
      </c>
      <c r="O14" s="52">
        <v>1.2639</v>
      </c>
      <c r="P14" s="52">
        <v>1.2718</v>
      </c>
      <c r="Q14" s="52">
        <v>1.2666</v>
      </c>
      <c r="R14" s="52">
        <v>1.2855</v>
      </c>
      <c r="S14" s="52">
        <v>1.2823</v>
      </c>
      <c r="T14" s="52">
        <v>1.2757</v>
      </c>
      <c r="U14" s="52">
        <v>1.2686</v>
      </c>
      <c r="V14" s="52">
        <v>1.2764</v>
      </c>
      <c r="W14" s="52">
        <v>1.2687</v>
      </c>
      <c r="X14" s="52">
        <v>1.2649</v>
      </c>
      <c r="Y14" s="52">
        <v>1.2703</v>
      </c>
      <c r="Z14" s="53" t="str">
        <f t="shared" si="8"/>
        <v>√</v>
      </c>
      <c r="AA14" s="53" t="str">
        <f t="shared" si="9"/>
        <v>√</v>
      </c>
      <c r="AB14" s="53" t="str">
        <f t="shared" si="10"/>
        <v>√</v>
      </c>
      <c r="AC14" s="53" t="str">
        <f t="shared" si="11"/>
        <v>√</v>
      </c>
      <c r="AD14" s="53" t="str">
        <f t="shared" si="12"/>
        <v>√</v>
      </c>
      <c r="AE14" s="53" t="str">
        <f t="shared" si="13"/>
        <v>√</v>
      </c>
      <c r="AF14" s="53" t="str">
        <f t="shared" si="14"/>
        <v>√</v>
      </c>
      <c r="AG14" s="53" t="str">
        <f t="shared" si="15"/>
        <v>√</v>
      </c>
      <c r="AH14" s="53" t="str">
        <f t="shared" si="16"/>
        <v>√</v>
      </c>
      <c r="AI14" s="53" t="str">
        <f t="shared" si="17"/>
        <v>√</v>
      </c>
      <c r="AJ14" s="53" t="str">
        <f t="shared" si="18"/>
        <v>√</v>
      </c>
      <c r="AK14" s="53" t="str">
        <f t="shared" si="19"/>
        <v>√</v>
      </c>
      <c r="AL14" s="53" t="str">
        <f t="shared" si="20"/>
        <v>√</v>
      </c>
      <c r="AM14" s="53" t="str">
        <f t="shared" si="21"/>
        <v>√</v>
      </c>
      <c r="AN14" s="53" t="str">
        <f t="shared" si="22"/>
        <v>√</v>
      </c>
      <c r="AO14" s="53" t="str">
        <f t="shared" si="23"/>
        <v>√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4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2026-06-17T00:25:50Z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