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4" sheetId="1" r:id="rId1"/>
  </sheets>
  <definedNames>
    <definedName name="_xlnm.Print_Area" localSheetId="0">'X806-64564'!$B$1:$AE$6</definedName>
    <definedName name="_xlnm.Print_Titles" localSheetId="0">'X806-64564'!$1:6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<sst xmlns="http://schemas.openxmlformats.org/spreadsheetml/2006/main" count="77" uniqueCount="62">
  <si>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安徽中耀智能科技有限公司首件尺寸报告</t>
  </si>
  <si>
    <t>料号</t>
  </si>
  <si>
    <t>X806-64564</t>
  </si>
  <si>
    <t>工单号</t>
  </si>
  <si>
    <t>ww115-260623020</t>
  </si>
  <si>
    <t>工站</t>
  </si>
  <si>
    <t>射出机台号</t>
  </si>
  <si>
    <t>测量机台</t>
  </si>
  <si>
    <t>测量人员</t>
  </si>
  <si>
    <t>审核</t>
  </si>
  <si>
    <t>射出</t>
  </si>
  <si>
    <t>3FE08#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</si>
  <si>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</si>
  <si>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</si>
  <si>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</si>
  <si>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</si>
  <si>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</si>
  <si>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</si>
  <si>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</si>
  <si>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</si>
  <si>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</si>
  <si>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</si>
  <si>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</si>
  <si>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</si>
  <si>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</si>
  <si>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</si>
  <si>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</si>
  <si>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</si>
  <si>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</si>
  <si>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</si>
  <si>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</si>
  <si>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</si>
  <si>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</si>
  <si>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</si>
  <si>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</si>
  <si>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</si>
  <si>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</si>
  <si>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</si>
  <si>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</si>
  <si>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</si>
  <si>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</si>
  <si>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</si>
  <si>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</si>
  <si>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</si>
  <si>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FAI-1</t>
  </si>
  <si>
    <t>OMM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</si>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</sst>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8"/>
  <sheetViews>
    <sheetView tabSelected="1" topLeftCell="G1" workbookViewId="0">
      <selection activeCell="Y14" sqref="Y14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1-9</v>
      </c>
      <c r="AI6" s="56" t="str">
        <f t="shared" si="1"/>
        <v>1-10</v>
      </c>
      <c r="AJ6" s="56" t="str">
        <f t="shared" si="1"/>
        <v>1-11</v>
      </c>
      <c r="AK6" s="56" t="str">
        <f t="shared" si="1"/>
        <v>1-12</v>
      </c>
      <c r="AL6" s="56" t="str">
        <f t="shared" si="1"/>
        <v>1-13</v>
      </c>
      <c r="AM6" s="56" t="str">
        <f t="shared" si="1"/>
        <v>1-14</v>
      </c>
      <c r="AN6" s="56" t="str">
        <f t="shared" si="1"/>
        <v>1-15</v>
      </c>
      <c r="AO6" s="56" t="str">
        <f t="shared" si="1"/>
        <v>1-16</v>
      </c>
    </row>
    <row r="7" spans="1:41">
      <c r="A7" s="57">
        <v>46197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D7+F7</f>
        <v>2.25</v>
      </c>
      <c r="I7" s="61" t="s">
        <v>45</v>
      </c>
      <c r="J7" s="62">
        <v>2.3019</v>
      </c>
      <c r="K7" s="62">
        <v>2.3011</v>
      </c>
      <c r="L7" s="62">
        <v>2.3021</v>
      </c>
      <c r="M7" s="62">
        <v>2.3017</v>
      </c>
      <c r="N7" s="62">
        <v>2.302</v>
      </c>
      <c r="O7" s="62">
        <v>2.3026</v>
      </c>
      <c r="P7" s="62">
        <v>2.3018</v>
      </c>
      <c r="Q7" s="62">
        <v>2.3021</v>
      </c>
      <c r="R7" s="62">
        <v>2.3022</v>
      </c>
      <c r="S7" s="62">
        <v>2.3012</v>
      </c>
      <c r="T7" s="62">
        <v>2.3013</v>
      </c>
      <c r="U7" s="62">
        <v>2.3019</v>
      </c>
      <c r="V7" s="62">
        <v>2.302</v>
      </c>
      <c r="W7" s="62">
        <v>2.3018</v>
      </c>
      <c r="X7" s="62">
        <v>2.3028</v>
      </c>
      <c r="Y7" s="62">
        <v>2.3021</v>
      </c>
      <c r="Z7" s="63" t="str">
        <f t="shared" ref="Z7:AI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ref="AJ7:AO7" si="3">IF(T7="","",IF(T7&gt;($D7+$E7),(T7-$D7-$E7),IF(T7&lt;($D7+$F7),(T7-$D7-$F7),"√")))</f>
        <v>√</v>
      </c>
      <c r="AK7" s="63" t="str">
        <f t="shared" si="3"/>
        <v>√</v>
      </c>
      <c r="AL7" s="63" t="str">
        <f t="shared" si="3"/>
        <v>√</v>
      </c>
      <c r="AM7" s="63" t="str">
        <f t="shared" si="3"/>
        <v>√</v>
      </c>
      <c r="AN7" s="63" t="str">
        <f t="shared" si="3"/>
        <v>√</v>
      </c>
      <c r="AO7" s="63" t="str">
        <f t="shared" si="3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customHeight="1" spans="1:41">
      <c r="A11" s="34" t="s">
        <v>15</v>
      </c>
      <c r="B11" s="34" t="s">
        <v>16</v>
      </c>
      <c r="C11" s="34" t="s">
        <v>17</v>
      </c>
      <c r="D11" s="35" t="s">
        <v>18</v>
      </c>
      <c r="E11" s="36" t="s">
        <v>19</v>
      </c>
      <c r="F11" s="37" t="s">
        <v>20</v>
      </c>
      <c r="G11" s="37" t="s">
        <v>21</v>
      </c>
      <c r="H11" s="37" t="s">
        <v>22</v>
      </c>
      <c r="I11" s="38" t="s">
        <v>23</v>
      </c>
      <c r="J11" s="39" t="s">
        <v>24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1"/>
      <c r="Z11" s="42" t="s">
        <v>25</v>
      </c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3.5" customHeight="1" spans="1:41">
      <c r="A12" s="45"/>
      <c r="B12" s="45"/>
      <c r="C12" s="45"/>
      <c r="D12" s="46"/>
      <c r="E12" s="47"/>
      <c r="F12" s="48"/>
      <c r="G12" s="48"/>
      <c r="H12" s="48"/>
      <c r="I12" s="49"/>
      <c r="J12" s="39" t="s">
        <v>26</v>
      </c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1"/>
      <c r="Z12" s="42" t="s">
        <v>27</v>
      </c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4"/>
    </row>
    <row r="13" customHeight="1" spans="1:41">
      <c r="A13" s="50"/>
      <c r="B13" s="50"/>
      <c r="C13" s="50"/>
      <c r="D13" s="51"/>
      <c r="E13" s="52"/>
      <c r="F13" s="53"/>
      <c r="G13" s="53"/>
      <c r="H13" s="53"/>
      <c r="I13" s="54"/>
      <c r="J13" s="55" t="s">
        <v>46</v>
      </c>
      <c r="K13" s="55" t="s">
        <v>47</v>
      </c>
      <c r="L13" s="55" t="s">
        <v>48</v>
      </c>
      <c r="M13" s="55" t="s">
        <v>49</v>
      </c>
      <c r="N13" s="55" t="s">
        <v>50</v>
      </c>
      <c r="O13" s="55" t="s">
        <v>51</v>
      </c>
      <c r="P13" s="55" t="s">
        <v>52</v>
      </c>
      <c r="Q13" s="55" t="s">
        <v>53</v>
      </c>
      <c r="R13" s="55" t="s">
        <v>54</v>
      </c>
      <c r="S13" s="55" t="s">
        <v>55</v>
      </c>
      <c r="T13" s="55" t="s">
        <v>56</v>
      </c>
      <c r="U13" s="55" t="s">
        <v>57</v>
      </c>
      <c r="V13" s="55" t="s">
        <v>58</v>
      </c>
      <c r="W13" s="55" t="s">
        <v>59</v>
      </c>
      <c r="X13" s="55" t="s">
        <v>60</v>
      </c>
      <c r="Y13" s="55" t="s">
        <v>61</v>
      </c>
      <c r="Z13" s="56" t="str">
        <f t="shared" ref="Z13:AO13" si="4">J13</f>
        <v>2-1</v>
      </c>
      <c r="AA13" s="56" t="str">
        <f t="shared" si="4"/>
        <v>2-2</v>
      </c>
      <c r="AB13" s="56" t="str">
        <f t="shared" si="4"/>
        <v>2-3</v>
      </c>
      <c r="AC13" s="56" t="str">
        <f t="shared" si="4"/>
        <v>2-4</v>
      </c>
      <c r="AD13" s="56" t="str">
        <f t="shared" si="4"/>
        <v>2-5</v>
      </c>
      <c r="AE13" s="56" t="str">
        <f t="shared" si="4"/>
        <v>2-6</v>
      </c>
      <c r="AF13" s="56" t="str">
        <f t="shared" si="4"/>
        <v>2-7</v>
      </c>
      <c r="AG13" s="56" t="str">
        <f t="shared" si="4"/>
        <v>2-8</v>
      </c>
      <c r="AH13" s="56" t="str">
        <f t="shared" si="4"/>
        <v>2-9</v>
      </c>
      <c r="AI13" s="56" t="str">
        <f t="shared" si="4"/>
        <v>2-10</v>
      </c>
      <c r="AJ13" s="56" t="str">
        <f t="shared" si="4"/>
        <v>2-11</v>
      </c>
      <c r="AK13" s="56" t="str">
        <f t="shared" si="4"/>
        <v>2-12</v>
      </c>
      <c r="AL13" s="56" t="str">
        <f t="shared" si="4"/>
        <v>2-13</v>
      </c>
      <c r="AM13" s="56" t="str">
        <f t="shared" si="4"/>
        <v>2-14</v>
      </c>
      <c r="AN13" s="56" t="str">
        <f t="shared" si="4"/>
        <v>2-15</v>
      </c>
      <c r="AO13" s="56" t="str">
        <f t="shared" si="4"/>
        <v>2-16</v>
      </c>
    </row>
    <row r="14" spans="1:41">
      <c r="A14" s="57">
        <v>46197</v>
      </c>
      <c r="B14" s="58" t="s">
        <v>44</v>
      </c>
      <c r="C14" s="58"/>
      <c r="D14" s="59">
        <v>2.3</v>
      </c>
      <c r="E14" s="59">
        <v>0.05</v>
      </c>
      <c r="F14" s="59">
        <v>-0.05</v>
      </c>
      <c r="G14" s="60">
        <f>D14+E14</f>
        <v>2.35</v>
      </c>
      <c r="H14" s="60">
        <f>D14+F14</f>
        <v>2.25</v>
      </c>
      <c r="I14" s="61" t="s">
        <v>45</v>
      </c>
      <c r="J14" s="62">
        <v>2.3016</v>
      </c>
      <c r="K14" s="62">
        <v>2.3021</v>
      </c>
      <c r="L14" s="62">
        <v>2.302</v>
      </c>
      <c r="M14" s="62">
        <v>2.3024</v>
      </c>
      <c r="N14" s="62">
        <v>2.3023</v>
      </c>
      <c r="O14" s="62">
        <v>2.3021</v>
      </c>
      <c r="P14" s="62">
        <v>2.3022</v>
      </c>
      <c r="Q14" s="62">
        <v>2.3021</v>
      </c>
      <c r="R14" s="62">
        <v>2.3015</v>
      </c>
      <c r="S14" s="62">
        <v>2.302</v>
      </c>
      <c r="T14" s="62">
        <v>2.3016</v>
      </c>
      <c r="U14" s="62">
        <v>2.3017</v>
      </c>
      <c r="V14" s="62">
        <v>2.3023</v>
      </c>
      <c r="W14" s="62">
        <v>2.3018</v>
      </c>
      <c r="X14" s="62">
        <v>2.302</v>
      </c>
      <c r="Y14" s="62">
        <v>2.3017</v>
      </c>
      <c r="Z14" s="63" t="str">
        <f t="shared" ref="Z14:AO14" si="5">IF(J14="","",IF(J14&gt;($D14+$E14),(J14-$D14-$E14),IF(J14&lt;($D14+$F14),(J14-$D14-$F14),"√")))</f>
        <v>√</v>
      </c>
      <c r="AA14" s="63" t="str">
        <f t="shared" si="5"/>
        <v>√</v>
      </c>
      <c r="AB14" s="63" t="str">
        <f t="shared" si="5"/>
        <v>√</v>
      </c>
      <c r="AC14" s="63" t="str">
        <f t="shared" si="5"/>
        <v>√</v>
      </c>
      <c r="AD14" s="63" t="str">
        <f t="shared" si="5"/>
        <v>√</v>
      </c>
      <c r="AE14" s="63" t="str">
        <f t="shared" si="5"/>
        <v>√</v>
      </c>
      <c r="AF14" s="63" t="str">
        <f t="shared" si="5"/>
        <v>√</v>
      </c>
      <c r="AG14" s="63" t="str">
        <f t="shared" si="5"/>
        <v>√</v>
      </c>
      <c r="AH14" s="63" t="str">
        <f t="shared" si="5"/>
        <v>√</v>
      </c>
      <c r="AI14" s="63" t="str">
        <f t="shared" si="5"/>
        <v>√</v>
      </c>
      <c r="AJ14" s="63" t="str">
        <f t="shared" si="5"/>
        <v>√</v>
      </c>
      <c r="AK14" s="63" t="str">
        <f t="shared" si="5"/>
        <v>√</v>
      </c>
      <c r="AL14" s="63" t="str">
        <f t="shared" si="5"/>
        <v>√</v>
      </c>
      <c r="AM14" s="63" t="str">
        <f t="shared" si="5"/>
        <v>√</v>
      </c>
      <c r="AN14" s="63" t="str">
        <f t="shared" si="5"/>
        <v>√</v>
      </c>
      <c r="AO14" s="63" t="str">
        <f t="shared" si="5"/>
        <v>√</v>
      </c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</sheetData>
  <mergeCells count="4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1:Y11"/>
    <mergeCell ref="Z11:AO11"/>
    <mergeCell ref="J12:Y12"/>
    <mergeCell ref="Z12:AO12"/>
    <mergeCell ref="A2:A3"/>
    <mergeCell ref="A4:A6"/>
    <mergeCell ref="A11:A13"/>
    <mergeCell ref="B4:B6"/>
    <mergeCell ref="B11:B13"/>
    <mergeCell ref="C4:C6"/>
    <mergeCell ref="C11:C13"/>
    <mergeCell ref="D4:D6"/>
    <mergeCell ref="D11:D13"/>
    <mergeCell ref="E4:E6"/>
    <mergeCell ref="E11:E13"/>
    <mergeCell ref="F4:F6"/>
    <mergeCell ref="F11:F13"/>
    <mergeCell ref="G4:G6"/>
    <mergeCell ref="G11:G13"/>
    <mergeCell ref="H4:H6"/>
    <mergeCell ref="H11:H13"/>
    <mergeCell ref="I4:I6"/>
    <mergeCell ref="I11:I13"/>
    <mergeCell ref="B2:G3"/>
    <mergeCell ref="H2:K3"/>
    <mergeCell ref="L2:R3"/>
  </mergeCells>
  <conditionalFormatting sqref="J7:Y7">
    <cfRule type="cellIs" dxfId="0" priority="23" stopIfTrue="1" operator="notBetween">
      <formula>$G7</formula>
      <formula>$H7</formula>
    </cfRule>
  </conditionalFormatting>
  <conditionalFormatting sqref="J14:Y14">
    <cfRule type="cellIs" dxfId="0" priority="1" stopIfTrue="1" operator="notBetween">
      <formula>$G14</formula>
      <formula>$H14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2026-06-24T19:12:17Z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