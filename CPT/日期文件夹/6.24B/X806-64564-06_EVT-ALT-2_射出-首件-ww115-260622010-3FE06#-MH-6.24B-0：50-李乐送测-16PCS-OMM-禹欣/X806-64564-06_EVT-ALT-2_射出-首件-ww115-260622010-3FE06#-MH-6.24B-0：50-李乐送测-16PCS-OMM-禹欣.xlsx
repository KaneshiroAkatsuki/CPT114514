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X806-64564" sheetId="1" r:id="rId1"/>
  </sheets>
  <definedNames>
    <definedName name="_xlnm.Print_Area" localSheetId="0">'X806-64564'!$B$1:$AE$6</definedName>
    <definedName name="_xlnm.Print_Titles" localSheetId="0">'X806-64564'!$1:6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<sst xmlns="http://schemas.openxmlformats.org/spreadsheetml/2006/main" count="46" uniqueCount="46">
  <si>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安徽中耀智能科技有限公司首件尺寸报告</t>
  </si>
  <si>
    <t>料号</t>
  </si>
  <si>
    <t>X806-64564</t>
  </si>
  <si>
    <t>工单号</t>
  </si>
  <si>
    <t>ww115-260622010</t>
  </si>
  <si>
    <t>工站</t>
  </si>
  <si>
    <t>射出机台号</t>
  </si>
  <si>
    <t>测量机台</t>
  </si>
  <si>
    <t>测量人员</t>
  </si>
  <si>
    <t>审核</t>
  </si>
  <si>
    <t>射出</t>
  </si>
  <si>
    <t>3FE06#</t>
  </si>
  <si>
    <t>OMM5#</t>
  </si>
  <si>
    <t>禹欣</t>
  </si>
  <si>
    <t>陈跃进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</si>
  <si>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</si>
  <si>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</si>
  <si>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</si>
  <si>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</si>
  <si>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</si>
  <si>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</si>
  <si>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</si>
  <si>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</si>
  <si>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</si>
  <si>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</si>
  <si>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</si>
  <si>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</si>
  <si>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</si>
  <si>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</si>
  <si>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</si>
  <si>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1-3</t>
  </si>
  <si>
    <t>1-4</t>
  </si>
  <si>
    <t>1-5</t>
  </si>
  <si>
    <t>1-6</t>
  </si>
  <si>
    <t>1-7</t>
  </si>
  <si>
    <t>1-8</t>
  </si>
  <si>
    <t>2-1</t>
  </si>
  <si>
    <t>2-2</t>
  </si>
  <si>
    <t>2-3</t>
  </si>
  <si>
    <t>2-4</t>
  </si>
  <si>
    <t>2-5</t>
  </si>
  <si>
    <t>2-6</t>
  </si>
  <si>
    <t>2-7</t>
  </si>
  <si>
    <t>2-8</t>
  </si>
  <si>
    <t>FAI-1</t>
  </si>
  <si>
    <t>OMM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</si>
</sst>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5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7" applyNumberFormat="0" applyAlignment="0" applyProtection="0">
      <alignment vertical="center"/>
    </xf>
    <xf numFmtId="0" fontId="22" fillId="7" borderId="18" applyNumberFormat="0" applyAlignment="0" applyProtection="0">
      <alignment vertical="center"/>
    </xf>
    <xf numFmtId="0" fontId="23" fillId="7" borderId="17" applyNumberFormat="0" applyAlignment="0" applyProtection="0">
      <alignment vertical="center"/>
    </xf>
    <xf numFmtId="0" fontId="24" fillId="8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64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1" fillId="0" borderId="2" xfId="60" applyFont="1" applyBorder="1" applyAlignment="1" applyProtection="1">
      <alignment horizontal="center" vertical="center"/>
      <protection locked="0"/>
    </xf>
    <xf numFmtId="0" fontId="1" fillId="0" borderId="3" xfId="60" applyFont="1" applyBorder="1" applyAlignment="1" applyProtection="1">
      <alignment horizontal="center" vertical="center"/>
      <protection locked="0"/>
    </xf>
    <xf numFmtId="0" fontId="2" fillId="0" borderId="4" xfId="60" applyFont="1" applyFill="1" applyBorder="1" applyAlignment="1" applyProtection="1">
      <alignment horizontal="center" vertical="center"/>
      <protection locked="0"/>
    </xf>
    <xf numFmtId="0" fontId="3" fillId="0" borderId="5" xfId="60" applyFont="1" applyFill="1" applyBorder="1" applyAlignment="1" applyProtection="1">
      <alignment horizontal="center" vertical="center"/>
      <protection locked="0"/>
    </xf>
    <xf numFmtId="0" fontId="3" fillId="0" borderId="6" xfId="60" applyFont="1" applyFill="1" applyBorder="1" applyAlignment="1" applyProtection="1">
      <alignment horizontal="center" vertical="center"/>
      <protection locked="0"/>
    </xf>
    <xf numFmtId="0" fontId="3" fillId="0" borderId="7" xfId="60" applyFont="1" applyFill="1" applyBorder="1" applyAlignment="1" applyProtection="1">
      <alignment horizontal="center" vertical="center"/>
      <protection locked="0"/>
    </xf>
    <xf numFmtId="49" fontId="2" fillId="0" borderId="5" xfId="60" applyNumberFormat="1" applyFont="1" applyFill="1" applyBorder="1" applyAlignment="1">
      <alignment horizontal="center" vertical="center"/>
    </xf>
    <xf numFmtId="49" fontId="2" fillId="0" borderId="6" xfId="60" applyNumberFormat="1" applyFont="1" applyFill="1" applyBorder="1" applyAlignment="1">
      <alignment horizontal="center" vertical="center"/>
    </xf>
    <xf numFmtId="49" fontId="2" fillId="0" borderId="7" xfId="60" applyNumberFormat="1" applyFont="1" applyFill="1" applyBorder="1" applyAlignment="1">
      <alignment horizontal="center" vertical="center"/>
    </xf>
    <xf numFmtId="49" fontId="3" fillId="0" borderId="4" xfId="60" applyNumberFormat="1" applyFont="1" applyFill="1" applyBorder="1" applyAlignment="1">
      <alignment horizontal="center" vertical="center"/>
    </xf>
    <xf numFmtId="49" fontId="3" fillId="0" borderId="1" xfId="60" applyNumberFormat="1" applyFont="1" applyFill="1" applyBorder="1" applyAlignment="1">
      <alignment horizontal="center" vertical="center"/>
    </xf>
    <xf numFmtId="49" fontId="3" fillId="0" borderId="2" xfId="60" applyNumberFormat="1" applyFont="1" applyFill="1" applyBorder="1" applyAlignment="1">
      <alignment horizontal="center" vertical="center"/>
    </xf>
    <xf numFmtId="49" fontId="3" fillId="0" borderId="3" xfId="60" applyNumberFormat="1" applyFont="1" applyFill="1" applyBorder="1" applyAlignment="1">
      <alignment horizontal="center" vertical="center"/>
    </xf>
    <xf numFmtId="49" fontId="4" fillId="0" borderId="1" xfId="60" applyNumberFormat="1" applyFont="1" applyFill="1" applyBorder="1" applyAlignment="1" applyProtection="1">
      <alignment horizontal="center" vertical="center"/>
      <protection locked="0"/>
    </xf>
    <xf numFmtId="49" fontId="4" fillId="0" borderId="2" xfId="60" applyNumberFormat="1" applyFont="1" applyFill="1" applyBorder="1" applyAlignment="1" applyProtection="1">
      <alignment horizontal="center" vertical="center"/>
      <protection locked="0"/>
    </xf>
    <xf numFmtId="49" fontId="4" fillId="0" borderId="3" xfId="60" applyNumberFormat="1" applyFont="1" applyFill="1" applyBorder="1" applyAlignment="1" applyProtection="1">
      <alignment horizontal="center" vertical="center"/>
      <protection locked="0"/>
    </xf>
    <xf numFmtId="49" fontId="3" fillId="0" borderId="1" xfId="79" applyNumberFormat="1" applyFont="1" applyFill="1" applyBorder="1" applyAlignment="1">
      <alignment horizontal="center" vertical="center"/>
    </xf>
    <xf numFmtId="49" fontId="3" fillId="0" borderId="2" xfId="79" applyNumberFormat="1" applyFont="1" applyFill="1" applyBorder="1" applyAlignment="1">
      <alignment horizontal="center" vertical="center"/>
    </xf>
    <xf numFmtId="49" fontId="3" fillId="0" borderId="3" xfId="79" applyNumberFormat="1" applyFont="1" applyFill="1" applyBorder="1" applyAlignment="1">
      <alignment horizontal="center" vertical="center"/>
    </xf>
    <xf numFmtId="0" fontId="3" fillId="0" borderId="8" xfId="60" applyFont="1" applyFill="1" applyBorder="1" applyAlignment="1" applyProtection="1">
      <alignment horizontal="center" vertical="center"/>
      <protection locked="0"/>
    </xf>
    <xf numFmtId="0" fontId="3" fillId="0" borderId="9" xfId="60" applyFont="1" applyFill="1" applyBorder="1" applyAlignment="1" applyProtection="1">
      <alignment horizontal="center" vertical="center"/>
      <protection locked="0"/>
    </xf>
    <xf numFmtId="0" fontId="3" fillId="0" borderId="10" xfId="60" applyFont="1" applyFill="1" applyBorder="1" applyAlignment="1" applyProtection="1">
      <alignment horizontal="center" vertical="center"/>
      <protection locked="0"/>
    </xf>
    <xf numFmtId="49" fontId="2" fillId="0" borderId="8" xfId="60" applyNumberFormat="1" applyFont="1" applyFill="1" applyBorder="1" applyAlignment="1">
      <alignment horizontal="center" vertical="center"/>
    </xf>
    <xf numFmtId="49" fontId="2" fillId="0" borderId="9" xfId="60" applyNumberFormat="1" applyFont="1" applyFill="1" applyBorder="1" applyAlignment="1">
      <alignment horizontal="center" vertical="center"/>
    </xf>
    <xf numFmtId="49" fontId="2" fillId="0" borderId="10" xfId="60" applyNumberFormat="1" applyFont="1" applyFill="1" applyBorder="1" applyAlignment="1">
      <alignment horizontal="center" vertical="center"/>
    </xf>
    <xf numFmtId="0" fontId="3" fillId="0" borderId="1" xfId="60" applyFont="1" applyFill="1" applyBorder="1" applyAlignment="1" applyProtection="1">
      <alignment horizontal="center" vertical="center"/>
      <protection locked="0"/>
    </xf>
    <xf numFmtId="0" fontId="3" fillId="0" borderId="2" xfId="60" applyFont="1" applyFill="1" applyBorder="1" applyAlignment="1" applyProtection="1">
      <alignment horizontal="center" vertical="center"/>
      <protection locked="0"/>
    </xf>
    <xf numFmtId="0" fontId="3" fillId="0" borderId="3" xfId="60" applyFont="1" applyFill="1" applyBorder="1" applyAlignment="1" applyProtection="1">
      <alignment horizontal="center" vertical="center"/>
      <protection locked="0"/>
    </xf>
    <xf numFmtId="176" fontId="3" fillId="0" borderId="1" xfId="79" applyNumberFormat="1" applyFont="1" applyFill="1" applyBorder="1" applyAlignment="1">
      <alignment horizontal="center" vertical="center"/>
    </xf>
    <xf numFmtId="176" fontId="3" fillId="0" borderId="2" xfId="79" applyNumberFormat="1" applyFont="1" applyFill="1" applyBorder="1" applyAlignment="1">
      <alignment horizontal="center" vertical="center"/>
    </xf>
    <xf numFmtId="176" fontId="3" fillId="0" borderId="3" xfId="79" applyNumberFormat="1" applyFont="1" applyFill="1" applyBorder="1" applyAlignment="1">
      <alignment horizontal="center" vertical="center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2" borderId="11" xfId="60" applyFont="1" applyFill="1" applyBorder="1" applyAlignment="1" applyProtection="1">
      <alignment horizontal="center" vertical="center"/>
      <protection locked="0"/>
    </xf>
    <xf numFmtId="177" fontId="5" fillId="2" borderId="11" xfId="60" applyNumberFormat="1" applyFont="1" applyFill="1" applyBorder="1" applyAlignment="1">
      <alignment horizontal="center" vertical="center"/>
    </xf>
    <xf numFmtId="177" fontId="5" fillId="2" borderId="11" xfId="60" applyNumberFormat="1" applyFont="1" applyFill="1" applyBorder="1" applyAlignment="1" applyProtection="1">
      <alignment horizontal="center" vertical="center"/>
      <protection locked="0"/>
    </xf>
    <xf numFmtId="0" fontId="5" fillId="2" borderId="11" xfId="60" applyFont="1" applyFill="1" applyBorder="1" applyAlignment="1" applyProtection="1">
      <alignment horizontal="center" vertical="center" wrapText="1"/>
      <protection locked="0"/>
    </xf>
    <xf numFmtId="0" fontId="5" fillId="3" borderId="1" xfId="60" applyFont="1" applyFill="1" applyBorder="1" applyAlignment="1" applyProtection="1">
      <alignment horizontal="center" vertical="center"/>
      <protection locked="0"/>
    </xf>
    <xf numFmtId="0" fontId="5" fillId="3" borderId="2" xfId="60" applyFont="1" applyFill="1" applyBorder="1" applyAlignment="1" applyProtection="1">
      <alignment horizontal="center" vertical="center"/>
      <protection locked="0"/>
    </xf>
    <xf numFmtId="0" fontId="5" fillId="3" borderId="3" xfId="60" applyFont="1" applyFill="1" applyBorder="1" applyAlignment="1" applyProtection="1">
      <alignment horizontal="center" vertical="center"/>
      <protection locked="0"/>
    </xf>
    <xf numFmtId="0" fontId="5" fillId="4" borderId="1" xfId="60" applyFont="1" applyFill="1" applyBorder="1" applyAlignment="1">
      <alignment horizontal="center" vertical="center"/>
    </xf>
    <xf numFmtId="0" fontId="5" fillId="4" borderId="2" xfId="60" applyFont="1" applyFill="1" applyBorder="1" applyAlignment="1">
      <alignment horizontal="center" vertical="center"/>
    </xf>
    <xf numFmtId="0" fontId="5" fillId="4" borderId="3" xfId="60" applyFont="1" applyFill="1" applyBorder="1" applyAlignment="1">
      <alignment horizontal="center" vertical="center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5" fillId="2" borderId="12" xfId="60" applyFont="1" applyFill="1" applyBorder="1" applyAlignment="1" applyProtection="1">
      <alignment horizontal="center" vertical="center"/>
      <protection locked="0"/>
    </xf>
    <xf numFmtId="177" fontId="5" fillId="2" borderId="12" xfId="60" applyNumberFormat="1" applyFont="1" applyFill="1" applyBorder="1" applyAlignment="1">
      <alignment horizontal="center" vertical="center"/>
    </xf>
    <xf numFmtId="177" fontId="5" fillId="2" borderId="12" xfId="60" applyNumberFormat="1" applyFont="1" applyFill="1" applyBorder="1" applyAlignment="1" applyProtection="1">
      <alignment horizontal="center" vertical="center"/>
      <protection locked="0"/>
    </xf>
    <xf numFmtId="0" fontId="5" fillId="2" borderId="12" xfId="60" applyFont="1" applyFill="1" applyBorder="1" applyAlignment="1" applyProtection="1">
      <alignment horizontal="center" vertical="center" wrapText="1"/>
      <protection locked="0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5" fillId="2" borderId="13" xfId="60" applyFont="1" applyFill="1" applyBorder="1" applyAlignment="1" applyProtection="1">
      <alignment horizontal="center" vertical="center"/>
      <protection locked="0"/>
    </xf>
    <xf numFmtId="177" fontId="5" fillId="2" borderId="13" xfId="60" applyNumberFormat="1" applyFont="1" applyFill="1" applyBorder="1" applyAlignment="1">
      <alignment horizontal="center" vertical="center"/>
    </xf>
    <xf numFmtId="177" fontId="5" fillId="2" borderId="13" xfId="60" applyNumberFormat="1" applyFont="1" applyFill="1" applyBorder="1" applyAlignment="1" applyProtection="1">
      <alignment horizontal="center" vertical="center"/>
      <protection locked="0"/>
    </xf>
    <xf numFmtId="0" fontId="5" fillId="2" borderId="13" xfId="60" applyFont="1" applyFill="1" applyBorder="1" applyAlignment="1" applyProtection="1">
      <alignment horizontal="center" vertical="center" wrapText="1"/>
      <protection locked="0"/>
    </xf>
    <xf numFmtId="49" fontId="6" fillId="3" borderId="4" xfId="60" applyNumberFormat="1" applyFont="1" applyFill="1" applyBorder="1" applyAlignment="1" applyProtection="1">
      <alignment horizontal="center" vertical="center"/>
      <protection locked="0"/>
    </xf>
    <xf numFmtId="0" fontId="6" fillId="4" borderId="4" xfId="60" applyFont="1" applyFill="1" applyBorder="1" applyAlignment="1">
      <alignment horizontal="center" vertical="center"/>
    </xf>
    <xf numFmtId="14" fontId="7" fillId="0" borderId="4" xfId="0" applyNumberFormat="1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4" xfId="59" applyFont="1" applyFill="1" applyBorder="1" applyAlignment="1">
      <alignment horizontal="center" vertical="center"/>
    </xf>
    <xf numFmtId="0" fontId="10" fillId="2" borderId="4" xfId="59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1" fillId="4" borderId="4" xfId="6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6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7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58"/>
  <sheetViews>
    <sheetView tabSelected="1" topLeftCell="B1" workbookViewId="0">
      <selection activeCell="L2" sqref="L2:R3"/>
    </sheetView>
  </sheetViews>
  <sheetFormatPr defaultColWidth="9" defaultRowHeight="14.25"/>
  <cols>
    <col min="1" max="3" width="9.25" customWidth="1"/>
    <col min="4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</row>
    <row r="2" ht="15" customHeight="1" spans="1:41">
      <c r="A2" s="5" t="s">
        <v>1</v>
      </c>
      <c r="B2" s="6" t="s">
        <v>2</v>
      </c>
      <c r="C2" s="7"/>
      <c r="D2" s="7"/>
      <c r="E2" s="7"/>
      <c r="F2" s="7"/>
      <c r="G2" s="8"/>
      <c r="H2" s="9" t="s">
        <v>3</v>
      </c>
      <c r="I2" s="10"/>
      <c r="J2" s="10"/>
      <c r="K2" s="11"/>
      <c r="L2" s="12" t="s">
        <v>4</v>
      </c>
      <c r="M2" s="12"/>
      <c r="N2" s="12"/>
      <c r="O2" s="12"/>
      <c r="P2" s="12"/>
      <c r="Q2" s="12"/>
      <c r="R2" s="12"/>
      <c r="S2" s="13" t="s">
        <v>5</v>
      </c>
      <c r="T2" s="14"/>
      <c r="U2" s="14"/>
      <c r="V2" s="14"/>
      <c r="W2" s="14"/>
      <c r="X2" s="15"/>
      <c r="Y2" s="16" t="s">
        <v>6</v>
      </c>
      <c r="Z2" s="17"/>
      <c r="AA2" s="17"/>
      <c r="AB2" s="17"/>
      <c r="AC2" s="17"/>
      <c r="AD2" s="18"/>
      <c r="AE2" s="16" t="s">
        <v>7</v>
      </c>
      <c r="AF2" s="17"/>
      <c r="AG2" s="17"/>
      <c r="AH2" s="17"/>
      <c r="AI2" s="18"/>
      <c r="AJ2" s="19" t="s">
        <v>8</v>
      </c>
      <c r="AK2" s="20"/>
      <c r="AL2" s="20"/>
      <c r="AM2" s="21"/>
      <c r="AN2" s="19" t="s">
        <v>9</v>
      </c>
      <c r="AO2" s="21"/>
    </row>
    <row r="3" ht="15" customHeight="1" spans="1:41">
      <c r="A3" s="5"/>
      <c r="B3" s="22"/>
      <c r="C3" s="23"/>
      <c r="D3" s="23"/>
      <c r="E3" s="23"/>
      <c r="F3" s="23"/>
      <c r="G3" s="24"/>
      <c r="H3" s="25"/>
      <c r="I3" s="26"/>
      <c r="J3" s="26"/>
      <c r="K3" s="27"/>
      <c r="L3" s="12"/>
      <c r="M3" s="12"/>
      <c r="N3" s="12"/>
      <c r="O3" s="12"/>
      <c r="P3" s="12"/>
      <c r="Q3" s="12"/>
      <c r="R3" s="12"/>
      <c r="S3" s="28" t="s">
        <v>10</v>
      </c>
      <c r="T3" s="29"/>
      <c r="U3" s="29"/>
      <c r="V3" s="29"/>
      <c r="W3" s="29"/>
      <c r="X3" s="30"/>
      <c r="Y3" s="28" t="s">
        <v>11</v>
      </c>
      <c r="Z3" s="29"/>
      <c r="AA3" s="29"/>
      <c r="AB3" s="29"/>
      <c r="AC3" s="29"/>
      <c r="AD3" s="30"/>
      <c r="AE3" s="31" t="s">
        <v>12</v>
      </c>
      <c r="AF3" s="32"/>
      <c r="AG3" s="32"/>
      <c r="AH3" s="32"/>
      <c r="AI3" s="33"/>
      <c r="AJ3" s="31" t="s">
        <v>13</v>
      </c>
      <c r="AK3" s="32"/>
      <c r="AL3" s="32"/>
      <c r="AM3" s="33"/>
      <c r="AN3" s="31" t="s">
        <v>14</v>
      </c>
      <c r="AO3" s="33"/>
    </row>
    <row r="4" customHeight="1" spans="1:41">
      <c r="A4" s="34" t="s">
        <v>15</v>
      </c>
      <c r="B4" s="34" t="s">
        <v>16</v>
      </c>
      <c r="C4" s="34" t="s">
        <v>17</v>
      </c>
      <c r="D4" s="35" t="s">
        <v>18</v>
      </c>
      <c r="E4" s="36" t="s">
        <v>19</v>
      </c>
      <c r="F4" s="37" t="s">
        <v>20</v>
      </c>
      <c r="G4" s="37" t="s">
        <v>21</v>
      </c>
      <c r="H4" s="37" t="s">
        <v>22</v>
      </c>
      <c r="I4" s="38" t="s">
        <v>23</v>
      </c>
      <c r="J4" s="39" t="s">
        <v>24</v>
      </c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1"/>
      <c r="Z4" s="42" t="s">
        <v>25</v>
      </c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4"/>
    </row>
    <row r="5" ht="13.5" customHeight="1" spans="1:41">
      <c r="A5" s="45"/>
      <c r="B5" s="45"/>
      <c r="C5" s="45"/>
      <c r="D5" s="46"/>
      <c r="E5" s="47"/>
      <c r="F5" s="48"/>
      <c r="G5" s="48"/>
      <c r="H5" s="48"/>
      <c r="I5" s="49"/>
      <c r="J5" s="39" t="s">
        <v>26</v>
      </c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1"/>
      <c r="Z5" s="42" t="s">
        <v>27</v>
      </c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4"/>
    </row>
    <row r="6" customHeight="1" spans="1:41">
      <c r="A6" s="50"/>
      <c r="B6" s="50"/>
      <c r="C6" s="50"/>
      <c r="D6" s="51"/>
      <c r="E6" s="52"/>
      <c r="F6" s="53"/>
      <c r="G6" s="53"/>
      <c r="H6" s="53"/>
      <c r="I6" s="54"/>
      <c r="J6" s="55" t="s">
        <v>28</v>
      </c>
      <c r="K6" s="55" t="s">
        <v>29</v>
      </c>
      <c r="L6" s="55" t="s">
        <v>30</v>
      </c>
      <c r="M6" s="55" t="s">
        <v>31</v>
      </c>
      <c r="N6" s="55" t="s">
        <v>32</v>
      </c>
      <c r="O6" s="55" t="s">
        <v>33</v>
      </c>
      <c r="P6" s="55" t="s">
        <v>34</v>
      </c>
      <c r="Q6" s="55" t="s">
        <v>35</v>
      </c>
      <c r="R6" s="55" t="s">
        <v>36</v>
      </c>
      <c r="S6" s="55" t="s">
        <v>37</v>
      </c>
      <c r="T6" s="55" t="s">
        <v>38</v>
      </c>
      <c r="U6" s="55" t="s">
        <v>39</v>
      </c>
      <c r="V6" s="55" t="s">
        <v>40</v>
      </c>
      <c r="W6" s="55" t="s">
        <v>41</v>
      </c>
      <c r="X6" s="55" t="s">
        <v>42</v>
      </c>
      <c r="Y6" s="55" t="s">
        <v>43</v>
      </c>
      <c r="Z6" s="56" t="str">
        <f t="shared" ref="Z6" si="0">J6</f>
        <v>1-1</v>
      </c>
      <c r="AA6" s="56" t="str">
        <f t="shared" ref="AA6:AO6" si="1">K6</f>
        <v>1-2</v>
      </c>
      <c r="AB6" s="56" t="str">
        <f t="shared" si="1"/>
        <v>1-3</v>
      </c>
      <c r="AC6" s="56" t="str">
        <f t="shared" si="1"/>
        <v>1-4</v>
      </c>
      <c r="AD6" s="56" t="str">
        <f t="shared" si="1"/>
        <v>1-5</v>
      </c>
      <c r="AE6" s="56" t="str">
        <f t="shared" si="1"/>
        <v>1-6</v>
      </c>
      <c r="AF6" s="56" t="str">
        <f t="shared" si="1"/>
        <v>1-7</v>
      </c>
      <c r="AG6" s="56" t="str">
        <f t="shared" si="1"/>
        <v>1-8</v>
      </c>
      <c r="AH6" s="56" t="str">
        <f t="shared" si="1"/>
        <v>2-1</v>
      </c>
      <c r="AI6" s="56" t="str">
        <f t="shared" si="1"/>
        <v>2-2</v>
      </c>
      <c r="AJ6" s="56" t="str">
        <f t="shared" si="1"/>
        <v>2-3</v>
      </c>
      <c r="AK6" s="56" t="str">
        <f t="shared" si="1"/>
        <v>2-4</v>
      </c>
      <c r="AL6" s="56" t="str">
        <f t="shared" si="1"/>
        <v>2-5</v>
      </c>
      <c r="AM6" s="56" t="str">
        <f t="shared" si="1"/>
        <v>2-6</v>
      </c>
      <c r="AN6" s="56" t="str">
        <f t="shared" si="1"/>
        <v>2-7</v>
      </c>
      <c r="AO6" s="56" t="str">
        <f t="shared" si="1"/>
        <v>2-8</v>
      </c>
    </row>
    <row r="7" spans="1:41">
      <c r="A7" s="57">
        <v>46197</v>
      </c>
      <c r="B7" s="58" t="s">
        <v>44</v>
      </c>
      <c r="C7" s="58"/>
      <c r="D7" s="59">
        <v>2.3</v>
      </c>
      <c r="E7" s="59">
        <v>0.05</v>
      </c>
      <c r="F7" s="59">
        <v>-0.05</v>
      </c>
      <c r="G7" s="60">
        <f>D7+E7</f>
        <v>2.35</v>
      </c>
      <c r="H7" s="60">
        <f>D7+F7</f>
        <v>2.25</v>
      </c>
      <c r="I7" s="61" t="s">
        <v>45</v>
      </c>
      <c r="J7" s="62">
        <v>2.3019</v>
      </c>
      <c r="K7" s="62">
        <v>2.3007</v>
      </c>
      <c r="L7" s="62">
        <v>2.3022</v>
      </c>
      <c r="M7" s="62">
        <v>2.3008</v>
      </c>
      <c r="N7" s="62">
        <v>2.3013</v>
      </c>
      <c r="O7" s="62">
        <v>2.3014</v>
      </c>
      <c r="P7" s="62">
        <v>2.301</v>
      </c>
      <c r="Q7" s="62">
        <v>2.3019</v>
      </c>
      <c r="R7" s="62">
        <v>2.3013</v>
      </c>
      <c r="S7" s="62">
        <v>2.3011</v>
      </c>
      <c r="T7" s="62">
        <v>2.3017</v>
      </c>
      <c r="U7" s="62">
        <v>2.3016</v>
      </c>
      <c r="V7" s="62">
        <v>2.3017</v>
      </c>
      <c r="W7" s="62">
        <v>2.3019</v>
      </c>
      <c r="X7" s="62">
        <v>2.3021</v>
      </c>
      <c r="Y7" s="62">
        <v>2.3021</v>
      </c>
      <c r="Z7" s="63" t="str">
        <f t="shared" ref="Z7:AI7" si="2">IF(J7="","",IF(J7&gt;($D7+$E7),(J7-$D7-$E7),IF(J7&lt;($D7+$F7),(J7-$D7-$F7),"√")))</f>
        <v>√</v>
      </c>
      <c r="AA7" s="63" t="str">
        <f t="shared" si="2"/>
        <v>√</v>
      </c>
      <c r="AB7" s="63" t="str">
        <f t="shared" si="2"/>
        <v>√</v>
      </c>
      <c r="AC7" s="63" t="str">
        <f t="shared" si="2"/>
        <v>√</v>
      </c>
      <c r="AD7" s="63" t="str">
        <f t="shared" si="2"/>
        <v>√</v>
      </c>
      <c r="AE7" s="63" t="str">
        <f t="shared" si="2"/>
        <v>√</v>
      </c>
      <c r="AF7" s="63" t="str">
        <f t="shared" si="2"/>
        <v>√</v>
      </c>
      <c r="AG7" s="63" t="str">
        <f t="shared" si="2"/>
        <v>√</v>
      </c>
      <c r="AH7" s="63" t="str">
        <f t="shared" si="2"/>
        <v>√</v>
      </c>
      <c r="AI7" s="63" t="str">
        <f t="shared" si="2"/>
        <v>√</v>
      </c>
      <c r="AJ7" s="63" t="str">
        <f t="shared" ref="AJ7:AO7" si="3">IF(T7="","",IF(T7&gt;($D7+$E7),(T7-$D7-$E7),IF(T7&lt;($D7+$F7),(T7-$D7-$F7),"√")))</f>
        <v>√</v>
      </c>
      <c r="AK7" s="63" t="str">
        <f t="shared" si="3"/>
        <v>√</v>
      </c>
      <c r="AL7" s="63" t="str">
        <f t="shared" si="3"/>
        <v>√</v>
      </c>
      <c r="AM7" s="63" t="str">
        <f t="shared" si="3"/>
        <v>√</v>
      </c>
      <c r="AN7" s="63" t="str">
        <f t="shared" si="3"/>
        <v>√</v>
      </c>
      <c r="AO7" s="63" t="str">
        <f t="shared" si="3"/>
        <v>√</v>
      </c>
    </row>
    <row r="8" spans="1:41">
      <c r="D8"/>
      <c r="E8"/>
      <c r="F8"/>
      <c r="G8"/>
      <c r="H8"/>
      <c r="I8"/>
    </row>
    <row r="9" spans="1:41">
      <c r="D9"/>
      <c r="E9"/>
      <c r="F9"/>
      <c r="G9"/>
      <c r="H9"/>
      <c r="I9"/>
    </row>
    <row r="10" spans="1:41">
      <c r="D10"/>
      <c r="E10"/>
      <c r="F10"/>
      <c r="G10"/>
      <c r="H10"/>
      <c r="I10"/>
    </row>
    <row r="11" spans="1:41">
      <c r="D11"/>
      <c r="E11"/>
      <c r="F11"/>
      <c r="G11"/>
      <c r="H11"/>
      <c r="I11"/>
    </row>
    <row r="12" spans="1:41">
      <c r="D12"/>
      <c r="E12"/>
      <c r="F12"/>
      <c r="G12"/>
      <c r="H12"/>
      <c r="I12"/>
    </row>
    <row r="13" spans="1:41">
      <c r="D13"/>
      <c r="E13"/>
      <c r="F13"/>
      <c r="G13"/>
      <c r="H13"/>
      <c r="I13"/>
    </row>
    <row r="14" spans="1:41">
      <c r="D14"/>
      <c r="E14"/>
      <c r="F14"/>
      <c r="G14"/>
      <c r="H14"/>
      <c r="I14"/>
    </row>
    <row r="15" spans="1:41">
      <c r="D15"/>
      <c r="E15"/>
      <c r="F15"/>
      <c r="G15"/>
      <c r="H15"/>
      <c r="I15"/>
    </row>
    <row r="16" spans="1:41">
      <c r="D16"/>
      <c r="E16"/>
      <c r="F16"/>
      <c r="G16"/>
      <c r="H16"/>
      <c r="I16"/>
    </row>
    <row r="17" spans="4:9">
      <c r="D17"/>
      <c r="E17"/>
      <c r="F17"/>
      <c r="G17"/>
      <c r="H17"/>
      <c r="I17"/>
    </row>
    <row r="18" spans="4:9">
      <c r="D18"/>
      <c r="E18"/>
      <c r="F18"/>
      <c r="G18"/>
      <c r="H18"/>
      <c r="I18"/>
    </row>
    <row r="19" spans="4:9">
      <c r="D19"/>
      <c r="E19"/>
      <c r="F19"/>
      <c r="G19"/>
      <c r="H19"/>
      <c r="I19"/>
    </row>
    <row r="20" spans="4:9">
      <c r="D20"/>
      <c r="E20"/>
      <c r="F20"/>
      <c r="G20"/>
      <c r="H20"/>
      <c r="I20"/>
    </row>
    <row r="21" spans="4:9">
      <c r="D21"/>
      <c r="E21"/>
      <c r="F21"/>
      <c r="G21"/>
      <c r="H21"/>
      <c r="I21"/>
    </row>
    <row r="22" spans="4:9">
      <c r="D22"/>
      <c r="E22"/>
      <c r="F22"/>
      <c r="G22"/>
      <c r="H22"/>
      <c r="I22"/>
    </row>
    <row r="23" spans="4:9">
      <c r="D23"/>
      <c r="E23"/>
      <c r="F23"/>
      <c r="G23"/>
      <c r="H23"/>
      <c r="I23"/>
    </row>
    <row r="24" spans="4:9">
      <c r="D24"/>
      <c r="E24"/>
      <c r="F24"/>
      <c r="G24"/>
      <c r="H24"/>
      <c r="I24"/>
    </row>
    <row r="25" spans="4:9">
      <c r="D25"/>
      <c r="E25"/>
      <c r="F25"/>
      <c r="G25"/>
      <c r="H25"/>
      <c r="I25"/>
    </row>
    <row r="26" spans="4:9">
      <c r="D26"/>
      <c r="E26"/>
      <c r="F26"/>
      <c r="G26"/>
      <c r="H26"/>
      <c r="I26"/>
    </row>
    <row r="27" spans="4:9">
      <c r="D27"/>
      <c r="E27"/>
      <c r="F27"/>
      <c r="G27"/>
      <c r="H27"/>
      <c r="I27"/>
    </row>
    <row r="28" spans="4:9">
      <c r="D28"/>
      <c r="E28"/>
      <c r="F28"/>
      <c r="G28"/>
      <c r="H28"/>
      <c r="I28"/>
    </row>
    <row r="29" spans="4:9">
      <c r="D29"/>
      <c r="E29"/>
      <c r="F29"/>
      <c r="G29"/>
      <c r="H29"/>
      <c r="I29"/>
    </row>
    <row r="30" spans="4:9">
      <c r="D30"/>
      <c r="E30"/>
      <c r="F30"/>
      <c r="G30"/>
      <c r="H30"/>
      <c r="I30"/>
    </row>
    <row r="31" spans="4:9">
      <c r="D31"/>
      <c r="E31"/>
      <c r="F31"/>
      <c r="G31"/>
      <c r="H31"/>
      <c r="I31"/>
    </row>
    <row r="32" spans="4:9">
      <c r="D32"/>
      <c r="E32"/>
      <c r="F32"/>
      <c r="G32"/>
      <c r="H32"/>
      <c r="I32"/>
    </row>
    <row r="33" spans="4:9">
      <c r="D33"/>
      <c r="E33"/>
      <c r="F33"/>
      <c r="G33"/>
      <c r="H33"/>
      <c r="I33"/>
    </row>
    <row r="34" spans="4:9">
      <c r="D34"/>
      <c r="E34"/>
      <c r="F34"/>
      <c r="G34"/>
      <c r="H34"/>
      <c r="I34"/>
    </row>
    <row r="35" spans="4:9">
      <c r="D35"/>
      <c r="E35"/>
      <c r="F35"/>
      <c r="G35"/>
      <c r="H35"/>
      <c r="I35"/>
    </row>
    <row r="36" spans="4:9">
      <c r="D36"/>
      <c r="E36"/>
      <c r="F36"/>
      <c r="G36"/>
      <c r="H36"/>
      <c r="I36"/>
    </row>
    <row r="37" spans="4:9">
      <c r="D37"/>
      <c r="E37"/>
      <c r="F37"/>
      <c r="G37"/>
      <c r="H37"/>
      <c r="I37"/>
    </row>
    <row r="38" spans="4:9">
      <c r="D38"/>
      <c r="E38"/>
      <c r="F38"/>
      <c r="G38"/>
      <c r="H38"/>
      <c r="I38"/>
    </row>
    <row r="39" spans="4:9">
      <c r="D39"/>
      <c r="E39"/>
      <c r="F39"/>
      <c r="G39"/>
      <c r="H39"/>
      <c r="I39"/>
    </row>
    <row r="40" spans="4:9">
      <c r="D40"/>
      <c r="E40"/>
      <c r="F40"/>
      <c r="G40"/>
      <c r="H40"/>
      <c r="I40"/>
    </row>
    <row r="41" spans="4:9">
      <c r="D41"/>
      <c r="E41"/>
      <c r="F41"/>
      <c r="G41"/>
      <c r="H41"/>
      <c r="I41"/>
    </row>
    <row r="42" spans="4:9">
      <c r="D42"/>
      <c r="E42"/>
      <c r="F42"/>
      <c r="G42"/>
      <c r="H42"/>
      <c r="I42"/>
    </row>
    <row r="43" spans="4:9">
      <c r="D43"/>
      <c r="E43"/>
      <c r="F43"/>
      <c r="G43"/>
      <c r="H43"/>
      <c r="I43"/>
    </row>
    <row r="44" spans="4:9">
      <c r="D44"/>
      <c r="E44"/>
      <c r="F44"/>
      <c r="G44"/>
      <c r="H44"/>
      <c r="I44"/>
    </row>
    <row r="45" spans="4:9">
      <c r="D45"/>
      <c r="E45"/>
      <c r="F45"/>
      <c r="G45"/>
      <c r="H45"/>
      <c r="I45"/>
    </row>
    <row r="46" spans="4:9">
      <c r="D46"/>
      <c r="E46"/>
      <c r="F46"/>
      <c r="G46"/>
      <c r="H46"/>
      <c r="I46"/>
    </row>
    <row r="47" spans="4:9">
      <c r="D47"/>
      <c r="E47"/>
      <c r="F47"/>
      <c r="G47"/>
      <c r="H47"/>
      <c r="I47"/>
    </row>
    <row r="48" spans="4:9">
      <c r="D48"/>
      <c r="E48"/>
      <c r="F48"/>
      <c r="G48"/>
      <c r="H48"/>
      <c r="I48"/>
    </row>
    <row r="49" spans="4:9">
      <c r="D49"/>
      <c r="E49"/>
      <c r="F49"/>
      <c r="G49"/>
      <c r="H49"/>
      <c r="I49"/>
    </row>
    <row r="50" spans="4:9">
      <c r="D50"/>
      <c r="E50"/>
      <c r="F50"/>
      <c r="G50"/>
      <c r="H50"/>
      <c r="I50"/>
    </row>
    <row r="51" spans="4:9">
      <c r="D51"/>
      <c r="E51"/>
      <c r="F51"/>
      <c r="G51"/>
      <c r="H51"/>
      <c r="I51"/>
    </row>
    <row r="52" spans="4:9">
      <c r="D52"/>
      <c r="E52"/>
      <c r="F52"/>
      <c r="G52"/>
      <c r="H52"/>
      <c r="I52"/>
    </row>
    <row r="53" spans="4:9">
      <c r="D53"/>
      <c r="E53"/>
      <c r="F53"/>
      <c r="G53"/>
      <c r="H53"/>
      <c r="I53"/>
    </row>
    <row r="54" spans="4:9">
      <c r="D54"/>
      <c r="E54"/>
      <c r="F54"/>
      <c r="G54"/>
      <c r="H54"/>
      <c r="I54"/>
    </row>
    <row r="55" spans="4:9">
      <c r="D55"/>
      <c r="E55"/>
      <c r="F55"/>
      <c r="G55"/>
      <c r="H55"/>
      <c r="I55"/>
    </row>
    <row r="56" spans="4:9">
      <c r="D56"/>
      <c r="E56"/>
      <c r="F56"/>
      <c r="G56"/>
      <c r="H56"/>
      <c r="I56"/>
    </row>
    <row r="57" spans="4:9">
      <c r="D57"/>
      <c r="E57"/>
      <c r="F57"/>
      <c r="G57"/>
      <c r="H57"/>
      <c r="I57"/>
    </row>
    <row r="58" spans="4:9">
      <c r="D58"/>
      <c r="E58"/>
      <c r="F58"/>
      <c r="G58"/>
      <c r="H58"/>
      <c r="I58"/>
    </row>
    <row r="59" spans="4:9">
      <c r="D59"/>
      <c r="E59"/>
      <c r="F59"/>
      <c r="G59"/>
      <c r="H59"/>
      <c r="I59"/>
    </row>
    <row r="60" spans="4:9">
      <c r="D60"/>
      <c r="E60"/>
      <c r="F60"/>
      <c r="G60"/>
      <c r="H60"/>
      <c r="I60"/>
    </row>
    <row r="61" spans="4:9">
      <c r="D61"/>
      <c r="E61"/>
      <c r="F61"/>
      <c r="G61"/>
      <c r="H61"/>
      <c r="I61"/>
    </row>
    <row r="62" spans="4:9">
      <c r="D62"/>
      <c r="E62"/>
      <c r="F62"/>
      <c r="G62"/>
      <c r="H62"/>
      <c r="I62"/>
    </row>
    <row r="63" spans="4:9">
      <c r="D63"/>
      <c r="E63"/>
      <c r="F63"/>
      <c r="G63"/>
      <c r="H63"/>
      <c r="I63"/>
    </row>
    <row r="64" spans="4:9">
      <c r="D64"/>
      <c r="E64"/>
      <c r="F64"/>
      <c r="G64"/>
      <c r="H64"/>
      <c r="I64"/>
    </row>
    <row r="65" spans="4:9">
      <c r="D65"/>
      <c r="E65"/>
      <c r="F65"/>
      <c r="G65"/>
      <c r="H65"/>
      <c r="I65"/>
    </row>
    <row r="66" spans="4:9">
      <c r="D66"/>
      <c r="E66"/>
      <c r="F66"/>
      <c r="G66"/>
      <c r="H66"/>
      <c r="I66"/>
    </row>
    <row r="67" spans="4:9">
      <c r="D67"/>
      <c r="E67"/>
      <c r="F67"/>
      <c r="G67"/>
      <c r="H67"/>
      <c r="I67"/>
    </row>
    <row r="68" spans="4:9">
      <c r="D68"/>
      <c r="E68"/>
      <c r="F68"/>
      <c r="G68"/>
      <c r="H68"/>
      <c r="I68"/>
    </row>
    <row r="69" spans="4:9">
      <c r="D69"/>
      <c r="E69"/>
      <c r="F69"/>
      <c r="G69"/>
      <c r="H69"/>
      <c r="I69"/>
    </row>
    <row r="70" spans="4:9">
      <c r="D70"/>
      <c r="E70"/>
      <c r="F70"/>
      <c r="G70"/>
      <c r="H70"/>
      <c r="I70"/>
    </row>
    <row r="71" spans="4:9">
      <c r="D71"/>
      <c r="E71"/>
      <c r="F71"/>
      <c r="G71"/>
      <c r="H71"/>
      <c r="I71"/>
    </row>
    <row r="72" spans="4:9">
      <c r="D72"/>
      <c r="E72"/>
      <c r="F72"/>
      <c r="G72"/>
      <c r="H72"/>
      <c r="I72"/>
    </row>
    <row r="73" spans="4:9">
      <c r="D73"/>
      <c r="E73"/>
      <c r="F73"/>
      <c r="G73"/>
      <c r="H73"/>
      <c r="I73"/>
    </row>
    <row r="74" spans="4:9">
      <c r="D74"/>
      <c r="E74"/>
      <c r="F74"/>
      <c r="G74"/>
      <c r="H74"/>
      <c r="I74"/>
    </row>
    <row r="75" spans="4:9">
      <c r="D75"/>
      <c r="E75"/>
      <c r="F75"/>
      <c r="G75"/>
      <c r="H75"/>
      <c r="I75"/>
    </row>
    <row r="76" spans="4:9">
      <c r="D76"/>
      <c r="E76"/>
      <c r="F76"/>
      <c r="G76"/>
      <c r="H76"/>
      <c r="I76"/>
    </row>
    <row r="77" spans="4:9">
      <c r="D77"/>
      <c r="E77"/>
      <c r="F77"/>
      <c r="G77"/>
      <c r="H77"/>
      <c r="I77"/>
    </row>
    <row r="78" spans="4:9">
      <c r="D78"/>
      <c r="E78"/>
      <c r="F78"/>
      <c r="G78"/>
      <c r="H78"/>
      <c r="I78"/>
    </row>
    <row r="79" spans="4:9">
      <c r="D79"/>
      <c r="E79"/>
      <c r="F79"/>
      <c r="G79"/>
      <c r="H79"/>
      <c r="I79"/>
    </row>
    <row r="80" spans="4:9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  <row r="101" spans="4:9">
      <c r="D101"/>
      <c r="E101"/>
      <c r="F101"/>
      <c r="G101"/>
      <c r="H101"/>
      <c r="I101"/>
    </row>
    <row r="102" spans="4:9">
      <c r="D102"/>
      <c r="E102"/>
      <c r="F102"/>
      <c r="G102"/>
      <c r="H102"/>
      <c r="I102"/>
    </row>
    <row r="103" spans="4:9">
      <c r="D103"/>
      <c r="E103"/>
      <c r="F103"/>
      <c r="G103"/>
      <c r="H103"/>
      <c r="I103"/>
    </row>
    <row r="104" spans="4:9">
      <c r="D104"/>
      <c r="E104"/>
      <c r="F104"/>
      <c r="G104"/>
      <c r="H104"/>
      <c r="I104"/>
    </row>
    <row r="105" spans="4:9">
      <c r="D105"/>
      <c r="E105"/>
      <c r="F105"/>
      <c r="G105"/>
      <c r="H105"/>
      <c r="I105"/>
    </row>
    <row r="106" spans="4:9">
      <c r="D106"/>
      <c r="E106"/>
      <c r="F106"/>
      <c r="G106"/>
      <c r="H106"/>
      <c r="I106"/>
    </row>
    <row r="107" spans="4:9">
      <c r="D107"/>
      <c r="E107"/>
      <c r="F107"/>
      <c r="G107"/>
      <c r="H107"/>
      <c r="I107"/>
    </row>
    <row r="108" spans="4:9">
      <c r="D108"/>
      <c r="E108"/>
      <c r="F108"/>
      <c r="G108"/>
      <c r="H108"/>
      <c r="I108"/>
    </row>
    <row r="109" spans="4:9">
      <c r="D109"/>
      <c r="E109"/>
      <c r="F109"/>
      <c r="G109"/>
      <c r="H109"/>
      <c r="I109"/>
    </row>
    <row r="110" spans="4:9">
      <c r="D110"/>
      <c r="E110"/>
      <c r="F110"/>
      <c r="G110"/>
      <c r="H110"/>
      <c r="I110"/>
    </row>
    <row r="111" spans="4:9">
      <c r="D111"/>
      <c r="E111"/>
      <c r="F111"/>
      <c r="G111"/>
      <c r="H111"/>
      <c r="I111"/>
    </row>
    <row r="112" spans="4:9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  <row r="155" spans="4:9">
      <c r="D155"/>
      <c r="E155"/>
      <c r="F155"/>
      <c r="G155"/>
      <c r="H155"/>
      <c r="I155"/>
    </row>
    <row r="156" spans="4:9">
      <c r="D156"/>
      <c r="E156"/>
      <c r="F156"/>
      <c r="G156"/>
      <c r="H156"/>
      <c r="I156"/>
    </row>
    <row r="157" spans="4:9">
      <c r="D157"/>
      <c r="E157"/>
      <c r="F157"/>
      <c r="G157"/>
      <c r="H157"/>
      <c r="I157"/>
    </row>
    <row r="158" spans="4:9">
      <c r="D158"/>
      <c r="E158"/>
      <c r="F158"/>
      <c r="G158"/>
      <c r="H158"/>
      <c r="I158"/>
    </row>
  </sheetData>
  <mergeCells count="28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7:Y7">
    <cfRule type="cellIs" dxfId="0" priority="22" stopIfTrue="1" operator="notBetween">
      <formula>$G7</formula>
      <formula>$H7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X806-64564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2026-06-24T18:02:31Z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