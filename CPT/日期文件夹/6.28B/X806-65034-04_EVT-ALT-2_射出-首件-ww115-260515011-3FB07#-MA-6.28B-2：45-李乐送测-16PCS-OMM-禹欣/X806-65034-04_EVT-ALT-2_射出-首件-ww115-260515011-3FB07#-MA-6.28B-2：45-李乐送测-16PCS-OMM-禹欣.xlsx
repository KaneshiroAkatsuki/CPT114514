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<sst xmlns="http://schemas.openxmlformats.org/spreadsheetml/2006/main" count="35" uniqueCount="33">
  <si>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</si>
  <si>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</si>
  <si>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X806-65034</t>
  </si>
  <si>
    <t>工单号</t>
  </si>
  <si>
    <t>ww115-260515011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</si>
  <si>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</si>
  <si>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</si>
  <si>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</si>
  <si>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</si>
  <si>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</si>
  <si>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</si>
  <si>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3FB07#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</si>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</sst>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topLeftCell="E1" workbookViewId="0">
      <selection activeCell="J7" sqref="J7:Y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46201</v>
      </c>
      <c r="B7" s="58" t="s">
        <v>28</v>
      </c>
      <c r="C7" s="58"/>
      <c r="D7" s="59">
        <v>9.52</v>
      </c>
      <c r="E7" s="59">
        <v>0.05</v>
      </c>
      <c r="F7" s="59">
        <v>-0.05</v>
      </c>
      <c r="G7" s="60">
        <f>D7+E7</f>
        <v>9.57</v>
      </c>
      <c r="H7" s="60">
        <f>D7+F7</f>
        <v>9.47</v>
      </c>
      <c r="I7" s="61" t="s">
        <v>29</v>
      </c>
      <c r="J7" s="62">
        <v>9.5301</v>
      </c>
      <c r="K7" s="62">
        <v>9.5343</v>
      </c>
      <c r="L7" s="62">
        <v>9.5598</v>
      </c>
      <c r="M7" s="62">
        <v>9.5478</v>
      </c>
      <c r="N7" s="62">
        <v>9.5294</v>
      </c>
      <c r="O7" s="62">
        <v>9.5299</v>
      </c>
      <c r="P7" s="62">
        <v>9.5107</v>
      </c>
      <c r="Q7" s="62">
        <v>9.5604</v>
      </c>
      <c r="R7" s="62">
        <v>9.5292</v>
      </c>
      <c r="S7" s="62">
        <v>9.5566</v>
      </c>
      <c r="T7" s="62">
        <v>9.5401</v>
      </c>
      <c r="U7" s="62">
        <v>9.5392</v>
      </c>
      <c r="V7" s="62">
        <v>9.5123</v>
      </c>
      <c r="W7" s="62">
        <v>9.5621</v>
      </c>
      <c r="X7" s="62">
        <v>9.5664</v>
      </c>
      <c r="Y7" s="62">
        <v>9.564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A8" s="64"/>
      <c r="B8" s="58" t="s">
        <v>30</v>
      </c>
      <c r="C8" s="58" t="s">
        <v>31</v>
      </c>
      <c r="D8" s="59">
        <v>3.88</v>
      </c>
      <c r="E8" s="59">
        <v>0.03</v>
      </c>
      <c r="F8" s="59">
        <v>-0.03</v>
      </c>
      <c r="G8" s="60">
        <f>D8+E8</f>
        <v>3.91</v>
      </c>
      <c r="H8" s="60">
        <f>D8+F8</f>
        <v>3.85</v>
      </c>
      <c r="I8" s="61" t="s">
        <v>29</v>
      </c>
      <c r="J8" s="62">
        <v>3.8597</v>
      </c>
      <c r="K8" s="62">
        <v>3.8554</v>
      </c>
      <c r="L8" s="62">
        <v>3.8953</v>
      </c>
      <c r="M8" s="62">
        <v>3.9094</v>
      </c>
      <c r="N8" s="62">
        <v>3.8791</v>
      </c>
      <c r="O8" s="62">
        <v>3.857</v>
      </c>
      <c r="P8" s="62">
        <v>3.8585</v>
      </c>
      <c r="Q8" s="62">
        <v>3.8572</v>
      </c>
      <c r="R8" s="62">
        <v>3.8586</v>
      </c>
      <c r="S8" s="62">
        <v>3.878</v>
      </c>
      <c r="T8" s="62">
        <v>3.8561</v>
      </c>
      <c r="U8" s="62">
        <v>3.8944</v>
      </c>
      <c r="V8" s="62">
        <v>3.864</v>
      </c>
      <c r="W8" s="62">
        <v>3.8937</v>
      </c>
      <c r="X8" s="62">
        <v>3.894</v>
      </c>
      <c r="Y8" s="62">
        <v>3.8936</v>
      </c>
      <c r="Z8" s="63" t="str">
        <f t="shared" ref="Z8:AO8" si="3">IF(J8="","",IF(J8&gt;($D8+$E8),(J8-$D8-$E8),IF(J8&lt;($D8+$F8),(J8-$D8-$F8),"√")))</f>
        <v>√</v>
      </c>
      <c r="AA8" s="63" t="str">
        <f t="shared" si="3"/>
        <v>√</v>
      </c>
      <c r="AB8" s="63" t="str">
        <f t="shared" si="3"/>
        <v>√</v>
      </c>
      <c r="AC8" s="63" t="str">
        <f t="shared" si="3"/>
        <v>√</v>
      </c>
      <c r="AD8" s="63" t="str">
        <f t="shared" si="3"/>
        <v>√</v>
      </c>
      <c r="AE8" s="63" t="str">
        <f t="shared" si="3"/>
        <v>√</v>
      </c>
      <c r="AF8" s="63" t="str">
        <f t="shared" si="3"/>
        <v>√</v>
      </c>
      <c r="AG8" s="63" t="str">
        <f t="shared" si="3"/>
        <v>√</v>
      </c>
      <c r="AH8" s="63" t="str">
        <f t="shared" si="3"/>
        <v>√</v>
      </c>
      <c r="AI8" s="63" t="str">
        <f t="shared" si="3"/>
        <v>√</v>
      </c>
      <c r="AJ8" s="63" t="str">
        <f t="shared" si="3"/>
        <v>√</v>
      </c>
      <c r="AK8" s="63" t="str">
        <f t="shared" si="3"/>
        <v>√</v>
      </c>
      <c r="AL8" s="63" t="str">
        <f t="shared" si="3"/>
        <v>√</v>
      </c>
      <c r="AM8" s="63" t="str">
        <f t="shared" si="3"/>
        <v>√</v>
      </c>
      <c r="AN8" s="63" t="str">
        <f t="shared" si="3"/>
        <v>√</v>
      </c>
      <c r="AO8" s="63" t="str">
        <f t="shared" si="3"/>
        <v>√</v>
      </c>
    </row>
    <row r="9" spans="1:41">
      <c r="A9" s="65"/>
      <c r="B9" s="58" t="s">
        <v>32</v>
      </c>
      <c r="C9" s="58"/>
      <c r="D9" s="59">
        <v>6.48</v>
      </c>
      <c r="E9" s="59">
        <v>0.03</v>
      </c>
      <c r="F9" s="59">
        <v>-0.03</v>
      </c>
      <c r="G9" s="60">
        <f>D9+E9</f>
        <v>6.51</v>
      </c>
      <c r="H9" s="60">
        <f>D9+F9</f>
        <v>6.45</v>
      </c>
      <c r="I9" s="61" t="s">
        <v>29</v>
      </c>
      <c r="J9" s="62">
        <v>6.4969</v>
      </c>
      <c r="K9" s="62">
        <v>6.4611</v>
      </c>
      <c r="L9" s="62">
        <v>6.4543</v>
      </c>
      <c r="M9" s="62">
        <v>6.4505</v>
      </c>
      <c r="N9" s="62">
        <v>6.465</v>
      </c>
      <c r="O9" s="62">
        <v>6.4542</v>
      </c>
      <c r="P9" s="62">
        <v>6.4985</v>
      </c>
      <c r="Q9" s="62">
        <v>6.4575</v>
      </c>
      <c r="R9" s="62">
        <v>6.4552</v>
      </c>
      <c r="S9" s="62">
        <v>6.454</v>
      </c>
      <c r="T9" s="62">
        <v>6.4568</v>
      </c>
      <c r="U9" s="62">
        <v>6.4533</v>
      </c>
      <c r="V9" s="62">
        <v>6.4921</v>
      </c>
      <c r="W9" s="62">
        <v>6.4566</v>
      </c>
      <c r="X9" s="62">
        <v>6.4525</v>
      </c>
      <c r="Y9" s="62">
        <v>6.457</v>
      </c>
      <c r="Z9" s="63" t="str">
        <f t="shared" ref="Z9:AO9" si="4">IF(J9="","",IF(J9&gt;($D9+$E9),(J9-$D9-$E9),IF(J9&lt;($D9+$F9),(J9-$D9-$F9),"√")))</f>
        <v>√</v>
      </c>
      <c r="AA9" s="63" t="str">
        <f t="shared" si="4"/>
        <v>√</v>
      </c>
      <c r="AB9" s="63" t="str">
        <f t="shared" si="4"/>
        <v>√</v>
      </c>
      <c r="AC9" s="63" t="str">
        <f t="shared" si="4"/>
        <v>√</v>
      </c>
      <c r="AD9" s="63" t="str">
        <f t="shared" si="4"/>
        <v>√</v>
      </c>
      <c r="AE9" s="63" t="str">
        <f t="shared" si="4"/>
        <v>√</v>
      </c>
      <c r="AF9" s="63" t="str">
        <f t="shared" si="4"/>
        <v>√</v>
      </c>
      <c r="AG9" s="63" t="str">
        <f t="shared" si="4"/>
        <v>√</v>
      </c>
      <c r="AH9" s="63" t="str">
        <f t="shared" si="4"/>
        <v>√</v>
      </c>
      <c r="AI9" s="63" t="str">
        <f t="shared" si="4"/>
        <v>√</v>
      </c>
      <c r="AJ9" s="63" t="str">
        <f t="shared" si="4"/>
        <v>√</v>
      </c>
      <c r="AK9" s="63" t="str">
        <f t="shared" si="4"/>
        <v>√</v>
      </c>
      <c r="AL9" s="63" t="str">
        <f t="shared" si="4"/>
        <v>√</v>
      </c>
      <c r="AM9" s="63" t="str">
        <f t="shared" si="4"/>
        <v>√</v>
      </c>
      <c r="AN9" s="63" t="str">
        <f t="shared" si="4"/>
        <v>√</v>
      </c>
      <c r="AO9" s="63" t="str">
        <f t="shared" si="4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2026-06-28T21:12:46Z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