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 activeTab="5"/>
  </bookViews>
  <sheets>
    <sheet name="cav1~2" sheetId="1" r:id="rId1"/>
    <sheet name="cav3~4" sheetId="2" r:id="rId2"/>
    <sheet name="cav5~6" sheetId="3" r:id="rId3"/>
    <sheet name="cav7~8" sheetId="4" r:id="rId4"/>
    <sheet name="cav9~10" sheetId="5" r:id="rId5"/>
    <sheet name="cav11~12" sheetId="6" r:id="rId6"/>
    <sheet name="cav13~14" sheetId="7" r:id="rId7"/>
    <sheet name="cav15~16" sheetId="8" r:id="rId8"/>
  </sheets>
  <definedNames>
    <definedName name="_xlnm.Print_Area" localSheetId="0">'cav1~2'!$B$1:$AE$7</definedName>
    <definedName name="_xlnm.Print_Titles" localSheetId="0">'cav1~2'!$1:6</definedName>
    <definedName name="_xlnm.Print_Area" localSheetId="1">'cav3~4'!$B$1:$AE$7</definedName>
    <definedName name="_xlnm.Print_Titles" localSheetId="1">'cav3~4'!$1:6</definedName>
    <definedName name="_xlnm.Print_Area" localSheetId="2">'cav5~6'!$B$1:$AE$7</definedName>
    <definedName name="_xlnm.Print_Titles" localSheetId="2">'cav5~6'!$1:6</definedName>
    <definedName name="_xlnm.Print_Area" localSheetId="3">'cav7~8'!$B$1:$AE$7</definedName>
    <definedName name="_xlnm.Print_Titles" localSheetId="3">'cav7~8'!$1:6</definedName>
    <definedName name="_xlnm.Print_Area" localSheetId="4">'cav9~10'!$B$1:$AE$7</definedName>
    <definedName name="_xlnm.Print_Titles" localSheetId="4">'cav9~10'!$1:6</definedName>
    <definedName name="_xlnm.Print_Area" localSheetId="5">'cav11~12'!$B$1:$AE$7</definedName>
    <definedName name="_xlnm.Print_Titles" localSheetId="5">'cav11~12'!$1:6</definedName>
    <definedName name="_xlnm.Print_Area" localSheetId="6">'cav13~14'!$B$1:$AE$7</definedName>
    <definedName name="_xlnm.Print_Titles" localSheetId="6">'cav13~14'!$1:6</definedName>
    <definedName name="_xlnm.Print_Area" localSheetId="7">'cav15~16'!$B$1:$AE$7</definedName>
    <definedName name="_xlnm.Print_Titles" localSheetId="7">'cav15~16'!$1:6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<sst xmlns="http://schemas.openxmlformats.org/spreadsheetml/2006/main" count="969" uniqueCount="77">
  <si>
    <t>安徽中耀智能科技有限公司首件尺寸报告</t>
  </si>
  <si>
    <t>料号</t>
  </si>
  <si>
    <t>X806-64565</t>
  </si>
  <si>
    <t>工单号</t>
  </si>
  <si>
    <t>工站</t>
  </si>
  <si>
    <t>送测机台号</t>
  </si>
  <si>
    <t>测量机台</t>
  </si>
  <si>
    <t>测量人员</t>
  </si>
  <si>
    <t>审核</t>
  </si>
  <si>
    <t>开发</t>
  </si>
  <si>
    <t>T0</t>
  </si>
  <si>
    <t>CMM4#</t>
  </si>
  <si>
    <t>郑家午</t>
  </si>
  <si>
    <t>王婷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</si>
  <si>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</si>
  <si>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</si>
  <si>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</si>
  <si>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</si>
  <si>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</si>
  <si>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</si>
  <si>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</si>
  <si>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</si>
  <si>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</si>
  <si>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</si>
  <si>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</si>
  <si>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</si>
  <si>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</si>
  <si>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cav1</t>
  </si>
  <si>
    <t>cav2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</si>
  <si>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2-6</t>
    </r>
  </si>
  <si>
    <t>FAI4</t>
  </si>
  <si>
    <t>CMM</t>
  </si>
  <si>
    <t>FAI5</t>
  </si>
  <si>
    <t>FAI5_X</t>
  </si>
  <si>
    <t>FAI5_Y</t>
  </si>
  <si>
    <t>FAI7_1</t>
  </si>
  <si>
    <t>FAI7_2</t>
  </si>
  <si>
    <t>FAI9</t>
  </si>
  <si>
    <t>I</t>
  </si>
  <si>
    <t>FAI10_1</t>
  </si>
  <si>
    <t>K</t>
  </si>
  <si>
    <t>FAI10_2</t>
  </si>
  <si>
    <t>FAI11_1</t>
  </si>
  <si>
    <t>FAI11_2</t>
  </si>
  <si>
    <t>FAI11_3</t>
  </si>
  <si>
    <t>FAI19</t>
  </si>
  <si>
    <t>FAI12</t>
  </si>
  <si>
    <t>L</t>
  </si>
  <si>
    <t>FAI13</t>
  </si>
  <si>
    <t>FAI1_1</t>
  </si>
  <si>
    <t>MIC</t>
  </si>
  <si>
    <t>FAI1_2</t>
  </si>
  <si>
    <t>FAI2</t>
  </si>
  <si>
    <t>B</t>
  </si>
  <si>
    <t>PIN</t>
  </si>
  <si>
    <t>FAI3_1</t>
  </si>
  <si>
    <t>FAI3_2</t>
  </si>
  <si>
    <t>FAI8_1</t>
  </si>
  <si>
    <t>HG</t>
  </si>
  <si>
    <t>FAI8_2</t>
  </si>
  <si>
    <t>FAI8_3</t>
  </si>
  <si>
    <t>cav3</t>
  </si>
  <si>
    <t>cav4</t>
  </si>
  <si>
    <t>蒋金潘</t>
  </si>
  <si>
    <t>陈跃进</t>
  </si>
  <si>
    <t>cav5</t>
  </si>
  <si>
    <t>cav6</t>
  </si>
  <si>
    <t>cav7</t>
  </si>
  <si>
    <t>cav8</t>
  </si>
  <si>
    <t>cav9</t>
  </si>
  <si>
    <t>cav10</t>
  </si>
  <si>
    <t>cav11</t>
  </si>
  <si>
    <t>cav12</t>
  </si>
  <si>
    <t>cav13</t>
  </si>
  <si>
    <t>cav14</t>
  </si>
  <si>
    <t>cav15</t>
  </si>
  <si>
    <t>cav16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</si>
</sst>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2"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7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9" borderId="18" applyNumberFormat="0" applyAlignment="0" applyProtection="0">
      <alignment vertical="center"/>
    </xf>
    <xf numFmtId="0" fontId="21" fillId="9" borderId="17" applyNumberFormat="0" applyAlignment="0" applyProtection="0">
      <alignment vertical="center"/>
    </xf>
    <xf numFmtId="0" fontId="22" fillId="10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2" borderId="0" xfId="0" applyFill="1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2" fillId="0" borderId="2" xfId="60" applyFont="1" applyBorder="1" applyAlignment="1" applyProtection="1">
      <alignment horizontal="center" vertical="center"/>
      <protection locked="0"/>
    </xf>
    <xf numFmtId="0" fontId="2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0" fontId="4" fillId="0" borderId="5" xfId="60" applyFont="1" applyFill="1" applyBorder="1" applyAlignment="1" applyProtection="1">
      <alignment horizontal="center" vertical="center"/>
      <protection locked="0"/>
    </xf>
    <xf numFmtId="0" fontId="4" fillId="0" borderId="6" xfId="60" applyFont="1" applyFill="1" applyBorder="1" applyAlignment="1" applyProtection="1">
      <alignment horizontal="center" vertical="center"/>
      <protection locked="0"/>
    </xf>
    <xf numFmtId="0" fontId="4" fillId="0" borderId="7" xfId="60" applyFont="1" applyFill="1" applyBorder="1" applyAlignment="1" applyProtection="1">
      <alignment horizontal="center" vertical="center"/>
      <protection locked="0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4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>
      <alignment horizontal="center" vertical="center"/>
    </xf>
    <xf numFmtId="49" fontId="4" fillId="0" borderId="2" xfId="60" applyNumberFormat="1" applyFont="1" applyFill="1" applyBorder="1" applyAlignment="1">
      <alignment horizontal="center" vertical="center"/>
    </xf>
    <xf numFmtId="49" fontId="4" fillId="0" borderId="3" xfId="60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2" xfId="60" applyNumberFormat="1" applyFont="1" applyFill="1" applyBorder="1" applyAlignment="1" applyProtection="1">
      <alignment horizontal="center" vertical="center"/>
      <protection locked="0"/>
    </xf>
    <xf numFmtId="49" fontId="5" fillId="0" borderId="3" xfId="60" applyNumberFormat="1" applyFont="1" applyFill="1" applyBorder="1" applyAlignment="1" applyProtection="1">
      <alignment horizontal="center" vertical="center"/>
      <protection locked="0"/>
    </xf>
    <xf numFmtId="49" fontId="4" fillId="0" borderId="1" xfId="79" applyNumberFormat="1" applyFont="1" applyFill="1" applyBorder="1" applyAlignment="1">
      <alignment horizontal="center" vertical="center"/>
    </xf>
    <xf numFmtId="49" fontId="4" fillId="0" borderId="2" xfId="79" applyNumberFormat="1" applyFont="1" applyFill="1" applyBorder="1" applyAlignment="1">
      <alignment horizontal="center" vertical="center"/>
    </xf>
    <xf numFmtId="49" fontId="4" fillId="0" borderId="3" xfId="79" applyNumberFormat="1" applyFont="1" applyFill="1" applyBorder="1" applyAlignment="1">
      <alignment horizontal="center" vertical="center"/>
    </xf>
    <xf numFmtId="0" fontId="4" fillId="0" borderId="8" xfId="60" applyFont="1" applyFill="1" applyBorder="1" applyAlignment="1" applyProtection="1">
      <alignment horizontal="center" vertical="center"/>
      <protection locked="0"/>
    </xf>
    <xf numFmtId="0" fontId="4" fillId="0" borderId="9" xfId="60" applyFont="1" applyFill="1" applyBorder="1" applyAlignment="1" applyProtection="1">
      <alignment horizontal="center" vertical="center"/>
      <protection locked="0"/>
    </xf>
    <xf numFmtId="0" fontId="4" fillId="0" borderId="10" xfId="60" applyFont="1" applyFill="1" applyBorder="1" applyAlignment="1" applyProtection="1">
      <alignment horizontal="center" vertical="center"/>
      <protection locked="0"/>
    </xf>
    <xf numFmtId="49" fontId="3" fillId="0" borderId="8" xfId="60" applyNumberFormat="1" applyFont="1" applyFill="1" applyBorder="1" applyAlignment="1">
      <alignment horizontal="center" vertical="center"/>
    </xf>
    <xf numFmtId="49" fontId="3" fillId="0" borderId="9" xfId="60" applyNumberFormat="1" applyFont="1" applyFill="1" applyBorder="1" applyAlignment="1">
      <alignment horizontal="center" vertical="center"/>
    </xf>
    <xf numFmtId="49" fontId="3" fillId="0" borderId="10" xfId="60" applyNumberFormat="1" applyFont="1" applyFill="1" applyBorder="1" applyAlignment="1">
      <alignment horizontal="center" vertical="center"/>
    </xf>
    <xf numFmtId="0" fontId="4" fillId="0" borderId="1" xfId="60" applyFont="1" applyFill="1" applyBorder="1" applyAlignment="1" applyProtection="1">
      <alignment horizontal="center" vertical="center"/>
      <protection locked="0"/>
    </xf>
    <xf numFmtId="0" fontId="4" fillId="0" borderId="2" xfId="60" applyFont="1" applyFill="1" applyBorder="1" applyAlignment="1" applyProtection="1">
      <alignment horizontal="center" vertical="center"/>
      <protection locked="0"/>
    </xf>
    <xf numFmtId="0" fontId="4" fillId="0" borderId="3" xfId="60" applyFont="1" applyFill="1" applyBorder="1" applyAlignment="1" applyProtection="1">
      <alignment horizontal="center" vertical="center"/>
      <protection locked="0"/>
    </xf>
    <xf numFmtId="176" fontId="4" fillId="0" borderId="1" xfId="79" applyNumberFormat="1" applyFont="1" applyFill="1" applyBorder="1" applyAlignment="1">
      <alignment horizontal="center" vertical="center"/>
    </xf>
    <xf numFmtId="176" fontId="4" fillId="0" borderId="2" xfId="79" applyNumberFormat="1" applyFont="1" applyFill="1" applyBorder="1" applyAlignment="1">
      <alignment horizontal="center" vertical="center"/>
    </xf>
    <xf numFmtId="176" fontId="4" fillId="0" borderId="3" xfId="79" applyNumberFormat="1" applyFont="1" applyFill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7" fillId="5" borderId="1" xfId="60" applyFont="1" applyFill="1" applyBorder="1" applyAlignment="1" applyProtection="1">
      <alignment horizontal="center" vertical="center"/>
      <protection locked="0"/>
    </xf>
    <xf numFmtId="0" fontId="7" fillId="5" borderId="2" xfId="60" applyFont="1" applyFill="1" applyBorder="1" applyAlignment="1" applyProtection="1">
      <alignment horizontal="center" vertical="center"/>
      <protection locked="0"/>
    </xf>
    <xf numFmtId="0" fontId="7" fillId="5" borderId="3" xfId="60" applyFont="1" applyFill="1" applyBorder="1" applyAlignment="1" applyProtection="1">
      <alignment horizontal="center" vertical="center"/>
      <protection locked="0"/>
    </xf>
    <xf numFmtId="0" fontId="7" fillId="6" borderId="1" xfId="60" applyFont="1" applyFill="1" applyBorder="1" applyAlignment="1" applyProtection="1">
      <alignment horizontal="center" vertical="center"/>
      <protection locked="0"/>
    </xf>
    <xf numFmtId="0" fontId="7" fillId="6" borderId="2" xfId="60" applyFont="1" applyFill="1" applyBorder="1" applyAlignment="1" applyProtection="1">
      <alignment horizontal="center" vertical="center"/>
      <protection locked="0"/>
    </xf>
    <xf numFmtId="0" fontId="7" fillId="6" borderId="3" xfId="60" applyFont="1" applyFill="1" applyBorder="1" applyAlignment="1" applyProtection="1">
      <alignment horizontal="center" vertical="center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5" borderId="1" xfId="60" applyFont="1" applyFill="1" applyBorder="1" applyAlignment="1">
      <alignment horizontal="center" vertical="center"/>
    </xf>
    <xf numFmtId="0" fontId="7" fillId="5" borderId="2" xfId="60" applyFont="1" applyFill="1" applyBorder="1" applyAlignment="1">
      <alignment horizontal="center" vertical="center"/>
    </xf>
    <xf numFmtId="0" fontId="7" fillId="5" borderId="3" xfId="60" applyFont="1" applyFill="1" applyBorder="1" applyAlignment="1">
      <alignment horizontal="center" vertical="center"/>
    </xf>
    <xf numFmtId="0" fontId="7" fillId="6" borderId="1" xfId="60" applyFont="1" applyFill="1" applyBorder="1" applyAlignment="1">
      <alignment horizontal="center" vertical="center"/>
    </xf>
    <xf numFmtId="0" fontId="7" fillId="6" borderId="2" xfId="60" applyFont="1" applyFill="1" applyBorder="1" applyAlignment="1">
      <alignment horizontal="center" vertical="center"/>
    </xf>
    <xf numFmtId="0" fontId="7" fillId="6" borderId="3" xfId="60" applyFont="1" applyFill="1" applyBorder="1" applyAlignment="1">
      <alignment horizontal="center" vertical="center"/>
    </xf>
    <xf numFmtId="0" fontId="7" fillId="4" borderId="4" xfId="6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4" borderId="4" xfId="6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 wrapText="1"/>
    </xf>
    <xf numFmtId="14" fontId="8" fillId="0" borderId="13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6" fillId="3" borderId="4" xfId="60" applyFont="1" applyFill="1" applyBorder="1" applyAlignment="1" applyProtection="1">
      <alignment horizontal="center" vertical="center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435610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5016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"/>
  <sheetViews>
    <sheetView workbookViewId="0">
      <selection activeCell="P7" sqref="P7:U7"/>
    </sheetView>
  </sheetViews>
  <sheetFormatPr defaultColWidth="9" defaultRowHeight="14.25"/>
  <cols>
    <col min="1" max="3" width="9.25" customWidth="1"/>
    <col min="4" max="9" width="9.25" style="2" customWidth="1"/>
    <col min="10" max="41" width="9.25" customWidth="1"/>
  </cols>
  <sheetData>
    <row r="1" ht="70.5" customHeight="1" spans="1:4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ht="15" customHeight="1" spans="1:41">
      <c r="A2" s="6" t="s">
        <v>1</v>
      </c>
      <c r="B2" s="7" t="s">
        <v>2</v>
      </c>
      <c r="C2" s="8"/>
      <c r="D2" s="8"/>
      <c r="E2" s="8"/>
      <c r="F2" s="8"/>
      <c r="G2" s="9"/>
      <c r="H2" s="10" t="s">
        <v>3</v>
      </c>
      <c r="I2" s="11"/>
      <c r="J2" s="11"/>
      <c r="K2" s="12"/>
      <c r="L2" s="13"/>
      <c r="M2" s="13"/>
      <c r="N2" s="13"/>
      <c r="O2" s="13"/>
      <c r="P2" s="13"/>
      <c r="Q2" s="13"/>
      <c r="R2" s="13"/>
      <c r="S2" s="14" t="s">
        <v>4</v>
      </c>
      <c r="T2" s="15"/>
      <c r="U2" s="15"/>
      <c r="V2" s="15"/>
      <c r="W2" s="15"/>
      <c r="X2" s="16"/>
      <c r="Y2" s="17" t="s">
        <v>5</v>
      </c>
      <c r="Z2" s="18"/>
      <c r="AA2" s="18"/>
      <c r="AB2" s="18"/>
      <c r="AC2" s="18"/>
      <c r="AD2" s="19"/>
      <c r="AE2" s="17" t="s">
        <v>6</v>
      </c>
      <c r="AF2" s="18"/>
      <c r="AG2" s="18"/>
      <c r="AH2" s="18"/>
      <c r="AI2" s="19"/>
      <c r="AJ2" s="20" t="s">
        <v>7</v>
      </c>
      <c r="AK2" s="21"/>
      <c r="AL2" s="21"/>
      <c r="AM2" s="22"/>
      <c r="AN2" s="20" t="s">
        <v>8</v>
      </c>
      <c r="AO2" s="22"/>
    </row>
    <row r="3" ht="15" customHeight="1" spans="1:41">
      <c r="A3" s="6"/>
      <c r="B3" s="23"/>
      <c r="C3" s="24"/>
      <c r="D3" s="24"/>
      <c r="E3" s="24"/>
      <c r="F3" s="24"/>
      <c r="G3" s="25"/>
      <c r="H3" s="26"/>
      <c r="I3" s="27"/>
      <c r="J3" s="27"/>
      <c r="K3" s="28"/>
      <c r="L3" s="13"/>
      <c r="M3" s="13"/>
      <c r="N3" s="13"/>
      <c r="O3" s="13"/>
      <c r="P3" s="13"/>
      <c r="Q3" s="13"/>
      <c r="R3" s="13"/>
      <c r="S3" s="29" t="s">
        <v>9</v>
      </c>
      <c r="T3" s="30"/>
      <c r="U3" s="30"/>
      <c r="V3" s="30"/>
      <c r="W3" s="30"/>
      <c r="X3" s="31"/>
      <c r="Y3" s="29" t="s">
        <v>10</v>
      </c>
      <c r="Z3" s="30"/>
      <c r="AA3" s="30"/>
      <c r="AB3" s="30"/>
      <c r="AC3" s="30"/>
      <c r="AD3" s="31"/>
      <c r="AE3" s="32" t="s">
        <v>11</v>
      </c>
      <c r="AF3" s="33"/>
      <c r="AG3" s="33"/>
      <c r="AH3" s="33"/>
      <c r="AI3" s="34"/>
      <c r="AJ3" s="32" t="s">
        <v>12</v>
      </c>
      <c r="AK3" s="33"/>
      <c r="AL3" s="33"/>
      <c r="AM3" s="34"/>
      <c r="AN3" s="32" t="s">
        <v>13</v>
      </c>
      <c r="AO3" s="34"/>
    </row>
    <row r="4" customHeight="1" spans="1:41">
      <c r="A4" s="35" t="s">
        <v>14</v>
      </c>
      <c r="B4" s="35" t="s">
        <v>15</v>
      </c>
      <c r="C4" s="35" t="s">
        <v>16</v>
      </c>
      <c r="D4" s="35" t="s">
        <v>17</v>
      </c>
      <c r="E4" s="35" t="s">
        <v>18</v>
      </c>
      <c r="F4" s="35" t="s">
        <v>19</v>
      </c>
      <c r="G4" s="35" t="s">
        <v>20</v>
      </c>
      <c r="H4" s="35" t="s">
        <v>21</v>
      </c>
      <c r="I4" s="35" t="s">
        <v>22</v>
      </c>
      <c r="J4" s="36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2"/>
      <c r="C5" s="42"/>
      <c r="D5" s="42"/>
      <c r="E5" s="42"/>
      <c r="F5" s="42"/>
      <c r="G5" s="42"/>
      <c r="H5" s="42"/>
      <c r="I5" s="42"/>
      <c r="J5" s="36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  <c r="Z5" s="39" t="s">
        <v>26</v>
      </c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</row>
    <row r="6" customHeight="1" spans="1:41">
      <c r="A6" s="43"/>
      <c r="B6" s="43"/>
      <c r="C6" s="43"/>
      <c r="D6" s="43"/>
      <c r="E6" s="43"/>
      <c r="F6" s="43"/>
      <c r="G6" s="43"/>
      <c r="H6" s="43"/>
      <c r="I6" s="43"/>
      <c r="J6" s="44" t="s">
        <v>27</v>
      </c>
      <c r="K6" s="45"/>
      <c r="L6" s="45"/>
      <c r="M6" s="45"/>
      <c r="N6" s="45"/>
      <c r="O6" s="46"/>
      <c r="P6" s="47" t="s">
        <v>28</v>
      </c>
      <c r="Q6" s="48"/>
      <c r="R6" s="48"/>
      <c r="S6" s="48"/>
      <c r="T6" s="48"/>
      <c r="U6" s="49"/>
      <c r="V6" s="50"/>
      <c r="W6" s="50"/>
      <c r="X6" s="50"/>
      <c r="Y6" s="50"/>
      <c r="Z6" s="51" t="str">
        <f>J6</f>
        <v>cav1</v>
      </c>
      <c r="AA6" s="52"/>
      <c r="AB6" s="52"/>
      <c r="AC6" s="52"/>
      <c r="AD6" s="52"/>
      <c r="AE6" s="53"/>
      <c r="AF6" s="54" t="str">
        <f>P6</f>
        <v>cav2</v>
      </c>
      <c r="AG6" s="55"/>
      <c r="AH6" s="55"/>
      <c r="AI6" s="55"/>
      <c r="AJ6" s="55"/>
      <c r="AK6" s="56"/>
      <c r="AL6" s="57">
        <f>V6</f>
        <v>0</v>
      </c>
      <c r="AM6" s="57">
        <f>W6</f>
        <v>0</v>
      </c>
      <c r="AN6" s="57">
        <f>X6</f>
        <v>0</v>
      </c>
      <c r="AO6" s="57">
        <f>Y6</f>
        <v>0</v>
      </c>
    </row>
    <row r="7" customHeight="1" spans="1:41">
      <c r="A7" s="43"/>
      <c r="B7" s="43"/>
      <c r="C7" s="43"/>
      <c r="D7" s="43"/>
      <c r="E7" s="43"/>
      <c r="F7" s="43"/>
      <c r="G7" s="43"/>
      <c r="H7" s="43"/>
      <c r="I7" s="43"/>
      <c r="J7" s="50">
        <v>1</v>
      </c>
      <c r="K7" s="50">
        <v>2</v>
      </c>
      <c r="L7" s="50">
        <v>3</v>
      </c>
      <c r="M7" s="50">
        <v>4</v>
      </c>
      <c r="N7" s="50">
        <v>5</v>
      </c>
      <c r="O7" s="50">
        <v>6</v>
      </c>
      <c r="P7" s="50">
        <v>1</v>
      </c>
      <c r="Q7" s="50">
        <v>2</v>
      </c>
      <c r="R7" s="50">
        <v>3</v>
      </c>
      <c r="S7" s="50">
        <v>4</v>
      </c>
      <c r="T7" s="50">
        <v>5</v>
      </c>
      <c r="U7" s="50">
        <v>6</v>
      </c>
      <c r="V7" s="72" t="s">
        <v>29</v>
      </c>
      <c r="W7" s="50"/>
      <c r="X7" s="50"/>
      <c r="Y7" s="50"/>
      <c r="Z7" s="57">
        <f t="shared" ref="Z7" si="0">J7</f>
        <v>1</v>
      </c>
      <c r="AA7" s="57">
        <f t="shared" ref="AA7:AO7" si="1">K7</f>
        <v>2</v>
      </c>
      <c r="AB7" s="57">
        <f t="shared" si="1"/>
        <v>3</v>
      </c>
      <c r="AC7" s="57">
        <f t="shared" si="1"/>
        <v>4</v>
      </c>
      <c r="AD7" s="57">
        <f t="shared" si="1"/>
        <v>5</v>
      </c>
      <c r="AE7" s="57">
        <f t="shared" si="1"/>
        <v>6</v>
      </c>
      <c r="AF7" s="57">
        <f t="shared" si="1"/>
        <v>1</v>
      </c>
      <c r="AG7" s="57">
        <f t="shared" si="1"/>
        <v>2</v>
      </c>
      <c r="AH7" s="57">
        <f t="shared" si="1"/>
        <v>3</v>
      </c>
      <c r="AI7" s="57">
        <f t="shared" si="1"/>
        <v>4</v>
      </c>
      <c r="AJ7" s="57">
        <f t="shared" si="1"/>
        <v>5</v>
      </c>
      <c r="AK7" s="57">
        <f t="shared" si="1"/>
        <v>6</v>
      </c>
      <c r="AL7" s="57" t="str">
        <f t="shared" si="1"/>
        <v>复测2-6</v>
      </c>
      <c r="AM7" s="57">
        <f t="shared" si="1"/>
        <v>0</v>
      </c>
      <c r="AN7" s="57">
        <f t="shared" si="1"/>
        <v>0</v>
      </c>
      <c r="AO7" s="57">
        <f t="shared" si="1"/>
        <v>0</v>
      </c>
    </row>
    <row r="8" spans="1:41">
      <c r="A8" s="58">
        <v>46201</v>
      </c>
      <c r="B8" s="59" t="s">
        <v>30</v>
      </c>
      <c r="C8" s="60"/>
      <c r="D8" s="60">
        <v>0.995</v>
      </c>
      <c r="E8" s="60">
        <v>0.03</v>
      </c>
      <c r="F8" s="60">
        <v>-0.03</v>
      </c>
      <c r="G8" s="60">
        <f>D8+E8</f>
        <v>1.025</v>
      </c>
      <c r="H8" s="60">
        <f>D8+F8</f>
        <v>0.965</v>
      </c>
      <c r="I8" s="60" t="s">
        <v>31</v>
      </c>
      <c r="J8" s="61">
        <v>1.0135</v>
      </c>
      <c r="K8" s="61">
        <v>1.0165</v>
      </c>
      <c r="L8" s="61">
        <v>1.012</v>
      </c>
      <c r="M8" s="61">
        <v>0.9986</v>
      </c>
      <c r="N8" s="61">
        <v>0.999</v>
      </c>
      <c r="O8" s="61">
        <v>1.0121</v>
      </c>
      <c r="P8" s="61">
        <v>1.0012</v>
      </c>
      <c r="Q8" s="61">
        <v>1.0052</v>
      </c>
      <c r="R8" s="61">
        <v>1.0081</v>
      </c>
      <c r="S8" s="61">
        <v>1.0105</v>
      </c>
      <c r="T8" s="61">
        <v>1.014</v>
      </c>
      <c r="U8" s="61">
        <v>1.0054</v>
      </c>
      <c r="V8" s="61"/>
      <c r="W8" s="61"/>
      <c r="X8" s="61"/>
      <c r="Y8" s="61"/>
      <c r="Z8" s="62" t="str">
        <f t="shared" ref="Z8:AO8" si="2">IF(J8="","",IF(J8&gt;($D8+$E8),(J8-$D8-$E8),IF(J8&lt;($D8+$F8),(J8-$D8-$F8),"√")))</f>
        <v>√</v>
      </c>
      <c r="AA8" s="62" t="str">
        <f t="shared" si="2"/>
        <v>√</v>
      </c>
      <c r="AB8" s="62" t="str">
        <f t="shared" si="2"/>
        <v>√</v>
      </c>
      <c r="AC8" s="62" t="str">
        <f t="shared" si="2"/>
        <v>√</v>
      </c>
      <c r="AD8" s="62" t="str">
        <f t="shared" si="2"/>
        <v>√</v>
      </c>
      <c r="AE8" s="62" t="str">
        <f t="shared" si="2"/>
        <v>√</v>
      </c>
      <c r="AF8" s="62" t="str">
        <f t="shared" si="2"/>
        <v>√</v>
      </c>
      <c r="AG8" s="62" t="str">
        <f t="shared" si="2"/>
        <v>√</v>
      </c>
      <c r="AH8" s="62" t="str">
        <f t="shared" si="2"/>
        <v>√</v>
      </c>
      <c r="AI8" s="62" t="str">
        <f t="shared" si="2"/>
        <v>√</v>
      </c>
      <c r="AJ8" s="62" t="str">
        <f t="shared" si="2"/>
        <v>√</v>
      </c>
      <c r="AK8" s="62" t="str">
        <f t="shared" si="2"/>
        <v>√</v>
      </c>
      <c r="AL8" s="62" t="str">
        <f t="shared" si="2"/>
        <v/>
      </c>
      <c r="AM8" s="62" t="str">
        <f t="shared" si="2"/>
        <v/>
      </c>
      <c r="AN8" s="62" t="str">
        <f t="shared" si="2"/>
        <v/>
      </c>
      <c r="AO8" s="62" t="str">
        <f t="shared" si="2"/>
        <v/>
      </c>
    </row>
    <row r="9" spans="1:41">
      <c r="A9" s="63"/>
      <c r="B9" s="59" t="s">
        <v>32</v>
      </c>
      <c r="C9" s="60"/>
      <c r="D9" s="60">
        <v>0</v>
      </c>
      <c r="E9" s="60">
        <v>0.08</v>
      </c>
      <c r="F9" s="60">
        <v>0</v>
      </c>
      <c r="G9" s="60">
        <f>D9+E9</f>
        <v>0.08</v>
      </c>
      <c r="H9" s="60">
        <f>D9+F9</f>
        <v>0</v>
      </c>
      <c r="I9" s="60" t="s">
        <v>31</v>
      </c>
      <c r="J9" s="61">
        <v>0.003</v>
      </c>
      <c r="K9" s="61">
        <v>0.0064</v>
      </c>
      <c r="L9" s="61">
        <v>0.0029</v>
      </c>
      <c r="M9" s="61">
        <v>0.0038</v>
      </c>
      <c r="N9" s="61">
        <v>0.0054</v>
      </c>
      <c r="O9" s="61">
        <v>0.0027</v>
      </c>
      <c r="P9" s="61">
        <v>0.0033</v>
      </c>
      <c r="Q9" s="61">
        <v>0.0036</v>
      </c>
      <c r="R9" s="61">
        <v>0.0029</v>
      </c>
      <c r="S9" s="61">
        <v>0.0026</v>
      </c>
      <c r="T9" s="61">
        <v>0.0007</v>
      </c>
      <c r="U9" s="61">
        <v>0.0035</v>
      </c>
      <c r="V9" s="61"/>
      <c r="W9" s="61"/>
      <c r="X9" s="61"/>
      <c r="Y9" s="61"/>
      <c r="Z9" s="62" t="str">
        <f t="shared" ref="Z9:AO9" si="3">IF(J9="","",IF(J9&gt;($D9+$E9),(J9-$D9-$E9),IF(J9&lt;($D9+$F9),(J9-$D9-$F9),"√")))</f>
        <v>√</v>
      </c>
      <c r="AA9" s="62" t="str">
        <f t="shared" si="3"/>
        <v>√</v>
      </c>
      <c r="AB9" s="62" t="str">
        <f t="shared" si="3"/>
        <v>√</v>
      </c>
      <c r="AC9" s="62" t="str">
        <f t="shared" si="3"/>
        <v>√</v>
      </c>
      <c r="AD9" s="62" t="str">
        <f t="shared" si="3"/>
        <v>√</v>
      </c>
      <c r="AE9" s="62" t="str">
        <f t="shared" si="3"/>
        <v>√</v>
      </c>
      <c r="AF9" s="62" t="str">
        <f t="shared" si="3"/>
        <v>√</v>
      </c>
      <c r="AG9" s="62" t="str">
        <f t="shared" si="3"/>
        <v>√</v>
      </c>
      <c r="AH9" s="62" t="str">
        <f t="shared" si="3"/>
        <v>√</v>
      </c>
      <c r="AI9" s="62" t="str">
        <f t="shared" si="3"/>
        <v>√</v>
      </c>
      <c r="AJ9" s="62" t="str">
        <f t="shared" si="3"/>
        <v>√</v>
      </c>
      <c r="AK9" s="62" t="str">
        <f t="shared" si="3"/>
        <v>√</v>
      </c>
      <c r="AL9" s="62" t="str">
        <f t="shared" si="3"/>
        <v/>
      </c>
      <c r="AM9" s="62" t="str">
        <f t="shared" si="3"/>
        <v/>
      </c>
      <c r="AN9" s="62" t="str">
        <f t="shared" si="3"/>
        <v/>
      </c>
      <c r="AO9" s="62" t="str">
        <f t="shared" si="3"/>
        <v/>
      </c>
    </row>
    <row r="10" spans="1:41">
      <c r="A10" s="63"/>
      <c r="B10" s="59" t="s">
        <v>33</v>
      </c>
      <c r="C10" s="60"/>
      <c r="D10" s="60"/>
      <c r="E10" s="60"/>
      <c r="F10" s="60"/>
      <c r="G10" s="60"/>
      <c r="H10" s="60"/>
      <c r="I10" s="60" t="s">
        <v>31</v>
      </c>
      <c r="J10" s="61">
        <v>0.0036</v>
      </c>
      <c r="K10" s="61">
        <v>0.0044</v>
      </c>
      <c r="L10" s="61">
        <v>0.0013</v>
      </c>
      <c r="M10" s="61">
        <v>-0.0007</v>
      </c>
      <c r="N10" s="61">
        <v>-0.0005</v>
      </c>
      <c r="O10" s="61">
        <v>0.0009</v>
      </c>
      <c r="P10" s="61">
        <v>0.0003</v>
      </c>
      <c r="Q10" s="61">
        <v>0.0016</v>
      </c>
      <c r="R10" s="61">
        <v>0.0012</v>
      </c>
      <c r="S10" s="61">
        <v>-0.0009</v>
      </c>
      <c r="T10" s="61">
        <v>0.0016</v>
      </c>
      <c r="U10" s="61">
        <v>-0.0011</v>
      </c>
      <c r="V10" s="61"/>
      <c r="W10" s="61"/>
      <c r="X10" s="61"/>
      <c r="Y10" s="61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>
      <c r="A11" s="63"/>
      <c r="B11" s="59" t="s">
        <v>34</v>
      </c>
      <c r="C11" s="60"/>
      <c r="D11" s="60"/>
      <c r="E11" s="60"/>
      <c r="F11" s="60"/>
      <c r="G11" s="60"/>
      <c r="H11" s="60"/>
      <c r="I11" s="60" t="s">
        <v>31</v>
      </c>
      <c r="J11" s="61">
        <v>0.0033</v>
      </c>
      <c r="K11" s="61">
        <v>-0.0006</v>
      </c>
      <c r="L11" s="61">
        <v>0.0028</v>
      </c>
      <c r="M11" s="61">
        <v>0.0028</v>
      </c>
      <c r="N11" s="61">
        <v>-0.0023</v>
      </c>
      <c r="O11" s="61">
        <v>-0.0005</v>
      </c>
      <c r="P11" s="61">
        <v>0.0008</v>
      </c>
      <c r="Q11" s="61">
        <v>0.0007</v>
      </c>
      <c r="R11" s="61">
        <v>0.0014</v>
      </c>
      <c r="S11" s="61">
        <v>0.0036</v>
      </c>
      <c r="T11" s="61">
        <v>0.0035</v>
      </c>
      <c r="U11" s="61">
        <v>0.002</v>
      </c>
      <c r="V11" s="61"/>
      <c r="W11" s="61"/>
      <c r="X11" s="61"/>
      <c r="Y11" s="61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>
      <c r="A12" s="63"/>
      <c r="B12" s="59" t="s">
        <v>35</v>
      </c>
      <c r="C12" s="60"/>
      <c r="D12" s="60">
        <v>0.35</v>
      </c>
      <c r="E12" s="60">
        <v>0.03</v>
      </c>
      <c r="F12" s="60">
        <v>-0.03</v>
      </c>
      <c r="G12" s="60">
        <f>D12+E12</f>
        <v>0.38</v>
      </c>
      <c r="H12" s="60">
        <f>D12+F12</f>
        <v>0.32</v>
      </c>
      <c r="I12" s="60" t="s">
        <v>31</v>
      </c>
      <c r="J12" s="61">
        <v>0.3495</v>
      </c>
      <c r="K12" s="61">
        <v>0.3447</v>
      </c>
      <c r="L12" s="61">
        <v>0.3464</v>
      </c>
      <c r="M12" s="61">
        <v>0.3398</v>
      </c>
      <c r="N12" s="61">
        <v>0.3438</v>
      </c>
      <c r="O12" s="61">
        <v>0.3461</v>
      </c>
      <c r="P12" s="61">
        <v>0.3402</v>
      </c>
      <c r="Q12" s="61">
        <v>0.3418</v>
      </c>
      <c r="R12" s="61">
        <v>0.3467</v>
      </c>
      <c r="S12" s="61">
        <v>0.3448</v>
      </c>
      <c r="T12" s="61">
        <v>0.3448</v>
      </c>
      <c r="U12" s="61">
        <v>0.3403</v>
      </c>
      <c r="V12" s="61"/>
      <c r="W12" s="61"/>
      <c r="X12" s="61"/>
      <c r="Y12" s="61"/>
      <c r="Z12" s="62" t="str">
        <f t="shared" ref="Z12:AO12" si="4">IF(J12="","",IF(J12&gt;($D12+$E12),(J12-$D12-$E12),IF(J12&lt;($D12+$F12),(J12-$D12-$F12),"√")))</f>
        <v>√</v>
      </c>
      <c r="AA12" s="62" t="str">
        <f t="shared" si="4"/>
        <v>√</v>
      </c>
      <c r="AB12" s="62" t="str">
        <f t="shared" si="4"/>
        <v>√</v>
      </c>
      <c r="AC12" s="62" t="str">
        <f t="shared" si="4"/>
        <v>√</v>
      </c>
      <c r="AD12" s="62" t="str">
        <f t="shared" si="4"/>
        <v>√</v>
      </c>
      <c r="AE12" s="62" t="str">
        <f t="shared" si="4"/>
        <v>√</v>
      </c>
      <c r="AF12" s="62" t="str">
        <f t="shared" si="4"/>
        <v>√</v>
      </c>
      <c r="AG12" s="62" t="str">
        <f t="shared" si="4"/>
        <v>√</v>
      </c>
      <c r="AH12" s="62" t="str">
        <f t="shared" si="4"/>
        <v>√</v>
      </c>
      <c r="AI12" s="62" t="str">
        <f t="shared" si="4"/>
        <v>√</v>
      </c>
      <c r="AJ12" s="62" t="str">
        <f t="shared" si="4"/>
        <v>√</v>
      </c>
      <c r="AK12" s="62" t="str">
        <f t="shared" si="4"/>
        <v>√</v>
      </c>
      <c r="AL12" s="62" t="str">
        <f t="shared" si="4"/>
        <v/>
      </c>
      <c r="AM12" s="62" t="str">
        <f t="shared" si="4"/>
        <v/>
      </c>
      <c r="AN12" s="62" t="str">
        <f t="shared" si="4"/>
        <v/>
      </c>
      <c r="AO12" s="62" t="str">
        <f t="shared" si="4"/>
        <v/>
      </c>
    </row>
    <row r="13" spans="1:41">
      <c r="A13" s="63"/>
      <c r="B13" s="59" t="s">
        <v>36</v>
      </c>
      <c r="C13" s="60"/>
      <c r="D13" s="60">
        <v>0.35</v>
      </c>
      <c r="E13" s="60">
        <v>0.03</v>
      </c>
      <c r="F13" s="60">
        <v>-0.03</v>
      </c>
      <c r="G13" s="60">
        <f>D13+E13</f>
        <v>0.38</v>
      </c>
      <c r="H13" s="60">
        <f>D13+F13</f>
        <v>0.32</v>
      </c>
      <c r="I13" s="60" t="s">
        <v>31</v>
      </c>
      <c r="J13" s="61">
        <v>0.3473</v>
      </c>
      <c r="K13" s="61">
        <v>0.3487</v>
      </c>
      <c r="L13" s="61">
        <v>0.3477</v>
      </c>
      <c r="M13" s="61">
        <v>0.3491</v>
      </c>
      <c r="N13" s="61">
        <v>0.3454</v>
      </c>
      <c r="O13" s="61">
        <v>0.3446</v>
      </c>
      <c r="P13" s="61">
        <v>0.3401</v>
      </c>
      <c r="Q13" s="61">
        <v>0.3399</v>
      </c>
      <c r="R13" s="61">
        <v>0.348</v>
      </c>
      <c r="S13" s="61">
        <v>0.3411</v>
      </c>
      <c r="T13" s="61">
        <v>0.3475</v>
      </c>
      <c r="U13" s="61">
        <v>0.3393</v>
      </c>
      <c r="V13" s="61"/>
      <c r="W13" s="61"/>
      <c r="X13" s="61"/>
      <c r="Y13" s="61"/>
      <c r="Z13" s="62" t="str">
        <f t="shared" ref="Z13:AO13" si="5">IF(J13="","",IF(J13&gt;($D13+$E13),(J13-$D13-$E13),IF(J13&lt;($D13+$F13),(J13-$D13-$F13),"√")))</f>
        <v>√</v>
      </c>
      <c r="AA13" s="62" t="str">
        <f t="shared" si="5"/>
        <v>√</v>
      </c>
      <c r="AB13" s="62" t="str">
        <f t="shared" si="5"/>
        <v>√</v>
      </c>
      <c r="AC13" s="62" t="str">
        <f t="shared" si="5"/>
        <v>√</v>
      </c>
      <c r="AD13" s="62" t="str">
        <f t="shared" si="5"/>
        <v>√</v>
      </c>
      <c r="AE13" s="62" t="str">
        <f t="shared" si="5"/>
        <v>√</v>
      </c>
      <c r="AF13" s="62" t="str">
        <f t="shared" si="5"/>
        <v>√</v>
      </c>
      <c r="AG13" s="62" t="str">
        <f t="shared" si="5"/>
        <v>√</v>
      </c>
      <c r="AH13" s="62" t="str">
        <f t="shared" si="5"/>
        <v>√</v>
      </c>
      <c r="AI13" s="62" t="str">
        <f t="shared" si="5"/>
        <v>√</v>
      </c>
      <c r="AJ13" s="62" t="str">
        <f t="shared" si="5"/>
        <v>√</v>
      </c>
      <c r="AK13" s="62" t="str">
        <f t="shared" si="5"/>
        <v>√</v>
      </c>
      <c r="AL13" s="62" t="str">
        <f t="shared" si="5"/>
        <v/>
      </c>
      <c r="AM13" s="62" t="str">
        <f t="shared" si="5"/>
        <v/>
      </c>
      <c r="AN13" s="62" t="str">
        <f t="shared" si="5"/>
        <v/>
      </c>
      <c r="AO13" s="62" t="str">
        <f t="shared" si="5"/>
        <v/>
      </c>
    </row>
    <row r="14" spans="1:41">
      <c r="A14" s="63"/>
      <c r="B14" s="59" t="s">
        <v>37</v>
      </c>
      <c r="C14" s="60" t="s">
        <v>38</v>
      </c>
      <c r="D14" s="60">
        <v>0</v>
      </c>
      <c r="E14" s="60">
        <v>0.06</v>
      </c>
      <c r="F14" s="60">
        <v>0</v>
      </c>
      <c r="G14" s="60">
        <f>D14+E14</f>
        <v>0.06</v>
      </c>
      <c r="H14" s="60">
        <f>D14+F14</f>
        <v>0</v>
      </c>
      <c r="I14" s="60" t="s">
        <v>31</v>
      </c>
      <c r="J14" s="61">
        <v>0.0263</v>
      </c>
      <c r="K14" s="61">
        <v>0.0246</v>
      </c>
      <c r="L14" s="61">
        <v>0.0225</v>
      </c>
      <c r="M14" s="61">
        <v>0.0243</v>
      </c>
      <c r="N14" s="61">
        <v>0.043</v>
      </c>
      <c r="O14" s="61">
        <v>0.0327</v>
      </c>
      <c r="P14" s="61">
        <v>0.0274</v>
      </c>
      <c r="Q14" s="61">
        <v>0.0384</v>
      </c>
      <c r="R14" s="61">
        <v>0.0261</v>
      </c>
      <c r="S14" s="61">
        <v>0.0199</v>
      </c>
      <c r="T14" s="61">
        <v>0.0301</v>
      </c>
      <c r="U14" s="61">
        <v>0.0871</v>
      </c>
      <c r="V14" s="61"/>
      <c r="W14" s="61"/>
      <c r="X14" s="61"/>
      <c r="Y14" s="61"/>
      <c r="Z14" s="62" t="str">
        <f t="shared" ref="Z14:AO14" si="6">IF(J14="","",IF(J14&gt;($D14+$E14),(J14-$D14-$E14),IF(J14&lt;($D14+$F14),(J14-$D14-$F14),"√")))</f>
        <v>√</v>
      </c>
      <c r="AA14" s="62" t="str">
        <f t="shared" si="6"/>
        <v>√</v>
      </c>
      <c r="AB14" s="62" t="str">
        <f t="shared" si="6"/>
        <v>√</v>
      </c>
      <c r="AC14" s="62" t="str">
        <f t="shared" si="6"/>
        <v>√</v>
      </c>
      <c r="AD14" s="62" t="str">
        <f t="shared" si="6"/>
        <v>√</v>
      </c>
      <c r="AE14" s="62" t="str">
        <f t="shared" si="6"/>
        <v>√</v>
      </c>
      <c r="AF14" s="62" t="str">
        <f t="shared" si="6"/>
        <v>√</v>
      </c>
      <c r="AG14" s="62" t="str">
        <f t="shared" si="6"/>
        <v>√</v>
      </c>
      <c r="AH14" s="62" t="str">
        <f t="shared" si="6"/>
        <v>√</v>
      </c>
      <c r="AI14" s="62" t="str">
        <f t="shared" si="6"/>
        <v>√</v>
      </c>
      <c r="AJ14" s="62" t="str">
        <f t="shared" si="6"/>
        <v>√</v>
      </c>
      <c r="AK14" s="62">
        <f t="shared" si="6"/>
        <v>0.0271</v>
      </c>
      <c r="AL14" s="62" t="str">
        <f t="shared" si="6"/>
        <v/>
      </c>
      <c r="AM14" s="62" t="str">
        <f t="shared" si="6"/>
        <v/>
      </c>
      <c r="AN14" s="62" t="str">
        <f t="shared" si="6"/>
        <v/>
      </c>
      <c r="AO14" s="62" t="str">
        <f t="shared" si="6"/>
        <v/>
      </c>
    </row>
    <row r="15" spans="1:41">
      <c r="A15" s="63"/>
      <c r="B15" s="59">
        <v>1</v>
      </c>
      <c r="C15" s="60"/>
      <c r="D15" s="60"/>
      <c r="E15" s="60"/>
      <c r="F15" s="60"/>
      <c r="G15" s="60"/>
      <c r="H15" s="60"/>
      <c r="I15" s="60" t="s">
        <v>31</v>
      </c>
      <c r="J15" s="61">
        <v>-0.0127</v>
      </c>
      <c r="K15" s="61">
        <v>-0.009</v>
      </c>
      <c r="L15" s="61">
        <v>-0.0095</v>
      </c>
      <c r="M15" s="61">
        <v>-0.0083</v>
      </c>
      <c r="N15" s="61">
        <v>-0.0195</v>
      </c>
      <c r="O15" s="61">
        <v>-0.0145</v>
      </c>
      <c r="P15" s="61">
        <v>-0.012</v>
      </c>
      <c r="Q15" s="61">
        <v>-0.0144</v>
      </c>
      <c r="R15" s="61">
        <v>-0.0117</v>
      </c>
      <c r="S15" s="61">
        <v>-0.0062</v>
      </c>
      <c r="T15" s="61">
        <v>-0.0148</v>
      </c>
      <c r="U15" s="61">
        <v>-0.0071</v>
      </c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>
      <c r="A16" s="63"/>
      <c r="B16" s="59">
        <v>2</v>
      </c>
      <c r="C16" s="60"/>
      <c r="D16" s="60"/>
      <c r="E16" s="60"/>
      <c r="F16" s="60"/>
      <c r="G16" s="60"/>
      <c r="H16" s="60"/>
      <c r="I16" s="60" t="s">
        <v>31</v>
      </c>
      <c r="J16" s="61">
        <v>-0.0104</v>
      </c>
      <c r="K16" s="61">
        <v>-0.011</v>
      </c>
      <c r="L16" s="61">
        <v>-0.0113</v>
      </c>
      <c r="M16" s="61">
        <v>-0.011</v>
      </c>
      <c r="N16" s="61">
        <v>-0.0186</v>
      </c>
      <c r="O16" s="61">
        <v>-0.0124</v>
      </c>
      <c r="P16" s="61">
        <v>-0.0108</v>
      </c>
      <c r="Q16" s="61">
        <v>-0.0192</v>
      </c>
      <c r="R16" s="61">
        <v>-0.0114</v>
      </c>
      <c r="S16" s="61">
        <v>-0.0067</v>
      </c>
      <c r="T16" s="61">
        <v>-0.0144</v>
      </c>
      <c r="U16" s="61">
        <v>-0.0056</v>
      </c>
      <c r="V16" s="61"/>
      <c r="W16" s="61"/>
      <c r="X16" s="61"/>
      <c r="Y16" s="61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>
      <c r="A17" s="63"/>
      <c r="B17" s="59">
        <v>3</v>
      </c>
      <c r="C17" s="60"/>
      <c r="D17" s="60"/>
      <c r="E17" s="60"/>
      <c r="F17" s="60"/>
      <c r="G17" s="60"/>
      <c r="H17" s="60"/>
      <c r="I17" s="60" t="s">
        <v>31</v>
      </c>
      <c r="J17" s="61">
        <v>-0.0103</v>
      </c>
      <c r="K17" s="61">
        <v>-0.0084</v>
      </c>
      <c r="L17" s="61">
        <v>-0.0075</v>
      </c>
      <c r="M17" s="61">
        <v>-0.006</v>
      </c>
      <c r="N17" s="61">
        <v>-0.0182</v>
      </c>
      <c r="O17" s="61">
        <v>-0.0105</v>
      </c>
      <c r="P17" s="61">
        <v>-0.01</v>
      </c>
      <c r="Q17" s="61">
        <v>-0.0144</v>
      </c>
      <c r="R17" s="61">
        <v>-0.0092</v>
      </c>
      <c r="S17" s="61">
        <v>-0.004</v>
      </c>
      <c r="T17" s="61">
        <v>-0.0116</v>
      </c>
      <c r="U17" s="61">
        <v>-0.0435</v>
      </c>
      <c r="V17" s="61"/>
      <c r="W17" s="61"/>
      <c r="X17" s="61"/>
      <c r="Y17" s="61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>
      <c r="A18" s="63"/>
      <c r="B18" s="59">
        <v>4</v>
      </c>
      <c r="C18" s="60"/>
      <c r="D18" s="60"/>
      <c r="E18" s="60"/>
      <c r="F18" s="60"/>
      <c r="G18" s="60"/>
      <c r="H18" s="60"/>
      <c r="I18" s="60" t="s">
        <v>31</v>
      </c>
      <c r="J18" s="61">
        <v>-0.0048</v>
      </c>
      <c r="K18" s="61">
        <v>-0.0039</v>
      </c>
      <c r="L18" s="61">
        <v>-0.0017</v>
      </c>
      <c r="M18" s="61">
        <v>0.0021</v>
      </c>
      <c r="N18" s="61">
        <v>-0.0146</v>
      </c>
      <c r="O18" s="61">
        <v>-0.0011</v>
      </c>
      <c r="P18" s="61">
        <v>-0.0029</v>
      </c>
      <c r="Q18" s="61">
        <v>-0.0101</v>
      </c>
      <c r="R18" s="61">
        <v>-0.0028</v>
      </c>
      <c r="S18" s="61">
        <v>0.0001</v>
      </c>
      <c r="T18" s="61">
        <v>-0.0086</v>
      </c>
      <c r="U18" s="61">
        <v>-0.0333</v>
      </c>
      <c r="V18" s="61"/>
      <c r="W18" s="61"/>
      <c r="X18" s="61"/>
      <c r="Y18" s="61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>
      <c r="A19" s="63"/>
      <c r="B19" s="59">
        <v>5</v>
      </c>
      <c r="C19" s="60"/>
      <c r="D19" s="60"/>
      <c r="E19" s="60"/>
      <c r="F19" s="60"/>
      <c r="G19" s="60"/>
      <c r="H19" s="60"/>
      <c r="I19" s="60" t="s">
        <v>31</v>
      </c>
      <c r="J19" s="61">
        <v>-0.0021</v>
      </c>
      <c r="K19" s="61">
        <v>-0.0021</v>
      </c>
      <c r="L19" s="61">
        <v>-0.0004</v>
      </c>
      <c r="M19" s="61">
        <v>0.0001</v>
      </c>
      <c r="N19" s="61">
        <v>-0.0104</v>
      </c>
      <c r="O19" s="61">
        <v>-0.0004</v>
      </c>
      <c r="P19" s="61">
        <v>-0.002</v>
      </c>
      <c r="Q19" s="61">
        <v>-0.0065</v>
      </c>
      <c r="R19" s="61">
        <v>-0.0041</v>
      </c>
      <c r="S19" s="61">
        <v>0.0004</v>
      </c>
      <c r="T19" s="61">
        <v>-0.0065</v>
      </c>
      <c r="U19" s="61">
        <v>-0.0246</v>
      </c>
      <c r="V19" s="61"/>
      <c r="W19" s="61"/>
      <c r="X19" s="61"/>
      <c r="Y19" s="61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>
      <c r="A20" s="63"/>
      <c r="B20" s="59">
        <v>6</v>
      </c>
      <c r="C20" s="60"/>
      <c r="D20" s="60"/>
      <c r="E20" s="60"/>
      <c r="F20" s="60"/>
      <c r="G20" s="60"/>
      <c r="H20" s="60"/>
      <c r="I20" s="60" t="s">
        <v>31</v>
      </c>
      <c r="J20" s="61">
        <v>-0.0084</v>
      </c>
      <c r="K20" s="61">
        <v>-0.0088</v>
      </c>
      <c r="L20" s="61">
        <v>-0.0067</v>
      </c>
      <c r="M20" s="61">
        <v>-0.0098</v>
      </c>
      <c r="N20" s="61">
        <v>-0.0096</v>
      </c>
      <c r="O20" s="61">
        <v>-0.0109</v>
      </c>
      <c r="P20" s="61">
        <v>-0.0076</v>
      </c>
      <c r="Q20" s="61">
        <v>-0.0035</v>
      </c>
      <c r="R20" s="61">
        <v>-0.011</v>
      </c>
      <c r="S20" s="61">
        <v>-0.0034</v>
      </c>
      <c r="T20" s="61">
        <v>-0.0115</v>
      </c>
      <c r="U20" s="61">
        <v>0.0042</v>
      </c>
      <c r="V20" s="61"/>
      <c r="W20" s="61"/>
      <c r="X20" s="61"/>
      <c r="Y20" s="61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>
      <c r="A21" s="63"/>
      <c r="B21" s="59">
        <v>7</v>
      </c>
      <c r="C21" s="60"/>
      <c r="D21" s="60"/>
      <c r="E21" s="60"/>
      <c r="F21" s="60"/>
      <c r="G21" s="60"/>
      <c r="H21" s="60"/>
      <c r="I21" s="60" t="s">
        <v>31</v>
      </c>
      <c r="J21" s="61">
        <v>-0.0068</v>
      </c>
      <c r="K21" s="61">
        <v>-0.0053</v>
      </c>
      <c r="L21" s="61">
        <v>-0.0042</v>
      </c>
      <c r="M21" s="61">
        <v>-0.0083</v>
      </c>
      <c r="N21" s="61">
        <v>-0.0037</v>
      </c>
      <c r="O21" s="61">
        <v>-0.0071</v>
      </c>
      <c r="P21" s="61">
        <v>-0.0028</v>
      </c>
      <c r="Q21" s="61">
        <v>-0.0019</v>
      </c>
      <c r="R21" s="61">
        <v>-0.0066</v>
      </c>
      <c r="S21" s="61">
        <v>0.0014</v>
      </c>
      <c r="T21" s="61">
        <v>-0.0071</v>
      </c>
      <c r="U21" s="61">
        <v>0.0067</v>
      </c>
      <c r="V21" s="61"/>
      <c r="W21" s="61"/>
      <c r="X21" s="61"/>
      <c r="Y21" s="61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>
      <c r="A22" s="63"/>
      <c r="B22" s="59">
        <v>8</v>
      </c>
      <c r="C22" s="60"/>
      <c r="D22" s="60"/>
      <c r="E22" s="60"/>
      <c r="F22" s="60"/>
      <c r="G22" s="60"/>
      <c r="H22" s="60"/>
      <c r="I22" s="60" t="s">
        <v>31</v>
      </c>
      <c r="J22" s="61">
        <v>-0.0038</v>
      </c>
      <c r="K22" s="61">
        <v>-0.0059</v>
      </c>
      <c r="L22" s="61">
        <v>-0.0024</v>
      </c>
      <c r="M22" s="61">
        <v>-0.003</v>
      </c>
      <c r="N22" s="61">
        <v>-0.0032</v>
      </c>
      <c r="O22" s="61">
        <v>-0.0025</v>
      </c>
      <c r="P22" s="61">
        <v>-0.0004</v>
      </c>
      <c r="Q22" s="61">
        <v>-0.0005</v>
      </c>
      <c r="R22" s="61">
        <v>-0.0047</v>
      </c>
      <c r="S22" s="61">
        <v>0.0008</v>
      </c>
      <c r="T22" s="61">
        <v>-0.0055</v>
      </c>
      <c r="U22" s="61">
        <v>0.0096</v>
      </c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>
      <c r="A23" s="63"/>
      <c r="B23" s="59">
        <v>9</v>
      </c>
      <c r="C23" s="60"/>
      <c r="D23" s="60"/>
      <c r="E23" s="60"/>
      <c r="F23" s="60"/>
      <c r="G23" s="60"/>
      <c r="H23" s="60"/>
      <c r="I23" s="60" t="s">
        <v>31</v>
      </c>
      <c r="J23" s="61">
        <v>-0.0027</v>
      </c>
      <c r="K23" s="61">
        <v>-0.0056</v>
      </c>
      <c r="L23" s="61">
        <v>-0.0025</v>
      </c>
      <c r="M23" s="61">
        <v>-0.0037</v>
      </c>
      <c r="N23" s="61">
        <v>-0.0025</v>
      </c>
      <c r="O23" s="61">
        <v>0.0014</v>
      </c>
      <c r="P23" s="61">
        <v>-0.0012</v>
      </c>
      <c r="Q23" s="61">
        <v>-0.0019</v>
      </c>
      <c r="R23" s="61">
        <v>-0.0046</v>
      </c>
      <c r="S23" s="61">
        <v>-0.0002</v>
      </c>
      <c r="T23" s="61">
        <v>-0.0056</v>
      </c>
      <c r="U23" s="61">
        <v>0.009</v>
      </c>
      <c r="V23" s="61"/>
      <c r="W23" s="61"/>
      <c r="X23" s="61"/>
      <c r="Y23" s="61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>
      <c r="A24" s="63"/>
      <c r="B24" s="59">
        <v>10</v>
      </c>
      <c r="C24" s="60"/>
      <c r="D24" s="60"/>
      <c r="E24" s="60"/>
      <c r="F24" s="60"/>
      <c r="G24" s="60"/>
      <c r="H24" s="60"/>
      <c r="I24" s="60" t="s">
        <v>31</v>
      </c>
      <c r="J24" s="61">
        <v>-0.0058</v>
      </c>
      <c r="K24" s="61">
        <v>-0.0053</v>
      </c>
      <c r="L24" s="61">
        <v>-0.0033</v>
      </c>
      <c r="M24" s="61">
        <v>-0.0032</v>
      </c>
      <c r="N24" s="61">
        <v>-0.0018</v>
      </c>
      <c r="O24" s="61">
        <v>0</v>
      </c>
      <c r="P24" s="61">
        <v>-0.002</v>
      </c>
      <c r="Q24" s="61">
        <v>-0.0029</v>
      </c>
      <c r="R24" s="61">
        <v>-0.0016</v>
      </c>
      <c r="S24" s="61">
        <v>0.0001</v>
      </c>
      <c r="T24" s="61">
        <v>-0.0074</v>
      </c>
      <c r="U24" s="61">
        <v>0.0047</v>
      </c>
      <c r="V24" s="61"/>
      <c r="W24" s="61"/>
      <c r="X24" s="61"/>
      <c r="Y24" s="61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>
      <c r="A25" s="63"/>
      <c r="B25" s="59">
        <v>11</v>
      </c>
      <c r="C25" s="60"/>
      <c r="D25" s="60"/>
      <c r="E25" s="60"/>
      <c r="F25" s="60"/>
      <c r="G25" s="60"/>
      <c r="H25" s="60"/>
      <c r="I25" s="60" t="s">
        <v>31</v>
      </c>
      <c r="J25" s="61">
        <v>-0.0003</v>
      </c>
      <c r="K25" s="61">
        <v>0.0018</v>
      </c>
      <c r="L25" s="61">
        <v>0.0019</v>
      </c>
      <c r="M25" s="61">
        <v>0.0035</v>
      </c>
      <c r="N25" s="61">
        <v>0.0038</v>
      </c>
      <c r="O25" s="61">
        <v>0</v>
      </c>
      <c r="P25" s="61">
        <v>0.0013</v>
      </c>
      <c r="Q25" s="61">
        <v>0.0038</v>
      </c>
      <c r="R25" s="61">
        <v>0.0013</v>
      </c>
      <c r="S25" s="61">
        <v>0.0052</v>
      </c>
      <c r="T25" s="61">
        <v>0.0003</v>
      </c>
      <c r="U25" s="61">
        <v>0.0076</v>
      </c>
      <c r="V25" s="61"/>
      <c r="W25" s="61"/>
      <c r="X25" s="61"/>
      <c r="Y25" s="61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>
      <c r="A26" s="63"/>
      <c r="B26" s="59">
        <v>12</v>
      </c>
      <c r="C26" s="60"/>
      <c r="D26" s="60"/>
      <c r="E26" s="60"/>
      <c r="F26" s="60"/>
      <c r="G26" s="60"/>
      <c r="H26" s="60"/>
      <c r="I26" s="60" t="s">
        <v>31</v>
      </c>
      <c r="J26" s="61">
        <v>0.0005</v>
      </c>
      <c r="K26" s="61">
        <v>0.0031</v>
      </c>
      <c r="L26" s="61">
        <v>0.0026</v>
      </c>
      <c r="M26" s="61">
        <v>0.0014</v>
      </c>
      <c r="N26" s="61">
        <v>0.0031</v>
      </c>
      <c r="O26" s="61">
        <v>0.0009</v>
      </c>
      <c r="P26" s="61">
        <v>0.0051</v>
      </c>
      <c r="Q26" s="61">
        <v>0.0042</v>
      </c>
      <c r="R26" s="61">
        <v>0.0003</v>
      </c>
      <c r="S26" s="61">
        <v>0.0061</v>
      </c>
      <c r="T26" s="61">
        <v>-0.0004</v>
      </c>
      <c r="U26" s="61">
        <v>0.0053</v>
      </c>
      <c r="V26" s="61"/>
      <c r="W26" s="61"/>
      <c r="X26" s="61"/>
      <c r="Y26" s="61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>
      <c r="A27" s="63"/>
      <c r="B27" s="59">
        <v>13</v>
      </c>
      <c r="C27" s="60"/>
      <c r="D27" s="60"/>
      <c r="E27" s="60"/>
      <c r="F27" s="60"/>
      <c r="G27" s="60"/>
      <c r="H27" s="60"/>
      <c r="I27" s="60" t="s">
        <v>31</v>
      </c>
      <c r="J27" s="61">
        <v>-0.006</v>
      </c>
      <c r="K27" s="61">
        <v>-0.0044</v>
      </c>
      <c r="L27" s="61">
        <v>-0.0036</v>
      </c>
      <c r="M27" s="61">
        <v>-0.0008</v>
      </c>
      <c r="N27" s="61">
        <v>-0.0031</v>
      </c>
      <c r="O27" s="61">
        <v>-0.0026</v>
      </c>
      <c r="P27" s="61">
        <v>0.0007</v>
      </c>
      <c r="Q27" s="61">
        <v>0.0002</v>
      </c>
      <c r="R27" s="61">
        <v>-0.0017</v>
      </c>
      <c r="S27" s="61">
        <v>-0.0002</v>
      </c>
      <c r="T27" s="61">
        <v>-0.005</v>
      </c>
      <c r="U27" s="61">
        <v>0.0001</v>
      </c>
      <c r="V27" s="61"/>
      <c r="W27" s="61"/>
      <c r="X27" s="61"/>
      <c r="Y27" s="61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>
      <c r="A28" s="63"/>
      <c r="B28" s="59">
        <v>14</v>
      </c>
      <c r="C28" s="60"/>
      <c r="D28" s="60"/>
      <c r="E28" s="60"/>
      <c r="F28" s="60"/>
      <c r="G28" s="60"/>
      <c r="H28" s="60"/>
      <c r="I28" s="60" t="s">
        <v>31</v>
      </c>
      <c r="J28" s="61">
        <v>-0.0089</v>
      </c>
      <c r="K28" s="61">
        <v>-0.0103</v>
      </c>
      <c r="L28" s="61">
        <v>-0.0073</v>
      </c>
      <c r="M28" s="61">
        <v>-0.0054</v>
      </c>
      <c r="N28" s="61">
        <v>-0.0056</v>
      </c>
      <c r="O28" s="61">
        <v>-0.0039</v>
      </c>
      <c r="P28" s="61">
        <v>-0.0057</v>
      </c>
      <c r="Q28" s="61">
        <v>-0.0073</v>
      </c>
      <c r="R28" s="61">
        <v>-0.0082</v>
      </c>
      <c r="S28" s="61">
        <v>-0.0076</v>
      </c>
      <c r="T28" s="61">
        <v>-0.0111</v>
      </c>
      <c r="U28" s="61">
        <v>-0.005</v>
      </c>
      <c r="V28" s="61"/>
      <c r="W28" s="61"/>
      <c r="X28" s="61"/>
      <c r="Y28" s="61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>
      <c r="A29" s="63"/>
      <c r="B29" s="59">
        <v>15</v>
      </c>
      <c r="C29" s="60"/>
      <c r="D29" s="60"/>
      <c r="E29" s="60"/>
      <c r="F29" s="60"/>
      <c r="G29" s="60"/>
      <c r="H29" s="60"/>
      <c r="I29" s="60" t="s">
        <v>31</v>
      </c>
      <c r="J29" s="61">
        <v>-0.0131</v>
      </c>
      <c r="K29" s="61">
        <v>-0.0116</v>
      </c>
      <c r="L29" s="61">
        <v>-0.0096</v>
      </c>
      <c r="M29" s="61">
        <v>-0.0049</v>
      </c>
      <c r="N29" s="61">
        <v>-0.0108</v>
      </c>
      <c r="O29" s="61">
        <v>-0.0054</v>
      </c>
      <c r="P29" s="61">
        <v>-0.0082</v>
      </c>
      <c r="Q29" s="61">
        <v>-0.0113</v>
      </c>
      <c r="R29" s="61">
        <v>-0.0094</v>
      </c>
      <c r="S29" s="61">
        <v>-0.0086</v>
      </c>
      <c r="T29" s="61">
        <v>-0.0134</v>
      </c>
      <c r="U29" s="61">
        <v>-0.0098</v>
      </c>
      <c r="V29" s="61"/>
      <c r="W29" s="61"/>
      <c r="X29" s="61"/>
      <c r="Y29" s="61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>
      <c r="A30" s="63"/>
      <c r="B30" s="59">
        <v>16</v>
      </c>
      <c r="C30" s="60"/>
      <c r="D30" s="60"/>
      <c r="E30" s="60"/>
      <c r="F30" s="60"/>
      <c r="G30" s="60"/>
      <c r="H30" s="60"/>
      <c r="I30" s="60" t="s">
        <v>31</v>
      </c>
      <c r="J30" s="61">
        <v>-0.0115</v>
      </c>
      <c r="K30" s="61">
        <v>-0.0121</v>
      </c>
      <c r="L30" s="61">
        <v>-0.0112</v>
      </c>
      <c r="M30" s="61">
        <v>-0.0122</v>
      </c>
      <c r="N30" s="61">
        <v>-0.0215</v>
      </c>
      <c r="O30" s="61">
        <v>-0.0164</v>
      </c>
      <c r="P30" s="61">
        <v>-0.0137</v>
      </c>
      <c r="Q30" s="61">
        <v>-0.0179</v>
      </c>
      <c r="R30" s="61">
        <v>-0.013</v>
      </c>
      <c r="S30" s="61">
        <v>-0.0099</v>
      </c>
      <c r="T30" s="61">
        <v>-0.015</v>
      </c>
      <c r="U30" s="61">
        <v>-0.0036</v>
      </c>
      <c r="V30" s="61"/>
      <c r="W30" s="61"/>
      <c r="X30" s="61"/>
      <c r="Y30" s="61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>
      <c r="A31" s="63"/>
      <c r="B31" s="59">
        <v>17</v>
      </c>
      <c r="C31" s="60"/>
      <c r="D31" s="60"/>
      <c r="E31" s="60"/>
      <c r="F31" s="60"/>
      <c r="G31" s="60"/>
      <c r="H31" s="60"/>
      <c r="I31" s="60" t="s">
        <v>31</v>
      </c>
      <c r="J31" s="61">
        <v>-0.0034</v>
      </c>
      <c r="K31" s="61">
        <v>-0.005</v>
      </c>
      <c r="L31" s="61">
        <v>-0.0001</v>
      </c>
      <c r="M31" s="61">
        <v>0.0026</v>
      </c>
      <c r="N31" s="61">
        <v>-0.0094</v>
      </c>
      <c r="O31" s="61">
        <v>-0.0013</v>
      </c>
      <c r="P31" s="61">
        <v>-0.0028</v>
      </c>
      <c r="Q31" s="61">
        <v>-0.0045</v>
      </c>
      <c r="R31" s="61">
        <v>-0.0009</v>
      </c>
      <c r="S31" s="61">
        <v>0.001</v>
      </c>
      <c r="T31" s="61">
        <v>-0.0052</v>
      </c>
      <c r="U31" s="61">
        <v>-0.0025</v>
      </c>
      <c r="V31" s="61"/>
      <c r="W31" s="61"/>
      <c r="X31" s="61"/>
      <c r="Y31" s="61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>
      <c r="A32" s="63"/>
      <c r="B32" s="59">
        <v>18</v>
      </c>
      <c r="C32" s="60"/>
      <c r="D32" s="60"/>
      <c r="E32" s="60"/>
      <c r="F32" s="60"/>
      <c r="G32" s="60"/>
      <c r="H32" s="60"/>
      <c r="I32" s="60" t="s">
        <v>31</v>
      </c>
      <c r="J32" s="61">
        <v>-0.0077</v>
      </c>
      <c r="K32" s="61">
        <v>-0.0064</v>
      </c>
      <c r="L32" s="61">
        <v>-0.0054</v>
      </c>
      <c r="M32" s="61">
        <v>-0.0086</v>
      </c>
      <c r="N32" s="61">
        <v>-0.005</v>
      </c>
      <c r="O32" s="61">
        <v>-0.0083</v>
      </c>
      <c r="P32" s="61">
        <v>-0.0049</v>
      </c>
      <c r="Q32" s="61">
        <v>-0.0053</v>
      </c>
      <c r="R32" s="61">
        <v>-0.0082</v>
      </c>
      <c r="S32" s="61">
        <v>-0.0018</v>
      </c>
      <c r="T32" s="61">
        <v>-0.0073</v>
      </c>
      <c r="U32" s="61">
        <v>0.0022</v>
      </c>
      <c r="V32" s="61"/>
      <c r="W32" s="61"/>
      <c r="X32" s="61"/>
      <c r="Y32" s="61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>
      <c r="A33" s="63"/>
      <c r="B33" s="59">
        <v>19</v>
      </c>
      <c r="C33" s="60"/>
      <c r="D33" s="60"/>
      <c r="E33" s="60"/>
      <c r="F33" s="60"/>
      <c r="G33" s="60"/>
      <c r="H33" s="60"/>
      <c r="I33" s="60" t="s">
        <v>31</v>
      </c>
      <c r="J33" s="61">
        <v>-0.0066</v>
      </c>
      <c r="K33" s="61">
        <v>-0.0069</v>
      </c>
      <c r="L33" s="61">
        <v>-0.0046</v>
      </c>
      <c r="M33" s="61">
        <v>-0.0058</v>
      </c>
      <c r="N33" s="61">
        <v>-0.0074</v>
      </c>
      <c r="O33" s="61">
        <v>-0.0021</v>
      </c>
      <c r="P33" s="61">
        <v>-0.0029</v>
      </c>
      <c r="Q33" s="61">
        <v>-0.0042</v>
      </c>
      <c r="R33" s="61">
        <v>-0.0037</v>
      </c>
      <c r="S33" s="61">
        <v>-0.0041</v>
      </c>
      <c r="T33" s="61">
        <v>-0.0079</v>
      </c>
      <c r="U33" s="61">
        <v>0.0041</v>
      </c>
      <c r="V33" s="61"/>
      <c r="W33" s="61"/>
      <c r="X33" s="61"/>
      <c r="Y33" s="61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>
      <c r="A34" s="63"/>
      <c r="B34" s="59">
        <v>20</v>
      </c>
      <c r="C34" s="60"/>
      <c r="D34" s="60"/>
      <c r="E34" s="60"/>
      <c r="F34" s="60"/>
      <c r="G34" s="60"/>
      <c r="H34" s="60"/>
      <c r="I34" s="60" t="s">
        <v>31</v>
      </c>
      <c r="J34" s="61">
        <v>-0.0011</v>
      </c>
      <c r="K34" s="61">
        <v>-0.0001</v>
      </c>
      <c r="L34" s="61">
        <v>0.0019</v>
      </c>
      <c r="M34" s="61">
        <v>0.0018</v>
      </c>
      <c r="N34" s="61">
        <v>0.0025</v>
      </c>
      <c r="O34" s="61">
        <v>-0.0012</v>
      </c>
      <c r="P34" s="61">
        <v>0.0023</v>
      </c>
      <c r="Q34" s="61">
        <v>0.0028</v>
      </c>
      <c r="R34" s="61">
        <v>0.0016</v>
      </c>
      <c r="S34" s="61">
        <v>0.0036</v>
      </c>
      <c r="T34" s="61">
        <v>-0.0012</v>
      </c>
      <c r="U34" s="61">
        <v>0.0147</v>
      </c>
      <c r="V34" s="61"/>
      <c r="W34" s="61"/>
      <c r="X34" s="61"/>
      <c r="Y34" s="61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>
      <c r="A35" s="63"/>
      <c r="B35" s="59">
        <v>21</v>
      </c>
      <c r="C35" s="60"/>
      <c r="D35" s="60"/>
      <c r="E35" s="60"/>
      <c r="F35" s="60"/>
      <c r="G35" s="60"/>
      <c r="H35" s="60"/>
      <c r="I35" s="60" t="s">
        <v>31</v>
      </c>
      <c r="J35" s="61">
        <v>-0.0124</v>
      </c>
      <c r="K35" s="61">
        <v>-0.0123</v>
      </c>
      <c r="L35" s="61">
        <v>-0.0108</v>
      </c>
      <c r="M35" s="61">
        <v>-0.0092</v>
      </c>
      <c r="N35" s="61">
        <v>-0.0076</v>
      </c>
      <c r="O35" s="61">
        <v>-0.0075</v>
      </c>
      <c r="P35" s="61">
        <v>-0.009</v>
      </c>
      <c r="Q35" s="61">
        <v>-0.0086</v>
      </c>
      <c r="R35" s="61">
        <v>-0.0074</v>
      </c>
      <c r="S35" s="61">
        <v>-0.0081</v>
      </c>
      <c r="T35" s="61">
        <v>-0.0113</v>
      </c>
      <c r="U35" s="61">
        <v>-0.0037</v>
      </c>
      <c r="V35" s="61"/>
      <c r="W35" s="61"/>
      <c r="X35" s="61"/>
      <c r="Y35" s="61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>
      <c r="A36" s="63"/>
      <c r="B36" s="59" t="s">
        <v>39</v>
      </c>
      <c r="C36" s="60" t="s">
        <v>40</v>
      </c>
      <c r="D36" s="60">
        <v>0</v>
      </c>
      <c r="E36" s="60">
        <v>0.04</v>
      </c>
      <c r="F36" s="60">
        <v>0</v>
      </c>
      <c r="G36" s="60">
        <f>D36+E36</f>
        <v>0.04</v>
      </c>
      <c r="H36" s="60">
        <f>D36+F36</f>
        <v>0</v>
      </c>
      <c r="I36" s="60" t="s">
        <v>31</v>
      </c>
      <c r="J36" s="61">
        <v>0.0017</v>
      </c>
      <c r="K36" s="61">
        <v>0.0007</v>
      </c>
      <c r="L36" s="61">
        <v>0.0031</v>
      </c>
      <c r="M36" s="61">
        <v>0.002</v>
      </c>
      <c r="N36" s="61">
        <v>0.0009</v>
      </c>
      <c r="O36" s="61">
        <v>0.002</v>
      </c>
      <c r="P36" s="61">
        <v>0.0027</v>
      </c>
      <c r="Q36" s="61">
        <v>0.0026</v>
      </c>
      <c r="R36" s="61">
        <v>0.0012</v>
      </c>
      <c r="S36" s="61">
        <v>0.0015</v>
      </c>
      <c r="T36" s="61">
        <v>0.0008</v>
      </c>
      <c r="U36" s="61">
        <v>0.0029</v>
      </c>
      <c r="V36" s="61"/>
      <c r="W36" s="61"/>
      <c r="X36" s="61"/>
      <c r="Y36" s="61"/>
      <c r="Z36" s="62" t="str">
        <f t="shared" ref="Z36:AO36" si="7">IF(J36="","",IF(J36&gt;($D36+$E36),(J36-$D36-$E36),IF(J36&lt;($D36+$F36),(J36-$D36-$F36),"√")))</f>
        <v>√</v>
      </c>
      <c r="AA36" s="62" t="str">
        <f t="shared" si="7"/>
        <v>√</v>
      </c>
      <c r="AB36" s="62" t="str">
        <f t="shared" si="7"/>
        <v>√</v>
      </c>
      <c r="AC36" s="62" t="str">
        <f t="shared" si="7"/>
        <v>√</v>
      </c>
      <c r="AD36" s="62" t="str">
        <f t="shared" si="7"/>
        <v>√</v>
      </c>
      <c r="AE36" s="62" t="str">
        <f t="shared" si="7"/>
        <v>√</v>
      </c>
      <c r="AF36" s="62" t="str">
        <f t="shared" si="7"/>
        <v>√</v>
      </c>
      <c r="AG36" s="62" t="str">
        <f t="shared" si="7"/>
        <v>√</v>
      </c>
      <c r="AH36" s="62" t="str">
        <f t="shared" si="7"/>
        <v>√</v>
      </c>
      <c r="AI36" s="62" t="str">
        <f t="shared" si="7"/>
        <v>√</v>
      </c>
      <c r="AJ36" s="62" t="str">
        <f t="shared" si="7"/>
        <v>√</v>
      </c>
      <c r="AK36" s="62" t="str">
        <f t="shared" si="7"/>
        <v>√</v>
      </c>
      <c r="AL36" s="62" t="str">
        <f t="shared" si="7"/>
        <v/>
      </c>
      <c r="AM36" s="62" t="str">
        <f t="shared" si="7"/>
        <v/>
      </c>
      <c r="AN36" s="62" t="str">
        <f t="shared" si="7"/>
        <v/>
      </c>
      <c r="AO36" s="62" t="str">
        <f t="shared" si="7"/>
        <v/>
      </c>
    </row>
    <row r="37" spans="1:41">
      <c r="A37" s="63"/>
      <c r="B37" s="59">
        <v>1</v>
      </c>
      <c r="C37" s="60"/>
      <c r="D37" s="60"/>
      <c r="E37" s="60"/>
      <c r="F37" s="60"/>
      <c r="G37" s="60"/>
      <c r="H37" s="60"/>
      <c r="I37" s="60" t="s">
        <v>31</v>
      </c>
      <c r="J37" s="61">
        <v>0.0009</v>
      </c>
      <c r="K37" s="61">
        <v>0.0002</v>
      </c>
      <c r="L37" s="61">
        <v>0.0015</v>
      </c>
      <c r="M37" s="61">
        <v>-0.0008</v>
      </c>
      <c r="N37" s="61">
        <v>0.0005</v>
      </c>
      <c r="O37" s="61">
        <v>0.001</v>
      </c>
      <c r="P37" s="61">
        <v>-0.0013</v>
      </c>
      <c r="Q37" s="61">
        <v>-0.0008</v>
      </c>
      <c r="R37" s="61">
        <v>-0.0001</v>
      </c>
      <c r="S37" s="61">
        <v>0.0007</v>
      </c>
      <c r="T37" s="61">
        <v>0.0003</v>
      </c>
      <c r="U37" s="61">
        <v>0</v>
      </c>
      <c r="V37" s="61"/>
      <c r="W37" s="61"/>
      <c r="X37" s="61"/>
      <c r="Y37" s="61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>
      <c r="A38" s="63"/>
      <c r="B38" s="59">
        <v>2</v>
      </c>
      <c r="C38" s="60"/>
      <c r="D38" s="60"/>
      <c r="E38" s="60"/>
      <c r="F38" s="60"/>
      <c r="G38" s="60"/>
      <c r="H38" s="60"/>
      <c r="I38" s="60" t="s">
        <v>31</v>
      </c>
      <c r="J38" s="61">
        <v>-0.0004</v>
      </c>
      <c r="K38" s="61">
        <v>0.0004</v>
      </c>
      <c r="L38" s="61">
        <v>0.0003</v>
      </c>
      <c r="M38" s="61">
        <v>-0.0003</v>
      </c>
      <c r="N38" s="61">
        <v>-0.0004</v>
      </c>
      <c r="O38" s="61">
        <v>0.0005</v>
      </c>
      <c r="P38" s="61">
        <v>0.0013</v>
      </c>
      <c r="Q38" s="61">
        <v>0.0013</v>
      </c>
      <c r="R38" s="61">
        <v>0.0006</v>
      </c>
      <c r="S38" s="61">
        <v>-0.0002</v>
      </c>
      <c r="T38" s="61">
        <v>0.0004</v>
      </c>
      <c r="U38" s="61">
        <v>0.0015</v>
      </c>
      <c r="V38" s="61"/>
      <c r="W38" s="61"/>
      <c r="X38" s="61"/>
      <c r="Y38" s="61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>
      <c r="A39" s="63"/>
      <c r="B39" s="59">
        <v>3</v>
      </c>
      <c r="C39" s="60"/>
      <c r="D39" s="60"/>
      <c r="E39" s="60"/>
      <c r="F39" s="60"/>
      <c r="G39" s="60"/>
      <c r="H39" s="60"/>
      <c r="I39" s="60" t="s">
        <v>31</v>
      </c>
      <c r="J39" s="61">
        <v>-0.0008</v>
      </c>
      <c r="K39" s="61">
        <v>-0.0004</v>
      </c>
      <c r="L39" s="61">
        <v>-0.0013</v>
      </c>
      <c r="M39" s="61">
        <v>-0.001</v>
      </c>
      <c r="N39" s="61">
        <v>-0.0005</v>
      </c>
      <c r="O39" s="61">
        <v>0.0002</v>
      </c>
      <c r="P39" s="61">
        <v>0</v>
      </c>
      <c r="Q39" s="61">
        <v>-0.0013</v>
      </c>
      <c r="R39" s="61">
        <v>-0.0006</v>
      </c>
      <c r="S39" s="61">
        <v>-0.0007</v>
      </c>
      <c r="T39" s="61">
        <v>-0.0001</v>
      </c>
      <c r="U39" s="61">
        <v>0.0003</v>
      </c>
      <c r="V39" s="61"/>
      <c r="W39" s="61"/>
      <c r="X39" s="61"/>
      <c r="Y39" s="61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>
      <c r="A40" s="63"/>
      <c r="B40" s="59">
        <v>4</v>
      </c>
      <c r="C40" s="60"/>
      <c r="D40" s="60"/>
      <c r="E40" s="60"/>
      <c r="F40" s="60"/>
      <c r="G40" s="60"/>
      <c r="H40" s="60"/>
      <c r="I40" s="60" t="s">
        <v>31</v>
      </c>
      <c r="J40" s="61">
        <v>-0.0009</v>
      </c>
      <c r="K40" s="61">
        <v>0.0003</v>
      </c>
      <c r="L40" s="61">
        <v>-0.0015</v>
      </c>
      <c r="M40" s="61">
        <v>0.001</v>
      </c>
      <c r="N40" s="61">
        <v>0.0004</v>
      </c>
      <c r="O40" s="61">
        <v>-0.001</v>
      </c>
      <c r="P40" s="61">
        <v>-0.0004</v>
      </c>
      <c r="Q40" s="61">
        <v>-0.0009</v>
      </c>
      <c r="R40" s="61">
        <v>-0.0005</v>
      </c>
      <c r="S40" s="61">
        <v>0.0001</v>
      </c>
      <c r="T40" s="61">
        <v>-0.0004</v>
      </c>
      <c r="U40" s="61">
        <v>-0.0015</v>
      </c>
      <c r="V40" s="61"/>
      <c r="W40" s="61"/>
      <c r="X40" s="61"/>
      <c r="Y40" s="61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>
      <c r="A41" s="63"/>
      <c r="B41" s="59" t="s">
        <v>41</v>
      </c>
      <c r="C41" s="60" t="s">
        <v>40</v>
      </c>
      <c r="D41" s="60">
        <v>0</v>
      </c>
      <c r="E41" s="60">
        <v>0.04</v>
      </c>
      <c r="F41" s="60">
        <v>0</v>
      </c>
      <c r="G41" s="60">
        <f>D41+E41</f>
        <v>0.04</v>
      </c>
      <c r="H41" s="60">
        <f>D41+F41</f>
        <v>0</v>
      </c>
      <c r="I41" s="60" t="s">
        <v>31</v>
      </c>
      <c r="J41" s="61">
        <v>0.0042</v>
      </c>
      <c r="K41" s="61">
        <v>0.0027</v>
      </c>
      <c r="L41" s="61">
        <v>0.0038</v>
      </c>
      <c r="M41" s="61">
        <v>0.0046</v>
      </c>
      <c r="N41" s="61">
        <v>0.003</v>
      </c>
      <c r="O41" s="61">
        <v>0.0028</v>
      </c>
      <c r="P41" s="61">
        <v>0.0033</v>
      </c>
      <c r="Q41" s="61">
        <v>0.0023</v>
      </c>
      <c r="R41" s="61">
        <v>0.0041</v>
      </c>
      <c r="S41" s="61">
        <v>0.0028</v>
      </c>
      <c r="T41" s="61">
        <v>0.0011</v>
      </c>
      <c r="U41" s="61">
        <v>0.0028</v>
      </c>
      <c r="V41" s="61"/>
      <c r="W41" s="61"/>
      <c r="X41" s="61"/>
      <c r="Y41" s="61"/>
      <c r="Z41" s="62" t="str">
        <f t="shared" ref="Z41:AO41" si="8">IF(J41="","",IF(J41&gt;($D41+$E41),(J41-$D41-$E41),IF(J41&lt;($D41+$F41),(J41-$D41-$F41),"√")))</f>
        <v>√</v>
      </c>
      <c r="AA41" s="62" t="str">
        <f t="shared" si="8"/>
        <v>√</v>
      </c>
      <c r="AB41" s="62" t="str">
        <f t="shared" si="8"/>
        <v>√</v>
      </c>
      <c r="AC41" s="62" t="str">
        <f t="shared" si="8"/>
        <v>√</v>
      </c>
      <c r="AD41" s="62" t="str">
        <f t="shared" si="8"/>
        <v>√</v>
      </c>
      <c r="AE41" s="62" t="str">
        <f t="shared" si="8"/>
        <v>√</v>
      </c>
      <c r="AF41" s="62" t="str">
        <f t="shared" si="8"/>
        <v>√</v>
      </c>
      <c r="AG41" s="62" t="str">
        <f t="shared" si="8"/>
        <v>√</v>
      </c>
      <c r="AH41" s="62" t="str">
        <f t="shared" si="8"/>
        <v>√</v>
      </c>
      <c r="AI41" s="62" t="str">
        <f t="shared" si="8"/>
        <v>√</v>
      </c>
      <c r="AJ41" s="62" t="str">
        <f t="shared" si="8"/>
        <v>√</v>
      </c>
      <c r="AK41" s="62" t="str">
        <f t="shared" si="8"/>
        <v>√</v>
      </c>
      <c r="AL41" s="62" t="str">
        <f t="shared" si="8"/>
        <v/>
      </c>
      <c r="AM41" s="62" t="str">
        <f t="shared" si="8"/>
        <v/>
      </c>
      <c r="AN41" s="62" t="str">
        <f t="shared" si="8"/>
        <v/>
      </c>
      <c r="AO41" s="62" t="str">
        <f t="shared" si="8"/>
        <v/>
      </c>
    </row>
    <row r="42" spans="1:41">
      <c r="A42" s="63"/>
      <c r="B42" s="59">
        <v>1</v>
      </c>
      <c r="C42" s="60"/>
      <c r="D42" s="60"/>
      <c r="E42" s="60"/>
      <c r="F42" s="60"/>
      <c r="G42" s="60"/>
      <c r="H42" s="60"/>
      <c r="I42" s="60" t="s">
        <v>31</v>
      </c>
      <c r="J42" s="61">
        <v>0.002</v>
      </c>
      <c r="K42" s="61">
        <v>0.0013</v>
      </c>
      <c r="L42" s="61">
        <v>0.0001</v>
      </c>
      <c r="M42" s="61">
        <v>0.0023</v>
      </c>
      <c r="N42" s="61">
        <v>0.0015</v>
      </c>
      <c r="O42" s="61">
        <v>0.0014</v>
      </c>
      <c r="P42" s="61">
        <v>-0.0007</v>
      </c>
      <c r="Q42" s="61">
        <v>-0.0012</v>
      </c>
      <c r="R42" s="61">
        <v>-0.0017</v>
      </c>
      <c r="S42" s="61">
        <v>-0.0014</v>
      </c>
      <c r="T42" s="61">
        <v>0.0006</v>
      </c>
      <c r="U42" s="61">
        <v>0.0009</v>
      </c>
      <c r="V42" s="61"/>
      <c r="W42" s="61"/>
      <c r="X42" s="61"/>
      <c r="Y42" s="61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>
      <c r="A43" s="63"/>
      <c r="B43" s="59">
        <v>2</v>
      </c>
      <c r="C43" s="60"/>
      <c r="D43" s="60"/>
      <c r="E43" s="60"/>
      <c r="F43" s="60"/>
      <c r="G43" s="60"/>
      <c r="H43" s="60"/>
      <c r="I43" s="60" t="s">
        <v>31</v>
      </c>
      <c r="J43" s="61">
        <v>0.0021</v>
      </c>
      <c r="K43" s="61">
        <v>0.0009</v>
      </c>
      <c r="L43" s="61">
        <v>0.0019</v>
      </c>
      <c r="M43" s="61">
        <v>0.0023</v>
      </c>
      <c r="N43" s="61">
        <v>0.0002</v>
      </c>
      <c r="O43" s="61">
        <v>0.001</v>
      </c>
      <c r="P43" s="61">
        <v>-0.0017</v>
      </c>
      <c r="Q43" s="61">
        <v>-0.0006</v>
      </c>
      <c r="R43" s="61">
        <v>-0.0021</v>
      </c>
      <c r="S43" s="61">
        <v>-0.0004</v>
      </c>
      <c r="T43" s="61">
        <v>0.0003</v>
      </c>
      <c r="U43" s="61">
        <v>0.0012</v>
      </c>
      <c r="V43" s="61"/>
      <c r="W43" s="61"/>
      <c r="X43" s="61"/>
      <c r="Y43" s="61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>
      <c r="A44" s="63"/>
      <c r="B44" s="59">
        <v>3</v>
      </c>
      <c r="C44" s="60"/>
      <c r="D44" s="60"/>
      <c r="E44" s="60"/>
      <c r="F44" s="60"/>
      <c r="G44" s="60"/>
      <c r="H44" s="60"/>
      <c r="I44" s="60" t="s">
        <v>31</v>
      </c>
      <c r="J44" s="61">
        <v>-0.002</v>
      </c>
      <c r="K44" s="61">
        <v>-0.0007</v>
      </c>
      <c r="L44" s="61">
        <v>-0.0005</v>
      </c>
      <c r="M44" s="61">
        <v>-0.0023</v>
      </c>
      <c r="N44" s="61">
        <v>-0.0015</v>
      </c>
      <c r="O44" s="61">
        <v>-0.0014</v>
      </c>
      <c r="P44" s="61">
        <v>0.0002</v>
      </c>
      <c r="Q44" s="61">
        <v>0.0006</v>
      </c>
      <c r="R44" s="61">
        <v>0.001</v>
      </c>
      <c r="S44" s="61">
        <v>-0.0002</v>
      </c>
      <c r="T44" s="61">
        <v>-0.0006</v>
      </c>
      <c r="U44" s="61">
        <v>-0.0014</v>
      </c>
      <c r="V44" s="61"/>
      <c r="W44" s="61"/>
      <c r="X44" s="61"/>
      <c r="Y44" s="61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>
      <c r="A45" s="63"/>
      <c r="B45" s="59">
        <v>4</v>
      </c>
      <c r="C45" s="60"/>
      <c r="D45" s="60"/>
      <c r="E45" s="60"/>
      <c r="F45" s="60"/>
      <c r="G45" s="60"/>
      <c r="H45" s="60"/>
      <c r="I45" s="60" t="s">
        <v>31</v>
      </c>
      <c r="J45" s="61">
        <v>-0.0021</v>
      </c>
      <c r="K45" s="61">
        <v>-0.0013</v>
      </c>
      <c r="L45" s="61">
        <v>-0.0019</v>
      </c>
      <c r="M45" s="61">
        <v>-0.0016</v>
      </c>
      <c r="N45" s="61">
        <v>-0.0014</v>
      </c>
      <c r="O45" s="61">
        <v>0</v>
      </c>
      <c r="P45" s="61">
        <v>0.0017</v>
      </c>
      <c r="Q45" s="61">
        <v>0.0012</v>
      </c>
      <c r="R45" s="61">
        <v>0.0021</v>
      </c>
      <c r="S45" s="61">
        <v>0.0014</v>
      </c>
      <c r="T45" s="61">
        <v>0</v>
      </c>
      <c r="U45" s="61">
        <v>0.0014</v>
      </c>
      <c r="V45" s="61"/>
      <c r="W45" s="61"/>
      <c r="X45" s="61"/>
      <c r="Y45" s="61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>
      <c r="A46" s="63"/>
      <c r="B46" s="59" t="s">
        <v>42</v>
      </c>
      <c r="C46" s="60"/>
      <c r="D46" s="60">
        <v>0.7</v>
      </c>
      <c r="E46" s="60">
        <v>0.05</v>
      </c>
      <c r="F46" s="60">
        <v>-0.05</v>
      </c>
      <c r="G46" s="60">
        <f t="shared" ref="G46:G50" si="9">D46+E46</f>
        <v>0.75</v>
      </c>
      <c r="H46" s="60">
        <f t="shared" ref="H46:H50" si="10">D46+F46</f>
        <v>0.65</v>
      </c>
      <c r="I46" s="60" t="s">
        <v>31</v>
      </c>
      <c r="J46" s="61">
        <v>0.6919</v>
      </c>
      <c r="K46" s="61">
        <v>0.6946</v>
      </c>
      <c r="L46" s="61">
        <v>0.6944</v>
      </c>
      <c r="M46" s="61">
        <v>0.6965</v>
      </c>
      <c r="N46" s="61">
        <v>0.6802</v>
      </c>
      <c r="O46" s="61">
        <v>0.6937</v>
      </c>
      <c r="P46" s="61">
        <v>0.6939</v>
      </c>
      <c r="Q46" s="61">
        <v>0.6906</v>
      </c>
      <c r="R46" s="61">
        <v>0.6907</v>
      </c>
      <c r="S46" s="61">
        <v>0.7004</v>
      </c>
      <c r="T46" s="61">
        <v>0.6879</v>
      </c>
      <c r="U46" s="61">
        <v>0.6586</v>
      </c>
      <c r="V46" s="61"/>
      <c r="W46" s="61"/>
      <c r="X46" s="61"/>
      <c r="Y46" s="61"/>
      <c r="Z46" s="62" t="str">
        <f t="shared" ref="Z46:AO46" si="11">IF(J46="","",IF(J46&gt;($D46+$E46),(J46-$D46-$E46),IF(J46&lt;($D46+$F46),(J46-$D46-$F46),"√")))</f>
        <v>√</v>
      </c>
      <c r="AA46" s="62" t="str">
        <f t="shared" si="11"/>
        <v>√</v>
      </c>
      <c r="AB46" s="62" t="str">
        <f t="shared" si="11"/>
        <v>√</v>
      </c>
      <c r="AC46" s="62" t="str">
        <f t="shared" si="11"/>
        <v>√</v>
      </c>
      <c r="AD46" s="62" t="str">
        <f t="shared" si="11"/>
        <v>√</v>
      </c>
      <c r="AE46" s="62" t="str">
        <f t="shared" si="11"/>
        <v>√</v>
      </c>
      <c r="AF46" s="62" t="str">
        <f t="shared" si="11"/>
        <v>√</v>
      </c>
      <c r="AG46" s="62" t="str">
        <f t="shared" si="11"/>
        <v>√</v>
      </c>
      <c r="AH46" s="62" t="str">
        <f t="shared" si="11"/>
        <v>√</v>
      </c>
      <c r="AI46" s="62" t="str">
        <f t="shared" si="11"/>
        <v>√</v>
      </c>
      <c r="AJ46" s="62" t="str">
        <f t="shared" si="11"/>
        <v>√</v>
      </c>
      <c r="AK46" s="62" t="str">
        <f t="shared" si="11"/>
        <v>√</v>
      </c>
      <c r="AL46" s="62" t="str">
        <f t="shared" si="11"/>
        <v/>
      </c>
      <c r="AM46" s="62" t="str">
        <f t="shared" si="11"/>
        <v/>
      </c>
      <c r="AN46" s="62" t="str">
        <f t="shared" si="11"/>
        <v/>
      </c>
      <c r="AO46" s="62" t="str">
        <f t="shared" si="11"/>
        <v/>
      </c>
    </row>
    <row r="47" spans="1:41">
      <c r="A47" s="63"/>
      <c r="B47" s="59" t="s">
        <v>43</v>
      </c>
      <c r="C47" s="60"/>
      <c r="D47" s="60">
        <v>0.7</v>
      </c>
      <c r="E47" s="60">
        <v>0.05</v>
      </c>
      <c r="F47" s="60">
        <v>-0.05</v>
      </c>
      <c r="G47" s="60">
        <f t="shared" si="9"/>
        <v>0.75</v>
      </c>
      <c r="H47" s="60">
        <f t="shared" si="10"/>
        <v>0.65</v>
      </c>
      <c r="I47" s="60" t="s">
        <v>31</v>
      </c>
      <c r="J47" s="61">
        <v>0.6945</v>
      </c>
      <c r="K47" s="61">
        <v>0.6968</v>
      </c>
      <c r="L47" s="61">
        <v>0.6959</v>
      </c>
      <c r="M47" s="61">
        <v>0.6966</v>
      </c>
      <c r="N47" s="61">
        <v>0.6902</v>
      </c>
      <c r="O47" s="61">
        <v>0.6965</v>
      </c>
      <c r="P47" s="61">
        <v>0.6941</v>
      </c>
      <c r="Q47" s="61">
        <v>0.6923</v>
      </c>
      <c r="R47" s="61">
        <v>0.6948</v>
      </c>
      <c r="S47" s="61">
        <v>0.6943</v>
      </c>
      <c r="T47" s="61">
        <v>0.693</v>
      </c>
      <c r="U47" s="61">
        <v>0.7052</v>
      </c>
      <c r="V47" s="61"/>
      <c r="W47" s="61"/>
      <c r="X47" s="61"/>
      <c r="Y47" s="61"/>
      <c r="Z47" s="62" t="str">
        <f t="shared" ref="Z47:AO47" si="12">IF(J47="","",IF(J47&gt;($D47+$E47),(J47-$D47-$E47),IF(J47&lt;($D47+$F47),(J47-$D47-$F47),"√")))</f>
        <v>√</v>
      </c>
      <c r="AA47" s="62" t="str">
        <f t="shared" si="12"/>
        <v>√</v>
      </c>
      <c r="AB47" s="62" t="str">
        <f t="shared" si="12"/>
        <v>√</v>
      </c>
      <c r="AC47" s="62" t="str">
        <f t="shared" si="12"/>
        <v>√</v>
      </c>
      <c r="AD47" s="62" t="str">
        <f t="shared" si="12"/>
        <v>√</v>
      </c>
      <c r="AE47" s="62" t="str">
        <f t="shared" si="12"/>
        <v>√</v>
      </c>
      <c r="AF47" s="62" t="str">
        <f t="shared" si="12"/>
        <v>√</v>
      </c>
      <c r="AG47" s="62" t="str">
        <f t="shared" si="12"/>
        <v>√</v>
      </c>
      <c r="AH47" s="62" t="str">
        <f t="shared" si="12"/>
        <v>√</v>
      </c>
      <c r="AI47" s="62" t="str">
        <f t="shared" si="12"/>
        <v>√</v>
      </c>
      <c r="AJ47" s="62" t="str">
        <f t="shared" si="12"/>
        <v>√</v>
      </c>
      <c r="AK47" s="62" t="str">
        <f t="shared" si="12"/>
        <v>√</v>
      </c>
      <c r="AL47" s="62" t="str">
        <f t="shared" si="12"/>
        <v/>
      </c>
      <c r="AM47" s="62" t="str">
        <f t="shared" si="12"/>
        <v/>
      </c>
      <c r="AN47" s="62" t="str">
        <f t="shared" si="12"/>
        <v/>
      </c>
      <c r="AO47" s="62" t="str">
        <f t="shared" si="12"/>
        <v/>
      </c>
    </row>
    <row r="48" spans="1:41">
      <c r="A48" s="63"/>
      <c r="B48" s="59" t="s">
        <v>44</v>
      </c>
      <c r="C48" s="60"/>
      <c r="D48" s="60">
        <v>0.7</v>
      </c>
      <c r="E48" s="60">
        <v>0.05</v>
      </c>
      <c r="F48" s="60">
        <v>-0.05</v>
      </c>
      <c r="G48" s="60">
        <f t="shared" si="9"/>
        <v>0.75</v>
      </c>
      <c r="H48" s="60">
        <f t="shared" si="10"/>
        <v>0.65</v>
      </c>
      <c r="I48" s="60" t="s">
        <v>31</v>
      </c>
      <c r="J48" s="61">
        <v>0.6966</v>
      </c>
      <c r="K48" s="61">
        <v>0.694</v>
      </c>
      <c r="L48" s="61">
        <v>0.6973</v>
      </c>
      <c r="M48" s="61">
        <v>0.6966</v>
      </c>
      <c r="N48" s="61">
        <v>0.7037</v>
      </c>
      <c r="O48" s="61">
        <v>0.699</v>
      </c>
      <c r="P48" s="61">
        <v>0.6973</v>
      </c>
      <c r="Q48" s="61">
        <v>0.6989</v>
      </c>
      <c r="R48" s="61">
        <v>0.6958</v>
      </c>
      <c r="S48" s="61">
        <v>0.7047</v>
      </c>
      <c r="T48" s="61">
        <v>0.6968</v>
      </c>
      <c r="U48" s="61">
        <v>0.7036</v>
      </c>
      <c r="V48" s="61"/>
      <c r="W48" s="61"/>
      <c r="X48" s="61"/>
      <c r="Y48" s="61"/>
      <c r="Z48" s="62" t="str">
        <f t="shared" ref="Z48:AO48" si="13">IF(J48="","",IF(J48&gt;($D48+$E48),(J48-$D48-$E48),IF(J48&lt;($D48+$F48),(J48-$D48-$F48),"√")))</f>
        <v>√</v>
      </c>
      <c r="AA48" s="62" t="str">
        <f t="shared" si="13"/>
        <v>√</v>
      </c>
      <c r="AB48" s="62" t="str">
        <f t="shared" si="13"/>
        <v>√</v>
      </c>
      <c r="AC48" s="62" t="str">
        <f t="shared" si="13"/>
        <v>√</v>
      </c>
      <c r="AD48" s="62" t="str">
        <f t="shared" si="13"/>
        <v>√</v>
      </c>
      <c r="AE48" s="62" t="str">
        <f t="shared" si="13"/>
        <v>√</v>
      </c>
      <c r="AF48" s="62" t="str">
        <f t="shared" si="13"/>
        <v>√</v>
      </c>
      <c r="AG48" s="62" t="str">
        <f t="shared" si="13"/>
        <v>√</v>
      </c>
      <c r="AH48" s="62" t="str">
        <f t="shared" si="13"/>
        <v>√</v>
      </c>
      <c r="AI48" s="62" t="str">
        <f t="shared" si="13"/>
        <v>√</v>
      </c>
      <c r="AJ48" s="62" t="str">
        <f t="shared" si="13"/>
        <v>√</v>
      </c>
      <c r="AK48" s="62" t="str">
        <f t="shared" si="13"/>
        <v>√</v>
      </c>
      <c r="AL48" s="62" t="str">
        <f t="shared" si="13"/>
        <v/>
      </c>
      <c r="AM48" s="62" t="str">
        <f t="shared" si="13"/>
        <v/>
      </c>
      <c r="AN48" s="62" t="str">
        <f t="shared" si="13"/>
        <v/>
      </c>
      <c r="AO48" s="62" t="str">
        <f t="shared" si="13"/>
        <v/>
      </c>
    </row>
    <row r="49" spans="1:41">
      <c r="A49" s="63"/>
      <c r="B49" s="59" t="s">
        <v>45</v>
      </c>
      <c r="C49" s="60"/>
      <c r="D49" s="60">
        <v>0.965</v>
      </c>
      <c r="E49" s="60">
        <v>0.015</v>
      </c>
      <c r="F49" s="60">
        <v>-0.015</v>
      </c>
      <c r="G49" s="60">
        <f t="shared" si="9"/>
        <v>0.98</v>
      </c>
      <c r="H49" s="60">
        <f t="shared" si="10"/>
        <v>0.95</v>
      </c>
      <c r="I49" s="60" t="s">
        <v>31</v>
      </c>
      <c r="J49" s="61">
        <v>0.9788</v>
      </c>
      <c r="K49" s="61">
        <v>0.9777</v>
      </c>
      <c r="L49" s="61">
        <v>0.9762</v>
      </c>
      <c r="M49" s="61">
        <v>0.976</v>
      </c>
      <c r="N49" s="61">
        <v>0.9761</v>
      </c>
      <c r="O49" s="61">
        <v>0.9787</v>
      </c>
      <c r="P49" s="61">
        <v>0.9741</v>
      </c>
      <c r="Q49" s="61">
        <v>0.9745</v>
      </c>
      <c r="R49" s="61">
        <v>0.9764</v>
      </c>
      <c r="S49" s="61">
        <v>0.9781</v>
      </c>
      <c r="T49" s="61">
        <v>0.9776</v>
      </c>
      <c r="U49" s="61">
        <v>0.9742</v>
      </c>
      <c r="V49" s="61"/>
      <c r="W49" s="61"/>
      <c r="X49" s="61"/>
      <c r="Y49" s="61"/>
      <c r="Z49" s="62" t="str">
        <f t="shared" ref="Z49:AO49" si="14">IF(J49="","",IF(J49&gt;($D49+$E49),(J49-$D49-$E49),IF(J49&lt;($D49+$F49),(J49-$D49-$F49),"√")))</f>
        <v>√</v>
      </c>
      <c r="AA49" s="62" t="str">
        <f t="shared" si="14"/>
        <v>√</v>
      </c>
      <c r="AB49" s="62" t="str">
        <f t="shared" si="14"/>
        <v>√</v>
      </c>
      <c r="AC49" s="62" t="str">
        <f t="shared" si="14"/>
        <v>√</v>
      </c>
      <c r="AD49" s="62" t="str">
        <f t="shared" si="14"/>
        <v>√</v>
      </c>
      <c r="AE49" s="62" t="str">
        <f t="shared" si="14"/>
        <v>√</v>
      </c>
      <c r="AF49" s="62" t="str">
        <f t="shared" si="14"/>
        <v>√</v>
      </c>
      <c r="AG49" s="62" t="str">
        <f t="shared" si="14"/>
        <v>√</v>
      </c>
      <c r="AH49" s="62" t="str">
        <f t="shared" si="14"/>
        <v>√</v>
      </c>
      <c r="AI49" s="62" t="str">
        <f t="shared" si="14"/>
        <v>√</v>
      </c>
      <c r="AJ49" s="62" t="str">
        <f t="shared" si="14"/>
        <v>√</v>
      </c>
      <c r="AK49" s="62" t="str">
        <f t="shared" si="14"/>
        <v>√</v>
      </c>
      <c r="AL49" s="62" t="str">
        <f t="shared" si="14"/>
        <v/>
      </c>
      <c r="AM49" s="62" t="str">
        <f t="shared" si="14"/>
        <v/>
      </c>
      <c r="AN49" s="62" t="str">
        <f t="shared" si="14"/>
        <v/>
      </c>
      <c r="AO49" s="62" t="str">
        <f t="shared" si="14"/>
        <v/>
      </c>
    </row>
    <row r="50" spans="1:41">
      <c r="A50" s="63"/>
      <c r="B50" s="59" t="s">
        <v>46</v>
      </c>
      <c r="C50" s="60" t="s">
        <v>47</v>
      </c>
      <c r="D50" s="60">
        <v>0</v>
      </c>
      <c r="E50" s="60">
        <v>0.03</v>
      </c>
      <c r="F50" s="60">
        <v>0</v>
      </c>
      <c r="G50" s="60">
        <f t="shared" si="9"/>
        <v>0.03</v>
      </c>
      <c r="H50" s="60">
        <f t="shared" si="10"/>
        <v>0</v>
      </c>
      <c r="I50" s="60" t="s">
        <v>31</v>
      </c>
      <c r="J50" s="61">
        <v>0.0007</v>
      </c>
      <c r="K50" s="61">
        <v>0.0011</v>
      </c>
      <c r="L50" s="61">
        <v>0.002</v>
      </c>
      <c r="M50" s="61">
        <v>0.0006</v>
      </c>
      <c r="N50" s="61">
        <v>0.0002</v>
      </c>
      <c r="O50" s="61">
        <v>0.001</v>
      </c>
      <c r="P50" s="61">
        <v>0.0016</v>
      </c>
      <c r="Q50" s="61">
        <v>0.004</v>
      </c>
      <c r="R50" s="61">
        <v>0.0001</v>
      </c>
      <c r="S50" s="61">
        <v>0.0017</v>
      </c>
      <c r="T50" s="61">
        <v>0.0003</v>
      </c>
      <c r="U50" s="61">
        <v>0.0004</v>
      </c>
      <c r="V50" s="61"/>
      <c r="W50" s="61"/>
      <c r="X50" s="61"/>
      <c r="Y50" s="61"/>
      <c r="Z50" s="62" t="str">
        <f t="shared" ref="Z50:AO50" si="15">IF(J50="","",IF(J50&gt;($D50+$E50),(J50-$D50-$E50),IF(J50&lt;($D50+$F50),(J50-$D50-$F50),"√")))</f>
        <v>√</v>
      </c>
      <c r="AA50" s="62" t="str">
        <f t="shared" si="15"/>
        <v>√</v>
      </c>
      <c r="AB50" s="62" t="str">
        <f t="shared" si="15"/>
        <v>√</v>
      </c>
      <c r="AC50" s="62" t="str">
        <f t="shared" si="15"/>
        <v>√</v>
      </c>
      <c r="AD50" s="62" t="str">
        <f t="shared" si="15"/>
        <v>√</v>
      </c>
      <c r="AE50" s="62" t="str">
        <f t="shared" si="15"/>
        <v>√</v>
      </c>
      <c r="AF50" s="62" t="str">
        <f t="shared" si="15"/>
        <v>√</v>
      </c>
      <c r="AG50" s="62" t="str">
        <f t="shared" si="15"/>
        <v>√</v>
      </c>
      <c r="AH50" s="62" t="str">
        <f t="shared" si="15"/>
        <v>√</v>
      </c>
      <c r="AI50" s="62" t="str">
        <f t="shared" si="15"/>
        <v>√</v>
      </c>
      <c r="AJ50" s="62" t="str">
        <f t="shared" si="15"/>
        <v>√</v>
      </c>
      <c r="AK50" s="62" t="str">
        <f t="shared" si="15"/>
        <v>√</v>
      </c>
      <c r="AL50" s="62" t="str">
        <f t="shared" si="15"/>
        <v/>
      </c>
      <c r="AM50" s="62" t="str">
        <f t="shared" si="15"/>
        <v/>
      </c>
      <c r="AN50" s="62" t="str">
        <f t="shared" si="15"/>
        <v/>
      </c>
      <c r="AO50" s="62" t="str">
        <f t="shared" si="15"/>
        <v/>
      </c>
    </row>
    <row r="51" spans="1:41">
      <c r="A51" s="63"/>
      <c r="B51" s="59">
        <v>1</v>
      </c>
      <c r="C51" s="60"/>
      <c r="D51" s="60"/>
      <c r="E51" s="60"/>
      <c r="F51" s="60"/>
      <c r="G51" s="60"/>
      <c r="H51" s="60"/>
      <c r="I51" s="60" t="s">
        <v>31</v>
      </c>
      <c r="J51" s="61">
        <v>-0.0003</v>
      </c>
      <c r="K51" s="61">
        <v>0.0004</v>
      </c>
      <c r="L51" s="61">
        <v>-0.0008</v>
      </c>
      <c r="M51" s="61">
        <v>-0.0002</v>
      </c>
      <c r="N51" s="61">
        <v>-0.0001</v>
      </c>
      <c r="O51" s="61">
        <v>-0.0004</v>
      </c>
      <c r="P51" s="61">
        <v>-0.0006</v>
      </c>
      <c r="Q51" s="61">
        <v>-0.0016</v>
      </c>
      <c r="R51" s="61">
        <v>0</v>
      </c>
      <c r="S51" s="61">
        <v>-0.0007</v>
      </c>
      <c r="T51" s="61">
        <v>-0.0001</v>
      </c>
      <c r="U51" s="61">
        <v>-0.0002</v>
      </c>
      <c r="V51" s="61"/>
      <c r="W51" s="61"/>
      <c r="X51" s="61"/>
      <c r="Y51" s="61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>
      <c r="A52" s="63"/>
      <c r="B52" s="59">
        <v>2</v>
      </c>
      <c r="C52" s="60"/>
      <c r="D52" s="60"/>
      <c r="E52" s="60"/>
      <c r="F52" s="60"/>
      <c r="G52" s="60"/>
      <c r="H52" s="60"/>
      <c r="I52" s="60" t="s">
        <v>31</v>
      </c>
      <c r="J52" s="61">
        <v>0.0003</v>
      </c>
      <c r="K52" s="61">
        <v>-0.0004</v>
      </c>
      <c r="L52" s="61">
        <v>0.0008</v>
      </c>
      <c r="M52" s="61">
        <v>0.0002</v>
      </c>
      <c r="N52" s="61">
        <v>0.0001</v>
      </c>
      <c r="O52" s="61">
        <v>0.0004</v>
      </c>
      <c r="P52" s="61">
        <v>0.0006</v>
      </c>
      <c r="Q52" s="61">
        <v>0.0016</v>
      </c>
      <c r="R52" s="61">
        <v>0</v>
      </c>
      <c r="S52" s="61">
        <v>0.0007</v>
      </c>
      <c r="T52" s="61">
        <v>0.0001</v>
      </c>
      <c r="U52" s="61">
        <v>0.0002</v>
      </c>
      <c r="V52" s="61"/>
      <c r="W52" s="61"/>
      <c r="X52" s="61"/>
      <c r="Y52" s="61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>
      <c r="A53" s="63"/>
      <c r="B53" s="59">
        <v>3</v>
      </c>
      <c r="C53" s="60"/>
      <c r="D53" s="60"/>
      <c r="E53" s="60"/>
      <c r="F53" s="60"/>
      <c r="G53" s="60"/>
      <c r="H53" s="60"/>
      <c r="I53" s="60" t="s">
        <v>31</v>
      </c>
      <c r="J53" s="61">
        <v>0.0003</v>
      </c>
      <c r="K53" s="61">
        <v>-0.0006</v>
      </c>
      <c r="L53" s="61">
        <v>0.001</v>
      </c>
      <c r="M53" s="61">
        <v>0.0003</v>
      </c>
      <c r="N53" s="61">
        <v>0.0001</v>
      </c>
      <c r="O53" s="61">
        <v>0.0005</v>
      </c>
      <c r="P53" s="61">
        <v>0.0008</v>
      </c>
      <c r="Q53" s="61">
        <v>0.002</v>
      </c>
      <c r="R53" s="61">
        <v>-0.0001</v>
      </c>
      <c r="S53" s="61">
        <v>0.0008</v>
      </c>
      <c r="T53" s="61">
        <v>0.0001</v>
      </c>
      <c r="U53" s="61">
        <v>0.0002</v>
      </c>
      <c r="V53" s="61"/>
      <c r="W53" s="61"/>
      <c r="X53" s="61"/>
      <c r="Y53" s="61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>
      <c r="A54" s="63"/>
      <c r="B54" s="59">
        <v>4</v>
      </c>
      <c r="C54" s="60"/>
      <c r="D54" s="60"/>
      <c r="E54" s="60"/>
      <c r="F54" s="60"/>
      <c r="G54" s="60"/>
      <c r="H54" s="60"/>
      <c r="I54" s="60" t="s">
        <v>31</v>
      </c>
      <c r="J54" s="61">
        <v>-0.0003</v>
      </c>
      <c r="K54" s="61">
        <v>0.0006</v>
      </c>
      <c r="L54" s="61">
        <v>-0.001</v>
      </c>
      <c r="M54" s="61">
        <v>-0.0003</v>
      </c>
      <c r="N54" s="61">
        <v>-0.0001</v>
      </c>
      <c r="O54" s="61">
        <v>-0.0005</v>
      </c>
      <c r="P54" s="61">
        <v>-0.0008</v>
      </c>
      <c r="Q54" s="61">
        <v>-0.002</v>
      </c>
      <c r="R54" s="61">
        <v>0.0001</v>
      </c>
      <c r="S54" s="61">
        <v>-0.0008</v>
      </c>
      <c r="T54" s="61">
        <v>-0.0001</v>
      </c>
      <c r="U54" s="61">
        <v>-0.0002</v>
      </c>
      <c r="V54" s="61"/>
      <c r="W54" s="61"/>
      <c r="X54" s="61"/>
      <c r="Y54" s="61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>
      <c r="A55" s="63"/>
      <c r="B55" s="59" t="s">
        <v>48</v>
      </c>
      <c r="C55" s="60"/>
      <c r="D55" s="60">
        <v>0</v>
      </c>
      <c r="E55" s="60">
        <v>0.08</v>
      </c>
      <c r="F55" s="60">
        <v>0</v>
      </c>
      <c r="G55" s="60">
        <f>D55+E55</f>
        <v>0.08</v>
      </c>
      <c r="H55" s="60">
        <f>D55+F55</f>
        <v>0</v>
      </c>
      <c r="I55" s="60" t="s">
        <v>31</v>
      </c>
      <c r="J55" s="61">
        <v>0.0117</v>
      </c>
      <c r="K55" s="61">
        <v>0.009</v>
      </c>
      <c r="L55" s="61">
        <v>0.0106</v>
      </c>
      <c r="M55" s="61">
        <v>0.015</v>
      </c>
      <c r="N55" s="61">
        <v>0.009</v>
      </c>
      <c r="O55" s="61">
        <v>0.0062</v>
      </c>
      <c r="P55" s="61">
        <v>0.0057</v>
      </c>
      <c r="Q55" s="61">
        <v>0.0064</v>
      </c>
      <c r="R55" s="61">
        <v>0.0046</v>
      </c>
      <c r="S55" s="61">
        <v>0.0028</v>
      </c>
      <c r="T55" s="61">
        <v>0.0071</v>
      </c>
      <c r="U55" s="61">
        <v>0.0038</v>
      </c>
      <c r="V55" s="61"/>
      <c r="W55" s="61"/>
      <c r="X55" s="61"/>
      <c r="Y55" s="61"/>
      <c r="Z55" s="62" t="str">
        <f t="shared" ref="Z55:AO55" si="16">IF(J55="","",IF(J55&gt;($D55+$E55),(J55-$D55-$E55),IF(J55&lt;($D55+$F55),(J55-$D55-$F55),"√")))</f>
        <v>√</v>
      </c>
      <c r="AA55" s="62" t="str">
        <f t="shared" si="16"/>
        <v>√</v>
      </c>
      <c r="AB55" s="62" t="str">
        <f t="shared" si="16"/>
        <v>√</v>
      </c>
      <c r="AC55" s="62" t="str">
        <f t="shared" si="16"/>
        <v>√</v>
      </c>
      <c r="AD55" s="62" t="str">
        <f t="shared" si="16"/>
        <v>√</v>
      </c>
      <c r="AE55" s="62" t="str">
        <f t="shared" si="16"/>
        <v>√</v>
      </c>
      <c r="AF55" s="62" t="str">
        <f t="shared" si="16"/>
        <v>√</v>
      </c>
      <c r="AG55" s="62" t="str">
        <f t="shared" si="16"/>
        <v>√</v>
      </c>
      <c r="AH55" s="62" t="str">
        <f t="shared" si="16"/>
        <v>√</v>
      </c>
      <c r="AI55" s="62" t="str">
        <f t="shared" si="16"/>
        <v>√</v>
      </c>
      <c r="AJ55" s="62" t="str">
        <f t="shared" si="16"/>
        <v>√</v>
      </c>
      <c r="AK55" s="62" t="str">
        <f t="shared" si="16"/>
        <v>√</v>
      </c>
      <c r="AL55" s="62" t="str">
        <f t="shared" si="16"/>
        <v/>
      </c>
      <c r="AM55" s="62" t="str">
        <f t="shared" si="16"/>
        <v/>
      </c>
      <c r="AN55" s="62" t="str">
        <f t="shared" si="16"/>
        <v/>
      </c>
      <c r="AO55" s="62" t="str">
        <f t="shared" si="16"/>
        <v/>
      </c>
    </row>
    <row r="56" spans="1:41">
      <c r="A56" s="63"/>
      <c r="B56" s="59">
        <v>1</v>
      </c>
      <c r="C56" s="60"/>
      <c r="D56" s="60"/>
      <c r="E56" s="60"/>
      <c r="F56" s="60"/>
      <c r="G56" s="60"/>
      <c r="H56" s="60"/>
      <c r="I56" s="60" t="s">
        <v>31</v>
      </c>
      <c r="J56" s="61">
        <v>-0.0012</v>
      </c>
      <c r="K56" s="61">
        <v>-0.0003</v>
      </c>
      <c r="L56" s="61">
        <v>-0.0005</v>
      </c>
      <c r="M56" s="61">
        <v>0.0018</v>
      </c>
      <c r="N56" s="61">
        <v>-0.0027</v>
      </c>
      <c r="O56" s="61">
        <v>-0.0026</v>
      </c>
      <c r="P56" s="61">
        <v>-0.0028</v>
      </c>
      <c r="Q56" s="61">
        <v>-0.003</v>
      </c>
      <c r="R56" s="61">
        <v>-0.0022</v>
      </c>
      <c r="S56" s="61">
        <v>-0.0014</v>
      </c>
      <c r="T56" s="61">
        <v>-0.0026</v>
      </c>
      <c r="U56" s="61">
        <v>-0.0001</v>
      </c>
      <c r="V56" s="61"/>
      <c r="W56" s="61"/>
      <c r="X56" s="61"/>
      <c r="Y56" s="61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>
      <c r="A57" s="63"/>
      <c r="B57" s="59">
        <v>2</v>
      </c>
      <c r="C57" s="60"/>
      <c r="D57" s="60"/>
      <c r="E57" s="60"/>
      <c r="F57" s="60"/>
      <c r="G57" s="60"/>
      <c r="H57" s="60"/>
      <c r="I57" s="60" t="s">
        <v>31</v>
      </c>
      <c r="J57" s="61">
        <v>-0.0037</v>
      </c>
      <c r="K57" s="61">
        <v>-0.0016</v>
      </c>
      <c r="L57" s="61">
        <v>-0.0028</v>
      </c>
      <c r="M57" s="61">
        <v>-0.0001</v>
      </c>
      <c r="N57" s="61">
        <v>-0.0045</v>
      </c>
      <c r="O57" s="61">
        <v>-0.0031</v>
      </c>
      <c r="P57" s="61">
        <v>-0.0017</v>
      </c>
      <c r="Q57" s="61">
        <v>-0.0032</v>
      </c>
      <c r="R57" s="61">
        <v>-0.0023</v>
      </c>
      <c r="S57" s="61">
        <v>-0.0012</v>
      </c>
      <c r="T57" s="61">
        <v>-0.0035</v>
      </c>
      <c r="U57" s="61">
        <v>0.0011</v>
      </c>
      <c r="V57" s="61"/>
      <c r="W57" s="61"/>
      <c r="X57" s="61"/>
      <c r="Y57" s="61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>
      <c r="A58" s="63"/>
      <c r="B58" s="59">
        <v>3</v>
      </c>
      <c r="C58" s="60"/>
      <c r="D58" s="60"/>
      <c r="E58" s="60"/>
      <c r="F58" s="60"/>
      <c r="G58" s="60"/>
      <c r="H58" s="60"/>
      <c r="I58" s="60" t="s">
        <v>31</v>
      </c>
      <c r="J58" s="61">
        <v>0.0059</v>
      </c>
      <c r="K58" s="61">
        <v>0.004</v>
      </c>
      <c r="L58" s="61">
        <v>0.0053</v>
      </c>
      <c r="M58" s="61">
        <v>0.0069</v>
      </c>
      <c r="N58" s="61">
        <v>0.0037</v>
      </c>
      <c r="O58" s="61">
        <v>0.0031</v>
      </c>
      <c r="P58" s="61">
        <v>0.0013</v>
      </c>
      <c r="Q58" s="61">
        <v>0.0018</v>
      </c>
      <c r="R58" s="61">
        <v>0.0023</v>
      </c>
      <c r="S58" s="61">
        <v>0.0004</v>
      </c>
      <c r="T58" s="61">
        <v>0.0014</v>
      </c>
      <c r="U58" s="61">
        <v>0.0019</v>
      </c>
      <c r="V58" s="61"/>
      <c r="W58" s="61"/>
      <c r="X58" s="61"/>
      <c r="Y58" s="61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>
      <c r="A59" s="63"/>
      <c r="B59" s="59">
        <v>4</v>
      </c>
      <c r="C59" s="60"/>
      <c r="D59" s="60"/>
      <c r="E59" s="60"/>
      <c r="F59" s="60"/>
      <c r="G59" s="60"/>
      <c r="H59" s="60"/>
      <c r="I59" s="60" t="s">
        <v>31</v>
      </c>
      <c r="J59" s="61">
        <v>0.0055</v>
      </c>
      <c r="K59" s="61">
        <v>0.0045</v>
      </c>
      <c r="L59" s="61">
        <v>0.0042</v>
      </c>
      <c r="M59" s="61">
        <v>0.0075</v>
      </c>
      <c r="N59" s="61">
        <v>0.0045</v>
      </c>
      <c r="O59" s="61">
        <v>0.0028</v>
      </c>
      <c r="P59" s="61">
        <v>0.0019</v>
      </c>
      <c r="Q59" s="61">
        <v>0.001</v>
      </c>
      <c r="R59" s="61">
        <v>0.0014</v>
      </c>
      <c r="S59" s="61">
        <v>0.0009</v>
      </c>
      <c r="T59" s="61">
        <v>-0.0001</v>
      </c>
      <c r="U59" s="61">
        <v>0.0019</v>
      </c>
      <c r="V59" s="61"/>
      <c r="W59" s="61"/>
      <c r="X59" s="61"/>
      <c r="Y59" s="61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>
      <c r="A60" s="63"/>
      <c r="B60" s="59">
        <v>5</v>
      </c>
      <c r="C60" s="60"/>
      <c r="D60" s="60"/>
      <c r="E60" s="60"/>
      <c r="F60" s="60"/>
      <c r="G60" s="60"/>
      <c r="H60" s="60"/>
      <c r="I60" s="60" t="s">
        <v>31</v>
      </c>
      <c r="J60" s="61">
        <v>-0.0043</v>
      </c>
      <c r="K60" s="61">
        <v>-0.0031</v>
      </c>
      <c r="L60" s="61">
        <v>-0.0035</v>
      </c>
      <c r="M60" s="61">
        <v>-0.005</v>
      </c>
      <c r="N60" s="61">
        <v>-0.0009</v>
      </c>
      <c r="O60" s="61">
        <v>0.0009</v>
      </c>
      <c r="P60" s="61">
        <v>0.0029</v>
      </c>
      <c r="Q60" s="61">
        <v>0.0032</v>
      </c>
      <c r="R60" s="61">
        <v>0.0003</v>
      </c>
      <c r="S60" s="61">
        <v>0.0014</v>
      </c>
      <c r="T60" s="61">
        <v>0.0035</v>
      </c>
      <c r="U60" s="61">
        <v>-0.0019</v>
      </c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>
      <c r="A61" s="63"/>
      <c r="B61" s="59">
        <v>6</v>
      </c>
      <c r="C61" s="60"/>
      <c r="D61" s="60"/>
      <c r="E61" s="60"/>
      <c r="F61" s="60"/>
      <c r="G61" s="60"/>
      <c r="H61" s="60"/>
      <c r="I61" s="60" t="s">
        <v>31</v>
      </c>
      <c r="J61" s="61">
        <v>-0.0047</v>
      </c>
      <c r="K61" s="61">
        <v>-0.0042</v>
      </c>
      <c r="L61" s="61">
        <v>-0.0044</v>
      </c>
      <c r="M61" s="61">
        <v>-0.0054</v>
      </c>
      <c r="N61" s="61">
        <v>-0.0015</v>
      </c>
      <c r="O61" s="61">
        <v>0</v>
      </c>
      <c r="P61" s="61">
        <v>0.0016</v>
      </c>
      <c r="Q61" s="61">
        <v>0.0021</v>
      </c>
      <c r="R61" s="61">
        <v>0.0011</v>
      </c>
      <c r="S61" s="61">
        <v>0.0014</v>
      </c>
      <c r="T61" s="61">
        <v>0.0012</v>
      </c>
      <c r="U61" s="61">
        <v>-0.0018</v>
      </c>
      <c r="V61" s="61"/>
      <c r="W61" s="61"/>
      <c r="X61" s="61"/>
      <c r="Y61" s="61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>
      <c r="A62" s="63"/>
      <c r="B62" s="59">
        <v>7</v>
      </c>
      <c r="C62" s="60"/>
      <c r="D62" s="60"/>
      <c r="E62" s="60"/>
      <c r="F62" s="60"/>
      <c r="G62" s="60"/>
      <c r="H62" s="60"/>
      <c r="I62" s="60" t="s">
        <v>31</v>
      </c>
      <c r="J62" s="61">
        <v>-0.0057</v>
      </c>
      <c r="K62" s="61">
        <v>-0.0038</v>
      </c>
      <c r="L62" s="61">
        <v>-0.0045</v>
      </c>
      <c r="M62" s="61">
        <v>-0.0075</v>
      </c>
      <c r="N62" s="61">
        <v>-0.0027</v>
      </c>
      <c r="O62" s="61">
        <v>-0.0014</v>
      </c>
      <c r="P62" s="61">
        <v>-0.0029</v>
      </c>
      <c r="Q62" s="61">
        <v>-0.0006</v>
      </c>
      <c r="R62" s="61">
        <v>-0.001</v>
      </c>
      <c r="S62" s="61">
        <v>-0.0002</v>
      </c>
      <c r="T62" s="61">
        <v>-0.0014</v>
      </c>
      <c r="U62" s="61">
        <v>-0.0016</v>
      </c>
      <c r="V62" s="61"/>
      <c r="W62" s="61"/>
      <c r="X62" s="61"/>
      <c r="Y62" s="61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>
      <c r="A63" s="63"/>
      <c r="B63" s="59">
        <v>8</v>
      </c>
      <c r="C63" s="60"/>
      <c r="D63" s="60"/>
      <c r="E63" s="60"/>
      <c r="F63" s="60"/>
      <c r="G63" s="60"/>
      <c r="H63" s="60"/>
      <c r="I63" s="60" t="s">
        <v>31</v>
      </c>
      <c r="J63" s="61">
        <v>-0.0059</v>
      </c>
      <c r="K63" s="61">
        <v>-0.0045</v>
      </c>
      <c r="L63" s="61">
        <v>-0.0053</v>
      </c>
      <c r="M63" s="61">
        <v>-0.007</v>
      </c>
      <c r="N63" s="61">
        <v>-0.0037</v>
      </c>
      <c r="O63" s="61">
        <v>-0.0011</v>
      </c>
      <c r="P63" s="61">
        <v>-0.0003</v>
      </c>
      <c r="Q63" s="61">
        <v>-0.0004</v>
      </c>
      <c r="R63" s="61">
        <v>-0.0016</v>
      </c>
      <c r="S63" s="61">
        <v>0.0003</v>
      </c>
      <c r="T63" s="61">
        <v>-0.0017</v>
      </c>
      <c r="U63" s="61">
        <v>-0.0016</v>
      </c>
      <c r="V63" s="61"/>
      <c r="W63" s="61"/>
      <c r="X63" s="61"/>
      <c r="Y63" s="61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>
      <c r="A64" s="63"/>
      <c r="B64" s="59" t="s">
        <v>49</v>
      </c>
      <c r="C64" s="60"/>
      <c r="D64" s="60">
        <v>2</v>
      </c>
      <c r="E64" s="60">
        <v>0.05</v>
      </c>
      <c r="F64" s="60">
        <v>-0.05</v>
      </c>
      <c r="G64" s="60">
        <f t="shared" ref="G64:G68" si="17">D64+E64</f>
        <v>2.05</v>
      </c>
      <c r="H64" s="60">
        <f t="shared" ref="H64:H68" si="18">D64+F64</f>
        <v>1.95</v>
      </c>
      <c r="I64" s="60" t="s">
        <v>50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2" t="str">
        <f t="shared" ref="Z64:AO64" si="19">IF(J64="","",IF(J64&gt;($D64+$E64),(J64-$D64-$E64),IF(J64&lt;($D64+$F64),(J64-$D64-$F64),"√")))</f>
        <v/>
      </c>
      <c r="AA64" s="62" t="str">
        <f t="shared" si="19"/>
        <v/>
      </c>
      <c r="AB64" s="62" t="str">
        <f t="shared" si="19"/>
        <v/>
      </c>
      <c r="AC64" s="62" t="str">
        <f t="shared" si="19"/>
        <v/>
      </c>
      <c r="AD64" s="62" t="str">
        <f t="shared" si="19"/>
        <v/>
      </c>
      <c r="AE64" s="62" t="str">
        <f t="shared" si="19"/>
        <v/>
      </c>
      <c r="AF64" s="62" t="str">
        <f t="shared" si="19"/>
        <v/>
      </c>
      <c r="AG64" s="62" t="str">
        <f t="shared" si="19"/>
        <v/>
      </c>
      <c r="AH64" s="62" t="str">
        <f t="shared" si="19"/>
        <v/>
      </c>
      <c r="AI64" s="62" t="str">
        <f t="shared" si="19"/>
        <v/>
      </c>
      <c r="AJ64" s="62" t="str">
        <f t="shared" si="19"/>
        <v/>
      </c>
      <c r="AK64" s="62" t="str">
        <f t="shared" si="19"/>
        <v/>
      </c>
      <c r="AL64" s="62" t="str">
        <f t="shared" si="19"/>
        <v/>
      </c>
      <c r="AM64" s="62" t="str">
        <f t="shared" si="19"/>
        <v/>
      </c>
      <c r="AN64" s="62" t="str">
        <f t="shared" si="19"/>
        <v/>
      </c>
      <c r="AO64" s="62" t="str">
        <f t="shared" si="19"/>
        <v/>
      </c>
    </row>
    <row r="65" spans="1:41">
      <c r="A65" s="63"/>
      <c r="B65" s="59" t="s">
        <v>51</v>
      </c>
      <c r="C65" s="60"/>
      <c r="D65" s="60">
        <v>2</v>
      </c>
      <c r="E65" s="60">
        <v>0.05</v>
      </c>
      <c r="F65" s="60">
        <v>-0.05</v>
      </c>
      <c r="G65" s="60">
        <f t="shared" si="17"/>
        <v>2.05</v>
      </c>
      <c r="H65" s="60">
        <f t="shared" si="18"/>
        <v>1.95</v>
      </c>
      <c r="I65" s="60" t="s">
        <v>50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2" t="str">
        <f t="shared" ref="Z65:AO65" si="20">IF(J65="","",IF(J65&gt;($D65+$E65),(J65-$D65-$E65),IF(J65&lt;($D65+$F65),(J65-$D65-$F65),"√")))</f>
        <v/>
      </c>
      <c r="AA65" s="62" t="str">
        <f t="shared" si="20"/>
        <v/>
      </c>
      <c r="AB65" s="62" t="str">
        <f t="shared" si="20"/>
        <v/>
      </c>
      <c r="AC65" s="62" t="str">
        <f t="shared" si="20"/>
        <v/>
      </c>
      <c r="AD65" s="62" t="str">
        <f t="shared" si="20"/>
        <v/>
      </c>
      <c r="AE65" s="62" t="str">
        <f t="shared" si="20"/>
        <v/>
      </c>
      <c r="AF65" s="62" t="str">
        <f t="shared" si="20"/>
        <v/>
      </c>
      <c r="AG65" s="62" t="str">
        <f t="shared" si="20"/>
        <v/>
      </c>
      <c r="AH65" s="62" t="str">
        <f t="shared" si="20"/>
        <v/>
      </c>
      <c r="AI65" s="62" t="str">
        <f t="shared" si="20"/>
        <v/>
      </c>
      <c r="AJ65" s="62" t="str">
        <f t="shared" si="20"/>
        <v/>
      </c>
      <c r="AK65" s="62" t="str">
        <f t="shared" si="20"/>
        <v/>
      </c>
      <c r="AL65" s="62" t="str">
        <f t="shared" si="20"/>
        <v/>
      </c>
      <c r="AM65" s="62" t="str">
        <f t="shared" si="20"/>
        <v/>
      </c>
      <c r="AN65" s="62" t="str">
        <f t="shared" si="20"/>
        <v/>
      </c>
      <c r="AO65" s="62" t="str">
        <f t="shared" si="20"/>
        <v/>
      </c>
    </row>
    <row r="66" spans="1:41">
      <c r="A66" s="63"/>
      <c r="B66" s="59" t="s">
        <v>52</v>
      </c>
      <c r="C66" s="60" t="s">
        <v>53</v>
      </c>
      <c r="D66" s="60">
        <v>0.935</v>
      </c>
      <c r="E66" s="60">
        <v>0.015</v>
      </c>
      <c r="F66" s="60">
        <v>-0.015</v>
      </c>
      <c r="G66" s="60">
        <f t="shared" si="17"/>
        <v>0.95</v>
      </c>
      <c r="H66" s="60">
        <f t="shared" si="18"/>
        <v>0.92</v>
      </c>
      <c r="I66" s="60" t="s">
        <v>54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2" t="str">
        <f t="shared" ref="Z66:AO66" si="21">IF(J66="","",IF(J66&gt;($D66+$E66),(J66-$D66-$E66),IF(J66&lt;($D66+$F66),(J66-$D66-$F66),"√")))</f>
        <v/>
      </c>
      <c r="AA66" s="62" t="str">
        <f t="shared" si="21"/>
        <v/>
      </c>
      <c r="AB66" s="62" t="str">
        <f t="shared" si="21"/>
        <v/>
      </c>
      <c r="AC66" s="62" t="str">
        <f t="shared" si="21"/>
        <v/>
      </c>
      <c r="AD66" s="62" t="str">
        <f t="shared" si="21"/>
        <v/>
      </c>
      <c r="AE66" s="62" t="str">
        <f t="shared" si="21"/>
        <v/>
      </c>
      <c r="AF66" s="62" t="str">
        <f t="shared" si="21"/>
        <v/>
      </c>
      <c r="AG66" s="62" t="str">
        <f t="shared" si="21"/>
        <v/>
      </c>
      <c r="AH66" s="62" t="str">
        <f t="shared" si="21"/>
        <v/>
      </c>
      <c r="AI66" s="62" t="str">
        <f t="shared" si="21"/>
        <v/>
      </c>
      <c r="AJ66" s="62" t="str">
        <f t="shared" si="21"/>
        <v/>
      </c>
      <c r="AK66" s="62" t="str">
        <f t="shared" si="21"/>
        <v/>
      </c>
      <c r="AL66" s="62" t="str">
        <f t="shared" si="21"/>
        <v/>
      </c>
      <c r="AM66" s="62" t="str">
        <f t="shared" si="21"/>
        <v/>
      </c>
      <c r="AN66" s="62" t="str">
        <f t="shared" si="21"/>
        <v/>
      </c>
      <c r="AO66" s="62" t="str">
        <f t="shared" si="21"/>
        <v/>
      </c>
    </row>
    <row r="67" spans="1:41">
      <c r="A67" s="63"/>
      <c r="B67" s="59" t="s">
        <v>55</v>
      </c>
      <c r="C67" s="60"/>
      <c r="D67" s="60">
        <v>2.1</v>
      </c>
      <c r="E67" s="60">
        <v>0.03</v>
      </c>
      <c r="F67" s="60">
        <v>-0.03</v>
      </c>
      <c r="G67" s="60">
        <f t="shared" si="17"/>
        <v>2.13</v>
      </c>
      <c r="H67" s="60">
        <f t="shared" si="18"/>
        <v>2.07</v>
      </c>
      <c r="I67" s="60" t="s">
        <v>50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2" t="str">
        <f t="shared" ref="Z67:AO67" si="22">IF(J67="","",IF(J67&gt;($D67+$E67),(J67-$D67-$E67),IF(J67&lt;($D67+$F67),(J67-$D67-$F67),"√")))</f>
        <v/>
      </c>
      <c r="AA67" s="62" t="str">
        <f t="shared" si="22"/>
        <v/>
      </c>
      <c r="AB67" s="62" t="str">
        <f t="shared" si="22"/>
        <v/>
      </c>
      <c r="AC67" s="62" t="str">
        <f t="shared" si="22"/>
        <v/>
      </c>
      <c r="AD67" s="62" t="str">
        <f t="shared" si="22"/>
        <v/>
      </c>
      <c r="AE67" s="62" t="str">
        <f t="shared" si="22"/>
        <v/>
      </c>
      <c r="AF67" s="62" t="str">
        <f t="shared" si="22"/>
        <v/>
      </c>
      <c r="AG67" s="62" t="str">
        <f t="shared" si="22"/>
        <v/>
      </c>
      <c r="AH67" s="62" t="str">
        <f t="shared" si="22"/>
        <v/>
      </c>
      <c r="AI67" s="62" t="str">
        <f t="shared" si="22"/>
        <v/>
      </c>
      <c r="AJ67" s="62" t="str">
        <f t="shared" si="22"/>
        <v/>
      </c>
      <c r="AK67" s="62" t="str">
        <f t="shared" si="22"/>
        <v/>
      </c>
      <c r="AL67" s="62" t="str">
        <f t="shared" si="22"/>
        <v/>
      </c>
      <c r="AM67" s="62" t="str">
        <f t="shared" si="22"/>
        <v/>
      </c>
      <c r="AN67" s="62" t="str">
        <f t="shared" si="22"/>
        <v/>
      </c>
      <c r="AO67" s="62" t="str">
        <f t="shared" si="22"/>
        <v/>
      </c>
    </row>
    <row r="68" spans="1:41">
      <c r="A68" s="63"/>
      <c r="B68" s="59" t="s">
        <v>56</v>
      </c>
      <c r="C68" s="60"/>
      <c r="D68" s="60">
        <v>2.1</v>
      </c>
      <c r="E68" s="60">
        <v>0.03</v>
      </c>
      <c r="F68" s="60">
        <v>-0.03</v>
      </c>
      <c r="G68" s="60">
        <f t="shared" si="17"/>
        <v>2.13</v>
      </c>
      <c r="H68" s="60">
        <f t="shared" si="18"/>
        <v>2.07</v>
      </c>
      <c r="I68" s="60" t="s">
        <v>50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2" t="str">
        <f t="shared" ref="Z68:AO68" si="23">IF(J68="","",IF(J68&gt;($D68+$E68),(J68-$D68-$E68),IF(J68&lt;($D68+$F68),(J68-$D68-$F68),"√")))</f>
        <v/>
      </c>
      <c r="AA68" s="62" t="str">
        <f t="shared" si="23"/>
        <v/>
      </c>
      <c r="AB68" s="62" t="str">
        <f t="shared" si="23"/>
        <v/>
      </c>
      <c r="AC68" s="62" t="str">
        <f t="shared" si="23"/>
        <v/>
      </c>
      <c r="AD68" s="62" t="str">
        <f t="shared" si="23"/>
        <v/>
      </c>
      <c r="AE68" s="62" t="str">
        <f t="shared" si="23"/>
        <v/>
      </c>
      <c r="AF68" s="62" t="str">
        <f t="shared" si="23"/>
        <v/>
      </c>
      <c r="AG68" s="62" t="str">
        <f t="shared" si="23"/>
        <v/>
      </c>
      <c r="AH68" s="62" t="str">
        <f t="shared" si="23"/>
        <v/>
      </c>
      <c r="AI68" s="62" t="str">
        <f t="shared" si="23"/>
        <v/>
      </c>
      <c r="AJ68" s="62" t="str">
        <f t="shared" si="23"/>
        <v/>
      </c>
      <c r="AK68" s="62" t="str">
        <f t="shared" si="23"/>
        <v/>
      </c>
      <c r="AL68" s="62" t="str">
        <f t="shared" si="23"/>
        <v/>
      </c>
      <c r="AM68" s="62" t="str">
        <f t="shared" si="23"/>
        <v/>
      </c>
      <c r="AN68" s="62" t="str">
        <f t="shared" si="23"/>
        <v/>
      </c>
      <c r="AO68" s="62" t="str">
        <f t="shared" si="23"/>
        <v/>
      </c>
    </row>
    <row r="69" spans="1:41">
      <c r="A69" s="63"/>
      <c r="B69" s="59" t="s">
        <v>57</v>
      </c>
      <c r="C69" s="60"/>
      <c r="D69" s="60">
        <v>0.98</v>
      </c>
      <c r="E69" s="60">
        <v>0.03</v>
      </c>
      <c r="F69" s="60">
        <v>-0.03</v>
      </c>
      <c r="G69" s="60">
        <f t="shared" ref="G69:G71" si="24">D69+E69</f>
        <v>1.01</v>
      </c>
      <c r="H69" s="60">
        <f t="shared" ref="H69:H71" si="25">D69+F69</f>
        <v>0.95</v>
      </c>
      <c r="I69" s="60" t="s">
        <v>58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2" t="str">
        <f t="shared" ref="Z69:AO69" si="26">IF(J69="","",IF(J69&gt;($D69+$E69),(J69-$D69-$E69),IF(J69&lt;($D69+$F69),(J69-$D69-$F69),"√")))</f>
        <v/>
      </c>
      <c r="AA69" s="62" t="str">
        <f t="shared" si="26"/>
        <v/>
      </c>
      <c r="AB69" s="62" t="str">
        <f t="shared" si="26"/>
        <v/>
      </c>
      <c r="AC69" s="62" t="str">
        <f t="shared" si="26"/>
        <v/>
      </c>
      <c r="AD69" s="62" t="str">
        <f t="shared" si="26"/>
        <v/>
      </c>
      <c r="AE69" s="62" t="str">
        <f t="shared" si="26"/>
        <v/>
      </c>
      <c r="AF69" s="62" t="str">
        <f t="shared" si="26"/>
        <v/>
      </c>
      <c r="AG69" s="62" t="str">
        <f t="shared" si="26"/>
        <v/>
      </c>
      <c r="AH69" s="62" t="str">
        <f t="shared" si="26"/>
        <v/>
      </c>
      <c r="AI69" s="62" t="str">
        <f t="shared" si="26"/>
        <v/>
      </c>
      <c r="AJ69" s="62" t="str">
        <f t="shared" si="26"/>
        <v/>
      </c>
      <c r="AK69" s="62" t="str">
        <f t="shared" si="26"/>
        <v/>
      </c>
      <c r="AL69" s="62" t="str">
        <f t="shared" si="26"/>
        <v/>
      </c>
      <c r="AM69" s="62" t="str">
        <f t="shared" si="26"/>
        <v/>
      </c>
      <c r="AN69" s="62" t="str">
        <f t="shared" si="26"/>
        <v/>
      </c>
      <c r="AO69" s="62" t="str">
        <f t="shared" si="26"/>
        <v/>
      </c>
    </row>
    <row r="70" spans="1:41">
      <c r="A70" s="63"/>
      <c r="B70" s="59" t="s">
        <v>59</v>
      </c>
      <c r="C70" s="60"/>
      <c r="D70" s="60">
        <v>0.98</v>
      </c>
      <c r="E70" s="60">
        <v>0.03</v>
      </c>
      <c r="F70" s="60">
        <v>-0.03</v>
      </c>
      <c r="G70" s="60">
        <f t="shared" si="24"/>
        <v>1.01</v>
      </c>
      <c r="H70" s="60">
        <f t="shared" si="25"/>
        <v>0.95</v>
      </c>
      <c r="I70" s="60" t="s">
        <v>58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2" t="str">
        <f t="shared" ref="Z70:AO70" si="27">IF(J70="","",IF(J70&gt;($D70+$E70),(J70-$D70-$E70),IF(J70&lt;($D70+$F70),(J70-$D70-$F70),"√")))</f>
        <v/>
      </c>
      <c r="AA70" s="62" t="str">
        <f t="shared" si="27"/>
        <v/>
      </c>
      <c r="AB70" s="62" t="str">
        <f t="shared" si="27"/>
        <v/>
      </c>
      <c r="AC70" s="62" t="str">
        <f t="shared" si="27"/>
        <v/>
      </c>
      <c r="AD70" s="62" t="str">
        <f t="shared" si="27"/>
        <v/>
      </c>
      <c r="AE70" s="62" t="str">
        <f t="shared" si="27"/>
        <v/>
      </c>
      <c r="AF70" s="62" t="str">
        <f t="shared" si="27"/>
        <v/>
      </c>
      <c r="AG70" s="62" t="str">
        <f t="shared" si="27"/>
        <v/>
      </c>
      <c r="AH70" s="62" t="str">
        <f t="shared" si="27"/>
        <v/>
      </c>
      <c r="AI70" s="62" t="str">
        <f t="shared" si="27"/>
        <v/>
      </c>
      <c r="AJ70" s="62" t="str">
        <f t="shared" si="27"/>
        <v/>
      </c>
      <c r="AK70" s="62" t="str">
        <f t="shared" si="27"/>
        <v/>
      </c>
      <c r="AL70" s="62" t="str">
        <f t="shared" si="27"/>
        <v/>
      </c>
      <c r="AM70" s="62" t="str">
        <f t="shared" si="27"/>
        <v/>
      </c>
      <c r="AN70" s="62" t="str">
        <f t="shared" si="27"/>
        <v/>
      </c>
      <c r="AO70" s="62" t="str">
        <f t="shared" si="27"/>
        <v/>
      </c>
    </row>
    <row r="71" spans="1:41">
      <c r="A71" s="64"/>
      <c r="B71" s="59" t="s">
        <v>60</v>
      </c>
      <c r="C71" s="60"/>
      <c r="D71" s="60">
        <v>0.98</v>
      </c>
      <c r="E71" s="60">
        <v>0.03</v>
      </c>
      <c r="F71" s="60">
        <v>-0.03</v>
      </c>
      <c r="G71" s="60">
        <f t="shared" si="24"/>
        <v>1.01</v>
      </c>
      <c r="H71" s="60">
        <f t="shared" si="25"/>
        <v>0.95</v>
      </c>
      <c r="I71" s="60" t="s">
        <v>58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2" t="str">
        <f t="shared" ref="Z71:AO71" si="28">IF(J71="","",IF(J71&gt;($D71+$E71),(J71-$D71-$E71),IF(J71&lt;($D71+$F71),(J71-$D71-$F71),"√")))</f>
        <v/>
      </c>
      <c r="AA71" s="62" t="str">
        <f t="shared" si="28"/>
        <v/>
      </c>
      <c r="AB71" s="62" t="str">
        <f t="shared" si="28"/>
        <v/>
      </c>
      <c r="AC71" s="62" t="str">
        <f t="shared" si="28"/>
        <v/>
      </c>
      <c r="AD71" s="62" t="str">
        <f t="shared" si="28"/>
        <v/>
      </c>
      <c r="AE71" s="62" t="str">
        <f t="shared" si="28"/>
        <v/>
      </c>
      <c r="AF71" s="62" t="str">
        <f t="shared" si="28"/>
        <v/>
      </c>
      <c r="AG71" s="62" t="str">
        <f t="shared" si="28"/>
        <v/>
      </c>
      <c r="AH71" s="62" t="str">
        <f t="shared" si="28"/>
        <v/>
      </c>
      <c r="AI71" s="62" t="str">
        <f t="shared" si="28"/>
        <v/>
      </c>
      <c r="AJ71" s="62" t="str">
        <f t="shared" si="28"/>
        <v/>
      </c>
      <c r="AK71" s="62" t="str">
        <f t="shared" si="28"/>
        <v/>
      </c>
      <c r="AL71" s="62" t="str">
        <f t="shared" si="28"/>
        <v/>
      </c>
      <c r="AM71" s="62" t="str">
        <f t="shared" si="28"/>
        <v/>
      </c>
      <c r="AN71" s="62" t="str">
        <f t="shared" si="28"/>
        <v/>
      </c>
      <c r="AO71" s="62" t="str">
        <f t="shared" si="28"/>
        <v/>
      </c>
    </row>
    <row r="72" s="1" customFormat="1" ht="13.5" spans="1:4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7"/>
      <c r="AL72" s="68"/>
      <c r="AM72" s="69"/>
      <c r="AN72" s="70"/>
      <c r="AO72" s="71"/>
    </row>
    <row r="73" spans="1:41">
      <c r="D73"/>
      <c r="E73"/>
      <c r="F73"/>
      <c r="G73"/>
      <c r="H73"/>
      <c r="I73"/>
    </row>
    <row r="74" spans="1:41">
      <c r="D74"/>
      <c r="E74"/>
      <c r="F74"/>
      <c r="G74"/>
      <c r="H74"/>
      <c r="I74"/>
    </row>
    <row r="75" spans="1:41">
      <c r="D75"/>
      <c r="E75"/>
      <c r="F75"/>
      <c r="G75"/>
      <c r="H75"/>
      <c r="I75"/>
    </row>
    <row r="76" spans="1:41">
      <c r="D76"/>
      <c r="E76"/>
      <c r="F76"/>
      <c r="G76"/>
      <c r="H76"/>
      <c r="I76"/>
    </row>
    <row r="77" spans="1:41">
      <c r="D77"/>
      <c r="E77"/>
      <c r="F77"/>
      <c r="G77"/>
      <c r="H77"/>
      <c r="I77"/>
    </row>
    <row r="78" spans="1:41">
      <c r="D78"/>
      <c r="E78"/>
      <c r="F78"/>
      <c r="G78"/>
      <c r="H78"/>
      <c r="I78"/>
    </row>
    <row r="79" spans="1:41">
      <c r="D79"/>
      <c r="E79"/>
      <c r="F79"/>
      <c r="G79"/>
      <c r="H79"/>
      <c r="I79"/>
    </row>
    <row r="80" spans="1:41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</sheetData>
  <mergeCells count="36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6:O6"/>
    <mergeCell ref="P6:U6"/>
    <mergeCell ref="Z6:AE6"/>
    <mergeCell ref="AF6:AK6"/>
    <mergeCell ref="A72:AK72"/>
    <mergeCell ref="AL72:AM72"/>
    <mergeCell ref="AN72:AO72"/>
    <mergeCell ref="A2:A3"/>
    <mergeCell ref="A4:A7"/>
    <mergeCell ref="A8:A71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L2:R3"/>
    <mergeCell ref="H2:K3"/>
  </mergeCells>
  <conditionalFormatting sqref="J8:Y8">
    <cfRule type="cellIs" dxfId="0" priority="22" stopIfTrue="1" operator="notBetween">
      <formula>$G8</formula>
      <formula>$H8</formula>
    </cfRule>
  </conditionalFormatting>
  <conditionalFormatting sqref="J9:Y9">
    <cfRule type="cellIs" dxfId="0" priority="21" stopIfTrue="1" operator="notBetween">
      <formula>$G9</formula>
      <formula>$H9</formula>
    </cfRule>
  </conditionalFormatting>
  <conditionalFormatting sqref="J49:Y49">
    <cfRule type="cellIs" dxfId="0" priority="15" stopIfTrue="1" operator="notBetween">
      <formula>$G49</formula>
      <formula>$H49</formula>
    </cfRule>
  </conditionalFormatting>
  <conditionalFormatting sqref="J64:Y64">
    <cfRule type="cellIs" dxfId="0" priority="8" stopIfTrue="1" operator="notBetween">
      <formula>$G64</formula>
      <formula>$H64</formula>
    </cfRule>
  </conditionalFormatting>
  <conditionalFormatting sqref="J65:Y65">
    <cfRule type="cellIs" dxfId="0" priority="4" stopIfTrue="1" operator="notBetween">
      <formula>$G65</formula>
      <formula>$H65</formula>
    </cfRule>
  </conditionalFormatting>
  <conditionalFormatting sqref="J66:Y66">
    <cfRule type="cellIs" dxfId="0" priority="7" stopIfTrue="1" operator="notBetween">
      <formula>$G66</formula>
      <formula>$H66</formula>
    </cfRule>
  </conditionalFormatting>
  <conditionalFormatting sqref="J67:Y67">
    <cfRule type="cellIs" dxfId="0" priority="6" stopIfTrue="1" operator="notBetween">
      <formula>$G67</formula>
      <formula>$H67</formula>
    </cfRule>
  </conditionalFormatting>
  <conditionalFormatting sqref="J68:Y68">
    <cfRule type="cellIs" dxfId="0" priority="3" stopIfTrue="1" operator="notBetween">
      <formula>$G68</formula>
      <formula>$H68</formula>
    </cfRule>
  </conditionalFormatting>
  <conditionalFormatting sqref="J69:Y69">
    <cfRule type="cellIs" dxfId="0" priority="5" stopIfTrue="1" operator="notBetween">
      <formula>$G69</formula>
      <formula>$H69</formula>
    </cfRule>
  </conditionalFormatting>
  <conditionalFormatting sqref="J70:Y70">
    <cfRule type="cellIs" dxfId="0" priority="2" stopIfTrue="1" operator="notBetween">
      <formula>$G70</formula>
      <formula>$H70</formula>
    </cfRule>
  </conditionalFormatting>
  <conditionalFormatting sqref="J71:Y71">
    <cfRule type="cellIs" dxfId="0" priority="1" stopIfTrue="1" operator="notBetween">
      <formula>$G71</formula>
      <formula>$H71</formula>
    </cfRule>
  </conditionalFormatting>
  <conditionalFormatting sqref="J12:Y14 J36:Y36 J41:Y41 J50:Y50 J55:Y55">
    <cfRule type="cellIs" dxfId="0" priority="25" stopIfTrue="1" operator="notBetween">
      <formula>$G12</formula>
      <formula>$H12</formula>
    </cfRule>
  </conditionalFormatting>
  <conditionalFormatting sqref="J46:Y48">
    <cfRule type="cellIs" dxfId="0" priority="19" stopIfTrue="1" operator="notBetween">
      <formula>$G46</formula>
      <formula>$H46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"/>
  <sheetViews>
    <sheetView workbookViewId="0">
      <selection activeCell="Q12" sqref="Q12"/>
    </sheetView>
  </sheetViews>
  <sheetFormatPr defaultColWidth="9" defaultRowHeight="14.25"/>
  <cols>
    <col min="1" max="3" width="9.25" customWidth="1"/>
    <col min="4" max="9" width="9.25" style="2" customWidth="1"/>
    <col min="10" max="41" width="9.25" customWidth="1"/>
  </cols>
  <sheetData>
    <row r="1" ht="70.5" customHeight="1" spans="1:4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ht="15" customHeight="1" spans="1:41">
      <c r="A2" s="6" t="s">
        <v>1</v>
      </c>
      <c r="B2" s="7" t="s">
        <v>2</v>
      </c>
      <c r="C2" s="8"/>
      <c r="D2" s="8"/>
      <c r="E2" s="8"/>
      <c r="F2" s="8"/>
      <c r="G2" s="9"/>
      <c r="H2" s="10" t="s">
        <v>3</v>
      </c>
      <c r="I2" s="11"/>
      <c r="J2" s="11"/>
      <c r="K2" s="12"/>
      <c r="L2" s="13"/>
      <c r="M2" s="13"/>
      <c r="N2" s="13"/>
      <c r="O2" s="13"/>
      <c r="P2" s="13"/>
      <c r="Q2" s="13"/>
      <c r="R2" s="13"/>
      <c r="S2" s="14" t="s">
        <v>4</v>
      </c>
      <c r="T2" s="15"/>
      <c r="U2" s="15"/>
      <c r="V2" s="15"/>
      <c r="W2" s="15"/>
      <c r="X2" s="16"/>
      <c r="Y2" s="17" t="s">
        <v>5</v>
      </c>
      <c r="Z2" s="18"/>
      <c r="AA2" s="18"/>
      <c r="AB2" s="18"/>
      <c r="AC2" s="18"/>
      <c r="AD2" s="19"/>
      <c r="AE2" s="17" t="s">
        <v>6</v>
      </c>
      <c r="AF2" s="18"/>
      <c r="AG2" s="18"/>
      <c r="AH2" s="18"/>
      <c r="AI2" s="19"/>
      <c r="AJ2" s="20" t="s">
        <v>7</v>
      </c>
      <c r="AK2" s="21"/>
      <c r="AL2" s="21"/>
      <c r="AM2" s="22"/>
      <c r="AN2" s="20" t="s">
        <v>8</v>
      </c>
      <c r="AO2" s="22"/>
    </row>
    <row r="3" ht="15" customHeight="1" spans="1:41">
      <c r="A3" s="6"/>
      <c r="B3" s="23"/>
      <c r="C3" s="24"/>
      <c r="D3" s="24"/>
      <c r="E3" s="24"/>
      <c r="F3" s="24"/>
      <c r="G3" s="25"/>
      <c r="H3" s="26"/>
      <c r="I3" s="27"/>
      <c r="J3" s="27"/>
      <c r="K3" s="28"/>
      <c r="L3" s="13"/>
      <c r="M3" s="13"/>
      <c r="N3" s="13"/>
      <c r="O3" s="13"/>
      <c r="P3" s="13"/>
      <c r="Q3" s="13"/>
      <c r="R3" s="13"/>
      <c r="S3" s="29" t="s">
        <v>9</v>
      </c>
      <c r="T3" s="30"/>
      <c r="U3" s="30"/>
      <c r="V3" s="30"/>
      <c r="W3" s="30"/>
      <c r="X3" s="31"/>
      <c r="Y3" s="29" t="s">
        <v>10</v>
      </c>
      <c r="Z3" s="30"/>
      <c r="AA3" s="30"/>
      <c r="AB3" s="30"/>
      <c r="AC3" s="30"/>
      <c r="AD3" s="31"/>
      <c r="AE3" s="32" t="s">
        <v>11</v>
      </c>
      <c r="AF3" s="33"/>
      <c r="AG3" s="33"/>
      <c r="AH3" s="33"/>
      <c r="AI3" s="34"/>
      <c r="AJ3" s="32" t="s">
        <v>12</v>
      </c>
      <c r="AK3" s="33"/>
      <c r="AL3" s="33"/>
      <c r="AM3" s="34"/>
      <c r="AN3" s="32" t="s">
        <v>13</v>
      </c>
      <c r="AO3" s="34"/>
    </row>
    <row r="4" customHeight="1" spans="1:41">
      <c r="A4" s="35" t="s">
        <v>14</v>
      </c>
      <c r="B4" s="35" t="s">
        <v>15</v>
      </c>
      <c r="C4" s="35" t="s">
        <v>16</v>
      </c>
      <c r="D4" s="35" t="s">
        <v>17</v>
      </c>
      <c r="E4" s="35" t="s">
        <v>18</v>
      </c>
      <c r="F4" s="35" t="s">
        <v>19</v>
      </c>
      <c r="G4" s="35" t="s">
        <v>20</v>
      </c>
      <c r="H4" s="35" t="s">
        <v>21</v>
      </c>
      <c r="I4" s="35" t="s">
        <v>22</v>
      </c>
      <c r="J4" s="36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2"/>
      <c r="C5" s="42"/>
      <c r="D5" s="42"/>
      <c r="E5" s="42"/>
      <c r="F5" s="42"/>
      <c r="G5" s="42"/>
      <c r="H5" s="42"/>
      <c r="I5" s="42"/>
      <c r="J5" s="36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  <c r="Z5" s="39" t="s">
        <v>26</v>
      </c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</row>
    <row r="6" customHeight="1" spans="1:41">
      <c r="A6" s="43"/>
      <c r="B6" s="43"/>
      <c r="C6" s="43"/>
      <c r="D6" s="43"/>
      <c r="E6" s="43"/>
      <c r="F6" s="43"/>
      <c r="G6" s="43"/>
      <c r="H6" s="43"/>
      <c r="I6" s="43"/>
      <c r="J6" s="44" t="s">
        <v>61</v>
      </c>
      <c r="K6" s="45"/>
      <c r="L6" s="45"/>
      <c r="M6" s="45"/>
      <c r="N6" s="45"/>
      <c r="O6" s="46"/>
      <c r="P6" s="47" t="s">
        <v>62</v>
      </c>
      <c r="Q6" s="48"/>
      <c r="R6" s="48"/>
      <c r="S6" s="48"/>
      <c r="T6" s="48"/>
      <c r="U6" s="49"/>
      <c r="V6" s="50"/>
      <c r="W6" s="50"/>
      <c r="X6" s="50"/>
      <c r="Y6" s="50"/>
      <c r="Z6" s="51" t="str">
        <f>J6</f>
        <v>cav3</v>
      </c>
      <c r="AA6" s="52"/>
      <c r="AB6" s="52"/>
      <c r="AC6" s="52"/>
      <c r="AD6" s="52"/>
      <c r="AE6" s="53"/>
      <c r="AF6" s="54" t="str">
        <f>P6</f>
        <v>cav4</v>
      </c>
      <c r="AG6" s="55"/>
      <c r="AH6" s="55"/>
      <c r="AI6" s="55"/>
      <c r="AJ6" s="55"/>
      <c r="AK6" s="56"/>
      <c r="AL6" s="57">
        <f t="shared" ref="AL6:AO6" si="0">V6</f>
        <v>0</v>
      </c>
      <c r="AM6" s="57">
        <f t="shared" si="0"/>
        <v>0</v>
      </c>
      <c r="AN6" s="57">
        <f t="shared" si="0"/>
        <v>0</v>
      </c>
      <c r="AO6" s="57">
        <f t="shared" si="0"/>
        <v>0</v>
      </c>
    </row>
    <row r="7" customHeight="1" spans="1:41">
      <c r="A7" s="43"/>
      <c r="B7" s="43"/>
      <c r="C7" s="43"/>
      <c r="D7" s="43"/>
      <c r="E7" s="43"/>
      <c r="F7" s="43"/>
      <c r="G7" s="43"/>
      <c r="H7" s="43"/>
      <c r="I7" s="43"/>
      <c r="J7" s="50">
        <v>1</v>
      </c>
      <c r="K7" s="50">
        <v>2</v>
      </c>
      <c r="L7" s="50">
        <v>3</v>
      </c>
      <c r="M7" s="50">
        <v>4</v>
      </c>
      <c r="N7" s="50">
        <v>5</v>
      </c>
      <c r="O7" s="50">
        <v>6</v>
      </c>
      <c r="P7" s="50">
        <v>1</v>
      </c>
      <c r="Q7" s="50">
        <v>2</v>
      </c>
      <c r="R7" s="50">
        <v>3</v>
      </c>
      <c r="S7" s="50">
        <v>4</v>
      </c>
      <c r="T7" s="50">
        <v>5</v>
      </c>
      <c r="U7" s="50">
        <v>6</v>
      </c>
      <c r="V7" s="50"/>
      <c r="W7" s="50"/>
      <c r="X7" s="50"/>
      <c r="Y7" s="50"/>
      <c r="Z7" s="57">
        <f t="shared" ref="Z7:AO7" si="1">J7</f>
        <v>1</v>
      </c>
      <c r="AA7" s="57">
        <f t="shared" si="1"/>
        <v>2</v>
      </c>
      <c r="AB7" s="57">
        <f t="shared" si="1"/>
        <v>3</v>
      </c>
      <c r="AC7" s="57">
        <f t="shared" si="1"/>
        <v>4</v>
      </c>
      <c r="AD7" s="57">
        <f t="shared" si="1"/>
        <v>5</v>
      </c>
      <c r="AE7" s="57">
        <f t="shared" si="1"/>
        <v>6</v>
      </c>
      <c r="AF7" s="57">
        <f t="shared" si="1"/>
        <v>1</v>
      </c>
      <c r="AG7" s="57">
        <f t="shared" si="1"/>
        <v>2</v>
      </c>
      <c r="AH7" s="57">
        <f t="shared" si="1"/>
        <v>3</v>
      </c>
      <c r="AI7" s="57">
        <f t="shared" si="1"/>
        <v>4</v>
      </c>
      <c r="AJ7" s="57">
        <f t="shared" si="1"/>
        <v>5</v>
      </c>
      <c r="AK7" s="57">
        <f t="shared" si="1"/>
        <v>6</v>
      </c>
      <c r="AL7" s="57">
        <f t="shared" si="1"/>
        <v>0</v>
      </c>
      <c r="AM7" s="57">
        <f t="shared" si="1"/>
        <v>0</v>
      </c>
      <c r="AN7" s="57">
        <f t="shared" si="1"/>
        <v>0</v>
      </c>
      <c r="AO7" s="57">
        <f t="shared" si="1"/>
        <v>0</v>
      </c>
    </row>
    <row r="8" spans="1:41">
      <c r="A8" s="58">
        <v>46201</v>
      </c>
      <c r="B8" s="59" t="s">
        <v>30</v>
      </c>
      <c r="C8" s="60"/>
      <c r="D8" s="60">
        <v>0.995</v>
      </c>
      <c r="E8" s="60">
        <v>0.03</v>
      </c>
      <c r="F8" s="60">
        <v>-0.03</v>
      </c>
      <c r="G8" s="60">
        <f t="shared" ref="G8:G14" si="2">D8+E8</f>
        <v>1.025</v>
      </c>
      <c r="H8" s="60">
        <f t="shared" ref="H8:H14" si="3">D8+F8</f>
        <v>0.965</v>
      </c>
      <c r="I8" s="60" t="s">
        <v>31</v>
      </c>
      <c r="J8" s="61">
        <v>1.0019</v>
      </c>
      <c r="K8" s="61">
        <v>1.0106</v>
      </c>
      <c r="L8" s="61">
        <v>1.016</v>
      </c>
      <c r="M8" s="61">
        <v>1.011</v>
      </c>
      <c r="N8" s="61">
        <v>0.9967</v>
      </c>
      <c r="O8" s="61">
        <v>1.0114</v>
      </c>
      <c r="P8" s="61">
        <v>1.0018</v>
      </c>
      <c r="Q8" s="61">
        <v>1.0048</v>
      </c>
      <c r="R8" s="61">
        <v>1.0012</v>
      </c>
      <c r="S8" s="61">
        <v>1.012</v>
      </c>
      <c r="T8" s="61">
        <v>1.0014</v>
      </c>
      <c r="U8" s="61">
        <v>1.0128</v>
      </c>
      <c r="V8" s="61"/>
      <c r="W8" s="61"/>
      <c r="X8" s="61"/>
      <c r="Y8" s="61"/>
      <c r="Z8" s="62" t="str">
        <f t="shared" ref="Z8:AO8" si="4">IF(J8="","",IF(J8&gt;($D8+$E8),(J8-$D8-$E8),IF(J8&lt;($D8+$F8),(J8-$D8-$F8),"√")))</f>
        <v>√</v>
      </c>
      <c r="AA8" s="62" t="str">
        <f t="shared" si="4"/>
        <v>√</v>
      </c>
      <c r="AB8" s="62" t="str">
        <f t="shared" si="4"/>
        <v>√</v>
      </c>
      <c r="AC8" s="62" t="str">
        <f t="shared" si="4"/>
        <v>√</v>
      </c>
      <c r="AD8" s="62" t="str">
        <f t="shared" si="4"/>
        <v>√</v>
      </c>
      <c r="AE8" s="62" t="str">
        <f t="shared" si="4"/>
        <v>√</v>
      </c>
      <c r="AF8" s="62" t="str">
        <f t="shared" si="4"/>
        <v>√</v>
      </c>
      <c r="AG8" s="62" t="str">
        <f t="shared" si="4"/>
        <v>√</v>
      </c>
      <c r="AH8" s="62" t="str">
        <f t="shared" si="4"/>
        <v>√</v>
      </c>
      <c r="AI8" s="62" t="str">
        <f t="shared" si="4"/>
        <v>√</v>
      </c>
      <c r="AJ8" s="62" t="str">
        <f t="shared" si="4"/>
        <v>√</v>
      </c>
      <c r="AK8" s="62" t="str">
        <f t="shared" si="4"/>
        <v>√</v>
      </c>
      <c r="AL8" s="62" t="str">
        <f t="shared" si="4"/>
        <v/>
      </c>
      <c r="AM8" s="62" t="str">
        <f t="shared" si="4"/>
        <v/>
      </c>
      <c r="AN8" s="62" t="str">
        <f t="shared" si="4"/>
        <v/>
      </c>
      <c r="AO8" s="62" t="str">
        <f t="shared" si="4"/>
        <v/>
      </c>
    </row>
    <row r="9" spans="1:41">
      <c r="A9" s="63"/>
      <c r="B9" s="59" t="s">
        <v>32</v>
      </c>
      <c r="C9" s="60"/>
      <c r="D9" s="60">
        <v>0</v>
      </c>
      <c r="E9" s="60">
        <v>0.08</v>
      </c>
      <c r="F9" s="60">
        <v>0</v>
      </c>
      <c r="G9" s="60">
        <f t="shared" si="2"/>
        <v>0.08</v>
      </c>
      <c r="H9" s="60">
        <f t="shared" si="3"/>
        <v>0</v>
      </c>
      <c r="I9" s="60" t="s">
        <v>31</v>
      </c>
      <c r="J9" s="61">
        <v>0.0061</v>
      </c>
      <c r="K9" s="61">
        <v>0.0082</v>
      </c>
      <c r="L9" s="61">
        <v>0.0073</v>
      </c>
      <c r="M9" s="61">
        <v>0.0109</v>
      </c>
      <c r="N9" s="61">
        <v>0.0026</v>
      </c>
      <c r="O9" s="61">
        <v>0.0046</v>
      </c>
      <c r="P9" s="61">
        <v>0.001</v>
      </c>
      <c r="Q9" s="61">
        <v>0.008</v>
      </c>
      <c r="R9" s="61">
        <v>0.0036</v>
      </c>
      <c r="S9" s="61">
        <v>0.0071</v>
      </c>
      <c r="T9" s="61">
        <v>0.0045</v>
      </c>
      <c r="U9" s="61">
        <v>0.0059</v>
      </c>
      <c r="V9" s="61"/>
      <c r="W9" s="61"/>
      <c r="X9" s="61"/>
      <c r="Y9" s="61"/>
      <c r="Z9" s="62" t="str">
        <f t="shared" ref="Z9:AO9" si="5">IF(J9="","",IF(J9&gt;($D9+$E9),(J9-$D9-$E9),IF(J9&lt;($D9+$F9),(J9-$D9-$F9),"√")))</f>
        <v>√</v>
      </c>
      <c r="AA9" s="62" t="str">
        <f t="shared" si="5"/>
        <v>√</v>
      </c>
      <c r="AB9" s="62" t="str">
        <f t="shared" si="5"/>
        <v>√</v>
      </c>
      <c r="AC9" s="62" t="str">
        <f t="shared" si="5"/>
        <v>√</v>
      </c>
      <c r="AD9" s="62" t="str">
        <f t="shared" si="5"/>
        <v>√</v>
      </c>
      <c r="AE9" s="62" t="str">
        <f t="shared" si="5"/>
        <v>√</v>
      </c>
      <c r="AF9" s="62" t="str">
        <f t="shared" si="5"/>
        <v>√</v>
      </c>
      <c r="AG9" s="62" t="str">
        <f t="shared" si="5"/>
        <v>√</v>
      </c>
      <c r="AH9" s="62" t="str">
        <f t="shared" si="5"/>
        <v>√</v>
      </c>
      <c r="AI9" s="62" t="str">
        <f t="shared" si="5"/>
        <v>√</v>
      </c>
      <c r="AJ9" s="62" t="str">
        <f t="shared" si="5"/>
        <v>√</v>
      </c>
      <c r="AK9" s="62" t="str">
        <f t="shared" si="5"/>
        <v>√</v>
      </c>
      <c r="AL9" s="62" t="str">
        <f t="shared" si="5"/>
        <v/>
      </c>
      <c r="AM9" s="62" t="str">
        <f t="shared" si="5"/>
        <v/>
      </c>
      <c r="AN9" s="62" t="str">
        <f t="shared" si="5"/>
        <v/>
      </c>
      <c r="AO9" s="62" t="str">
        <f t="shared" si="5"/>
        <v/>
      </c>
    </row>
    <row r="10" spans="1:41">
      <c r="A10" s="63"/>
      <c r="B10" s="59" t="s">
        <v>33</v>
      </c>
      <c r="C10" s="60"/>
      <c r="D10" s="60"/>
      <c r="E10" s="60"/>
      <c r="F10" s="60"/>
      <c r="G10" s="60"/>
      <c r="H10" s="60"/>
      <c r="I10" s="60" t="s">
        <v>31</v>
      </c>
      <c r="J10" s="61">
        <v>0.0017</v>
      </c>
      <c r="K10" s="61">
        <v>-0.0003</v>
      </c>
      <c r="L10" s="61">
        <v>0.0011</v>
      </c>
      <c r="M10" s="61">
        <v>0.0024</v>
      </c>
      <c r="N10" s="61">
        <v>0.0003</v>
      </c>
      <c r="O10" s="61">
        <v>0.0016</v>
      </c>
      <c r="P10" s="61">
        <v>0.0009</v>
      </c>
      <c r="Q10" s="61">
        <v>-0.0009</v>
      </c>
      <c r="R10" s="61">
        <v>0.0005</v>
      </c>
      <c r="S10" s="61">
        <v>0.0028</v>
      </c>
      <c r="T10" s="61">
        <v>-0.0002</v>
      </c>
      <c r="U10" s="61">
        <v>0.0035</v>
      </c>
      <c r="V10" s="61"/>
      <c r="W10" s="61"/>
      <c r="X10" s="61"/>
      <c r="Y10" s="61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>
      <c r="A11" s="63"/>
      <c r="B11" s="59" t="s">
        <v>34</v>
      </c>
      <c r="C11" s="60"/>
      <c r="D11" s="60"/>
      <c r="E11" s="60"/>
      <c r="F11" s="60"/>
      <c r="G11" s="60"/>
      <c r="H11" s="60"/>
      <c r="I11" s="60" t="s">
        <v>31</v>
      </c>
      <c r="J11" s="61">
        <v>-0.002</v>
      </c>
      <c r="K11" s="61">
        <v>-0.0023</v>
      </c>
      <c r="L11" s="61">
        <v>-0.0023</v>
      </c>
      <c r="M11" s="61">
        <v>-0.0046</v>
      </c>
      <c r="N11" s="61">
        <v>0.0006</v>
      </c>
      <c r="O11" s="61">
        <v>-0.0012</v>
      </c>
      <c r="P11" s="61">
        <v>0.0001</v>
      </c>
      <c r="Q11" s="61">
        <v>-0.0071</v>
      </c>
      <c r="R11" s="61">
        <v>-0.0005</v>
      </c>
      <c r="S11" s="61">
        <v>-0.0011</v>
      </c>
      <c r="T11" s="61">
        <v>-0.0023</v>
      </c>
      <c r="U11" s="61">
        <v>0.0003</v>
      </c>
      <c r="V11" s="61"/>
      <c r="W11" s="61"/>
      <c r="X11" s="61"/>
      <c r="Y11" s="61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>
      <c r="A12" s="63"/>
      <c r="B12" s="59" t="s">
        <v>35</v>
      </c>
      <c r="C12" s="60"/>
      <c r="D12" s="60">
        <v>0.35</v>
      </c>
      <c r="E12" s="60">
        <v>0.03</v>
      </c>
      <c r="F12" s="60">
        <v>-0.03</v>
      </c>
      <c r="G12" s="60">
        <f t="shared" si="2"/>
        <v>0.38</v>
      </c>
      <c r="H12" s="60">
        <f t="shared" si="3"/>
        <v>0.32</v>
      </c>
      <c r="I12" s="60" t="s">
        <v>31</v>
      </c>
      <c r="J12" s="61">
        <v>0.3442</v>
      </c>
      <c r="K12" s="61">
        <v>0.3388</v>
      </c>
      <c r="L12" s="61">
        <v>0.3439</v>
      </c>
      <c r="M12" s="61">
        <v>0.3445</v>
      </c>
      <c r="N12" s="61">
        <v>0.3401</v>
      </c>
      <c r="O12" s="61">
        <v>0.3467</v>
      </c>
      <c r="P12" s="61">
        <v>0.3411</v>
      </c>
      <c r="Q12" s="61">
        <v>0.3381</v>
      </c>
      <c r="R12" s="61">
        <v>0.3397</v>
      </c>
      <c r="S12" s="61">
        <v>0.3462</v>
      </c>
      <c r="T12" s="61">
        <v>0.3329</v>
      </c>
      <c r="U12" s="61">
        <v>0.343</v>
      </c>
      <c r="V12" s="61"/>
      <c r="W12" s="61"/>
      <c r="X12" s="61"/>
      <c r="Y12" s="61"/>
      <c r="Z12" s="62" t="str">
        <f t="shared" ref="Z12:AO12" si="6">IF(J12="","",IF(J12&gt;($D12+$E12),(J12-$D12-$E12),IF(J12&lt;($D12+$F12),(J12-$D12-$F12),"√")))</f>
        <v>√</v>
      </c>
      <c r="AA12" s="62" t="str">
        <f t="shared" si="6"/>
        <v>√</v>
      </c>
      <c r="AB12" s="62" t="str">
        <f t="shared" si="6"/>
        <v>√</v>
      </c>
      <c r="AC12" s="62" t="str">
        <f t="shared" si="6"/>
        <v>√</v>
      </c>
      <c r="AD12" s="62" t="str">
        <f t="shared" si="6"/>
        <v>√</v>
      </c>
      <c r="AE12" s="62" t="str">
        <f t="shared" si="6"/>
        <v>√</v>
      </c>
      <c r="AF12" s="62" t="str">
        <f t="shared" si="6"/>
        <v>√</v>
      </c>
      <c r="AG12" s="62" t="str">
        <f t="shared" si="6"/>
        <v>√</v>
      </c>
      <c r="AH12" s="62" t="str">
        <f t="shared" si="6"/>
        <v>√</v>
      </c>
      <c r="AI12" s="62" t="str">
        <f t="shared" si="6"/>
        <v>√</v>
      </c>
      <c r="AJ12" s="62" t="str">
        <f t="shared" si="6"/>
        <v>√</v>
      </c>
      <c r="AK12" s="62" t="str">
        <f t="shared" si="6"/>
        <v>√</v>
      </c>
      <c r="AL12" s="62" t="str">
        <f t="shared" si="6"/>
        <v/>
      </c>
      <c r="AM12" s="62" t="str">
        <f t="shared" si="6"/>
        <v/>
      </c>
      <c r="AN12" s="62" t="str">
        <f t="shared" si="6"/>
        <v/>
      </c>
      <c r="AO12" s="62" t="str">
        <f t="shared" si="6"/>
        <v/>
      </c>
    </row>
    <row r="13" spans="1:41">
      <c r="A13" s="63"/>
      <c r="B13" s="59" t="s">
        <v>36</v>
      </c>
      <c r="C13" s="60"/>
      <c r="D13" s="60">
        <v>0.35</v>
      </c>
      <c r="E13" s="60">
        <v>0.03</v>
      </c>
      <c r="F13" s="60">
        <v>-0.03</v>
      </c>
      <c r="G13" s="60">
        <f t="shared" si="2"/>
        <v>0.38</v>
      </c>
      <c r="H13" s="60">
        <f t="shared" si="3"/>
        <v>0.32</v>
      </c>
      <c r="I13" s="60" t="s">
        <v>31</v>
      </c>
      <c r="J13" s="61">
        <v>0.3392</v>
      </c>
      <c r="K13" s="61">
        <v>0.3454</v>
      </c>
      <c r="L13" s="61">
        <v>0.3461</v>
      </c>
      <c r="M13" s="61">
        <v>0.3451</v>
      </c>
      <c r="N13" s="61">
        <v>0.3431</v>
      </c>
      <c r="O13" s="61">
        <v>0.3423</v>
      </c>
      <c r="P13" s="61">
        <v>0.3471</v>
      </c>
      <c r="Q13" s="61">
        <v>0.341</v>
      </c>
      <c r="R13" s="61">
        <v>0.3355</v>
      </c>
      <c r="S13" s="61">
        <v>0.3445</v>
      </c>
      <c r="T13" s="61">
        <v>0.3385</v>
      </c>
      <c r="U13" s="61">
        <v>0.3456</v>
      </c>
      <c r="V13" s="61"/>
      <c r="W13" s="61"/>
      <c r="X13" s="61"/>
      <c r="Y13" s="61"/>
      <c r="Z13" s="62" t="str">
        <f t="shared" ref="Z13:AO13" si="7">IF(J13="","",IF(J13&gt;($D13+$E13),(J13-$D13-$E13),IF(J13&lt;($D13+$F13),(J13-$D13-$F13),"√")))</f>
        <v>√</v>
      </c>
      <c r="AA13" s="62" t="str">
        <f t="shared" si="7"/>
        <v>√</v>
      </c>
      <c r="AB13" s="62" t="str">
        <f t="shared" si="7"/>
        <v>√</v>
      </c>
      <c r="AC13" s="62" t="str">
        <f t="shared" si="7"/>
        <v>√</v>
      </c>
      <c r="AD13" s="62" t="str">
        <f t="shared" si="7"/>
        <v>√</v>
      </c>
      <c r="AE13" s="62" t="str">
        <f t="shared" si="7"/>
        <v>√</v>
      </c>
      <c r="AF13" s="62" t="str">
        <f t="shared" si="7"/>
        <v>√</v>
      </c>
      <c r="AG13" s="62" t="str">
        <f t="shared" si="7"/>
        <v>√</v>
      </c>
      <c r="AH13" s="62" t="str">
        <f t="shared" si="7"/>
        <v>√</v>
      </c>
      <c r="AI13" s="62" t="str">
        <f t="shared" si="7"/>
        <v>√</v>
      </c>
      <c r="AJ13" s="62" t="str">
        <f t="shared" si="7"/>
        <v>√</v>
      </c>
      <c r="AK13" s="62" t="str">
        <f t="shared" si="7"/>
        <v>√</v>
      </c>
      <c r="AL13" s="62" t="str">
        <f t="shared" si="7"/>
        <v/>
      </c>
      <c r="AM13" s="62" t="str">
        <f t="shared" si="7"/>
        <v/>
      </c>
      <c r="AN13" s="62" t="str">
        <f t="shared" si="7"/>
        <v/>
      </c>
      <c r="AO13" s="62" t="str">
        <f t="shared" si="7"/>
        <v/>
      </c>
    </row>
    <row r="14" spans="1:41">
      <c r="A14" s="63"/>
      <c r="B14" s="59" t="s">
        <v>37</v>
      </c>
      <c r="C14" s="60" t="s">
        <v>38</v>
      </c>
      <c r="D14" s="60">
        <v>0</v>
      </c>
      <c r="E14" s="60">
        <v>0.06</v>
      </c>
      <c r="F14" s="60">
        <v>0</v>
      </c>
      <c r="G14" s="60">
        <f t="shared" si="2"/>
        <v>0.06</v>
      </c>
      <c r="H14" s="60">
        <f t="shared" si="3"/>
        <v>0</v>
      </c>
      <c r="I14" s="60" t="s">
        <v>31</v>
      </c>
      <c r="J14" s="61">
        <v>0.0241</v>
      </c>
      <c r="K14" s="61">
        <v>0.0228</v>
      </c>
      <c r="L14" s="61">
        <v>0.0175</v>
      </c>
      <c r="M14" s="61">
        <v>0.022</v>
      </c>
      <c r="N14" s="61">
        <v>0.0169</v>
      </c>
      <c r="O14" s="61">
        <v>0.0172</v>
      </c>
      <c r="P14" s="61">
        <v>0.0142</v>
      </c>
      <c r="Q14" s="61">
        <v>0.0278</v>
      </c>
      <c r="R14" s="61">
        <v>0.032</v>
      </c>
      <c r="S14" s="61">
        <v>0.0205</v>
      </c>
      <c r="T14" s="61">
        <v>0.0345</v>
      </c>
      <c r="U14" s="61">
        <v>0.0219</v>
      </c>
      <c r="V14" s="61"/>
      <c r="W14" s="61"/>
      <c r="X14" s="61"/>
      <c r="Y14" s="61"/>
      <c r="Z14" s="62" t="str">
        <f t="shared" ref="Z14:AO14" si="8">IF(J14="","",IF(J14&gt;($D14+$E14),(J14-$D14-$E14),IF(J14&lt;($D14+$F14),(J14-$D14-$F14),"√")))</f>
        <v>√</v>
      </c>
      <c r="AA14" s="62" t="str">
        <f t="shared" si="8"/>
        <v>√</v>
      </c>
      <c r="AB14" s="62" t="str">
        <f t="shared" si="8"/>
        <v>√</v>
      </c>
      <c r="AC14" s="62" t="str">
        <f t="shared" si="8"/>
        <v>√</v>
      </c>
      <c r="AD14" s="62" t="str">
        <f t="shared" si="8"/>
        <v>√</v>
      </c>
      <c r="AE14" s="62" t="str">
        <f t="shared" si="8"/>
        <v>√</v>
      </c>
      <c r="AF14" s="62" t="str">
        <f t="shared" si="8"/>
        <v>√</v>
      </c>
      <c r="AG14" s="62" t="str">
        <f t="shared" si="8"/>
        <v>√</v>
      </c>
      <c r="AH14" s="62" t="str">
        <f t="shared" si="8"/>
        <v>√</v>
      </c>
      <c r="AI14" s="62" t="str">
        <f t="shared" si="8"/>
        <v>√</v>
      </c>
      <c r="AJ14" s="62" t="str">
        <f t="shared" si="8"/>
        <v>√</v>
      </c>
      <c r="AK14" s="62" t="str">
        <f t="shared" si="8"/>
        <v>√</v>
      </c>
      <c r="AL14" s="62" t="str">
        <f t="shared" si="8"/>
        <v/>
      </c>
      <c r="AM14" s="62" t="str">
        <f t="shared" si="8"/>
        <v/>
      </c>
      <c r="AN14" s="62" t="str">
        <f t="shared" si="8"/>
        <v/>
      </c>
      <c r="AO14" s="62" t="str">
        <f t="shared" si="8"/>
        <v/>
      </c>
    </row>
    <row r="15" spans="1:41">
      <c r="A15" s="63"/>
      <c r="B15" s="59">
        <v>1</v>
      </c>
      <c r="C15" s="60"/>
      <c r="D15" s="60"/>
      <c r="E15" s="60"/>
      <c r="F15" s="60"/>
      <c r="G15" s="60"/>
      <c r="H15" s="60"/>
      <c r="I15" s="60" t="s">
        <v>31</v>
      </c>
      <c r="J15" s="61">
        <v>-0.0114</v>
      </c>
      <c r="K15" s="61">
        <v>-0.008</v>
      </c>
      <c r="L15" s="61">
        <v>-0.0058</v>
      </c>
      <c r="M15" s="61">
        <v>-0.0092</v>
      </c>
      <c r="N15" s="61">
        <v>-0.0041</v>
      </c>
      <c r="O15" s="61">
        <v>-0.0044</v>
      </c>
      <c r="P15" s="61">
        <v>-0.0043</v>
      </c>
      <c r="Q15" s="61">
        <v>-0.0028</v>
      </c>
      <c r="R15" s="61">
        <v>0.0044</v>
      </c>
      <c r="S15" s="61">
        <v>-0.0074</v>
      </c>
      <c r="T15" s="61">
        <v>0.0023</v>
      </c>
      <c r="U15" s="61">
        <v>-0.0072</v>
      </c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>
      <c r="A16" s="63"/>
      <c r="B16" s="59">
        <v>2</v>
      </c>
      <c r="C16" s="60"/>
      <c r="D16" s="60"/>
      <c r="E16" s="60"/>
      <c r="F16" s="60"/>
      <c r="G16" s="60"/>
      <c r="H16" s="60"/>
      <c r="I16" s="60" t="s">
        <v>31</v>
      </c>
      <c r="J16" s="61">
        <v>-0.0097</v>
      </c>
      <c r="K16" s="61">
        <v>-0.0071</v>
      </c>
      <c r="L16" s="61">
        <v>-0.0071</v>
      </c>
      <c r="M16" s="61">
        <v>-0.0089</v>
      </c>
      <c r="N16" s="61">
        <v>-0.0037</v>
      </c>
      <c r="O16" s="61">
        <v>-0.0068</v>
      </c>
      <c r="P16" s="61">
        <v>-0.0043</v>
      </c>
      <c r="Q16" s="61">
        <v>-0.0033</v>
      </c>
      <c r="R16" s="61">
        <v>0.0024</v>
      </c>
      <c r="S16" s="61">
        <v>-0.0065</v>
      </c>
      <c r="T16" s="61">
        <v>-0.0002</v>
      </c>
      <c r="U16" s="61">
        <v>-0.007</v>
      </c>
      <c r="V16" s="61"/>
      <c r="W16" s="61"/>
      <c r="X16" s="61"/>
      <c r="Y16" s="61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>
      <c r="A17" s="63"/>
      <c r="B17" s="59">
        <v>3</v>
      </c>
      <c r="C17" s="60"/>
      <c r="D17" s="60"/>
      <c r="E17" s="60"/>
      <c r="F17" s="60"/>
      <c r="G17" s="60"/>
      <c r="H17" s="60"/>
      <c r="I17" s="60" t="s">
        <v>31</v>
      </c>
      <c r="J17" s="61">
        <v>-0.0066</v>
      </c>
      <c r="K17" s="61">
        <v>-0.0059</v>
      </c>
      <c r="L17" s="61">
        <v>-0.0026</v>
      </c>
      <c r="M17" s="61">
        <v>-0.0066</v>
      </c>
      <c r="N17" s="61">
        <v>0.0012</v>
      </c>
      <c r="O17" s="61">
        <v>-0.0016</v>
      </c>
      <c r="P17" s="61">
        <v>-0.0013</v>
      </c>
      <c r="Q17" s="61">
        <v>0</v>
      </c>
      <c r="R17" s="61">
        <v>0.0066</v>
      </c>
      <c r="S17" s="61">
        <v>-0.005</v>
      </c>
      <c r="T17" s="61">
        <v>0.008</v>
      </c>
      <c r="U17" s="61">
        <v>-0.0047</v>
      </c>
      <c r="V17" s="61"/>
      <c r="W17" s="61"/>
      <c r="X17" s="61"/>
      <c r="Y17" s="61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>
      <c r="A18" s="63"/>
      <c r="B18" s="59">
        <v>4</v>
      </c>
      <c r="C18" s="60"/>
      <c r="D18" s="60"/>
      <c r="E18" s="60"/>
      <c r="F18" s="60"/>
      <c r="G18" s="60"/>
      <c r="H18" s="60"/>
      <c r="I18" s="60" t="s">
        <v>31</v>
      </c>
      <c r="J18" s="61">
        <v>-0.0024</v>
      </c>
      <c r="K18" s="61">
        <v>-0.0024</v>
      </c>
      <c r="L18" s="61">
        <v>0.0017</v>
      </c>
      <c r="M18" s="61">
        <v>-0.0002</v>
      </c>
      <c r="N18" s="61">
        <v>0.0048</v>
      </c>
      <c r="O18" s="61">
        <v>0.0035</v>
      </c>
      <c r="P18" s="61">
        <v>0.0034</v>
      </c>
      <c r="Q18" s="61">
        <v>0.0035</v>
      </c>
      <c r="R18" s="61">
        <v>0.0095</v>
      </c>
      <c r="S18" s="61">
        <v>0.0013</v>
      </c>
      <c r="T18" s="61">
        <v>0.0106</v>
      </c>
      <c r="U18" s="61">
        <v>0.0014</v>
      </c>
      <c r="V18" s="61"/>
      <c r="W18" s="61"/>
      <c r="X18" s="61"/>
      <c r="Y18" s="61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>
      <c r="A19" s="63"/>
      <c r="B19" s="59">
        <v>5</v>
      </c>
      <c r="C19" s="60"/>
      <c r="D19" s="60"/>
      <c r="E19" s="60"/>
      <c r="F19" s="60"/>
      <c r="G19" s="60"/>
      <c r="H19" s="60"/>
      <c r="I19" s="60" t="s">
        <v>31</v>
      </c>
      <c r="J19" s="61">
        <v>0.0001</v>
      </c>
      <c r="K19" s="61">
        <v>0.0003</v>
      </c>
      <c r="L19" s="61">
        <v>0.0027</v>
      </c>
      <c r="M19" s="61">
        <v>-0.0002</v>
      </c>
      <c r="N19" s="61">
        <v>0.0069</v>
      </c>
      <c r="O19" s="61">
        <v>0.0055</v>
      </c>
      <c r="P19" s="61">
        <v>0.0045</v>
      </c>
      <c r="Q19" s="61">
        <v>0.0043</v>
      </c>
      <c r="R19" s="61">
        <v>0.0102</v>
      </c>
      <c r="S19" s="61">
        <v>0.0028</v>
      </c>
      <c r="T19" s="61">
        <v>0.0131</v>
      </c>
      <c r="U19" s="61">
        <v>0.003</v>
      </c>
      <c r="V19" s="61"/>
      <c r="W19" s="61"/>
      <c r="X19" s="61"/>
      <c r="Y19" s="61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>
      <c r="A20" s="63"/>
      <c r="B20" s="59">
        <v>6</v>
      </c>
      <c r="C20" s="60"/>
      <c r="D20" s="60"/>
      <c r="E20" s="60"/>
      <c r="F20" s="60"/>
      <c r="G20" s="60"/>
      <c r="H20" s="60"/>
      <c r="I20" s="60" t="s">
        <v>31</v>
      </c>
      <c r="J20" s="61">
        <v>-0.0047</v>
      </c>
      <c r="K20" s="61">
        <v>-0.0053</v>
      </c>
      <c r="L20" s="61">
        <v>-0.0053</v>
      </c>
      <c r="M20" s="61">
        <v>-0.0031</v>
      </c>
      <c r="N20" s="61">
        <v>-0.0037</v>
      </c>
      <c r="O20" s="61">
        <v>-0.0015</v>
      </c>
      <c r="P20" s="61">
        <v>-0.0044</v>
      </c>
      <c r="Q20" s="61">
        <v>-0.0042</v>
      </c>
      <c r="R20" s="61">
        <v>0.0022</v>
      </c>
      <c r="S20" s="61">
        <v>-0.0037</v>
      </c>
      <c r="T20" s="61">
        <v>0.0101</v>
      </c>
      <c r="U20" s="61">
        <v>-0.0024</v>
      </c>
      <c r="V20" s="61"/>
      <c r="W20" s="61"/>
      <c r="X20" s="61"/>
      <c r="Y20" s="61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>
      <c r="A21" s="63"/>
      <c r="B21" s="59">
        <v>7</v>
      </c>
      <c r="C21" s="60"/>
      <c r="D21" s="60"/>
      <c r="E21" s="60"/>
      <c r="F21" s="60"/>
      <c r="G21" s="60"/>
      <c r="H21" s="60"/>
      <c r="I21" s="60" t="s">
        <v>31</v>
      </c>
      <c r="J21" s="61">
        <v>-0.0006</v>
      </c>
      <c r="K21" s="61">
        <v>-0.0005</v>
      </c>
      <c r="L21" s="61">
        <v>-0.0003</v>
      </c>
      <c r="M21" s="61">
        <v>-0.0004</v>
      </c>
      <c r="N21" s="61">
        <v>-0.001</v>
      </c>
      <c r="O21" s="61">
        <v>0.0008</v>
      </c>
      <c r="P21" s="61">
        <v>-0.0024</v>
      </c>
      <c r="Q21" s="61">
        <v>0.0013</v>
      </c>
      <c r="R21" s="61">
        <v>0.0042</v>
      </c>
      <c r="S21" s="61">
        <v>0.0002</v>
      </c>
      <c r="T21" s="61">
        <v>0.0151</v>
      </c>
      <c r="U21" s="61">
        <v>0.0031</v>
      </c>
      <c r="V21" s="61"/>
      <c r="W21" s="61"/>
      <c r="X21" s="61"/>
      <c r="Y21" s="61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>
      <c r="A22" s="63"/>
      <c r="B22" s="59">
        <v>8</v>
      </c>
      <c r="C22" s="60"/>
      <c r="D22" s="60"/>
      <c r="E22" s="60"/>
      <c r="F22" s="60"/>
      <c r="G22" s="60"/>
      <c r="H22" s="60"/>
      <c r="I22" s="60" t="s">
        <v>31</v>
      </c>
      <c r="J22" s="61">
        <v>0.0019</v>
      </c>
      <c r="K22" s="61">
        <v>0.0016</v>
      </c>
      <c r="L22" s="61">
        <v>-0.0012</v>
      </c>
      <c r="M22" s="61">
        <v>0.0016</v>
      </c>
      <c r="N22" s="61">
        <v>0.0055</v>
      </c>
      <c r="O22" s="61">
        <v>0.0029</v>
      </c>
      <c r="P22" s="61">
        <v>0.0012</v>
      </c>
      <c r="Q22" s="61">
        <v>0.0027</v>
      </c>
      <c r="R22" s="61">
        <v>0.0076</v>
      </c>
      <c r="S22" s="61">
        <v>0.0028</v>
      </c>
      <c r="T22" s="61">
        <v>0.017</v>
      </c>
      <c r="U22" s="61">
        <v>0.0023</v>
      </c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>
      <c r="A23" s="63"/>
      <c r="B23" s="59">
        <v>9</v>
      </c>
      <c r="C23" s="60"/>
      <c r="D23" s="60"/>
      <c r="E23" s="60"/>
      <c r="F23" s="60"/>
      <c r="G23" s="60"/>
      <c r="H23" s="60"/>
      <c r="I23" s="60" t="s">
        <v>31</v>
      </c>
      <c r="J23" s="61">
        <v>0.003</v>
      </c>
      <c r="K23" s="61">
        <v>-0.0007</v>
      </c>
      <c r="L23" s="61">
        <v>-0.0031</v>
      </c>
      <c r="M23" s="61">
        <v>0.0007</v>
      </c>
      <c r="N23" s="61">
        <v>0.005</v>
      </c>
      <c r="O23" s="61">
        <v>0.0015</v>
      </c>
      <c r="P23" s="61">
        <v>0.0014</v>
      </c>
      <c r="Q23" s="61">
        <v>0.0003</v>
      </c>
      <c r="R23" s="61">
        <v>0.0067</v>
      </c>
      <c r="S23" s="61">
        <v>0.002</v>
      </c>
      <c r="T23" s="61">
        <v>0.0173</v>
      </c>
      <c r="U23" s="61">
        <v>0.0015</v>
      </c>
      <c r="V23" s="61"/>
      <c r="W23" s="61"/>
      <c r="X23" s="61"/>
      <c r="Y23" s="61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>
      <c r="A24" s="63"/>
      <c r="B24" s="59">
        <v>10</v>
      </c>
      <c r="C24" s="60"/>
      <c r="D24" s="60"/>
      <c r="E24" s="60"/>
      <c r="F24" s="60"/>
      <c r="G24" s="60"/>
      <c r="H24" s="60"/>
      <c r="I24" s="60" t="s">
        <v>31</v>
      </c>
      <c r="J24" s="61">
        <v>0.0017</v>
      </c>
      <c r="K24" s="61">
        <v>0.0006</v>
      </c>
      <c r="L24" s="61">
        <v>-0.0021</v>
      </c>
      <c r="M24" s="61">
        <v>0.0004</v>
      </c>
      <c r="N24" s="61">
        <v>0.0025</v>
      </c>
      <c r="O24" s="61">
        <v>0.0012</v>
      </c>
      <c r="P24" s="61">
        <v>0.0005</v>
      </c>
      <c r="Q24" s="61">
        <v>0.0026</v>
      </c>
      <c r="R24" s="61">
        <v>0.0077</v>
      </c>
      <c r="S24" s="61">
        <v>0.0017</v>
      </c>
      <c r="T24" s="61">
        <v>0.0165</v>
      </c>
      <c r="U24" s="61">
        <v>0.0012</v>
      </c>
      <c r="V24" s="61"/>
      <c r="W24" s="61"/>
      <c r="X24" s="61"/>
      <c r="Y24" s="61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>
      <c r="A25" s="63"/>
      <c r="B25" s="59">
        <v>11</v>
      </c>
      <c r="C25" s="60"/>
      <c r="D25" s="60"/>
      <c r="E25" s="60"/>
      <c r="F25" s="60"/>
      <c r="G25" s="60"/>
      <c r="H25" s="60"/>
      <c r="I25" s="60" t="s">
        <v>31</v>
      </c>
      <c r="J25" s="61">
        <v>0.0063</v>
      </c>
      <c r="K25" s="61">
        <v>0.0083</v>
      </c>
      <c r="L25" s="61">
        <v>0.0061</v>
      </c>
      <c r="M25" s="61">
        <v>0.005</v>
      </c>
      <c r="N25" s="61">
        <v>0.0073</v>
      </c>
      <c r="O25" s="61">
        <v>0.0081</v>
      </c>
      <c r="P25" s="61">
        <v>0.0036</v>
      </c>
      <c r="Q25" s="61">
        <v>0.0104</v>
      </c>
      <c r="R25" s="61">
        <v>0.0156</v>
      </c>
      <c r="S25" s="61">
        <v>0.004</v>
      </c>
      <c r="T25" s="61">
        <v>0.0148</v>
      </c>
      <c r="U25" s="61">
        <v>0.0094</v>
      </c>
      <c r="V25" s="61"/>
      <c r="W25" s="61"/>
      <c r="X25" s="61"/>
      <c r="Y25" s="61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>
      <c r="A26" s="63"/>
      <c r="B26" s="59">
        <v>12</v>
      </c>
      <c r="C26" s="60"/>
      <c r="D26" s="60"/>
      <c r="E26" s="60"/>
      <c r="F26" s="60"/>
      <c r="G26" s="60"/>
      <c r="H26" s="60"/>
      <c r="I26" s="60" t="s">
        <v>31</v>
      </c>
      <c r="J26" s="61">
        <v>0.0067</v>
      </c>
      <c r="K26" s="61">
        <v>0.0081</v>
      </c>
      <c r="L26" s="61">
        <v>0.0056</v>
      </c>
      <c r="M26" s="61">
        <v>0.0056</v>
      </c>
      <c r="N26" s="61">
        <v>0.0074</v>
      </c>
      <c r="O26" s="61">
        <v>0.0086</v>
      </c>
      <c r="P26" s="61">
        <v>0.0067</v>
      </c>
      <c r="Q26" s="61">
        <v>0.0129</v>
      </c>
      <c r="R26" s="61">
        <v>0.0155</v>
      </c>
      <c r="S26" s="61">
        <v>0.0044</v>
      </c>
      <c r="T26" s="61">
        <v>0.017</v>
      </c>
      <c r="U26" s="61">
        <v>0.0097</v>
      </c>
      <c r="V26" s="61"/>
      <c r="W26" s="61"/>
      <c r="X26" s="61"/>
      <c r="Y26" s="61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>
      <c r="A27" s="63"/>
      <c r="B27" s="59">
        <v>13</v>
      </c>
      <c r="C27" s="60"/>
      <c r="D27" s="60"/>
      <c r="E27" s="60"/>
      <c r="F27" s="60"/>
      <c r="G27" s="60"/>
      <c r="H27" s="60"/>
      <c r="I27" s="60" t="s">
        <v>31</v>
      </c>
      <c r="J27" s="61">
        <v>0.0057</v>
      </c>
      <c r="K27" s="61">
        <v>0.0029</v>
      </c>
      <c r="L27" s="61">
        <v>0.001</v>
      </c>
      <c r="M27" s="61">
        <v>-0.0003</v>
      </c>
      <c r="N27" s="61">
        <v>0.0033</v>
      </c>
      <c r="O27" s="61">
        <v>0.0027</v>
      </c>
      <c r="P27" s="61">
        <v>0.0019</v>
      </c>
      <c r="Q27" s="61">
        <v>0.0079</v>
      </c>
      <c r="R27" s="61">
        <v>0.0103</v>
      </c>
      <c r="S27" s="61">
        <v>0.0004</v>
      </c>
      <c r="T27" s="61">
        <v>0.014</v>
      </c>
      <c r="U27" s="61">
        <v>0.0038</v>
      </c>
      <c r="V27" s="61"/>
      <c r="W27" s="61"/>
      <c r="X27" s="61"/>
      <c r="Y27" s="61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>
      <c r="A28" s="63"/>
      <c r="B28" s="59">
        <v>14</v>
      </c>
      <c r="C28" s="60"/>
      <c r="D28" s="60"/>
      <c r="E28" s="60"/>
      <c r="F28" s="60"/>
      <c r="G28" s="60"/>
      <c r="H28" s="60"/>
      <c r="I28" s="60" t="s">
        <v>31</v>
      </c>
      <c r="J28" s="61">
        <v>0.0001</v>
      </c>
      <c r="K28" s="61">
        <v>-0.0031</v>
      </c>
      <c r="L28" s="61">
        <v>-0.0049</v>
      </c>
      <c r="M28" s="61">
        <v>-0.0044</v>
      </c>
      <c r="N28" s="61">
        <v>0.0011</v>
      </c>
      <c r="O28" s="61">
        <v>-0.0027</v>
      </c>
      <c r="P28" s="61">
        <v>-0.0029</v>
      </c>
      <c r="Q28" s="61">
        <v>0.0005</v>
      </c>
      <c r="R28" s="61">
        <v>0.0065</v>
      </c>
      <c r="S28" s="61">
        <v>-0.0052</v>
      </c>
      <c r="T28" s="61">
        <v>0.0092</v>
      </c>
      <c r="U28" s="61">
        <v>-0.0002</v>
      </c>
      <c r="V28" s="61"/>
      <c r="W28" s="61"/>
      <c r="X28" s="61"/>
      <c r="Y28" s="61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>
      <c r="A29" s="63"/>
      <c r="B29" s="59">
        <v>15</v>
      </c>
      <c r="C29" s="60"/>
      <c r="D29" s="60"/>
      <c r="E29" s="60"/>
      <c r="F29" s="60"/>
      <c r="G29" s="60"/>
      <c r="H29" s="60"/>
      <c r="I29" s="60" t="s">
        <v>31</v>
      </c>
      <c r="J29" s="61">
        <v>-0.0012</v>
      </c>
      <c r="K29" s="61">
        <v>-0.0052</v>
      </c>
      <c r="L29" s="61">
        <v>-0.0047</v>
      </c>
      <c r="M29" s="61">
        <v>-0.0043</v>
      </c>
      <c r="N29" s="61">
        <v>-0.0004</v>
      </c>
      <c r="O29" s="61">
        <v>-0.0042</v>
      </c>
      <c r="P29" s="61">
        <v>-0.0013</v>
      </c>
      <c r="Q29" s="61">
        <v>0.0012</v>
      </c>
      <c r="R29" s="61">
        <v>0.0078</v>
      </c>
      <c r="S29" s="61">
        <v>-0.0072</v>
      </c>
      <c r="T29" s="61">
        <v>0.0072</v>
      </c>
      <c r="U29" s="61">
        <v>-0.0034</v>
      </c>
      <c r="V29" s="61"/>
      <c r="W29" s="61"/>
      <c r="X29" s="61"/>
      <c r="Y29" s="61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>
      <c r="A30" s="63"/>
      <c r="B30" s="59">
        <v>16</v>
      </c>
      <c r="C30" s="60"/>
      <c r="D30" s="60"/>
      <c r="E30" s="60"/>
      <c r="F30" s="60"/>
      <c r="G30" s="60"/>
      <c r="H30" s="60"/>
      <c r="I30" s="60" t="s">
        <v>31</v>
      </c>
      <c r="J30" s="61">
        <v>-0.012</v>
      </c>
      <c r="K30" s="61">
        <v>-0.0114</v>
      </c>
      <c r="L30" s="61">
        <v>-0.0087</v>
      </c>
      <c r="M30" s="61">
        <v>-0.011</v>
      </c>
      <c r="N30" s="61">
        <v>-0.0079</v>
      </c>
      <c r="O30" s="61">
        <v>-0.0079</v>
      </c>
      <c r="P30" s="61">
        <v>-0.007</v>
      </c>
      <c r="Q30" s="61">
        <v>-0.0077</v>
      </c>
      <c r="R30" s="61">
        <v>-0.0038</v>
      </c>
      <c r="S30" s="61">
        <v>-0.0102</v>
      </c>
      <c r="T30" s="61">
        <v>-0.0005</v>
      </c>
      <c r="U30" s="61">
        <v>-0.0105</v>
      </c>
      <c r="V30" s="61"/>
      <c r="W30" s="61"/>
      <c r="X30" s="61"/>
      <c r="Y30" s="61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>
      <c r="A31" s="63"/>
      <c r="B31" s="59">
        <v>17</v>
      </c>
      <c r="C31" s="60"/>
      <c r="D31" s="60"/>
      <c r="E31" s="60"/>
      <c r="F31" s="60"/>
      <c r="G31" s="60"/>
      <c r="H31" s="60"/>
      <c r="I31" s="60" t="s">
        <v>31</v>
      </c>
      <c r="J31" s="61">
        <v>0.0011</v>
      </c>
      <c r="K31" s="61">
        <v>-0.0012</v>
      </c>
      <c r="L31" s="61">
        <v>0.0035</v>
      </c>
      <c r="M31" s="61">
        <v>-0.0001</v>
      </c>
      <c r="N31" s="61">
        <v>0.0084</v>
      </c>
      <c r="O31" s="61">
        <v>0.0024</v>
      </c>
      <c r="P31" s="61">
        <v>0.0046</v>
      </c>
      <c r="Q31" s="61">
        <v>0.0054</v>
      </c>
      <c r="R31" s="61">
        <v>0.0141</v>
      </c>
      <c r="S31" s="61">
        <v>0.0034</v>
      </c>
      <c r="T31" s="61">
        <v>0.0146</v>
      </c>
      <c r="U31" s="61">
        <v>0.0025</v>
      </c>
      <c r="V31" s="61"/>
      <c r="W31" s="61"/>
      <c r="X31" s="61"/>
      <c r="Y31" s="61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>
      <c r="A32" s="63"/>
      <c r="B32" s="59">
        <v>18</v>
      </c>
      <c r="C32" s="60"/>
      <c r="D32" s="60"/>
      <c r="E32" s="60"/>
      <c r="F32" s="60"/>
      <c r="G32" s="60"/>
      <c r="H32" s="60"/>
      <c r="I32" s="60" t="s">
        <v>31</v>
      </c>
      <c r="J32" s="61">
        <v>-0.002</v>
      </c>
      <c r="K32" s="61">
        <v>-0.0027</v>
      </c>
      <c r="L32" s="61">
        <v>-0.0017</v>
      </c>
      <c r="M32" s="61">
        <v>-0.0004</v>
      </c>
      <c r="N32" s="61">
        <v>0.0002</v>
      </c>
      <c r="O32" s="61">
        <v>-0.0008</v>
      </c>
      <c r="P32" s="61">
        <v>-0.0032</v>
      </c>
      <c r="Q32" s="61">
        <v>0.0003</v>
      </c>
      <c r="R32" s="61">
        <v>0.0052</v>
      </c>
      <c r="S32" s="61">
        <v>-0.0012</v>
      </c>
      <c r="T32" s="61">
        <v>0.0113</v>
      </c>
      <c r="U32" s="61">
        <v>0.0022</v>
      </c>
      <c r="V32" s="61"/>
      <c r="W32" s="61"/>
      <c r="X32" s="61"/>
      <c r="Y32" s="61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>
      <c r="A33" s="63"/>
      <c r="B33" s="59">
        <v>19</v>
      </c>
      <c r="C33" s="60"/>
      <c r="D33" s="60"/>
      <c r="E33" s="60"/>
      <c r="F33" s="60"/>
      <c r="G33" s="60"/>
      <c r="H33" s="60"/>
      <c r="I33" s="60" t="s">
        <v>31</v>
      </c>
      <c r="J33" s="61">
        <v>-0.0005</v>
      </c>
      <c r="K33" s="61">
        <v>-0.0022</v>
      </c>
      <c r="L33" s="61">
        <v>-0.0034</v>
      </c>
      <c r="M33" s="61">
        <v>-0.003</v>
      </c>
      <c r="N33" s="61">
        <v>0.0019</v>
      </c>
      <c r="O33" s="61">
        <v>-0.001</v>
      </c>
      <c r="P33" s="61">
        <v>0.0002</v>
      </c>
      <c r="Q33" s="61">
        <v>-0.0002</v>
      </c>
      <c r="R33" s="61">
        <v>0.0068</v>
      </c>
      <c r="S33" s="61">
        <v>0.0011</v>
      </c>
      <c r="T33" s="61">
        <v>0.0142</v>
      </c>
      <c r="U33" s="61">
        <v>-0.0002</v>
      </c>
      <c r="V33" s="61"/>
      <c r="W33" s="61"/>
      <c r="X33" s="61"/>
      <c r="Y33" s="61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>
      <c r="A34" s="63"/>
      <c r="B34" s="59">
        <v>20</v>
      </c>
      <c r="C34" s="60"/>
      <c r="D34" s="60"/>
      <c r="E34" s="60"/>
      <c r="F34" s="60"/>
      <c r="G34" s="60"/>
      <c r="H34" s="60"/>
      <c r="I34" s="60" t="s">
        <v>31</v>
      </c>
      <c r="J34" s="61">
        <v>0.007</v>
      </c>
      <c r="K34" s="61">
        <v>0.0092</v>
      </c>
      <c r="L34" s="61">
        <v>0.0062</v>
      </c>
      <c r="M34" s="61">
        <v>0.005</v>
      </c>
      <c r="N34" s="61">
        <v>0.0074</v>
      </c>
      <c r="O34" s="61">
        <v>0.007</v>
      </c>
      <c r="P34" s="61">
        <v>0.0071</v>
      </c>
      <c r="Q34" s="61">
        <v>0.0139</v>
      </c>
      <c r="R34" s="61">
        <v>0.016</v>
      </c>
      <c r="S34" s="61">
        <v>0.0068</v>
      </c>
      <c r="T34" s="61">
        <v>0.0156</v>
      </c>
      <c r="U34" s="61">
        <v>0.0109</v>
      </c>
      <c r="V34" s="61"/>
      <c r="W34" s="61"/>
      <c r="X34" s="61"/>
      <c r="Y34" s="61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>
      <c r="A35" s="63"/>
      <c r="B35" s="59">
        <v>21</v>
      </c>
      <c r="C35" s="60"/>
      <c r="D35" s="60"/>
      <c r="E35" s="60"/>
      <c r="F35" s="60"/>
      <c r="G35" s="60"/>
      <c r="H35" s="60"/>
      <c r="I35" s="60" t="s">
        <v>31</v>
      </c>
      <c r="J35" s="61">
        <v>-0.0038</v>
      </c>
      <c r="K35" s="61">
        <v>-0.0059</v>
      </c>
      <c r="L35" s="61">
        <v>-0.0071</v>
      </c>
      <c r="M35" s="61">
        <v>-0.0078</v>
      </c>
      <c r="N35" s="61">
        <v>-0.0008</v>
      </c>
      <c r="O35" s="61">
        <v>-0.0066</v>
      </c>
      <c r="P35" s="61">
        <v>-0.0049</v>
      </c>
      <c r="Q35" s="61">
        <v>-0.0011</v>
      </c>
      <c r="R35" s="61">
        <v>0.0054</v>
      </c>
      <c r="S35" s="61">
        <v>-0.0057</v>
      </c>
      <c r="T35" s="61">
        <v>0.0055</v>
      </c>
      <c r="U35" s="61">
        <v>-0.0032</v>
      </c>
      <c r="V35" s="61"/>
      <c r="W35" s="61"/>
      <c r="X35" s="61"/>
      <c r="Y35" s="61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>
      <c r="A36" s="63"/>
      <c r="B36" s="59" t="s">
        <v>39</v>
      </c>
      <c r="C36" s="60" t="s">
        <v>40</v>
      </c>
      <c r="D36" s="60">
        <v>0</v>
      </c>
      <c r="E36" s="60">
        <v>0.04</v>
      </c>
      <c r="F36" s="60">
        <v>0</v>
      </c>
      <c r="G36" s="60">
        <f>D36+E36</f>
        <v>0.04</v>
      </c>
      <c r="H36" s="60">
        <f>D36+F36</f>
        <v>0</v>
      </c>
      <c r="I36" s="60" t="s">
        <v>31</v>
      </c>
      <c r="J36" s="61">
        <v>0.0009</v>
      </c>
      <c r="K36" s="61">
        <v>0.0022</v>
      </c>
      <c r="L36" s="61">
        <v>0.0018</v>
      </c>
      <c r="M36" s="61">
        <v>0.0029</v>
      </c>
      <c r="N36" s="61">
        <v>0.0024</v>
      </c>
      <c r="O36" s="61">
        <v>0.0031</v>
      </c>
      <c r="P36" s="61">
        <v>0.0023</v>
      </c>
      <c r="Q36" s="61">
        <v>0.0009</v>
      </c>
      <c r="R36" s="61">
        <v>0.001</v>
      </c>
      <c r="S36" s="61">
        <v>0.0019</v>
      </c>
      <c r="T36" s="61">
        <v>0.0009</v>
      </c>
      <c r="U36" s="61">
        <v>0.0018</v>
      </c>
      <c r="V36" s="61"/>
      <c r="W36" s="61"/>
      <c r="X36" s="61"/>
      <c r="Y36" s="61"/>
      <c r="Z36" s="62" t="str">
        <f t="shared" ref="Z36:AO36" si="9">IF(J36="","",IF(J36&gt;($D36+$E36),(J36-$D36-$E36),IF(J36&lt;($D36+$F36),(J36-$D36-$F36),"√")))</f>
        <v>√</v>
      </c>
      <c r="AA36" s="62" t="str">
        <f t="shared" si="9"/>
        <v>√</v>
      </c>
      <c r="AB36" s="62" t="str">
        <f t="shared" si="9"/>
        <v>√</v>
      </c>
      <c r="AC36" s="62" t="str">
        <f t="shared" si="9"/>
        <v>√</v>
      </c>
      <c r="AD36" s="62" t="str">
        <f t="shared" si="9"/>
        <v>√</v>
      </c>
      <c r="AE36" s="62" t="str">
        <f t="shared" si="9"/>
        <v>√</v>
      </c>
      <c r="AF36" s="62" t="str">
        <f t="shared" si="9"/>
        <v>√</v>
      </c>
      <c r="AG36" s="62" t="str">
        <f t="shared" si="9"/>
        <v>√</v>
      </c>
      <c r="AH36" s="62" t="str">
        <f t="shared" si="9"/>
        <v>√</v>
      </c>
      <c r="AI36" s="62" t="str">
        <f t="shared" si="9"/>
        <v>√</v>
      </c>
      <c r="AJ36" s="62" t="str">
        <f t="shared" si="9"/>
        <v>√</v>
      </c>
      <c r="AK36" s="62" t="str">
        <f t="shared" si="9"/>
        <v>√</v>
      </c>
      <c r="AL36" s="62" t="str">
        <f t="shared" si="9"/>
        <v/>
      </c>
      <c r="AM36" s="62" t="str">
        <f t="shared" si="9"/>
        <v/>
      </c>
      <c r="AN36" s="62" t="str">
        <f t="shared" si="9"/>
        <v/>
      </c>
      <c r="AO36" s="62" t="str">
        <f t="shared" si="9"/>
        <v/>
      </c>
    </row>
    <row r="37" spans="1:41">
      <c r="A37" s="63"/>
      <c r="B37" s="59">
        <v>1</v>
      </c>
      <c r="C37" s="60"/>
      <c r="D37" s="60"/>
      <c r="E37" s="60"/>
      <c r="F37" s="60"/>
      <c r="G37" s="60"/>
      <c r="H37" s="60"/>
      <c r="I37" s="60" t="s">
        <v>31</v>
      </c>
      <c r="J37" s="61">
        <v>0.0002</v>
      </c>
      <c r="K37" s="61">
        <v>0.001</v>
      </c>
      <c r="L37" s="61">
        <v>0.0009</v>
      </c>
      <c r="M37" s="61">
        <v>0.0011</v>
      </c>
      <c r="N37" s="61">
        <v>0.0003</v>
      </c>
      <c r="O37" s="61">
        <v>0.0016</v>
      </c>
      <c r="P37" s="61">
        <v>0.0011</v>
      </c>
      <c r="Q37" s="61">
        <v>0.0002</v>
      </c>
      <c r="R37" s="61">
        <v>0.0005</v>
      </c>
      <c r="S37" s="61">
        <v>-0.0009</v>
      </c>
      <c r="T37" s="61">
        <v>0.0002</v>
      </c>
      <c r="U37" s="61">
        <v>0.0009</v>
      </c>
      <c r="V37" s="61"/>
      <c r="W37" s="61"/>
      <c r="X37" s="61"/>
      <c r="Y37" s="61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>
      <c r="A38" s="63"/>
      <c r="B38" s="59">
        <v>2</v>
      </c>
      <c r="C38" s="60"/>
      <c r="D38" s="60"/>
      <c r="E38" s="60"/>
      <c r="F38" s="60"/>
      <c r="G38" s="60"/>
      <c r="H38" s="60"/>
      <c r="I38" s="60" t="s">
        <v>31</v>
      </c>
      <c r="J38" s="61">
        <v>0.0005</v>
      </c>
      <c r="K38" s="61">
        <v>0.0011</v>
      </c>
      <c r="L38" s="61">
        <v>0.0008</v>
      </c>
      <c r="M38" s="61">
        <v>0.0015</v>
      </c>
      <c r="N38" s="61">
        <v>0.0012</v>
      </c>
      <c r="O38" s="61">
        <v>0.0004</v>
      </c>
      <c r="P38" s="61">
        <v>-0.0006</v>
      </c>
      <c r="Q38" s="61">
        <v>0.0004</v>
      </c>
      <c r="R38" s="61">
        <v>0.0002</v>
      </c>
      <c r="S38" s="61">
        <v>0</v>
      </c>
      <c r="T38" s="61">
        <v>-0.0003</v>
      </c>
      <c r="U38" s="61">
        <v>-0.0002</v>
      </c>
      <c r="V38" s="61"/>
      <c r="W38" s="61"/>
      <c r="X38" s="61"/>
      <c r="Y38" s="61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>
      <c r="A39" s="63"/>
      <c r="B39" s="59">
        <v>3</v>
      </c>
      <c r="C39" s="60"/>
      <c r="D39" s="60"/>
      <c r="E39" s="60"/>
      <c r="F39" s="60"/>
      <c r="G39" s="60"/>
      <c r="H39" s="60"/>
      <c r="I39" s="60" t="s">
        <v>31</v>
      </c>
      <c r="J39" s="61">
        <v>0</v>
      </c>
      <c r="K39" s="61">
        <v>-0.0002</v>
      </c>
      <c r="L39" s="61">
        <v>-0.0008</v>
      </c>
      <c r="M39" s="61">
        <v>-0.0015</v>
      </c>
      <c r="N39" s="61">
        <v>-0.0012</v>
      </c>
      <c r="O39" s="61">
        <v>-0.0011</v>
      </c>
      <c r="P39" s="61">
        <v>-0.0011</v>
      </c>
      <c r="Q39" s="61">
        <v>-0.0004</v>
      </c>
      <c r="R39" s="61">
        <v>-0.0002</v>
      </c>
      <c r="S39" s="61">
        <v>-0.0008</v>
      </c>
      <c r="T39" s="61">
        <v>0.0004</v>
      </c>
      <c r="U39" s="61">
        <v>-0.0001</v>
      </c>
      <c r="V39" s="61"/>
      <c r="W39" s="61"/>
      <c r="X39" s="61"/>
      <c r="Y39" s="61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>
      <c r="A40" s="63"/>
      <c r="B40" s="59">
        <v>4</v>
      </c>
      <c r="C40" s="60"/>
      <c r="D40" s="60"/>
      <c r="E40" s="60"/>
      <c r="F40" s="60"/>
      <c r="G40" s="60"/>
      <c r="H40" s="60"/>
      <c r="I40" s="60" t="s">
        <v>31</v>
      </c>
      <c r="J40" s="61">
        <v>-0.0005</v>
      </c>
      <c r="K40" s="61">
        <v>-0.0011</v>
      </c>
      <c r="L40" s="61">
        <v>-0.0009</v>
      </c>
      <c r="M40" s="61">
        <v>0.0012</v>
      </c>
      <c r="N40" s="61">
        <v>-0.0005</v>
      </c>
      <c r="O40" s="61">
        <v>-0.0016</v>
      </c>
      <c r="P40" s="61">
        <v>-0.0006</v>
      </c>
      <c r="Q40" s="61">
        <v>0.0002</v>
      </c>
      <c r="R40" s="61">
        <v>-0.0005</v>
      </c>
      <c r="S40" s="61">
        <v>0.0009</v>
      </c>
      <c r="T40" s="61">
        <v>-0.0004</v>
      </c>
      <c r="U40" s="61">
        <v>-0.0009</v>
      </c>
      <c r="V40" s="61"/>
      <c r="W40" s="61"/>
      <c r="X40" s="61"/>
      <c r="Y40" s="61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>
      <c r="A41" s="63"/>
      <c r="B41" s="59" t="s">
        <v>41</v>
      </c>
      <c r="C41" s="60" t="s">
        <v>40</v>
      </c>
      <c r="D41" s="60">
        <v>0</v>
      </c>
      <c r="E41" s="60">
        <v>0.04</v>
      </c>
      <c r="F41" s="60">
        <v>0</v>
      </c>
      <c r="G41" s="60">
        <f>D41+E41</f>
        <v>0.04</v>
      </c>
      <c r="H41" s="60">
        <f>D41+F41</f>
        <v>0</v>
      </c>
      <c r="I41" s="60" t="s">
        <v>31</v>
      </c>
      <c r="J41" s="61">
        <v>0.004</v>
      </c>
      <c r="K41" s="61">
        <v>0.0034</v>
      </c>
      <c r="L41" s="61">
        <v>0.0017</v>
      </c>
      <c r="M41" s="61">
        <v>0.0034</v>
      </c>
      <c r="N41" s="61">
        <v>0.0065</v>
      </c>
      <c r="O41" s="61">
        <v>0.0026</v>
      </c>
      <c r="P41" s="61">
        <v>0.0026</v>
      </c>
      <c r="Q41" s="61">
        <v>0.0032</v>
      </c>
      <c r="R41" s="61">
        <v>0.002</v>
      </c>
      <c r="S41" s="61">
        <v>0.003</v>
      </c>
      <c r="T41" s="61">
        <v>0.0014</v>
      </c>
      <c r="U41" s="61">
        <v>0.0034</v>
      </c>
      <c r="V41" s="61"/>
      <c r="W41" s="61"/>
      <c r="X41" s="61"/>
      <c r="Y41" s="61"/>
      <c r="Z41" s="62" t="str">
        <f t="shared" ref="Z41:AO41" si="10">IF(J41="","",IF(J41&gt;($D41+$E41),(J41-$D41-$E41),IF(J41&lt;($D41+$F41),(J41-$D41-$F41),"√")))</f>
        <v>√</v>
      </c>
      <c r="AA41" s="62" t="str">
        <f t="shared" si="10"/>
        <v>√</v>
      </c>
      <c r="AB41" s="62" t="str">
        <f t="shared" si="10"/>
        <v>√</v>
      </c>
      <c r="AC41" s="62" t="str">
        <f t="shared" si="10"/>
        <v>√</v>
      </c>
      <c r="AD41" s="62" t="str">
        <f t="shared" si="10"/>
        <v>√</v>
      </c>
      <c r="AE41" s="62" t="str">
        <f t="shared" si="10"/>
        <v>√</v>
      </c>
      <c r="AF41" s="62" t="str">
        <f t="shared" si="10"/>
        <v>√</v>
      </c>
      <c r="AG41" s="62" t="str">
        <f t="shared" si="10"/>
        <v>√</v>
      </c>
      <c r="AH41" s="62" t="str">
        <f t="shared" si="10"/>
        <v>√</v>
      </c>
      <c r="AI41" s="62" t="str">
        <f t="shared" si="10"/>
        <v>√</v>
      </c>
      <c r="AJ41" s="62" t="str">
        <f t="shared" si="10"/>
        <v>√</v>
      </c>
      <c r="AK41" s="62" t="str">
        <f t="shared" si="10"/>
        <v>√</v>
      </c>
      <c r="AL41" s="62" t="str">
        <f t="shared" si="10"/>
        <v/>
      </c>
      <c r="AM41" s="62" t="str">
        <f t="shared" si="10"/>
        <v/>
      </c>
      <c r="AN41" s="62" t="str">
        <f t="shared" si="10"/>
        <v/>
      </c>
      <c r="AO41" s="62" t="str">
        <f t="shared" si="10"/>
        <v/>
      </c>
    </row>
    <row r="42" spans="1:41">
      <c r="A42" s="63"/>
      <c r="B42" s="59">
        <v>1</v>
      </c>
      <c r="C42" s="60"/>
      <c r="D42" s="60"/>
      <c r="E42" s="60"/>
      <c r="F42" s="60"/>
      <c r="G42" s="60"/>
      <c r="H42" s="60"/>
      <c r="I42" s="60" t="s">
        <v>31</v>
      </c>
      <c r="J42" s="61">
        <v>0.002</v>
      </c>
      <c r="K42" s="61">
        <v>-0.0017</v>
      </c>
      <c r="L42" s="61">
        <v>0.0003</v>
      </c>
      <c r="M42" s="61">
        <v>0.0017</v>
      </c>
      <c r="N42" s="61">
        <v>0.0032</v>
      </c>
      <c r="O42" s="61">
        <v>0.0013</v>
      </c>
      <c r="P42" s="61">
        <v>0.0013</v>
      </c>
      <c r="Q42" s="61">
        <v>-0.0016</v>
      </c>
      <c r="R42" s="61">
        <v>0</v>
      </c>
      <c r="S42" s="61">
        <v>0.0015</v>
      </c>
      <c r="T42" s="61">
        <v>-0.0007</v>
      </c>
      <c r="U42" s="61">
        <v>0.0001</v>
      </c>
      <c r="V42" s="61"/>
      <c r="W42" s="61"/>
      <c r="X42" s="61"/>
      <c r="Y42" s="61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>
      <c r="A43" s="63"/>
      <c r="B43" s="59">
        <v>2</v>
      </c>
      <c r="C43" s="60"/>
      <c r="D43" s="60"/>
      <c r="E43" s="60"/>
      <c r="F43" s="60"/>
      <c r="G43" s="60"/>
      <c r="H43" s="60"/>
      <c r="I43" s="60" t="s">
        <v>31</v>
      </c>
      <c r="J43" s="61">
        <v>0.0018</v>
      </c>
      <c r="K43" s="61">
        <v>0.0013</v>
      </c>
      <c r="L43" s="61">
        <v>0.0008</v>
      </c>
      <c r="M43" s="61">
        <v>0.001</v>
      </c>
      <c r="N43" s="61">
        <v>0.0011</v>
      </c>
      <c r="O43" s="61">
        <v>0.0013</v>
      </c>
      <c r="P43" s="61">
        <v>0.0008</v>
      </c>
      <c r="Q43" s="61">
        <v>0</v>
      </c>
      <c r="R43" s="61">
        <v>0.0007</v>
      </c>
      <c r="S43" s="61">
        <v>0.0004</v>
      </c>
      <c r="T43" s="61">
        <v>0.0007</v>
      </c>
      <c r="U43" s="61">
        <v>0.0014</v>
      </c>
      <c r="V43" s="61"/>
      <c r="W43" s="61"/>
      <c r="X43" s="61"/>
      <c r="Y43" s="61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>
      <c r="A44" s="63"/>
      <c r="B44" s="59">
        <v>3</v>
      </c>
      <c r="C44" s="60"/>
      <c r="D44" s="60"/>
      <c r="E44" s="60"/>
      <c r="F44" s="60"/>
      <c r="G44" s="60"/>
      <c r="H44" s="60"/>
      <c r="I44" s="60" t="s">
        <v>31</v>
      </c>
      <c r="J44" s="61">
        <v>-0.0017</v>
      </c>
      <c r="K44" s="61">
        <v>0.0017</v>
      </c>
      <c r="L44" s="61">
        <v>-0.0008</v>
      </c>
      <c r="M44" s="61">
        <v>-0.0014</v>
      </c>
      <c r="N44" s="61">
        <v>-0.0032</v>
      </c>
      <c r="O44" s="61">
        <v>-0.0013</v>
      </c>
      <c r="P44" s="61">
        <v>0.0002</v>
      </c>
      <c r="Q44" s="61">
        <v>-0.0003</v>
      </c>
      <c r="R44" s="61">
        <v>-0.001</v>
      </c>
      <c r="S44" s="61">
        <v>-0.0015</v>
      </c>
      <c r="T44" s="61">
        <v>0</v>
      </c>
      <c r="U44" s="61">
        <v>-0.0017</v>
      </c>
      <c r="V44" s="61"/>
      <c r="W44" s="61"/>
      <c r="X44" s="61"/>
      <c r="Y44" s="61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>
      <c r="A45" s="63"/>
      <c r="B45" s="59">
        <v>4</v>
      </c>
      <c r="C45" s="60"/>
      <c r="D45" s="60"/>
      <c r="E45" s="60"/>
      <c r="F45" s="60"/>
      <c r="G45" s="60"/>
      <c r="H45" s="60"/>
      <c r="I45" s="60" t="s">
        <v>31</v>
      </c>
      <c r="J45" s="61">
        <v>-0.002</v>
      </c>
      <c r="K45" s="61">
        <v>0.0016</v>
      </c>
      <c r="L45" s="61">
        <v>-0.0003</v>
      </c>
      <c r="M45" s="61">
        <v>-0.0017</v>
      </c>
      <c r="N45" s="61">
        <v>-0.0027</v>
      </c>
      <c r="O45" s="61">
        <v>0.0002</v>
      </c>
      <c r="P45" s="61">
        <v>-0.0013</v>
      </c>
      <c r="Q45" s="61">
        <v>0.0016</v>
      </c>
      <c r="R45" s="61">
        <v>0.001</v>
      </c>
      <c r="S45" s="61">
        <v>-0.0006</v>
      </c>
      <c r="T45" s="61">
        <v>0.0002</v>
      </c>
      <c r="U45" s="61">
        <v>0.0017</v>
      </c>
      <c r="V45" s="61"/>
      <c r="W45" s="61"/>
      <c r="X45" s="61"/>
      <c r="Y45" s="61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>
      <c r="A46" s="63"/>
      <c r="B46" s="59" t="s">
        <v>42</v>
      </c>
      <c r="C46" s="60"/>
      <c r="D46" s="60">
        <v>0.7</v>
      </c>
      <c r="E46" s="60">
        <v>0.05</v>
      </c>
      <c r="F46" s="60">
        <v>-0.05</v>
      </c>
      <c r="G46" s="60">
        <f t="shared" ref="G46:G50" si="11">D46+E46</f>
        <v>0.75</v>
      </c>
      <c r="H46" s="60">
        <f t="shared" ref="H46:H50" si="12">D46+F46</f>
        <v>0.65</v>
      </c>
      <c r="I46" s="60" t="s">
        <v>31</v>
      </c>
      <c r="J46" s="61">
        <v>0.6975</v>
      </c>
      <c r="K46" s="61">
        <v>0.6963</v>
      </c>
      <c r="L46" s="61">
        <v>0.697</v>
      </c>
      <c r="M46" s="61">
        <v>0.6961</v>
      </c>
      <c r="N46" s="61">
        <v>0.705</v>
      </c>
      <c r="O46" s="61">
        <v>0.7026</v>
      </c>
      <c r="P46" s="61">
        <v>0.7018</v>
      </c>
      <c r="Q46" s="61">
        <v>0.7036</v>
      </c>
      <c r="R46" s="61">
        <v>0.7079</v>
      </c>
      <c r="S46" s="61">
        <v>0.6989</v>
      </c>
      <c r="T46" s="61">
        <v>0.7099</v>
      </c>
      <c r="U46" s="61">
        <v>0.6969</v>
      </c>
      <c r="V46" s="61"/>
      <c r="W46" s="61"/>
      <c r="X46" s="61"/>
      <c r="Y46" s="61"/>
      <c r="Z46" s="62" t="str">
        <f t="shared" ref="Z46:AO46" si="13">IF(J46="","",IF(J46&gt;($D46+$E46),(J46-$D46-$E46),IF(J46&lt;($D46+$F46),(J46-$D46-$F46),"√")))</f>
        <v>√</v>
      </c>
      <c r="AA46" s="62" t="str">
        <f t="shared" si="13"/>
        <v>√</v>
      </c>
      <c r="AB46" s="62" t="str">
        <f t="shared" si="13"/>
        <v>√</v>
      </c>
      <c r="AC46" s="62" t="str">
        <f t="shared" si="13"/>
        <v>√</v>
      </c>
      <c r="AD46" s="62" t="str">
        <f t="shared" si="13"/>
        <v>√</v>
      </c>
      <c r="AE46" s="62" t="str">
        <f t="shared" si="13"/>
        <v>√</v>
      </c>
      <c r="AF46" s="62" t="str">
        <f t="shared" si="13"/>
        <v>√</v>
      </c>
      <c r="AG46" s="62" t="str">
        <f t="shared" si="13"/>
        <v>√</v>
      </c>
      <c r="AH46" s="62" t="str">
        <f t="shared" si="13"/>
        <v>√</v>
      </c>
      <c r="AI46" s="62" t="str">
        <f t="shared" si="13"/>
        <v>√</v>
      </c>
      <c r="AJ46" s="62" t="str">
        <f t="shared" si="13"/>
        <v>√</v>
      </c>
      <c r="AK46" s="62" t="str">
        <f t="shared" si="13"/>
        <v>√</v>
      </c>
      <c r="AL46" s="62" t="str">
        <f t="shared" si="13"/>
        <v/>
      </c>
      <c r="AM46" s="62" t="str">
        <f t="shared" si="13"/>
        <v/>
      </c>
      <c r="AN46" s="62" t="str">
        <f t="shared" si="13"/>
        <v/>
      </c>
      <c r="AO46" s="62" t="str">
        <f t="shared" si="13"/>
        <v/>
      </c>
    </row>
    <row r="47" spans="1:41">
      <c r="A47" s="63"/>
      <c r="B47" s="59" t="s">
        <v>43</v>
      </c>
      <c r="C47" s="60"/>
      <c r="D47" s="60">
        <v>0.7</v>
      </c>
      <c r="E47" s="60">
        <v>0.05</v>
      </c>
      <c r="F47" s="60">
        <v>-0.05</v>
      </c>
      <c r="G47" s="60">
        <f t="shared" si="11"/>
        <v>0.75</v>
      </c>
      <c r="H47" s="60">
        <f t="shared" si="12"/>
        <v>0.65</v>
      </c>
      <c r="I47" s="60" t="s">
        <v>31</v>
      </c>
      <c r="J47" s="61">
        <v>0.6975</v>
      </c>
      <c r="K47" s="61">
        <v>0.7008</v>
      </c>
      <c r="L47" s="61">
        <v>0.7003</v>
      </c>
      <c r="M47" s="61">
        <v>0.6996</v>
      </c>
      <c r="N47" s="61">
        <v>0.7</v>
      </c>
      <c r="O47" s="61">
        <v>0.7035</v>
      </c>
      <c r="P47" s="61">
        <v>0.7029</v>
      </c>
      <c r="Q47" s="61">
        <v>0.7041</v>
      </c>
      <c r="R47" s="61">
        <v>0.7082</v>
      </c>
      <c r="S47" s="61">
        <v>0.7014</v>
      </c>
      <c r="T47" s="61">
        <v>0.7155</v>
      </c>
      <c r="U47" s="61">
        <v>0.703</v>
      </c>
      <c r="V47" s="61"/>
      <c r="W47" s="61"/>
      <c r="X47" s="61"/>
      <c r="Y47" s="61"/>
      <c r="Z47" s="62" t="str">
        <f t="shared" ref="Z47:AO47" si="14">IF(J47="","",IF(J47&gt;($D47+$E47),(J47-$D47-$E47),IF(J47&lt;($D47+$F47),(J47-$D47-$F47),"√")))</f>
        <v>√</v>
      </c>
      <c r="AA47" s="62" t="str">
        <f t="shared" si="14"/>
        <v>√</v>
      </c>
      <c r="AB47" s="62" t="str">
        <f t="shared" si="14"/>
        <v>√</v>
      </c>
      <c r="AC47" s="62" t="str">
        <f t="shared" si="14"/>
        <v>√</v>
      </c>
      <c r="AD47" s="62" t="str">
        <f t="shared" si="14"/>
        <v>√</v>
      </c>
      <c r="AE47" s="62" t="str">
        <f t="shared" si="14"/>
        <v>√</v>
      </c>
      <c r="AF47" s="62" t="str">
        <f t="shared" si="14"/>
        <v>√</v>
      </c>
      <c r="AG47" s="62" t="str">
        <f t="shared" si="14"/>
        <v>√</v>
      </c>
      <c r="AH47" s="62" t="str">
        <f t="shared" si="14"/>
        <v>√</v>
      </c>
      <c r="AI47" s="62" t="str">
        <f t="shared" si="14"/>
        <v>√</v>
      </c>
      <c r="AJ47" s="62" t="str">
        <f t="shared" si="14"/>
        <v>√</v>
      </c>
      <c r="AK47" s="62" t="str">
        <f t="shared" si="14"/>
        <v>√</v>
      </c>
      <c r="AL47" s="62" t="str">
        <f t="shared" si="14"/>
        <v/>
      </c>
      <c r="AM47" s="62" t="str">
        <f t="shared" si="14"/>
        <v/>
      </c>
      <c r="AN47" s="62" t="str">
        <f t="shared" si="14"/>
        <v/>
      </c>
      <c r="AO47" s="62" t="str">
        <f t="shared" si="14"/>
        <v/>
      </c>
    </row>
    <row r="48" spans="1:41">
      <c r="A48" s="63"/>
      <c r="B48" s="59" t="s">
        <v>44</v>
      </c>
      <c r="C48" s="60"/>
      <c r="D48" s="60">
        <v>0.7</v>
      </c>
      <c r="E48" s="60">
        <v>0.05</v>
      </c>
      <c r="F48" s="60">
        <v>-0.05</v>
      </c>
      <c r="G48" s="60">
        <f t="shared" si="11"/>
        <v>0.75</v>
      </c>
      <c r="H48" s="60">
        <f t="shared" si="12"/>
        <v>0.65</v>
      </c>
      <c r="I48" s="60" t="s">
        <v>31</v>
      </c>
      <c r="J48" s="61">
        <v>0.7035</v>
      </c>
      <c r="K48" s="61">
        <v>0.7004</v>
      </c>
      <c r="L48" s="61">
        <v>0.7018</v>
      </c>
      <c r="M48" s="61">
        <v>0.7015</v>
      </c>
      <c r="N48" s="61">
        <v>0.704</v>
      </c>
      <c r="O48" s="61">
        <v>0.7037</v>
      </c>
      <c r="P48" s="61">
        <v>0.7027</v>
      </c>
      <c r="Q48" s="61">
        <v>0.7048</v>
      </c>
      <c r="R48" s="61">
        <v>0.7137</v>
      </c>
      <c r="S48" s="61">
        <v>0.6998</v>
      </c>
      <c r="T48" s="61">
        <v>0.7114</v>
      </c>
      <c r="U48" s="61">
        <v>0.7054</v>
      </c>
      <c r="V48" s="61"/>
      <c r="W48" s="61"/>
      <c r="X48" s="61"/>
      <c r="Y48" s="61"/>
      <c r="Z48" s="62" t="str">
        <f t="shared" ref="Z48:AO48" si="15">IF(J48="","",IF(J48&gt;($D48+$E48),(J48-$D48-$E48),IF(J48&lt;($D48+$F48),(J48-$D48-$F48),"√")))</f>
        <v>√</v>
      </c>
      <c r="AA48" s="62" t="str">
        <f t="shared" si="15"/>
        <v>√</v>
      </c>
      <c r="AB48" s="62" t="str">
        <f t="shared" si="15"/>
        <v>√</v>
      </c>
      <c r="AC48" s="62" t="str">
        <f t="shared" si="15"/>
        <v>√</v>
      </c>
      <c r="AD48" s="62" t="str">
        <f t="shared" si="15"/>
        <v>√</v>
      </c>
      <c r="AE48" s="62" t="str">
        <f t="shared" si="15"/>
        <v>√</v>
      </c>
      <c r="AF48" s="62" t="str">
        <f t="shared" si="15"/>
        <v>√</v>
      </c>
      <c r="AG48" s="62" t="str">
        <f t="shared" si="15"/>
        <v>√</v>
      </c>
      <c r="AH48" s="62" t="str">
        <f t="shared" si="15"/>
        <v>√</v>
      </c>
      <c r="AI48" s="62" t="str">
        <f t="shared" si="15"/>
        <v>√</v>
      </c>
      <c r="AJ48" s="62" t="str">
        <f t="shared" si="15"/>
        <v>√</v>
      </c>
      <c r="AK48" s="62" t="str">
        <f t="shared" si="15"/>
        <v>√</v>
      </c>
      <c r="AL48" s="62" t="str">
        <f t="shared" si="15"/>
        <v/>
      </c>
      <c r="AM48" s="62" t="str">
        <f t="shared" si="15"/>
        <v/>
      </c>
      <c r="AN48" s="62" t="str">
        <f t="shared" si="15"/>
        <v/>
      </c>
      <c r="AO48" s="62" t="str">
        <f t="shared" si="15"/>
        <v/>
      </c>
    </row>
    <row r="49" spans="1:41">
      <c r="A49" s="63"/>
      <c r="B49" s="59" t="s">
        <v>45</v>
      </c>
      <c r="C49" s="60"/>
      <c r="D49" s="60">
        <v>0.965</v>
      </c>
      <c r="E49" s="60">
        <v>0.015</v>
      </c>
      <c r="F49" s="60">
        <v>-0.015</v>
      </c>
      <c r="G49" s="60">
        <f t="shared" si="11"/>
        <v>0.98</v>
      </c>
      <c r="H49" s="60">
        <f t="shared" si="12"/>
        <v>0.95</v>
      </c>
      <c r="I49" s="60" t="s">
        <v>31</v>
      </c>
      <c r="J49" s="61">
        <v>0.9739</v>
      </c>
      <c r="K49" s="61">
        <v>0.974</v>
      </c>
      <c r="L49" s="61">
        <v>0.9759</v>
      </c>
      <c r="M49" s="61">
        <v>0.9772</v>
      </c>
      <c r="N49" s="61">
        <v>0.9746</v>
      </c>
      <c r="O49" s="61">
        <v>0.9755</v>
      </c>
      <c r="P49" s="61">
        <v>0.9765</v>
      </c>
      <c r="Q49" s="61">
        <v>0.9733</v>
      </c>
      <c r="R49" s="61">
        <v>0.9711</v>
      </c>
      <c r="S49" s="61">
        <v>0.978</v>
      </c>
      <c r="T49" s="61">
        <v>0.976</v>
      </c>
      <c r="U49" s="61">
        <v>0.975</v>
      </c>
      <c r="V49" s="61"/>
      <c r="W49" s="61"/>
      <c r="X49" s="61"/>
      <c r="Y49" s="61"/>
      <c r="Z49" s="62" t="str">
        <f t="shared" ref="Z49:AO49" si="16">IF(J49="","",IF(J49&gt;($D49+$E49),(J49-$D49-$E49),IF(J49&lt;($D49+$F49),(J49-$D49-$F49),"√")))</f>
        <v>√</v>
      </c>
      <c r="AA49" s="62" t="str">
        <f t="shared" si="16"/>
        <v>√</v>
      </c>
      <c r="AB49" s="62" t="str">
        <f t="shared" si="16"/>
        <v>√</v>
      </c>
      <c r="AC49" s="62" t="str">
        <f t="shared" si="16"/>
        <v>√</v>
      </c>
      <c r="AD49" s="62" t="str">
        <f t="shared" si="16"/>
        <v>√</v>
      </c>
      <c r="AE49" s="62" t="str">
        <f t="shared" si="16"/>
        <v>√</v>
      </c>
      <c r="AF49" s="62" t="str">
        <f t="shared" si="16"/>
        <v>√</v>
      </c>
      <c r="AG49" s="62" t="str">
        <f t="shared" si="16"/>
        <v>√</v>
      </c>
      <c r="AH49" s="62" t="str">
        <f t="shared" si="16"/>
        <v>√</v>
      </c>
      <c r="AI49" s="62" t="str">
        <f t="shared" si="16"/>
        <v>√</v>
      </c>
      <c r="AJ49" s="62" t="str">
        <f t="shared" si="16"/>
        <v>√</v>
      </c>
      <c r="AK49" s="62" t="str">
        <f t="shared" si="16"/>
        <v>√</v>
      </c>
      <c r="AL49" s="62" t="str">
        <f t="shared" si="16"/>
        <v/>
      </c>
      <c r="AM49" s="62" t="str">
        <f t="shared" si="16"/>
        <v/>
      </c>
      <c r="AN49" s="62" t="str">
        <f t="shared" si="16"/>
        <v/>
      </c>
      <c r="AO49" s="62" t="str">
        <f t="shared" si="16"/>
        <v/>
      </c>
    </row>
    <row r="50" spans="1:41">
      <c r="A50" s="63"/>
      <c r="B50" s="59" t="s">
        <v>46</v>
      </c>
      <c r="C50" s="60" t="s">
        <v>47</v>
      </c>
      <c r="D50" s="60">
        <v>0</v>
      </c>
      <c r="E50" s="60">
        <v>0.03</v>
      </c>
      <c r="F50" s="60">
        <v>0</v>
      </c>
      <c r="G50" s="60">
        <f t="shared" si="11"/>
        <v>0.03</v>
      </c>
      <c r="H50" s="60">
        <f t="shared" si="12"/>
        <v>0</v>
      </c>
      <c r="I50" s="60" t="s">
        <v>31</v>
      </c>
      <c r="J50" s="61">
        <v>0.0006</v>
      </c>
      <c r="K50" s="61">
        <v>0.0014</v>
      </c>
      <c r="L50" s="61">
        <v>0.0013</v>
      </c>
      <c r="M50" s="61">
        <v>0.001</v>
      </c>
      <c r="N50" s="61">
        <v>0.0008</v>
      </c>
      <c r="O50" s="61">
        <v>0.0014</v>
      </c>
      <c r="P50" s="61">
        <v>0.0007</v>
      </c>
      <c r="Q50" s="61">
        <v>0.0008</v>
      </c>
      <c r="R50" s="61">
        <v>0.0015</v>
      </c>
      <c r="S50" s="61">
        <v>0.0022</v>
      </c>
      <c r="T50" s="61">
        <v>0.0024</v>
      </c>
      <c r="U50" s="61">
        <v>0.0006</v>
      </c>
      <c r="V50" s="61"/>
      <c r="W50" s="61"/>
      <c r="X50" s="61"/>
      <c r="Y50" s="61"/>
      <c r="Z50" s="62" t="str">
        <f t="shared" ref="Z50:AO50" si="17">IF(J50="","",IF(J50&gt;($D50+$E50),(J50-$D50-$E50),IF(J50&lt;($D50+$F50),(J50-$D50-$F50),"√")))</f>
        <v>√</v>
      </c>
      <c r="AA50" s="62" t="str">
        <f t="shared" si="17"/>
        <v>√</v>
      </c>
      <c r="AB50" s="62" t="str">
        <f t="shared" si="17"/>
        <v>√</v>
      </c>
      <c r="AC50" s="62" t="str">
        <f t="shared" si="17"/>
        <v>√</v>
      </c>
      <c r="AD50" s="62" t="str">
        <f t="shared" si="17"/>
        <v>√</v>
      </c>
      <c r="AE50" s="62" t="str">
        <f t="shared" si="17"/>
        <v>√</v>
      </c>
      <c r="AF50" s="62" t="str">
        <f t="shared" si="17"/>
        <v>√</v>
      </c>
      <c r="AG50" s="62" t="str">
        <f t="shared" si="17"/>
        <v>√</v>
      </c>
      <c r="AH50" s="62" t="str">
        <f t="shared" si="17"/>
        <v>√</v>
      </c>
      <c r="AI50" s="62" t="str">
        <f t="shared" si="17"/>
        <v>√</v>
      </c>
      <c r="AJ50" s="62" t="str">
        <f t="shared" si="17"/>
        <v>√</v>
      </c>
      <c r="AK50" s="62" t="str">
        <f t="shared" si="17"/>
        <v>√</v>
      </c>
      <c r="AL50" s="62" t="str">
        <f t="shared" si="17"/>
        <v/>
      </c>
      <c r="AM50" s="62" t="str">
        <f t="shared" si="17"/>
        <v/>
      </c>
      <c r="AN50" s="62" t="str">
        <f t="shared" si="17"/>
        <v/>
      </c>
      <c r="AO50" s="62" t="str">
        <f t="shared" si="17"/>
        <v/>
      </c>
    </row>
    <row r="51" spans="1:41">
      <c r="A51" s="63"/>
      <c r="B51" s="59">
        <v>1</v>
      </c>
      <c r="C51" s="60"/>
      <c r="D51" s="60"/>
      <c r="E51" s="60"/>
      <c r="F51" s="60"/>
      <c r="G51" s="60"/>
      <c r="H51" s="60"/>
      <c r="I51" s="60" t="s">
        <v>31</v>
      </c>
      <c r="J51" s="61">
        <v>-0.0002</v>
      </c>
      <c r="K51" s="61">
        <v>-0.0006</v>
      </c>
      <c r="L51" s="61">
        <v>-0.0005</v>
      </c>
      <c r="M51" s="61">
        <v>-0.0004</v>
      </c>
      <c r="N51" s="61">
        <v>-0.0003</v>
      </c>
      <c r="O51" s="61">
        <v>-0.0005</v>
      </c>
      <c r="P51" s="61">
        <v>-0.0003</v>
      </c>
      <c r="Q51" s="61">
        <v>-0.0003</v>
      </c>
      <c r="R51" s="61">
        <v>-0.0006</v>
      </c>
      <c r="S51" s="61">
        <v>-0.0009</v>
      </c>
      <c r="T51" s="61">
        <v>0.0009</v>
      </c>
      <c r="U51" s="61">
        <v>-0.0002</v>
      </c>
      <c r="V51" s="61"/>
      <c r="W51" s="61"/>
      <c r="X51" s="61"/>
      <c r="Y51" s="61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>
      <c r="A52" s="63"/>
      <c r="B52" s="59">
        <v>2</v>
      </c>
      <c r="C52" s="60"/>
      <c r="D52" s="60"/>
      <c r="E52" s="60"/>
      <c r="F52" s="60"/>
      <c r="G52" s="60"/>
      <c r="H52" s="60"/>
      <c r="I52" s="60" t="s">
        <v>31</v>
      </c>
      <c r="J52" s="61">
        <v>0.0002</v>
      </c>
      <c r="K52" s="61">
        <v>0.0006</v>
      </c>
      <c r="L52" s="61">
        <v>0.0005</v>
      </c>
      <c r="M52" s="61">
        <v>0.0004</v>
      </c>
      <c r="N52" s="61">
        <v>0.0003</v>
      </c>
      <c r="O52" s="61">
        <v>0.0005</v>
      </c>
      <c r="P52" s="61">
        <v>0.0003</v>
      </c>
      <c r="Q52" s="61">
        <v>0.0003</v>
      </c>
      <c r="R52" s="61">
        <v>0.0006</v>
      </c>
      <c r="S52" s="61">
        <v>0.0009</v>
      </c>
      <c r="T52" s="61">
        <v>-0.0009</v>
      </c>
      <c r="U52" s="61">
        <v>0.0002</v>
      </c>
      <c r="V52" s="61"/>
      <c r="W52" s="61"/>
      <c r="X52" s="61"/>
      <c r="Y52" s="61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>
      <c r="A53" s="63"/>
      <c r="B53" s="59">
        <v>3</v>
      </c>
      <c r="C53" s="60"/>
      <c r="D53" s="60"/>
      <c r="E53" s="60"/>
      <c r="F53" s="60"/>
      <c r="G53" s="60"/>
      <c r="H53" s="60"/>
      <c r="I53" s="60" t="s">
        <v>31</v>
      </c>
      <c r="J53" s="61">
        <v>0.0003</v>
      </c>
      <c r="K53" s="61">
        <v>0.0007</v>
      </c>
      <c r="L53" s="61">
        <v>0.0006</v>
      </c>
      <c r="M53" s="61">
        <v>0.0005</v>
      </c>
      <c r="N53" s="61">
        <v>0.0004</v>
      </c>
      <c r="O53" s="61">
        <v>0.0007</v>
      </c>
      <c r="P53" s="61">
        <v>0.0003</v>
      </c>
      <c r="Q53" s="61">
        <v>0.0004</v>
      </c>
      <c r="R53" s="61">
        <v>0.0008</v>
      </c>
      <c r="S53" s="61">
        <v>0.0011</v>
      </c>
      <c r="T53" s="61">
        <v>-0.0012</v>
      </c>
      <c r="U53" s="61">
        <v>0.0003</v>
      </c>
      <c r="V53" s="61"/>
      <c r="W53" s="61"/>
      <c r="X53" s="61"/>
      <c r="Y53" s="61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>
      <c r="A54" s="63"/>
      <c r="B54" s="59">
        <v>4</v>
      </c>
      <c r="C54" s="60"/>
      <c r="D54" s="60"/>
      <c r="E54" s="60"/>
      <c r="F54" s="60"/>
      <c r="G54" s="60"/>
      <c r="H54" s="60"/>
      <c r="I54" s="60" t="s">
        <v>31</v>
      </c>
      <c r="J54" s="61">
        <v>-0.0003</v>
      </c>
      <c r="K54" s="61">
        <v>-0.0007</v>
      </c>
      <c r="L54" s="61">
        <v>-0.0006</v>
      </c>
      <c r="M54" s="61">
        <v>-0.0005</v>
      </c>
      <c r="N54" s="61">
        <v>-0.0004</v>
      </c>
      <c r="O54" s="61">
        <v>-0.0007</v>
      </c>
      <c r="P54" s="61">
        <v>-0.0003</v>
      </c>
      <c r="Q54" s="61">
        <v>-0.0004</v>
      </c>
      <c r="R54" s="61">
        <v>-0.0008</v>
      </c>
      <c r="S54" s="61">
        <v>-0.0011</v>
      </c>
      <c r="T54" s="61">
        <v>0.0012</v>
      </c>
      <c r="U54" s="61">
        <v>-0.0003</v>
      </c>
      <c r="V54" s="61"/>
      <c r="W54" s="61"/>
      <c r="X54" s="61"/>
      <c r="Y54" s="61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>
      <c r="A55" s="63"/>
      <c r="B55" s="59" t="s">
        <v>48</v>
      </c>
      <c r="C55" s="60"/>
      <c r="D55" s="60">
        <v>0</v>
      </c>
      <c r="E55" s="60">
        <v>0.08</v>
      </c>
      <c r="F55" s="60">
        <v>0</v>
      </c>
      <c r="G55" s="60">
        <f>D55+E55</f>
        <v>0.08</v>
      </c>
      <c r="H55" s="60">
        <f>D55+F55</f>
        <v>0</v>
      </c>
      <c r="I55" s="60" t="s">
        <v>31</v>
      </c>
      <c r="J55" s="61">
        <v>0.0117</v>
      </c>
      <c r="K55" s="61">
        <v>0.0046</v>
      </c>
      <c r="L55" s="61">
        <v>0.0051</v>
      </c>
      <c r="M55" s="61">
        <v>0.0063</v>
      </c>
      <c r="N55" s="61">
        <v>0.0073</v>
      </c>
      <c r="O55" s="61">
        <v>0.0071</v>
      </c>
      <c r="P55" s="61">
        <v>0.0057</v>
      </c>
      <c r="Q55" s="61">
        <v>0.0071</v>
      </c>
      <c r="R55" s="61">
        <v>0.0075</v>
      </c>
      <c r="S55" s="61">
        <v>0.0101</v>
      </c>
      <c r="T55" s="61">
        <v>0.0093</v>
      </c>
      <c r="U55" s="61">
        <v>0.0078</v>
      </c>
      <c r="V55" s="61"/>
      <c r="W55" s="61"/>
      <c r="X55" s="61"/>
      <c r="Y55" s="61"/>
      <c r="Z55" s="62" t="str">
        <f t="shared" ref="Z55:AO55" si="18">IF(J55="","",IF(J55&gt;($D55+$E55),(J55-$D55-$E55),IF(J55&lt;($D55+$F55),(J55-$D55-$F55),"√")))</f>
        <v>√</v>
      </c>
      <c r="AA55" s="62" t="str">
        <f t="shared" si="18"/>
        <v>√</v>
      </c>
      <c r="AB55" s="62" t="str">
        <f t="shared" si="18"/>
        <v>√</v>
      </c>
      <c r="AC55" s="62" t="str">
        <f t="shared" si="18"/>
        <v>√</v>
      </c>
      <c r="AD55" s="62" t="str">
        <f t="shared" si="18"/>
        <v>√</v>
      </c>
      <c r="AE55" s="62" t="str">
        <f t="shared" si="18"/>
        <v>√</v>
      </c>
      <c r="AF55" s="62" t="str">
        <f t="shared" si="18"/>
        <v>√</v>
      </c>
      <c r="AG55" s="62" t="str">
        <f t="shared" si="18"/>
        <v>√</v>
      </c>
      <c r="AH55" s="62" t="str">
        <f t="shared" si="18"/>
        <v>√</v>
      </c>
      <c r="AI55" s="62" t="str">
        <f t="shared" si="18"/>
        <v>√</v>
      </c>
      <c r="AJ55" s="62" t="str">
        <f t="shared" si="18"/>
        <v>√</v>
      </c>
      <c r="AK55" s="62" t="str">
        <f t="shared" si="18"/>
        <v>√</v>
      </c>
      <c r="AL55" s="62" t="str">
        <f t="shared" si="18"/>
        <v/>
      </c>
      <c r="AM55" s="62" t="str">
        <f t="shared" si="18"/>
        <v/>
      </c>
      <c r="AN55" s="62" t="str">
        <f t="shared" si="18"/>
        <v/>
      </c>
      <c r="AO55" s="62" t="str">
        <f t="shared" si="18"/>
        <v/>
      </c>
    </row>
    <row r="56" spans="1:41">
      <c r="A56" s="63"/>
      <c r="B56" s="59">
        <v>1</v>
      </c>
      <c r="C56" s="60"/>
      <c r="D56" s="60"/>
      <c r="E56" s="60"/>
      <c r="F56" s="60"/>
      <c r="G56" s="60"/>
      <c r="H56" s="60"/>
      <c r="I56" s="60" t="s">
        <v>31</v>
      </c>
      <c r="J56" s="61">
        <v>0.0059</v>
      </c>
      <c r="K56" s="61">
        <v>-0.0015</v>
      </c>
      <c r="L56" s="61">
        <v>-0.0023</v>
      </c>
      <c r="M56" s="61">
        <v>-0.0031</v>
      </c>
      <c r="N56" s="61">
        <v>-0.0032</v>
      </c>
      <c r="O56" s="61">
        <v>-0.0006</v>
      </c>
      <c r="P56" s="61">
        <v>-0.0026</v>
      </c>
      <c r="Q56" s="61">
        <v>-0.0025</v>
      </c>
      <c r="R56" s="61">
        <v>-0.0025</v>
      </c>
      <c r="S56" s="61">
        <v>-0.0051</v>
      </c>
      <c r="T56" s="61">
        <v>-0.0045</v>
      </c>
      <c r="U56" s="61">
        <v>-0.0039</v>
      </c>
      <c r="V56" s="61"/>
      <c r="W56" s="61"/>
      <c r="X56" s="61"/>
      <c r="Y56" s="61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>
      <c r="A57" s="63"/>
      <c r="B57" s="59">
        <v>2</v>
      </c>
      <c r="C57" s="60"/>
      <c r="D57" s="60"/>
      <c r="E57" s="60"/>
      <c r="F57" s="60"/>
      <c r="G57" s="60"/>
      <c r="H57" s="60"/>
      <c r="I57" s="60" t="s">
        <v>31</v>
      </c>
      <c r="J57" s="61">
        <v>0.0004</v>
      </c>
      <c r="K57" s="61">
        <v>-0.0023</v>
      </c>
      <c r="L57" s="61">
        <v>-0.0026</v>
      </c>
      <c r="M57" s="61">
        <v>-0.0017</v>
      </c>
      <c r="N57" s="61">
        <v>-0.0036</v>
      </c>
      <c r="O57" s="61">
        <v>-0.0036</v>
      </c>
      <c r="P57" s="61">
        <v>-0.0028</v>
      </c>
      <c r="Q57" s="61">
        <v>-0.0036</v>
      </c>
      <c r="R57" s="61">
        <v>-0.0038</v>
      </c>
      <c r="S57" s="61">
        <v>-0.0044</v>
      </c>
      <c r="T57" s="61">
        <v>-0.0047</v>
      </c>
      <c r="U57" s="61">
        <v>-0.0035</v>
      </c>
      <c r="V57" s="61"/>
      <c r="W57" s="61"/>
      <c r="X57" s="61"/>
      <c r="Y57" s="61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>
      <c r="A58" s="63"/>
      <c r="B58" s="59">
        <v>3</v>
      </c>
      <c r="C58" s="60"/>
      <c r="D58" s="60"/>
      <c r="E58" s="60"/>
      <c r="F58" s="60"/>
      <c r="G58" s="60"/>
      <c r="H58" s="60"/>
      <c r="I58" s="60" t="s">
        <v>31</v>
      </c>
      <c r="J58" s="61">
        <v>0.0011</v>
      </c>
      <c r="K58" s="61">
        <v>0.0008</v>
      </c>
      <c r="L58" s="61">
        <v>0.0021</v>
      </c>
      <c r="M58" s="61">
        <v>0.002</v>
      </c>
      <c r="N58" s="61">
        <v>0.0031</v>
      </c>
      <c r="O58" s="61">
        <v>0.0036</v>
      </c>
      <c r="P58" s="61">
        <v>0.0028</v>
      </c>
      <c r="Q58" s="61">
        <v>-0.0008</v>
      </c>
      <c r="R58" s="61">
        <v>0.002</v>
      </c>
      <c r="S58" s="61">
        <v>-0.0013</v>
      </c>
      <c r="T58" s="61">
        <v>0.001</v>
      </c>
      <c r="U58" s="61">
        <v>-0.0016</v>
      </c>
      <c r="V58" s="61"/>
      <c r="W58" s="61"/>
      <c r="X58" s="61"/>
      <c r="Y58" s="61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>
      <c r="A59" s="63"/>
      <c r="B59" s="59">
        <v>4</v>
      </c>
      <c r="C59" s="60"/>
      <c r="D59" s="60"/>
      <c r="E59" s="60"/>
      <c r="F59" s="60"/>
      <c r="G59" s="60"/>
      <c r="H59" s="60"/>
      <c r="I59" s="60" t="s">
        <v>31</v>
      </c>
      <c r="J59" s="61">
        <v>0.0011</v>
      </c>
      <c r="K59" s="61">
        <v>0.0023</v>
      </c>
      <c r="L59" s="61">
        <v>0.0026</v>
      </c>
      <c r="M59" s="61">
        <v>0.0031</v>
      </c>
      <c r="N59" s="61">
        <v>0.0036</v>
      </c>
      <c r="O59" s="61">
        <v>0.0031</v>
      </c>
      <c r="P59" s="61">
        <v>0.0021</v>
      </c>
      <c r="Q59" s="61">
        <v>0.0006</v>
      </c>
      <c r="R59" s="61">
        <v>0.0019</v>
      </c>
      <c r="S59" s="61">
        <v>-0.0014</v>
      </c>
      <c r="T59" s="61">
        <v>0.0002</v>
      </c>
      <c r="U59" s="61">
        <v>-0.0014</v>
      </c>
      <c r="V59" s="61"/>
      <c r="W59" s="61"/>
      <c r="X59" s="61"/>
      <c r="Y59" s="61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>
      <c r="A60" s="63"/>
      <c r="B60" s="59">
        <v>5</v>
      </c>
      <c r="C60" s="60"/>
      <c r="D60" s="60"/>
      <c r="E60" s="60"/>
      <c r="F60" s="60"/>
      <c r="G60" s="60"/>
      <c r="H60" s="60"/>
      <c r="I60" s="60" t="s">
        <v>31</v>
      </c>
      <c r="J60" s="61">
        <v>-0.0019</v>
      </c>
      <c r="K60" s="61">
        <v>-0.0002</v>
      </c>
      <c r="L60" s="61">
        <v>-0.0011</v>
      </c>
      <c r="M60" s="61">
        <v>-0.0006</v>
      </c>
      <c r="N60" s="61">
        <v>0.0009</v>
      </c>
      <c r="O60" s="61">
        <v>0.0032</v>
      </c>
      <c r="P60" s="61">
        <v>0.0028</v>
      </c>
      <c r="Q60" s="61">
        <v>0.0036</v>
      </c>
      <c r="R60" s="61">
        <v>0.0038</v>
      </c>
      <c r="S60" s="61">
        <v>0.0044</v>
      </c>
      <c r="T60" s="61">
        <v>0.0047</v>
      </c>
      <c r="U60" s="61">
        <v>0.0039</v>
      </c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>
      <c r="A61" s="63"/>
      <c r="B61" s="59">
        <v>6</v>
      </c>
      <c r="C61" s="60"/>
      <c r="D61" s="60"/>
      <c r="E61" s="60"/>
      <c r="F61" s="60"/>
      <c r="G61" s="60"/>
      <c r="H61" s="60"/>
      <c r="I61" s="60" t="s">
        <v>31</v>
      </c>
      <c r="J61" s="61">
        <v>-0.0015</v>
      </c>
      <c r="K61" s="61">
        <v>0.0001</v>
      </c>
      <c r="L61" s="61">
        <v>-0.0012</v>
      </c>
      <c r="M61" s="61">
        <v>-0.0006</v>
      </c>
      <c r="N61" s="61">
        <v>-0.0006</v>
      </c>
      <c r="O61" s="61">
        <v>0.0019</v>
      </c>
      <c r="P61" s="61">
        <v>0.0011</v>
      </c>
      <c r="Q61" s="61">
        <v>0.003</v>
      </c>
      <c r="R61" s="61">
        <v>0.003</v>
      </c>
      <c r="S61" s="61">
        <v>0.0051</v>
      </c>
      <c r="T61" s="61">
        <v>0.0033</v>
      </c>
      <c r="U61" s="61">
        <v>0.0032</v>
      </c>
      <c r="V61" s="61"/>
      <c r="W61" s="61"/>
      <c r="X61" s="61"/>
      <c r="Y61" s="61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>
      <c r="A62" s="63"/>
      <c r="B62" s="59">
        <v>7</v>
      </c>
      <c r="C62" s="60"/>
      <c r="D62" s="60"/>
      <c r="E62" s="60"/>
      <c r="F62" s="60"/>
      <c r="G62" s="60"/>
      <c r="H62" s="60"/>
      <c r="I62" s="60" t="s">
        <v>31</v>
      </c>
      <c r="J62" s="61">
        <v>-0.0037</v>
      </c>
      <c r="K62" s="61">
        <v>-0.0019</v>
      </c>
      <c r="L62" s="61">
        <v>-0.0012</v>
      </c>
      <c r="M62" s="61">
        <v>-0.0017</v>
      </c>
      <c r="N62" s="61">
        <v>-0.0019</v>
      </c>
      <c r="O62" s="61">
        <v>0.001</v>
      </c>
      <c r="P62" s="61">
        <v>-0.0015</v>
      </c>
      <c r="Q62" s="61">
        <v>-0.001</v>
      </c>
      <c r="R62" s="61">
        <v>-0.0007</v>
      </c>
      <c r="S62" s="61">
        <v>-0.0001</v>
      </c>
      <c r="T62" s="61">
        <v>0.0014</v>
      </c>
      <c r="U62" s="61">
        <v>-0.001</v>
      </c>
      <c r="V62" s="61"/>
      <c r="W62" s="61"/>
      <c r="X62" s="61"/>
      <c r="Y62" s="61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>
      <c r="A63" s="63"/>
      <c r="B63" s="59">
        <v>8</v>
      </c>
      <c r="C63" s="60"/>
      <c r="D63" s="60"/>
      <c r="E63" s="60"/>
      <c r="F63" s="60"/>
      <c r="G63" s="60"/>
      <c r="H63" s="60"/>
      <c r="I63" s="60" t="s">
        <v>31</v>
      </c>
      <c r="J63" s="61">
        <v>-0.0059</v>
      </c>
      <c r="K63" s="61">
        <v>-0.0008</v>
      </c>
      <c r="L63" s="61">
        <v>-0.0018</v>
      </c>
      <c r="M63" s="61">
        <v>-0.0019</v>
      </c>
      <c r="N63" s="61">
        <v>-0.0027</v>
      </c>
      <c r="O63" s="61">
        <v>0.0031</v>
      </c>
      <c r="P63" s="61">
        <v>-0.0021</v>
      </c>
      <c r="Q63" s="61">
        <v>-0.0014</v>
      </c>
      <c r="R63" s="61">
        <v>-0.0002</v>
      </c>
      <c r="S63" s="61">
        <v>0.0005</v>
      </c>
      <c r="T63" s="61">
        <v>0.0014</v>
      </c>
      <c r="U63" s="61">
        <v>-0.0007</v>
      </c>
      <c r="V63" s="61"/>
      <c r="W63" s="61"/>
      <c r="X63" s="61"/>
      <c r="Y63" s="61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>
      <c r="A64" s="63"/>
      <c r="B64" s="59" t="s">
        <v>49</v>
      </c>
      <c r="C64" s="60"/>
      <c r="D64" s="60">
        <v>2</v>
      </c>
      <c r="E64" s="60">
        <v>0.05</v>
      </c>
      <c r="F64" s="60">
        <v>-0.05</v>
      </c>
      <c r="G64" s="60">
        <f t="shared" ref="G64:G71" si="19">D64+E64</f>
        <v>2.05</v>
      </c>
      <c r="H64" s="60">
        <f t="shared" ref="H64:H71" si="20">D64+F64</f>
        <v>1.95</v>
      </c>
      <c r="I64" s="60" t="s">
        <v>50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2" t="str">
        <f t="shared" ref="Z64:AO64" si="21">IF(J64="","",IF(J64&gt;($D64+$E64),(J64-$D64-$E64),IF(J64&lt;($D64+$F64),(J64-$D64-$F64),"√")))</f>
        <v/>
      </c>
      <c r="AA64" s="62" t="str">
        <f t="shared" si="21"/>
        <v/>
      </c>
      <c r="AB64" s="62" t="str">
        <f t="shared" si="21"/>
        <v/>
      </c>
      <c r="AC64" s="62" t="str">
        <f t="shared" si="21"/>
        <v/>
      </c>
      <c r="AD64" s="62" t="str">
        <f t="shared" si="21"/>
        <v/>
      </c>
      <c r="AE64" s="62" t="str">
        <f t="shared" si="21"/>
        <v/>
      </c>
      <c r="AF64" s="62" t="str">
        <f t="shared" si="21"/>
        <v/>
      </c>
      <c r="AG64" s="62" t="str">
        <f t="shared" si="21"/>
        <v/>
      </c>
      <c r="AH64" s="62" t="str">
        <f t="shared" si="21"/>
        <v/>
      </c>
      <c r="AI64" s="62" t="str">
        <f t="shared" si="21"/>
        <v/>
      </c>
      <c r="AJ64" s="62" t="str">
        <f t="shared" si="21"/>
        <v/>
      </c>
      <c r="AK64" s="62" t="str">
        <f t="shared" si="21"/>
        <v/>
      </c>
      <c r="AL64" s="62" t="str">
        <f t="shared" si="21"/>
        <v/>
      </c>
      <c r="AM64" s="62" t="str">
        <f t="shared" si="21"/>
        <v/>
      </c>
      <c r="AN64" s="62" t="str">
        <f t="shared" si="21"/>
        <v/>
      </c>
      <c r="AO64" s="62" t="str">
        <f t="shared" si="21"/>
        <v/>
      </c>
    </row>
    <row r="65" spans="1:41">
      <c r="A65" s="63"/>
      <c r="B65" s="59" t="s">
        <v>51</v>
      </c>
      <c r="C65" s="60"/>
      <c r="D65" s="60">
        <v>2</v>
      </c>
      <c r="E65" s="60">
        <v>0.05</v>
      </c>
      <c r="F65" s="60">
        <v>-0.05</v>
      </c>
      <c r="G65" s="60">
        <f t="shared" si="19"/>
        <v>2.05</v>
      </c>
      <c r="H65" s="60">
        <f t="shared" si="20"/>
        <v>1.95</v>
      </c>
      <c r="I65" s="60" t="s">
        <v>50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2" t="str">
        <f t="shared" ref="Z65:AO65" si="22">IF(J65="","",IF(J65&gt;($D65+$E65),(J65-$D65-$E65),IF(J65&lt;($D65+$F65),(J65-$D65-$F65),"√")))</f>
        <v/>
      </c>
      <c r="AA65" s="62" t="str">
        <f t="shared" si="22"/>
        <v/>
      </c>
      <c r="AB65" s="62" t="str">
        <f t="shared" si="22"/>
        <v/>
      </c>
      <c r="AC65" s="62" t="str">
        <f t="shared" si="22"/>
        <v/>
      </c>
      <c r="AD65" s="62" t="str">
        <f t="shared" si="22"/>
        <v/>
      </c>
      <c r="AE65" s="62" t="str">
        <f t="shared" si="22"/>
        <v/>
      </c>
      <c r="AF65" s="62" t="str">
        <f t="shared" si="22"/>
        <v/>
      </c>
      <c r="AG65" s="62" t="str">
        <f t="shared" si="22"/>
        <v/>
      </c>
      <c r="AH65" s="62" t="str">
        <f t="shared" si="22"/>
        <v/>
      </c>
      <c r="AI65" s="62" t="str">
        <f t="shared" si="22"/>
        <v/>
      </c>
      <c r="AJ65" s="62" t="str">
        <f t="shared" si="22"/>
        <v/>
      </c>
      <c r="AK65" s="62" t="str">
        <f t="shared" si="22"/>
        <v/>
      </c>
      <c r="AL65" s="62" t="str">
        <f t="shared" si="22"/>
        <v/>
      </c>
      <c r="AM65" s="62" t="str">
        <f t="shared" si="22"/>
        <v/>
      </c>
      <c r="AN65" s="62" t="str">
        <f t="shared" si="22"/>
        <v/>
      </c>
      <c r="AO65" s="62" t="str">
        <f t="shared" si="22"/>
        <v/>
      </c>
    </row>
    <row r="66" spans="1:41">
      <c r="A66" s="63"/>
      <c r="B66" s="59" t="s">
        <v>52</v>
      </c>
      <c r="C66" s="60" t="s">
        <v>53</v>
      </c>
      <c r="D66" s="60">
        <v>0.935</v>
      </c>
      <c r="E66" s="60">
        <v>0.015</v>
      </c>
      <c r="F66" s="60">
        <v>-0.015</v>
      </c>
      <c r="G66" s="60">
        <f t="shared" si="19"/>
        <v>0.95</v>
      </c>
      <c r="H66" s="60">
        <f t="shared" si="20"/>
        <v>0.92</v>
      </c>
      <c r="I66" s="60" t="s">
        <v>54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2" t="str">
        <f t="shared" ref="Z66:AO66" si="23">IF(J66="","",IF(J66&gt;($D66+$E66),(J66-$D66-$E66),IF(J66&lt;($D66+$F66),(J66-$D66-$F66),"√")))</f>
        <v/>
      </c>
      <c r="AA66" s="62" t="str">
        <f t="shared" si="23"/>
        <v/>
      </c>
      <c r="AB66" s="62" t="str">
        <f t="shared" si="23"/>
        <v/>
      </c>
      <c r="AC66" s="62" t="str">
        <f t="shared" si="23"/>
        <v/>
      </c>
      <c r="AD66" s="62" t="str">
        <f t="shared" si="23"/>
        <v/>
      </c>
      <c r="AE66" s="62" t="str">
        <f t="shared" si="23"/>
        <v/>
      </c>
      <c r="AF66" s="62" t="str">
        <f t="shared" si="23"/>
        <v/>
      </c>
      <c r="AG66" s="62" t="str">
        <f t="shared" si="23"/>
        <v/>
      </c>
      <c r="AH66" s="62" t="str">
        <f t="shared" si="23"/>
        <v/>
      </c>
      <c r="AI66" s="62" t="str">
        <f t="shared" si="23"/>
        <v/>
      </c>
      <c r="AJ66" s="62" t="str">
        <f t="shared" si="23"/>
        <v/>
      </c>
      <c r="AK66" s="62" t="str">
        <f t="shared" si="23"/>
        <v/>
      </c>
      <c r="AL66" s="62" t="str">
        <f t="shared" si="23"/>
        <v/>
      </c>
      <c r="AM66" s="62" t="str">
        <f t="shared" si="23"/>
        <v/>
      </c>
      <c r="AN66" s="62" t="str">
        <f t="shared" si="23"/>
        <v/>
      </c>
      <c r="AO66" s="62" t="str">
        <f t="shared" si="23"/>
        <v/>
      </c>
    </row>
    <row r="67" spans="1:41">
      <c r="A67" s="63"/>
      <c r="B67" s="59" t="s">
        <v>55</v>
      </c>
      <c r="C67" s="60"/>
      <c r="D67" s="60">
        <v>2.1</v>
      </c>
      <c r="E67" s="60">
        <v>0.03</v>
      </c>
      <c r="F67" s="60">
        <v>-0.03</v>
      </c>
      <c r="G67" s="60">
        <f t="shared" si="19"/>
        <v>2.13</v>
      </c>
      <c r="H67" s="60">
        <f t="shared" si="20"/>
        <v>2.07</v>
      </c>
      <c r="I67" s="60" t="s">
        <v>50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2" t="str">
        <f t="shared" ref="Z67:AO67" si="24">IF(J67="","",IF(J67&gt;($D67+$E67),(J67-$D67-$E67),IF(J67&lt;($D67+$F67),(J67-$D67-$F67),"√")))</f>
        <v/>
      </c>
      <c r="AA67" s="62" t="str">
        <f t="shared" si="24"/>
        <v/>
      </c>
      <c r="AB67" s="62" t="str">
        <f t="shared" si="24"/>
        <v/>
      </c>
      <c r="AC67" s="62" t="str">
        <f t="shared" si="24"/>
        <v/>
      </c>
      <c r="AD67" s="62" t="str">
        <f t="shared" si="24"/>
        <v/>
      </c>
      <c r="AE67" s="62" t="str">
        <f t="shared" si="24"/>
        <v/>
      </c>
      <c r="AF67" s="62" t="str">
        <f t="shared" si="24"/>
        <v/>
      </c>
      <c r="AG67" s="62" t="str">
        <f t="shared" si="24"/>
        <v/>
      </c>
      <c r="AH67" s="62" t="str">
        <f t="shared" si="24"/>
        <v/>
      </c>
      <c r="AI67" s="62" t="str">
        <f t="shared" si="24"/>
        <v/>
      </c>
      <c r="AJ67" s="62" t="str">
        <f t="shared" si="24"/>
        <v/>
      </c>
      <c r="AK67" s="62" t="str">
        <f t="shared" si="24"/>
        <v/>
      </c>
      <c r="AL67" s="62" t="str">
        <f t="shared" si="24"/>
        <v/>
      </c>
      <c r="AM67" s="62" t="str">
        <f t="shared" si="24"/>
        <v/>
      </c>
      <c r="AN67" s="62" t="str">
        <f t="shared" si="24"/>
        <v/>
      </c>
      <c r="AO67" s="62" t="str">
        <f t="shared" si="24"/>
        <v/>
      </c>
    </row>
    <row r="68" spans="1:41">
      <c r="A68" s="63"/>
      <c r="B68" s="59" t="s">
        <v>56</v>
      </c>
      <c r="C68" s="60"/>
      <c r="D68" s="60">
        <v>2.1</v>
      </c>
      <c r="E68" s="60">
        <v>0.03</v>
      </c>
      <c r="F68" s="60">
        <v>-0.03</v>
      </c>
      <c r="G68" s="60">
        <f t="shared" si="19"/>
        <v>2.13</v>
      </c>
      <c r="H68" s="60">
        <f t="shared" si="20"/>
        <v>2.07</v>
      </c>
      <c r="I68" s="60" t="s">
        <v>50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2" t="str">
        <f t="shared" ref="Z68:AO68" si="25">IF(J68="","",IF(J68&gt;($D68+$E68),(J68-$D68-$E68),IF(J68&lt;($D68+$F68),(J68-$D68-$F68),"√")))</f>
        <v/>
      </c>
      <c r="AA68" s="62" t="str">
        <f t="shared" si="25"/>
        <v/>
      </c>
      <c r="AB68" s="62" t="str">
        <f t="shared" si="25"/>
        <v/>
      </c>
      <c r="AC68" s="62" t="str">
        <f t="shared" si="25"/>
        <v/>
      </c>
      <c r="AD68" s="62" t="str">
        <f t="shared" si="25"/>
        <v/>
      </c>
      <c r="AE68" s="62" t="str">
        <f t="shared" si="25"/>
        <v/>
      </c>
      <c r="AF68" s="62" t="str">
        <f t="shared" si="25"/>
        <v/>
      </c>
      <c r="AG68" s="62" t="str">
        <f t="shared" si="25"/>
        <v/>
      </c>
      <c r="AH68" s="62" t="str">
        <f t="shared" si="25"/>
        <v/>
      </c>
      <c r="AI68" s="62" t="str">
        <f t="shared" si="25"/>
        <v/>
      </c>
      <c r="AJ68" s="62" t="str">
        <f t="shared" si="25"/>
        <v/>
      </c>
      <c r="AK68" s="62" t="str">
        <f t="shared" si="25"/>
        <v/>
      </c>
      <c r="AL68" s="62" t="str">
        <f t="shared" si="25"/>
        <v/>
      </c>
      <c r="AM68" s="62" t="str">
        <f t="shared" si="25"/>
        <v/>
      </c>
      <c r="AN68" s="62" t="str">
        <f t="shared" si="25"/>
        <v/>
      </c>
      <c r="AO68" s="62" t="str">
        <f t="shared" si="25"/>
        <v/>
      </c>
    </row>
    <row r="69" spans="1:41">
      <c r="A69" s="63"/>
      <c r="B69" s="59" t="s">
        <v>57</v>
      </c>
      <c r="C69" s="60"/>
      <c r="D69" s="60">
        <v>0.98</v>
      </c>
      <c r="E69" s="60">
        <v>0.03</v>
      </c>
      <c r="F69" s="60">
        <v>-0.03</v>
      </c>
      <c r="G69" s="60">
        <f t="shared" si="19"/>
        <v>1.01</v>
      </c>
      <c r="H69" s="60">
        <f t="shared" si="20"/>
        <v>0.95</v>
      </c>
      <c r="I69" s="60" t="s">
        <v>58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2" t="str">
        <f t="shared" ref="Z69:AO69" si="26">IF(J69="","",IF(J69&gt;($D69+$E69),(J69-$D69-$E69),IF(J69&lt;($D69+$F69),(J69-$D69-$F69),"√")))</f>
        <v/>
      </c>
      <c r="AA69" s="62" t="str">
        <f t="shared" si="26"/>
        <v/>
      </c>
      <c r="AB69" s="62" t="str">
        <f t="shared" si="26"/>
        <v/>
      </c>
      <c r="AC69" s="62" t="str">
        <f t="shared" si="26"/>
        <v/>
      </c>
      <c r="AD69" s="62" t="str">
        <f t="shared" si="26"/>
        <v/>
      </c>
      <c r="AE69" s="62" t="str">
        <f t="shared" si="26"/>
        <v/>
      </c>
      <c r="AF69" s="62" t="str">
        <f t="shared" si="26"/>
        <v/>
      </c>
      <c r="AG69" s="62" t="str">
        <f t="shared" si="26"/>
        <v/>
      </c>
      <c r="AH69" s="62" t="str">
        <f t="shared" si="26"/>
        <v/>
      </c>
      <c r="AI69" s="62" t="str">
        <f t="shared" si="26"/>
        <v/>
      </c>
      <c r="AJ69" s="62" t="str">
        <f t="shared" si="26"/>
        <v/>
      </c>
      <c r="AK69" s="62" t="str">
        <f t="shared" si="26"/>
        <v/>
      </c>
      <c r="AL69" s="62" t="str">
        <f t="shared" si="26"/>
        <v/>
      </c>
      <c r="AM69" s="62" t="str">
        <f t="shared" si="26"/>
        <v/>
      </c>
      <c r="AN69" s="62" t="str">
        <f t="shared" si="26"/>
        <v/>
      </c>
      <c r="AO69" s="62" t="str">
        <f t="shared" si="26"/>
        <v/>
      </c>
    </row>
    <row r="70" spans="1:41">
      <c r="A70" s="63"/>
      <c r="B70" s="59" t="s">
        <v>59</v>
      </c>
      <c r="C70" s="60"/>
      <c r="D70" s="60">
        <v>0.98</v>
      </c>
      <c r="E70" s="60">
        <v>0.03</v>
      </c>
      <c r="F70" s="60">
        <v>-0.03</v>
      </c>
      <c r="G70" s="60">
        <f t="shared" si="19"/>
        <v>1.01</v>
      </c>
      <c r="H70" s="60">
        <f t="shared" si="20"/>
        <v>0.95</v>
      </c>
      <c r="I70" s="60" t="s">
        <v>58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2" t="str">
        <f t="shared" ref="Z70:AO70" si="27">IF(J70="","",IF(J70&gt;($D70+$E70),(J70-$D70-$E70),IF(J70&lt;($D70+$F70),(J70-$D70-$F70),"√")))</f>
        <v/>
      </c>
      <c r="AA70" s="62" t="str">
        <f t="shared" si="27"/>
        <v/>
      </c>
      <c r="AB70" s="62" t="str">
        <f t="shared" si="27"/>
        <v/>
      </c>
      <c r="AC70" s="62" t="str">
        <f t="shared" si="27"/>
        <v/>
      </c>
      <c r="AD70" s="62" t="str">
        <f t="shared" si="27"/>
        <v/>
      </c>
      <c r="AE70" s="62" t="str">
        <f t="shared" si="27"/>
        <v/>
      </c>
      <c r="AF70" s="62" t="str">
        <f t="shared" si="27"/>
        <v/>
      </c>
      <c r="AG70" s="62" t="str">
        <f t="shared" si="27"/>
        <v/>
      </c>
      <c r="AH70" s="62" t="str">
        <f t="shared" si="27"/>
        <v/>
      </c>
      <c r="AI70" s="62" t="str">
        <f t="shared" si="27"/>
        <v/>
      </c>
      <c r="AJ70" s="62" t="str">
        <f t="shared" si="27"/>
        <v/>
      </c>
      <c r="AK70" s="62" t="str">
        <f t="shared" si="27"/>
        <v/>
      </c>
      <c r="AL70" s="62" t="str">
        <f t="shared" si="27"/>
        <v/>
      </c>
      <c r="AM70" s="62" t="str">
        <f t="shared" si="27"/>
        <v/>
      </c>
      <c r="AN70" s="62" t="str">
        <f t="shared" si="27"/>
        <v/>
      </c>
      <c r="AO70" s="62" t="str">
        <f t="shared" si="27"/>
        <v/>
      </c>
    </row>
    <row r="71" spans="1:41">
      <c r="A71" s="64"/>
      <c r="B71" s="59" t="s">
        <v>60</v>
      </c>
      <c r="C71" s="60"/>
      <c r="D71" s="60">
        <v>0.98</v>
      </c>
      <c r="E71" s="60">
        <v>0.03</v>
      </c>
      <c r="F71" s="60">
        <v>-0.03</v>
      </c>
      <c r="G71" s="60">
        <f t="shared" si="19"/>
        <v>1.01</v>
      </c>
      <c r="H71" s="60">
        <f t="shared" si="20"/>
        <v>0.95</v>
      </c>
      <c r="I71" s="60" t="s">
        <v>58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2" t="str">
        <f t="shared" ref="Z71:AO71" si="28">IF(J71="","",IF(J71&gt;($D71+$E71),(J71-$D71-$E71),IF(J71&lt;($D71+$F71),(J71-$D71-$F71),"√")))</f>
        <v/>
      </c>
      <c r="AA71" s="62" t="str">
        <f t="shared" si="28"/>
        <v/>
      </c>
      <c r="AB71" s="62" t="str">
        <f t="shared" si="28"/>
        <v/>
      </c>
      <c r="AC71" s="62" t="str">
        <f t="shared" si="28"/>
        <v/>
      </c>
      <c r="AD71" s="62" t="str">
        <f t="shared" si="28"/>
        <v/>
      </c>
      <c r="AE71" s="62" t="str">
        <f t="shared" si="28"/>
        <v/>
      </c>
      <c r="AF71" s="62" t="str">
        <f t="shared" si="28"/>
        <v/>
      </c>
      <c r="AG71" s="62" t="str">
        <f t="shared" si="28"/>
        <v/>
      </c>
      <c r="AH71" s="62" t="str">
        <f t="shared" si="28"/>
        <v/>
      </c>
      <c r="AI71" s="62" t="str">
        <f t="shared" si="28"/>
        <v/>
      </c>
      <c r="AJ71" s="62" t="str">
        <f t="shared" si="28"/>
        <v/>
      </c>
      <c r="AK71" s="62" t="str">
        <f t="shared" si="28"/>
        <v/>
      </c>
      <c r="AL71" s="62" t="str">
        <f t="shared" si="28"/>
        <v/>
      </c>
      <c r="AM71" s="62" t="str">
        <f t="shared" si="28"/>
        <v/>
      </c>
      <c r="AN71" s="62" t="str">
        <f t="shared" si="28"/>
        <v/>
      </c>
      <c r="AO71" s="62" t="str">
        <f t="shared" si="28"/>
        <v/>
      </c>
    </row>
    <row r="72" s="1" customFormat="1" ht="13.5" spans="1:4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7"/>
      <c r="AL72" s="68"/>
      <c r="AM72" s="69"/>
      <c r="AN72" s="70"/>
      <c r="AO72" s="71"/>
    </row>
    <row r="73" spans="1:41">
      <c r="D73"/>
      <c r="E73"/>
      <c r="F73"/>
      <c r="G73"/>
      <c r="H73"/>
      <c r="I73"/>
    </row>
    <row r="74" spans="1:41">
      <c r="D74"/>
      <c r="E74"/>
      <c r="F74"/>
      <c r="G74"/>
      <c r="H74"/>
      <c r="I74"/>
    </row>
    <row r="75" spans="1:41">
      <c r="D75"/>
      <c r="E75"/>
      <c r="F75"/>
      <c r="G75"/>
      <c r="H75"/>
      <c r="I75"/>
    </row>
    <row r="76" spans="1:41">
      <c r="D76"/>
      <c r="E76"/>
      <c r="F76"/>
      <c r="G76"/>
      <c r="H76"/>
      <c r="I76"/>
    </row>
    <row r="77" spans="1:41">
      <c r="D77"/>
      <c r="E77"/>
      <c r="F77"/>
      <c r="G77"/>
      <c r="H77"/>
      <c r="I77"/>
    </row>
    <row r="78" spans="1:41">
      <c r="D78"/>
      <c r="E78"/>
      <c r="F78"/>
      <c r="G78"/>
      <c r="H78"/>
      <c r="I78"/>
    </row>
    <row r="79" spans="1:41">
      <c r="D79"/>
      <c r="E79"/>
      <c r="F79"/>
      <c r="G79"/>
      <c r="H79"/>
      <c r="I79"/>
    </row>
    <row r="80" spans="1:41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</sheetData>
  <mergeCells count="36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6:O6"/>
    <mergeCell ref="P6:U6"/>
    <mergeCell ref="Z6:AE6"/>
    <mergeCell ref="AF6:AK6"/>
    <mergeCell ref="A72:AK72"/>
    <mergeCell ref="AL72:AM72"/>
    <mergeCell ref="AN72:AO72"/>
    <mergeCell ref="A2:A3"/>
    <mergeCell ref="A4:A7"/>
    <mergeCell ref="A8:A71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8:Y8">
    <cfRule type="cellIs" dxfId="0" priority="12" stopIfTrue="1" operator="notBetween">
      <formula>$G8</formula>
      <formula>$H8</formula>
    </cfRule>
  </conditionalFormatting>
  <conditionalFormatting sqref="J9:Y9">
    <cfRule type="cellIs" dxfId="0" priority="11" stopIfTrue="1" operator="notBetween">
      <formula>$G9</formula>
      <formula>$H9</formula>
    </cfRule>
  </conditionalFormatting>
  <conditionalFormatting sqref="J49:Y49">
    <cfRule type="cellIs" dxfId="0" priority="9" stopIfTrue="1" operator="notBetween">
      <formula>$G49</formula>
      <formula>$H49</formula>
    </cfRule>
  </conditionalFormatting>
  <conditionalFormatting sqref="J64:Y64">
    <cfRule type="cellIs" dxfId="0" priority="8" stopIfTrue="1" operator="notBetween">
      <formula>$G64</formula>
      <formula>$H64</formula>
    </cfRule>
  </conditionalFormatting>
  <conditionalFormatting sqref="J65:Y65">
    <cfRule type="cellIs" dxfId="0" priority="4" stopIfTrue="1" operator="notBetween">
      <formula>$G65</formula>
      <formula>$H65</formula>
    </cfRule>
  </conditionalFormatting>
  <conditionalFormatting sqref="J66:Y66">
    <cfRule type="cellIs" dxfId="0" priority="7" stopIfTrue="1" operator="notBetween">
      <formula>$G66</formula>
      <formula>$H66</formula>
    </cfRule>
  </conditionalFormatting>
  <conditionalFormatting sqref="J67:Y67">
    <cfRule type="cellIs" dxfId="0" priority="6" stopIfTrue="1" operator="notBetween">
      <formula>$G67</formula>
      <formula>$H67</formula>
    </cfRule>
  </conditionalFormatting>
  <conditionalFormatting sqref="J68:Y68">
    <cfRule type="cellIs" dxfId="0" priority="3" stopIfTrue="1" operator="notBetween">
      <formula>$G68</formula>
      <formula>$H68</formula>
    </cfRule>
  </conditionalFormatting>
  <conditionalFormatting sqref="J69:Y69">
    <cfRule type="cellIs" dxfId="0" priority="5" stopIfTrue="1" operator="notBetween">
      <formula>$G69</formula>
      <formula>$H69</formula>
    </cfRule>
  </conditionalFormatting>
  <conditionalFormatting sqref="J70:Y70">
    <cfRule type="cellIs" dxfId="0" priority="2" stopIfTrue="1" operator="notBetween">
      <formula>$G70</formula>
      <formula>$H70</formula>
    </cfRule>
  </conditionalFormatting>
  <conditionalFormatting sqref="J71:Y71">
    <cfRule type="cellIs" dxfId="0" priority="1" stopIfTrue="1" operator="notBetween">
      <formula>$G71</formula>
      <formula>$H71</formula>
    </cfRule>
  </conditionalFormatting>
  <conditionalFormatting sqref="J12:Y14 J36:Y36 J41:Y41 J50:Y50 J55:Y55">
    <cfRule type="cellIs" dxfId="0" priority="13" stopIfTrue="1" operator="notBetween">
      <formula>$G12</formula>
      <formula>$H12</formula>
    </cfRule>
  </conditionalFormatting>
  <conditionalFormatting sqref="J46:Y48">
    <cfRule type="cellIs" dxfId="0" priority="10" stopIfTrue="1" operator="notBetween">
      <formula>$G46</formula>
      <formula>$H46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"/>
  <sheetViews>
    <sheetView topLeftCell="R1" workbookViewId="0">
      <selection activeCell="AJ3" sqref="AJ3:AO3"/>
    </sheetView>
  </sheetViews>
  <sheetFormatPr defaultColWidth="9" defaultRowHeight="14.25"/>
  <cols>
    <col min="1" max="3" width="9.25" customWidth="1"/>
    <col min="4" max="9" width="9.25" style="2" customWidth="1"/>
    <col min="10" max="41" width="9.25" customWidth="1"/>
  </cols>
  <sheetData>
    <row r="1" ht="70.5" customHeight="1" spans="1:4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ht="15" customHeight="1" spans="1:41">
      <c r="A2" s="6" t="s">
        <v>1</v>
      </c>
      <c r="B2" s="7" t="s">
        <v>2</v>
      </c>
      <c r="C2" s="8"/>
      <c r="D2" s="8"/>
      <c r="E2" s="8"/>
      <c r="F2" s="8"/>
      <c r="G2" s="9"/>
      <c r="H2" s="10" t="s">
        <v>3</v>
      </c>
      <c r="I2" s="11"/>
      <c r="J2" s="11"/>
      <c r="K2" s="12"/>
      <c r="L2" s="13"/>
      <c r="M2" s="13"/>
      <c r="N2" s="13"/>
      <c r="O2" s="13"/>
      <c r="P2" s="13"/>
      <c r="Q2" s="13"/>
      <c r="R2" s="13"/>
      <c r="S2" s="14" t="s">
        <v>4</v>
      </c>
      <c r="T2" s="15"/>
      <c r="U2" s="15"/>
      <c r="V2" s="15"/>
      <c r="W2" s="15"/>
      <c r="X2" s="16"/>
      <c r="Y2" s="17" t="s">
        <v>5</v>
      </c>
      <c r="Z2" s="18"/>
      <c r="AA2" s="18"/>
      <c r="AB2" s="18"/>
      <c r="AC2" s="18"/>
      <c r="AD2" s="19"/>
      <c r="AE2" s="17" t="s">
        <v>6</v>
      </c>
      <c r="AF2" s="18"/>
      <c r="AG2" s="18"/>
      <c r="AH2" s="18"/>
      <c r="AI2" s="19"/>
      <c r="AJ2" s="20" t="s">
        <v>7</v>
      </c>
      <c r="AK2" s="21"/>
      <c r="AL2" s="21"/>
      <c r="AM2" s="22"/>
      <c r="AN2" s="20" t="s">
        <v>8</v>
      </c>
      <c r="AO2" s="22"/>
    </row>
    <row r="3" ht="15" customHeight="1" spans="1:41">
      <c r="A3" s="6"/>
      <c r="B3" s="23"/>
      <c r="C3" s="24"/>
      <c r="D3" s="24"/>
      <c r="E3" s="24"/>
      <c r="F3" s="24"/>
      <c r="G3" s="25"/>
      <c r="H3" s="26"/>
      <c r="I3" s="27"/>
      <c r="J3" s="27"/>
      <c r="K3" s="28"/>
      <c r="L3" s="13"/>
      <c r="M3" s="13"/>
      <c r="N3" s="13"/>
      <c r="O3" s="13"/>
      <c r="P3" s="13"/>
      <c r="Q3" s="13"/>
      <c r="R3" s="13"/>
      <c r="S3" s="29" t="s">
        <v>9</v>
      </c>
      <c r="T3" s="30"/>
      <c r="U3" s="30"/>
      <c r="V3" s="30"/>
      <c r="W3" s="30"/>
      <c r="X3" s="31"/>
      <c r="Y3" s="29" t="s">
        <v>10</v>
      </c>
      <c r="Z3" s="30"/>
      <c r="AA3" s="30"/>
      <c r="AB3" s="30"/>
      <c r="AC3" s="30"/>
      <c r="AD3" s="31"/>
      <c r="AE3" s="32" t="s">
        <v>11</v>
      </c>
      <c r="AF3" s="33"/>
      <c r="AG3" s="33"/>
      <c r="AH3" s="33"/>
      <c r="AI3" s="34"/>
      <c r="AJ3" s="32" t="s">
        <v>63</v>
      </c>
      <c r="AK3" s="33"/>
      <c r="AL3" s="33"/>
      <c r="AM3" s="34"/>
      <c r="AN3" s="32" t="s">
        <v>64</v>
      </c>
      <c r="AO3" s="34"/>
    </row>
    <row r="4" customHeight="1" spans="1:41">
      <c r="A4" s="35" t="s">
        <v>14</v>
      </c>
      <c r="B4" s="35" t="s">
        <v>15</v>
      </c>
      <c r="C4" s="35" t="s">
        <v>16</v>
      </c>
      <c r="D4" s="35" t="s">
        <v>17</v>
      </c>
      <c r="E4" s="35" t="s">
        <v>18</v>
      </c>
      <c r="F4" s="35" t="s">
        <v>19</v>
      </c>
      <c r="G4" s="35" t="s">
        <v>20</v>
      </c>
      <c r="H4" s="35" t="s">
        <v>21</v>
      </c>
      <c r="I4" s="35" t="s">
        <v>22</v>
      </c>
      <c r="J4" s="36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2"/>
      <c r="C5" s="42"/>
      <c r="D5" s="42"/>
      <c r="E5" s="42"/>
      <c r="F5" s="42"/>
      <c r="G5" s="42"/>
      <c r="H5" s="42"/>
      <c r="I5" s="42"/>
      <c r="J5" s="36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  <c r="Z5" s="39" t="s">
        <v>26</v>
      </c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</row>
    <row r="6" customHeight="1" spans="1:41">
      <c r="A6" s="43"/>
      <c r="B6" s="43"/>
      <c r="C6" s="43"/>
      <c r="D6" s="43"/>
      <c r="E6" s="43"/>
      <c r="F6" s="43"/>
      <c r="G6" s="43"/>
      <c r="H6" s="43"/>
      <c r="I6" s="43"/>
      <c r="J6" s="44" t="s">
        <v>65</v>
      </c>
      <c r="K6" s="45"/>
      <c r="L6" s="45"/>
      <c r="M6" s="45"/>
      <c r="N6" s="45"/>
      <c r="O6" s="46"/>
      <c r="P6" s="47" t="s">
        <v>66</v>
      </c>
      <c r="Q6" s="48"/>
      <c r="R6" s="48"/>
      <c r="S6" s="48"/>
      <c r="T6" s="48"/>
      <c r="U6" s="49"/>
      <c r="V6" s="50"/>
      <c r="W6" s="50"/>
      <c r="X6" s="50"/>
      <c r="Y6" s="50"/>
      <c r="Z6" s="51" t="str">
        <f>J6</f>
        <v>cav5</v>
      </c>
      <c r="AA6" s="52"/>
      <c r="AB6" s="52"/>
      <c r="AC6" s="52"/>
      <c r="AD6" s="52"/>
      <c r="AE6" s="53"/>
      <c r="AF6" s="54" t="str">
        <f>P6</f>
        <v>cav6</v>
      </c>
      <c r="AG6" s="55"/>
      <c r="AH6" s="55"/>
      <c r="AI6" s="55"/>
      <c r="AJ6" s="55"/>
      <c r="AK6" s="56"/>
      <c r="AL6" s="57">
        <f t="shared" ref="AL6:AO6" si="0">V6</f>
        <v>0</v>
      </c>
      <c r="AM6" s="57">
        <f t="shared" si="0"/>
        <v>0</v>
      </c>
      <c r="AN6" s="57">
        <f t="shared" si="0"/>
        <v>0</v>
      </c>
      <c r="AO6" s="57">
        <f t="shared" si="0"/>
        <v>0</v>
      </c>
    </row>
    <row r="7" customHeight="1" spans="1:41">
      <c r="A7" s="43"/>
      <c r="B7" s="43"/>
      <c r="C7" s="43"/>
      <c r="D7" s="43"/>
      <c r="E7" s="43"/>
      <c r="F7" s="43"/>
      <c r="G7" s="43"/>
      <c r="H7" s="43"/>
      <c r="I7" s="43"/>
      <c r="J7" s="50">
        <v>1</v>
      </c>
      <c r="K7" s="50">
        <v>2</v>
      </c>
      <c r="L7" s="50">
        <v>3</v>
      </c>
      <c r="M7" s="50">
        <v>4</v>
      </c>
      <c r="N7" s="50">
        <v>5</v>
      </c>
      <c r="O7" s="50">
        <v>6</v>
      </c>
      <c r="P7" s="50">
        <v>1</v>
      </c>
      <c r="Q7" s="50">
        <v>2</v>
      </c>
      <c r="R7" s="50">
        <v>3</v>
      </c>
      <c r="S7" s="50">
        <v>4</v>
      </c>
      <c r="T7" s="50">
        <v>5</v>
      </c>
      <c r="U7" s="50">
        <v>6</v>
      </c>
      <c r="V7" s="50"/>
      <c r="W7" s="50"/>
      <c r="X7" s="50"/>
      <c r="Y7" s="50"/>
      <c r="Z7" s="57">
        <f t="shared" ref="Z7:AO7" si="1">J7</f>
        <v>1</v>
      </c>
      <c r="AA7" s="57">
        <f t="shared" si="1"/>
        <v>2</v>
      </c>
      <c r="AB7" s="57">
        <f t="shared" si="1"/>
        <v>3</v>
      </c>
      <c r="AC7" s="57">
        <f t="shared" si="1"/>
        <v>4</v>
      </c>
      <c r="AD7" s="57">
        <f t="shared" si="1"/>
        <v>5</v>
      </c>
      <c r="AE7" s="57">
        <f t="shared" si="1"/>
        <v>6</v>
      </c>
      <c r="AF7" s="57">
        <f t="shared" si="1"/>
        <v>1</v>
      </c>
      <c r="AG7" s="57">
        <f t="shared" si="1"/>
        <v>2</v>
      </c>
      <c r="AH7" s="57">
        <f t="shared" si="1"/>
        <v>3</v>
      </c>
      <c r="AI7" s="57">
        <f t="shared" si="1"/>
        <v>4</v>
      </c>
      <c r="AJ7" s="57">
        <f t="shared" si="1"/>
        <v>5</v>
      </c>
      <c r="AK7" s="57">
        <f t="shared" si="1"/>
        <v>6</v>
      </c>
      <c r="AL7" s="57">
        <f t="shared" si="1"/>
        <v>0</v>
      </c>
      <c r="AM7" s="57">
        <f t="shared" si="1"/>
        <v>0</v>
      </c>
      <c r="AN7" s="57">
        <f t="shared" si="1"/>
        <v>0</v>
      </c>
      <c r="AO7" s="57">
        <f t="shared" si="1"/>
        <v>0</v>
      </c>
    </row>
    <row r="8" spans="1:41">
      <c r="A8" s="58">
        <v>46201</v>
      </c>
      <c r="B8" s="59" t="s">
        <v>30</v>
      </c>
      <c r="C8" s="60"/>
      <c r="D8" s="60">
        <v>0.995</v>
      </c>
      <c r="E8" s="60">
        <v>0.03</v>
      </c>
      <c r="F8" s="60">
        <v>-0.03</v>
      </c>
      <c r="G8" s="60">
        <f t="shared" ref="G8:G14" si="2">D8+E8</f>
        <v>1.025</v>
      </c>
      <c r="H8" s="60">
        <f t="shared" ref="H8:H14" si="3">D8+F8</f>
        <v>0.965</v>
      </c>
      <c r="I8" s="60" t="s">
        <v>31</v>
      </c>
      <c r="J8" s="61">
        <v>1.001</v>
      </c>
      <c r="K8" s="61">
        <v>1.0137</v>
      </c>
      <c r="L8" s="61">
        <v>1.0053</v>
      </c>
      <c r="M8" s="61">
        <v>0.9994</v>
      </c>
      <c r="N8" s="61">
        <v>1.0153</v>
      </c>
      <c r="O8" s="61">
        <v>0.9999</v>
      </c>
      <c r="P8" s="61">
        <v>1.012</v>
      </c>
      <c r="Q8" s="61">
        <v>1.0092</v>
      </c>
      <c r="R8" s="61">
        <v>1.014</v>
      </c>
      <c r="S8" s="61">
        <v>1.0067</v>
      </c>
      <c r="T8" s="61">
        <v>1.0068</v>
      </c>
      <c r="U8" s="61">
        <v>1.0125</v>
      </c>
      <c r="V8" s="61"/>
      <c r="W8" s="61"/>
      <c r="X8" s="61"/>
      <c r="Y8" s="61"/>
      <c r="Z8" s="62" t="str">
        <f t="shared" ref="Z8:AO8" si="4">IF(J8="","",IF(J8&gt;($D8+$E8),(J8-$D8-$E8),IF(J8&lt;($D8+$F8),(J8-$D8-$F8),"√")))</f>
        <v>√</v>
      </c>
      <c r="AA8" s="62" t="str">
        <f t="shared" si="4"/>
        <v>√</v>
      </c>
      <c r="AB8" s="62" t="str">
        <f t="shared" si="4"/>
        <v>√</v>
      </c>
      <c r="AC8" s="62" t="str">
        <f t="shared" si="4"/>
        <v>√</v>
      </c>
      <c r="AD8" s="62" t="str">
        <f t="shared" si="4"/>
        <v>√</v>
      </c>
      <c r="AE8" s="62" t="str">
        <f t="shared" si="4"/>
        <v>√</v>
      </c>
      <c r="AF8" s="62" t="str">
        <f t="shared" si="4"/>
        <v>√</v>
      </c>
      <c r="AG8" s="62" t="str">
        <f t="shared" si="4"/>
        <v>√</v>
      </c>
      <c r="AH8" s="62" t="str">
        <f t="shared" si="4"/>
        <v>√</v>
      </c>
      <c r="AI8" s="62" t="str">
        <f t="shared" si="4"/>
        <v>√</v>
      </c>
      <c r="AJ8" s="62" t="str">
        <f t="shared" si="4"/>
        <v>√</v>
      </c>
      <c r="AK8" s="62" t="str">
        <f t="shared" si="4"/>
        <v>√</v>
      </c>
      <c r="AL8" s="62" t="str">
        <f t="shared" si="4"/>
        <v/>
      </c>
      <c r="AM8" s="62" t="str">
        <f t="shared" si="4"/>
        <v/>
      </c>
      <c r="AN8" s="62" t="str">
        <f t="shared" si="4"/>
        <v/>
      </c>
      <c r="AO8" s="62" t="str">
        <f t="shared" si="4"/>
        <v/>
      </c>
    </row>
    <row r="9" spans="1:41">
      <c r="A9" s="63"/>
      <c r="B9" s="59" t="s">
        <v>32</v>
      </c>
      <c r="C9" s="60"/>
      <c r="D9" s="60">
        <v>0</v>
      </c>
      <c r="E9" s="60">
        <v>0.08</v>
      </c>
      <c r="F9" s="60">
        <v>0</v>
      </c>
      <c r="G9" s="60">
        <f t="shared" si="2"/>
        <v>0.08</v>
      </c>
      <c r="H9" s="60">
        <f t="shared" si="3"/>
        <v>0</v>
      </c>
      <c r="I9" s="60" t="s">
        <v>31</v>
      </c>
      <c r="J9" s="61">
        <v>0.004</v>
      </c>
      <c r="K9" s="61">
        <v>0.0082</v>
      </c>
      <c r="L9" s="61">
        <v>0.0107</v>
      </c>
      <c r="M9" s="61">
        <v>0.0036</v>
      </c>
      <c r="N9" s="61">
        <v>0.0078</v>
      </c>
      <c r="O9" s="61">
        <v>0.0076</v>
      </c>
      <c r="P9" s="61">
        <v>0.0061</v>
      </c>
      <c r="Q9" s="61">
        <v>0.0087</v>
      </c>
      <c r="R9" s="61">
        <v>0.0053</v>
      </c>
      <c r="S9" s="61">
        <v>0.0145</v>
      </c>
      <c r="T9" s="61">
        <v>0.008</v>
      </c>
      <c r="U9" s="61">
        <v>0.0054</v>
      </c>
      <c r="V9" s="61"/>
      <c r="W9" s="61"/>
      <c r="X9" s="61"/>
      <c r="Y9" s="61"/>
      <c r="Z9" s="62" t="str">
        <f t="shared" ref="Z9:AO9" si="5">IF(J9="","",IF(J9&gt;($D9+$E9),(J9-$D9-$E9),IF(J9&lt;($D9+$F9),(J9-$D9-$F9),"√")))</f>
        <v>√</v>
      </c>
      <c r="AA9" s="62" t="str">
        <f t="shared" si="5"/>
        <v>√</v>
      </c>
      <c r="AB9" s="62" t="str">
        <f t="shared" si="5"/>
        <v>√</v>
      </c>
      <c r="AC9" s="62" t="str">
        <f t="shared" si="5"/>
        <v>√</v>
      </c>
      <c r="AD9" s="62" t="str">
        <f t="shared" si="5"/>
        <v>√</v>
      </c>
      <c r="AE9" s="62" t="str">
        <f t="shared" si="5"/>
        <v>√</v>
      </c>
      <c r="AF9" s="62" t="str">
        <f t="shared" si="5"/>
        <v>√</v>
      </c>
      <c r="AG9" s="62" t="str">
        <f t="shared" si="5"/>
        <v>√</v>
      </c>
      <c r="AH9" s="62" t="str">
        <f t="shared" si="5"/>
        <v>√</v>
      </c>
      <c r="AI9" s="62" t="str">
        <f t="shared" si="5"/>
        <v>√</v>
      </c>
      <c r="AJ9" s="62" t="str">
        <f t="shared" si="5"/>
        <v>√</v>
      </c>
      <c r="AK9" s="62" t="str">
        <f t="shared" si="5"/>
        <v>√</v>
      </c>
      <c r="AL9" s="62" t="str">
        <f t="shared" si="5"/>
        <v/>
      </c>
      <c r="AM9" s="62" t="str">
        <f t="shared" si="5"/>
        <v/>
      </c>
      <c r="AN9" s="62" t="str">
        <f t="shared" si="5"/>
        <v/>
      </c>
      <c r="AO9" s="62" t="str">
        <f t="shared" si="5"/>
        <v/>
      </c>
    </row>
    <row r="10" spans="1:41">
      <c r="A10" s="63"/>
      <c r="B10" s="59" t="s">
        <v>33</v>
      </c>
      <c r="C10" s="60"/>
      <c r="D10" s="60"/>
      <c r="E10" s="60"/>
      <c r="F10" s="60"/>
      <c r="G10" s="60"/>
      <c r="H10" s="60"/>
      <c r="I10" s="60" t="s">
        <v>31</v>
      </c>
      <c r="J10" s="61">
        <v>0</v>
      </c>
      <c r="K10" s="61">
        <v>0.0032</v>
      </c>
      <c r="L10" s="61">
        <v>0.0009</v>
      </c>
      <c r="M10" s="61">
        <v>-0.0007</v>
      </c>
      <c r="N10" s="61">
        <v>0.0006</v>
      </c>
      <c r="O10" s="61">
        <v>0.0017</v>
      </c>
      <c r="P10" s="61">
        <v>0.0018</v>
      </c>
      <c r="Q10" s="61">
        <v>0.003</v>
      </c>
      <c r="R10" s="61">
        <v>0.0023</v>
      </c>
      <c r="S10" s="61">
        <v>0.0063</v>
      </c>
      <c r="T10" s="61">
        <v>0.0012</v>
      </c>
      <c r="U10" s="61">
        <v>-0.0022</v>
      </c>
      <c r="V10" s="61"/>
      <c r="W10" s="61"/>
      <c r="X10" s="61"/>
      <c r="Y10" s="61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>
      <c r="A11" s="63"/>
      <c r="B11" s="59" t="s">
        <v>34</v>
      </c>
      <c r="C11" s="60"/>
      <c r="D11" s="60"/>
      <c r="E11" s="60"/>
      <c r="F11" s="60"/>
      <c r="G11" s="60"/>
      <c r="H11" s="60"/>
      <c r="I11" s="60" t="s">
        <v>31</v>
      </c>
      <c r="J11" s="61">
        <v>-0.0015</v>
      </c>
      <c r="K11" s="61">
        <v>-0.0016</v>
      </c>
      <c r="L11" s="61">
        <v>-0.0043</v>
      </c>
      <c r="M11" s="61">
        <v>-0.0016</v>
      </c>
      <c r="N11" s="61">
        <v>-0.0014</v>
      </c>
      <c r="O11" s="61">
        <v>-0.0021</v>
      </c>
      <c r="P11" s="61">
        <v>-0.0022</v>
      </c>
      <c r="Q11" s="61">
        <v>-0.0021</v>
      </c>
      <c r="R11" s="61">
        <v>-0.0003</v>
      </c>
      <c r="S11" s="61">
        <v>-0.0041</v>
      </c>
      <c r="T11" s="61">
        <v>-0.0043</v>
      </c>
      <c r="U11" s="61">
        <v>0.0029</v>
      </c>
      <c r="V11" s="61"/>
      <c r="W11" s="61"/>
      <c r="X11" s="61"/>
      <c r="Y11" s="61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>
      <c r="A12" s="63"/>
      <c r="B12" s="59" t="s">
        <v>35</v>
      </c>
      <c r="C12" s="60"/>
      <c r="D12" s="60">
        <v>0.35</v>
      </c>
      <c r="E12" s="60">
        <v>0.03</v>
      </c>
      <c r="F12" s="60">
        <v>-0.03</v>
      </c>
      <c r="G12" s="60">
        <f t="shared" si="2"/>
        <v>0.38</v>
      </c>
      <c r="H12" s="60">
        <f t="shared" si="3"/>
        <v>0.32</v>
      </c>
      <c r="I12" s="60" t="s">
        <v>31</v>
      </c>
      <c r="J12" s="61">
        <v>0.3418</v>
      </c>
      <c r="K12" s="61">
        <v>0.3417</v>
      </c>
      <c r="L12" s="61">
        <v>0.3412</v>
      </c>
      <c r="M12" s="61">
        <v>0.3407</v>
      </c>
      <c r="N12" s="61">
        <v>0.3444</v>
      </c>
      <c r="O12" s="61">
        <v>0.3333</v>
      </c>
      <c r="P12" s="61">
        <v>0.3463</v>
      </c>
      <c r="Q12" s="61">
        <v>0.3446</v>
      </c>
      <c r="R12" s="61">
        <v>0.3444</v>
      </c>
      <c r="S12" s="61">
        <v>0.3428</v>
      </c>
      <c r="T12" s="61">
        <v>0.3394</v>
      </c>
      <c r="U12" s="61">
        <v>0.3446</v>
      </c>
      <c r="V12" s="61"/>
      <c r="W12" s="61"/>
      <c r="X12" s="61"/>
      <c r="Y12" s="61"/>
      <c r="Z12" s="62" t="str">
        <f t="shared" ref="Z12:AO12" si="6">IF(J12="","",IF(J12&gt;($D12+$E12),(J12-$D12-$E12),IF(J12&lt;($D12+$F12),(J12-$D12-$F12),"√")))</f>
        <v>√</v>
      </c>
      <c r="AA12" s="62" t="str">
        <f t="shared" si="6"/>
        <v>√</v>
      </c>
      <c r="AB12" s="62" t="str">
        <f t="shared" si="6"/>
        <v>√</v>
      </c>
      <c r="AC12" s="62" t="str">
        <f t="shared" si="6"/>
        <v>√</v>
      </c>
      <c r="AD12" s="62" t="str">
        <f t="shared" si="6"/>
        <v>√</v>
      </c>
      <c r="AE12" s="62" t="str">
        <f t="shared" si="6"/>
        <v>√</v>
      </c>
      <c r="AF12" s="62" t="str">
        <f t="shared" si="6"/>
        <v>√</v>
      </c>
      <c r="AG12" s="62" t="str">
        <f t="shared" si="6"/>
        <v>√</v>
      </c>
      <c r="AH12" s="62" t="str">
        <f t="shared" si="6"/>
        <v>√</v>
      </c>
      <c r="AI12" s="62" t="str">
        <f t="shared" si="6"/>
        <v>√</v>
      </c>
      <c r="AJ12" s="62" t="str">
        <f t="shared" si="6"/>
        <v>√</v>
      </c>
      <c r="AK12" s="62" t="str">
        <f t="shared" si="6"/>
        <v>√</v>
      </c>
      <c r="AL12" s="62" t="str">
        <f t="shared" si="6"/>
        <v/>
      </c>
      <c r="AM12" s="62" t="str">
        <f t="shared" si="6"/>
        <v/>
      </c>
      <c r="AN12" s="62" t="str">
        <f t="shared" si="6"/>
        <v/>
      </c>
      <c r="AO12" s="62" t="str">
        <f t="shared" si="6"/>
        <v/>
      </c>
    </row>
    <row r="13" spans="1:41">
      <c r="A13" s="63"/>
      <c r="B13" s="59" t="s">
        <v>36</v>
      </c>
      <c r="C13" s="60"/>
      <c r="D13" s="60">
        <v>0.35</v>
      </c>
      <c r="E13" s="60">
        <v>0.03</v>
      </c>
      <c r="F13" s="60">
        <v>-0.03</v>
      </c>
      <c r="G13" s="60">
        <f t="shared" si="2"/>
        <v>0.38</v>
      </c>
      <c r="H13" s="60">
        <f t="shared" si="3"/>
        <v>0.32</v>
      </c>
      <c r="I13" s="60" t="s">
        <v>31</v>
      </c>
      <c r="J13" s="61">
        <v>0.3424</v>
      </c>
      <c r="K13" s="61">
        <v>0.3437</v>
      </c>
      <c r="L13" s="61">
        <v>0.3435</v>
      </c>
      <c r="M13" s="61">
        <v>0.3421</v>
      </c>
      <c r="N13" s="61">
        <v>0.3473</v>
      </c>
      <c r="O13" s="61">
        <v>0.3381</v>
      </c>
      <c r="P13" s="61">
        <v>0.3448</v>
      </c>
      <c r="Q13" s="61">
        <v>0.3415</v>
      </c>
      <c r="R13" s="61">
        <v>0.3454</v>
      </c>
      <c r="S13" s="61">
        <v>0.3427</v>
      </c>
      <c r="T13" s="61">
        <v>0.3374</v>
      </c>
      <c r="U13" s="61">
        <v>0.346</v>
      </c>
      <c r="V13" s="61"/>
      <c r="W13" s="61"/>
      <c r="X13" s="61"/>
      <c r="Y13" s="61"/>
      <c r="Z13" s="62" t="str">
        <f t="shared" ref="Z13:AO13" si="7">IF(J13="","",IF(J13&gt;($D13+$E13),(J13-$D13-$E13),IF(J13&lt;($D13+$F13),(J13-$D13-$F13),"√")))</f>
        <v>√</v>
      </c>
      <c r="AA13" s="62" t="str">
        <f t="shared" si="7"/>
        <v>√</v>
      </c>
      <c r="AB13" s="62" t="str">
        <f t="shared" si="7"/>
        <v>√</v>
      </c>
      <c r="AC13" s="62" t="str">
        <f t="shared" si="7"/>
        <v>√</v>
      </c>
      <c r="AD13" s="62" t="str">
        <f t="shared" si="7"/>
        <v>√</v>
      </c>
      <c r="AE13" s="62" t="str">
        <f t="shared" si="7"/>
        <v>√</v>
      </c>
      <c r="AF13" s="62" t="str">
        <f t="shared" si="7"/>
        <v>√</v>
      </c>
      <c r="AG13" s="62" t="str">
        <f t="shared" si="7"/>
        <v>√</v>
      </c>
      <c r="AH13" s="62" t="str">
        <f t="shared" si="7"/>
        <v>√</v>
      </c>
      <c r="AI13" s="62" t="str">
        <f t="shared" si="7"/>
        <v>√</v>
      </c>
      <c r="AJ13" s="62" t="str">
        <f t="shared" si="7"/>
        <v>√</v>
      </c>
      <c r="AK13" s="62" t="str">
        <f t="shared" si="7"/>
        <v>√</v>
      </c>
      <c r="AL13" s="62" t="str">
        <f t="shared" si="7"/>
        <v/>
      </c>
      <c r="AM13" s="62" t="str">
        <f t="shared" si="7"/>
        <v/>
      </c>
      <c r="AN13" s="62" t="str">
        <f t="shared" si="7"/>
        <v/>
      </c>
      <c r="AO13" s="62" t="str">
        <f t="shared" si="7"/>
        <v/>
      </c>
    </row>
    <row r="14" spans="1:41">
      <c r="A14" s="63"/>
      <c r="B14" s="59" t="s">
        <v>37</v>
      </c>
      <c r="C14" s="60" t="s">
        <v>38</v>
      </c>
      <c r="D14" s="60">
        <v>0</v>
      </c>
      <c r="E14" s="60">
        <v>0.06</v>
      </c>
      <c r="F14" s="60">
        <v>0</v>
      </c>
      <c r="G14" s="60">
        <f t="shared" si="2"/>
        <v>0.06</v>
      </c>
      <c r="H14" s="60">
        <f t="shared" si="3"/>
        <v>0</v>
      </c>
      <c r="I14" s="60" t="s">
        <v>31</v>
      </c>
      <c r="J14" s="61">
        <v>0.0179</v>
      </c>
      <c r="K14" s="61">
        <v>0.0182</v>
      </c>
      <c r="L14" s="61">
        <v>0.0153</v>
      </c>
      <c r="M14" s="61">
        <v>0.0167</v>
      </c>
      <c r="N14" s="61">
        <v>0.0167</v>
      </c>
      <c r="O14" s="61">
        <v>0.0224</v>
      </c>
      <c r="P14" s="61">
        <v>0.0141</v>
      </c>
      <c r="Q14" s="61">
        <v>0.0163</v>
      </c>
      <c r="R14" s="61">
        <v>0.0117</v>
      </c>
      <c r="S14" s="61">
        <v>0.0111</v>
      </c>
      <c r="T14" s="61">
        <v>0.0199</v>
      </c>
      <c r="U14" s="61">
        <v>0.0131</v>
      </c>
      <c r="V14" s="61"/>
      <c r="W14" s="61"/>
      <c r="X14" s="61"/>
      <c r="Y14" s="61"/>
      <c r="Z14" s="62" t="str">
        <f t="shared" ref="Z14:AO14" si="8">IF(J14="","",IF(J14&gt;($D14+$E14),(J14-$D14-$E14),IF(J14&lt;($D14+$F14),(J14-$D14-$F14),"√")))</f>
        <v>√</v>
      </c>
      <c r="AA14" s="62" t="str">
        <f t="shared" si="8"/>
        <v>√</v>
      </c>
      <c r="AB14" s="62" t="str">
        <f t="shared" si="8"/>
        <v>√</v>
      </c>
      <c r="AC14" s="62" t="str">
        <f t="shared" si="8"/>
        <v>√</v>
      </c>
      <c r="AD14" s="62" t="str">
        <f t="shared" si="8"/>
        <v>√</v>
      </c>
      <c r="AE14" s="62" t="str">
        <f t="shared" si="8"/>
        <v>√</v>
      </c>
      <c r="AF14" s="62" t="str">
        <f t="shared" si="8"/>
        <v>√</v>
      </c>
      <c r="AG14" s="62" t="str">
        <f t="shared" si="8"/>
        <v>√</v>
      </c>
      <c r="AH14" s="62" t="str">
        <f t="shared" si="8"/>
        <v>√</v>
      </c>
      <c r="AI14" s="62" t="str">
        <f t="shared" si="8"/>
        <v>√</v>
      </c>
      <c r="AJ14" s="62" t="str">
        <f t="shared" si="8"/>
        <v>√</v>
      </c>
      <c r="AK14" s="62" t="str">
        <f t="shared" si="8"/>
        <v>√</v>
      </c>
      <c r="AL14" s="62" t="str">
        <f t="shared" si="8"/>
        <v/>
      </c>
      <c r="AM14" s="62" t="str">
        <f t="shared" si="8"/>
        <v/>
      </c>
      <c r="AN14" s="62" t="str">
        <f t="shared" si="8"/>
        <v/>
      </c>
      <c r="AO14" s="62" t="str">
        <f t="shared" si="8"/>
        <v/>
      </c>
    </row>
    <row r="15" spans="1:41">
      <c r="A15" s="63"/>
      <c r="B15" s="59">
        <v>1</v>
      </c>
      <c r="C15" s="60"/>
      <c r="D15" s="60"/>
      <c r="E15" s="60"/>
      <c r="F15" s="60"/>
      <c r="G15" s="60"/>
      <c r="H15" s="60"/>
      <c r="I15" s="60" t="s">
        <v>31</v>
      </c>
      <c r="J15" s="61">
        <v>-0.0065</v>
      </c>
      <c r="K15" s="61">
        <v>-0.003</v>
      </c>
      <c r="L15" s="61">
        <v>-0.0051</v>
      </c>
      <c r="M15" s="61">
        <v>-0.0054</v>
      </c>
      <c r="N15" s="61">
        <v>-0.0065</v>
      </c>
      <c r="O15" s="61">
        <v>-0.0022</v>
      </c>
      <c r="P15" s="61">
        <v>0.0032</v>
      </c>
      <c r="Q15" s="61">
        <v>-0.0012</v>
      </c>
      <c r="R15" s="61">
        <v>0.0021</v>
      </c>
      <c r="S15" s="61">
        <v>-0.0017</v>
      </c>
      <c r="T15" s="61">
        <v>0.0035</v>
      </c>
      <c r="U15" s="61">
        <v>0.0005</v>
      </c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>
      <c r="A16" s="63"/>
      <c r="B16" s="59">
        <v>2</v>
      </c>
      <c r="C16" s="60"/>
      <c r="D16" s="60"/>
      <c r="E16" s="60"/>
      <c r="F16" s="60"/>
      <c r="G16" s="60"/>
      <c r="H16" s="60"/>
      <c r="I16" s="60" t="s">
        <v>31</v>
      </c>
      <c r="J16" s="61">
        <v>-0.0075</v>
      </c>
      <c r="K16" s="61">
        <v>-0.0034</v>
      </c>
      <c r="L16" s="61">
        <v>-0.0052</v>
      </c>
      <c r="M16" s="61">
        <v>-0.0063</v>
      </c>
      <c r="N16" s="61">
        <v>-0.006</v>
      </c>
      <c r="O16" s="61">
        <v>-0.0012</v>
      </c>
      <c r="P16" s="61">
        <v>0.0029</v>
      </c>
      <c r="Q16" s="61">
        <v>0</v>
      </c>
      <c r="R16" s="61">
        <v>0.0021</v>
      </c>
      <c r="S16" s="61">
        <v>0.0009</v>
      </c>
      <c r="T16" s="61">
        <v>0.005</v>
      </c>
      <c r="U16" s="61">
        <v>0.0013</v>
      </c>
      <c r="V16" s="61"/>
      <c r="W16" s="61"/>
      <c r="X16" s="61"/>
      <c r="Y16" s="61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>
      <c r="A17" s="63"/>
      <c r="B17" s="59">
        <v>3</v>
      </c>
      <c r="C17" s="60"/>
      <c r="D17" s="60"/>
      <c r="E17" s="60"/>
      <c r="F17" s="60"/>
      <c r="G17" s="60"/>
      <c r="H17" s="60"/>
      <c r="I17" s="60" t="s">
        <v>31</v>
      </c>
      <c r="J17" s="61">
        <v>-0.0034</v>
      </c>
      <c r="K17" s="61">
        <v>-0.0033</v>
      </c>
      <c r="L17" s="61">
        <v>-0.0031</v>
      </c>
      <c r="M17" s="61">
        <v>-0.0043</v>
      </c>
      <c r="N17" s="61">
        <v>-0.0074</v>
      </c>
      <c r="O17" s="61">
        <v>-0.004</v>
      </c>
      <c r="P17" s="61">
        <v>0.0002</v>
      </c>
      <c r="Q17" s="61">
        <v>-0.0016</v>
      </c>
      <c r="R17" s="61">
        <v>-0.0023</v>
      </c>
      <c r="S17" s="61">
        <v>-0.0025</v>
      </c>
      <c r="T17" s="61">
        <v>0.0018</v>
      </c>
      <c r="U17" s="61">
        <v>-0.0027</v>
      </c>
      <c r="V17" s="61"/>
      <c r="W17" s="61"/>
      <c r="X17" s="61"/>
      <c r="Y17" s="61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>
      <c r="A18" s="63"/>
      <c r="B18" s="59">
        <v>4</v>
      </c>
      <c r="C18" s="60"/>
      <c r="D18" s="60"/>
      <c r="E18" s="60"/>
      <c r="F18" s="60"/>
      <c r="G18" s="60"/>
      <c r="H18" s="60"/>
      <c r="I18" s="60" t="s">
        <v>31</v>
      </c>
      <c r="J18" s="61">
        <v>0.0014</v>
      </c>
      <c r="K18" s="61">
        <v>0.0023</v>
      </c>
      <c r="L18" s="61">
        <v>0.0024</v>
      </c>
      <c r="M18" s="61">
        <v>0.0017</v>
      </c>
      <c r="N18" s="61">
        <v>-0.0008</v>
      </c>
      <c r="O18" s="61">
        <v>0.004</v>
      </c>
      <c r="P18" s="61">
        <v>0.0007</v>
      </c>
      <c r="Q18" s="61">
        <v>-0.0015</v>
      </c>
      <c r="R18" s="61">
        <v>-0.0008</v>
      </c>
      <c r="S18" s="61">
        <v>-0.0011</v>
      </c>
      <c r="T18" s="61">
        <v>0.0019</v>
      </c>
      <c r="U18" s="61">
        <v>0.0016</v>
      </c>
      <c r="V18" s="61"/>
      <c r="W18" s="61"/>
      <c r="X18" s="61"/>
      <c r="Y18" s="61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>
      <c r="A19" s="63"/>
      <c r="B19" s="59">
        <v>5</v>
      </c>
      <c r="C19" s="60"/>
      <c r="D19" s="60"/>
      <c r="E19" s="60"/>
      <c r="F19" s="60"/>
      <c r="G19" s="60"/>
      <c r="H19" s="60"/>
      <c r="I19" s="60" t="s">
        <v>31</v>
      </c>
      <c r="J19" s="61">
        <v>0.0002</v>
      </c>
      <c r="K19" s="61">
        <v>0.0029</v>
      </c>
      <c r="L19" s="61">
        <v>0.0047</v>
      </c>
      <c r="M19" s="61">
        <v>0.0017</v>
      </c>
      <c r="N19" s="61">
        <v>0.0002</v>
      </c>
      <c r="O19" s="61">
        <v>0.0077</v>
      </c>
      <c r="P19" s="61">
        <v>0.0009</v>
      </c>
      <c r="Q19" s="61">
        <v>-0.0022</v>
      </c>
      <c r="R19" s="61">
        <v>-0.0003</v>
      </c>
      <c r="S19" s="61">
        <v>-0.0007</v>
      </c>
      <c r="T19" s="61">
        <v>0.0053</v>
      </c>
      <c r="U19" s="61">
        <v>0.0006</v>
      </c>
      <c r="V19" s="61"/>
      <c r="W19" s="61"/>
      <c r="X19" s="61"/>
      <c r="Y19" s="61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>
      <c r="A20" s="63"/>
      <c r="B20" s="59">
        <v>6</v>
      </c>
      <c r="C20" s="60"/>
      <c r="D20" s="60"/>
      <c r="E20" s="60"/>
      <c r="F20" s="60"/>
      <c r="G20" s="60"/>
      <c r="H20" s="60"/>
      <c r="I20" s="60" t="s">
        <v>31</v>
      </c>
      <c r="J20" s="61">
        <v>-0.003</v>
      </c>
      <c r="K20" s="61">
        <v>-0.0028</v>
      </c>
      <c r="L20" s="61">
        <v>-0.0007</v>
      </c>
      <c r="M20" s="61">
        <v>-0.0012</v>
      </c>
      <c r="N20" s="61">
        <v>-0.004</v>
      </c>
      <c r="O20" s="61">
        <v>0.0066</v>
      </c>
      <c r="P20" s="61">
        <v>0.0063</v>
      </c>
      <c r="Q20" s="61">
        <v>0.004</v>
      </c>
      <c r="R20" s="61">
        <v>0.0031</v>
      </c>
      <c r="S20" s="61">
        <v>0.004</v>
      </c>
      <c r="T20" s="61">
        <v>0.01</v>
      </c>
      <c r="U20" s="61">
        <v>0.0056</v>
      </c>
      <c r="V20" s="61"/>
      <c r="W20" s="61"/>
      <c r="X20" s="61"/>
      <c r="Y20" s="61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>
      <c r="A21" s="63"/>
      <c r="B21" s="59">
        <v>7</v>
      </c>
      <c r="C21" s="60"/>
      <c r="D21" s="60"/>
      <c r="E21" s="60"/>
      <c r="F21" s="60"/>
      <c r="G21" s="60"/>
      <c r="H21" s="60"/>
      <c r="I21" s="60" t="s">
        <v>31</v>
      </c>
      <c r="J21" s="61">
        <v>-0.0002</v>
      </c>
      <c r="K21" s="61">
        <v>0.0017</v>
      </c>
      <c r="L21" s="61">
        <v>0.0008</v>
      </c>
      <c r="M21" s="61">
        <v>0.0011</v>
      </c>
      <c r="N21" s="61">
        <v>-0.0017</v>
      </c>
      <c r="O21" s="61">
        <v>0.0087</v>
      </c>
      <c r="P21" s="61">
        <v>0.0071</v>
      </c>
      <c r="Q21" s="61">
        <v>0.0059</v>
      </c>
      <c r="R21" s="61">
        <v>0.0059</v>
      </c>
      <c r="S21" s="61">
        <v>0.0055</v>
      </c>
      <c r="T21" s="61">
        <v>0.0097</v>
      </c>
      <c r="U21" s="61">
        <v>0.0066</v>
      </c>
      <c r="V21" s="61"/>
      <c r="W21" s="61"/>
      <c r="X21" s="61"/>
      <c r="Y21" s="61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>
      <c r="A22" s="63"/>
      <c r="B22" s="59">
        <v>8</v>
      </c>
      <c r="C22" s="60"/>
      <c r="D22" s="60"/>
      <c r="E22" s="60"/>
      <c r="F22" s="60"/>
      <c r="G22" s="60"/>
      <c r="H22" s="60"/>
      <c r="I22" s="60" t="s">
        <v>31</v>
      </c>
      <c r="J22" s="61">
        <v>-0.0006</v>
      </c>
      <c r="K22" s="61">
        <v>0.0005</v>
      </c>
      <c r="L22" s="61">
        <v>0.0019</v>
      </c>
      <c r="M22" s="61">
        <v>0.0021</v>
      </c>
      <c r="N22" s="61">
        <v>-0.0028</v>
      </c>
      <c r="O22" s="61">
        <v>0.0112</v>
      </c>
      <c r="P22" s="61">
        <v>0.0016</v>
      </c>
      <c r="Q22" s="61">
        <v>0.0028</v>
      </c>
      <c r="R22" s="61">
        <v>0.0004</v>
      </c>
      <c r="S22" s="61">
        <v>0.0031</v>
      </c>
      <c r="T22" s="61">
        <v>0.0068</v>
      </c>
      <c r="U22" s="61">
        <v>0.0025</v>
      </c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>
      <c r="A23" s="63"/>
      <c r="B23" s="59">
        <v>9</v>
      </c>
      <c r="C23" s="60"/>
      <c r="D23" s="60"/>
      <c r="E23" s="60"/>
      <c r="F23" s="60"/>
      <c r="G23" s="60"/>
      <c r="H23" s="60"/>
      <c r="I23" s="60" t="s">
        <v>31</v>
      </c>
      <c r="J23" s="61">
        <v>0.0008</v>
      </c>
      <c r="K23" s="61">
        <v>0.0003</v>
      </c>
      <c r="L23" s="61">
        <v>0.0013</v>
      </c>
      <c r="M23" s="61">
        <v>0.0007</v>
      </c>
      <c r="N23" s="61">
        <v>-0.0022</v>
      </c>
      <c r="O23" s="61">
        <v>0.0097</v>
      </c>
      <c r="P23" s="61">
        <v>0.0032</v>
      </c>
      <c r="Q23" s="61">
        <v>0.004</v>
      </c>
      <c r="R23" s="61">
        <v>0.0029</v>
      </c>
      <c r="S23" s="61">
        <v>0.0038</v>
      </c>
      <c r="T23" s="61">
        <v>0.0089</v>
      </c>
      <c r="U23" s="61">
        <v>0.0038</v>
      </c>
      <c r="V23" s="61"/>
      <c r="W23" s="61"/>
      <c r="X23" s="61"/>
      <c r="Y23" s="61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>
      <c r="A24" s="63"/>
      <c r="B24" s="59">
        <v>10</v>
      </c>
      <c r="C24" s="60"/>
      <c r="D24" s="60"/>
      <c r="E24" s="60"/>
      <c r="F24" s="60"/>
      <c r="G24" s="60"/>
      <c r="H24" s="60"/>
      <c r="I24" s="60" t="s">
        <v>31</v>
      </c>
      <c r="J24" s="61">
        <v>-0.0007</v>
      </c>
      <c r="K24" s="61">
        <v>0.0019</v>
      </c>
      <c r="L24" s="61">
        <v>0.0023</v>
      </c>
      <c r="M24" s="61">
        <v>0.0022</v>
      </c>
      <c r="N24" s="61">
        <v>-0.0035</v>
      </c>
      <c r="O24" s="61">
        <v>0.0089</v>
      </c>
      <c r="P24" s="61">
        <v>0.0048</v>
      </c>
      <c r="Q24" s="61">
        <v>0.0048</v>
      </c>
      <c r="R24" s="61">
        <v>0.0031</v>
      </c>
      <c r="S24" s="61">
        <v>0.0054</v>
      </c>
      <c r="T24" s="61">
        <v>0.0082</v>
      </c>
      <c r="U24" s="61">
        <v>0.0056</v>
      </c>
      <c r="V24" s="61"/>
      <c r="W24" s="61"/>
      <c r="X24" s="61"/>
      <c r="Y24" s="61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>
      <c r="A25" s="63"/>
      <c r="B25" s="59">
        <v>11</v>
      </c>
      <c r="C25" s="60"/>
      <c r="D25" s="60"/>
      <c r="E25" s="60"/>
      <c r="F25" s="60"/>
      <c r="G25" s="60"/>
      <c r="H25" s="60"/>
      <c r="I25" s="60" t="s">
        <v>31</v>
      </c>
      <c r="J25" s="61">
        <v>0.0054</v>
      </c>
      <c r="K25" s="61">
        <v>0.0058</v>
      </c>
      <c r="L25" s="61">
        <v>0.0026</v>
      </c>
      <c r="M25" s="61">
        <v>0.0054</v>
      </c>
      <c r="N25" s="61">
        <v>0.0058</v>
      </c>
      <c r="O25" s="61">
        <v>0.0075</v>
      </c>
      <c r="P25" s="61">
        <v>0.0001</v>
      </c>
      <c r="Q25" s="61">
        <v>0.0023</v>
      </c>
      <c r="R25" s="61">
        <v>0.0007</v>
      </c>
      <c r="S25" s="61">
        <v>-0.0013</v>
      </c>
      <c r="T25" s="61">
        <v>0.0005</v>
      </c>
      <c r="U25" s="61">
        <v>-0.0003</v>
      </c>
      <c r="V25" s="61"/>
      <c r="W25" s="61"/>
      <c r="X25" s="61"/>
      <c r="Y25" s="61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>
      <c r="A26" s="63"/>
      <c r="B26" s="59">
        <v>12</v>
      </c>
      <c r="C26" s="60"/>
      <c r="D26" s="60"/>
      <c r="E26" s="60"/>
      <c r="F26" s="60"/>
      <c r="G26" s="60"/>
      <c r="H26" s="60"/>
      <c r="I26" s="60" t="s">
        <v>31</v>
      </c>
      <c r="J26" s="61">
        <v>0.0042</v>
      </c>
      <c r="K26" s="61">
        <v>0.0068</v>
      </c>
      <c r="L26" s="61">
        <v>0.0047</v>
      </c>
      <c r="M26" s="61">
        <v>0.0084</v>
      </c>
      <c r="N26" s="61">
        <v>0.0061</v>
      </c>
      <c r="O26" s="61">
        <v>0.0079</v>
      </c>
      <c r="P26" s="61">
        <v>0.0007</v>
      </c>
      <c r="Q26" s="61">
        <v>0.0019</v>
      </c>
      <c r="R26" s="61">
        <v>0.0011</v>
      </c>
      <c r="S26" s="61">
        <v>-0.0013</v>
      </c>
      <c r="T26" s="61">
        <v>0.0017</v>
      </c>
      <c r="U26" s="61">
        <v>0.0002</v>
      </c>
      <c r="V26" s="61"/>
      <c r="W26" s="61"/>
      <c r="X26" s="61"/>
      <c r="Y26" s="61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>
      <c r="A27" s="63"/>
      <c r="B27" s="59">
        <v>13</v>
      </c>
      <c r="C27" s="60"/>
      <c r="D27" s="60"/>
      <c r="E27" s="60"/>
      <c r="F27" s="60"/>
      <c r="G27" s="60"/>
      <c r="H27" s="60"/>
      <c r="I27" s="60" t="s">
        <v>31</v>
      </c>
      <c r="J27" s="61">
        <v>-0.0006</v>
      </c>
      <c r="K27" s="61">
        <v>0.0025</v>
      </c>
      <c r="L27" s="61">
        <v>-0.0011</v>
      </c>
      <c r="M27" s="61">
        <v>0.002</v>
      </c>
      <c r="N27" s="61">
        <v>-0.0024</v>
      </c>
      <c r="O27" s="61">
        <v>0.0011</v>
      </c>
      <c r="P27" s="61">
        <v>0.0007</v>
      </c>
      <c r="Q27" s="61">
        <v>0.0027</v>
      </c>
      <c r="R27" s="61">
        <v>0.0001</v>
      </c>
      <c r="S27" s="61">
        <v>-0.0004</v>
      </c>
      <c r="T27" s="61">
        <v>0.0084</v>
      </c>
      <c r="U27" s="61">
        <v>0.0016</v>
      </c>
      <c r="V27" s="61"/>
      <c r="W27" s="61"/>
      <c r="X27" s="61"/>
      <c r="Y27" s="61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>
      <c r="A28" s="63"/>
      <c r="B28" s="59">
        <v>14</v>
      </c>
      <c r="C28" s="60"/>
      <c r="D28" s="60"/>
      <c r="E28" s="60"/>
      <c r="F28" s="60"/>
      <c r="G28" s="60"/>
      <c r="H28" s="60"/>
      <c r="I28" s="60" t="s">
        <v>31</v>
      </c>
      <c r="J28" s="61">
        <v>-0.0031</v>
      </c>
      <c r="K28" s="61">
        <v>-0.0013</v>
      </c>
      <c r="L28" s="61">
        <v>-0.0042</v>
      </c>
      <c r="M28" s="61">
        <v>-0.0017</v>
      </c>
      <c r="N28" s="61">
        <v>-0.0046</v>
      </c>
      <c r="O28" s="61">
        <v>-0.0007</v>
      </c>
      <c r="P28" s="61">
        <v>0.005</v>
      </c>
      <c r="Q28" s="61">
        <v>0.0043</v>
      </c>
      <c r="R28" s="61">
        <v>0.0017</v>
      </c>
      <c r="S28" s="61">
        <v>0.0049</v>
      </c>
      <c r="T28" s="61">
        <v>0.0036</v>
      </c>
      <c r="U28" s="61">
        <v>0.0026</v>
      </c>
      <c r="V28" s="61"/>
      <c r="W28" s="61"/>
      <c r="X28" s="61"/>
      <c r="Y28" s="61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>
      <c r="A29" s="63"/>
      <c r="B29" s="59">
        <v>15</v>
      </c>
      <c r="C29" s="60"/>
      <c r="D29" s="60"/>
      <c r="E29" s="60"/>
      <c r="F29" s="60"/>
      <c r="G29" s="60"/>
      <c r="H29" s="60"/>
      <c r="I29" s="60" t="s">
        <v>31</v>
      </c>
      <c r="J29" s="61">
        <v>-0.0049</v>
      </c>
      <c r="K29" s="61">
        <v>-0.0011</v>
      </c>
      <c r="L29" s="61">
        <v>-0.0045</v>
      </c>
      <c r="M29" s="61">
        <v>0.0013</v>
      </c>
      <c r="N29" s="61">
        <v>-0.0054</v>
      </c>
      <c r="O29" s="61">
        <v>-0.0001</v>
      </c>
      <c r="P29" s="61">
        <v>0.0028</v>
      </c>
      <c r="Q29" s="61">
        <v>0.0082</v>
      </c>
      <c r="R29" s="61">
        <v>0.0001</v>
      </c>
      <c r="S29" s="61">
        <v>-0.0013</v>
      </c>
      <c r="T29" s="61">
        <v>0.001</v>
      </c>
      <c r="U29" s="61">
        <v>0.0005</v>
      </c>
      <c r="V29" s="61"/>
      <c r="W29" s="61"/>
      <c r="X29" s="61"/>
      <c r="Y29" s="61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>
      <c r="A30" s="63"/>
      <c r="B30" s="59">
        <v>16</v>
      </c>
      <c r="C30" s="60"/>
      <c r="D30" s="60"/>
      <c r="E30" s="60"/>
      <c r="F30" s="60"/>
      <c r="G30" s="60"/>
      <c r="H30" s="60"/>
      <c r="I30" s="60" t="s">
        <v>31</v>
      </c>
      <c r="J30" s="61">
        <v>-0.0089</v>
      </c>
      <c r="K30" s="61">
        <v>-0.0063</v>
      </c>
      <c r="L30" s="61">
        <v>-0.0077</v>
      </c>
      <c r="M30" s="61">
        <v>-0.0074</v>
      </c>
      <c r="N30" s="61">
        <v>-0.0084</v>
      </c>
      <c r="O30" s="61">
        <v>-0.0046</v>
      </c>
      <c r="P30" s="61">
        <v>0.0029</v>
      </c>
      <c r="Q30" s="61">
        <v>-0.0027</v>
      </c>
      <c r="R30" s="61">
        <v>0.0013</v>
      </c>
      <c r="S30" s="61">
        <v>-0.0014</v>
      </c>
      <c r="T30" s="61">
        <v>0.0043</v>
      </c>
      <c r="U30" s="61">
        <v>0.002</v>
      </c>
      <c r="V30" s="61"/>
      <c r="W30" s="61"/>
      <c r="X30" s="61"/>
      <c r="Y30" s="61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>
      <c r="A31" s="63"/>
      <c r="B31" s="59">
        <v>17</v>
      </c>
      <c r="C31" s="60"/>
      <c r="D31" s="60"/>
      <c r="E31" s="60"/>
      <c r="F31" s="60"/>
      <c r="G31" s="60"/>
      <c r="H31" s="60"/>
      <c r="I31" s="60" t="s">
        <v>31</v>
      </c>
      <c r="J31" s="61">
        <v>0.0056</v>
      </c>
      <c r="K31" s="61">
        <v>0.0048</v>
      </c>
      <c r="L31" s="61">
        <v>0.0038</v>
      </c>
      <c r="M31" s="61">
        <v>0.0056</v>
      </c>
      <c r="N31" s="61">
        <v>-0.0001</v>
      </c>
      <c r="O31" s="61">
        <v>0.0069</v>
      </c>
      <c r="P31" s="61">
        <v>0.0021</v>
      </c>
      <c r="Q31" s="61">
        <v>-0.0015</v>
      </c>
      <c r="R31" s="61">
        <v>-0.0003</v>
      </c>
      <c r="S31" s="61">
        <v>-0.0014</v>
      </c>
      <c r="T31" s="61">
        <v>0.0025</v>
      </c>
      <c r="U31" s="61">
        <v>-0.001</v>
      </c>
      <c r="V31" s="61"/>
      <c r="W31" s="61"/>
      <c r="X31" s="61"/>
      <c r="Y31" s="61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>
      <c r="A32" s="63"/>
      <c r="B32" s="59">
        <v>18</v>
      </c>
      <c r="C32" s="60"/>
      <c r="D32" s="60"/>
      <c r="E32" s="60"/>
      <c r="F32" s="60"/>
      <c r="G32" s="60"/>
      <c r="H32" s="60"/>
      <c r="I32" s="60" t="s">
        <v>31</v>
      </c>
      <c r="J32" s="61">
        <v>-0.0016</v>
      </c>
      <c r="K32" s="61">
        <v>0.0009</v>
      </c>
      <c r="L32" s="61">
        <v>-0.0005</v>
      </c>
      <c r="M32" s="61">
        <v>-0.0015</v>
      </c>
      <c r="N32" s="61">
        <v>-0.002</v>
      </c>
      <c r="O32" s="61">
        <v>0.0058</v>
      </c>
      <c r="P32" s="61">
        <v>0.0066</v>
      </c>
      <c r="Q32" s="61">
        <v>0.0047</v>
      </c>
      <c r="R32" s="61">
        <v>0.0049</v>
      </c>
      <c r="S32" s="61">
        <v>0.0046</v>
      </c>
      <c r="T32" s="61">
        <v>0.0078</v>
      </c>
      <c r="U32" s="61">
        <v>0.0054</v>
      </c>
      <c r="V32" s="61"/>
      <c r="W32" s="61"/>
      <c r="X32" s="61"/>
      <c r="Y32" s="61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>
      <c r="A33" s="63"/>
      <c r="B33" s="59">
        <v>19</v>
      </c>
      <c r="C33" s="60"/>
      <c r="D33" s="60"/>
      <c r="E33" s="60"/>
      <c r="F33" s="60"/>
      <c r="G33" s="60"/>
      <c r="H33" s="60"/>
      <c r="I33" s="60" t="s">
        <v>31</v>
      </c>
      <c r="J33" s="61">
        <v>-0.0021</v>
      </c>
      <c r="K33" s="61">
        <v>-0.0017</v>
      </c>
      <c r="L33" s="61">
        <v>0.0011</v>
      </c>
      <c r="M33" s="61">
        <v>0.0003</v>
      </c>
      <c r="N33" s="61">
        <v>-0.0046</v>
      </c>
      <c r="O33" s="61">
        <v>0.0084</v>
      </c>
      <c r="P33" s="61">
        <v>0.0025</v>
      </c>
      <c r="Q33" s="61">
        <v>0.0033</v>
      </c>
      <c r="R33" s="61">
        <v>0.0007</v>
      </c>
      <c r="S33" s="61">
        <v>0.0005</v>
      </c>
      <c r="T33" s="61">
        <v>0.0054</v>
      </c>
      <c r="U33" s="61">
        <v>0.0031</v>
      </c>
      <c r="V33" s="61"/>
      <c r="W33" s="61"/>
      <c r="X33" s="61"/>
      <c r="Y33" s="61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>
      <c r="A34" s="63"/>
      <c r="B34" s="59">
        <v>20</v>
      </c>
      <c r="C34" s="60"/>
      <c r="D34" s="60"/>
      <c r="E34" s="60"/>
      <c r="F34" s="60"/>
      <c r="G34" s="60"/>
      <c r="H34" s="60"/>
      <c r="I34" s="60" t="s">
        <v>31</v>
      </c>
      <c r="J34" s="61">
        <v>0.0048</v>
      </c>
      <c r="K34" s="61">
        <v>0.0091</v>
      </c>
      <c r="L34" s="61">
        <v>0.0023</v>
      </c>
      <c r="M34" s="61">
        <v>0.0057</v>
      </c>
      <c r="N34" s="61">
        <v>0.0075</v>
      </c>
      <c r="O34" s="61">
        <v>0.0074</v>
      </c>
      <c r="P34" s="61">
        <v>-0.0001</v>
      </c>
      <c r="Q34" s="61">
        <v>0.0011</v>
      </c>
      <c r="R34" s="61">
        <v>0.0006</v>
      </c>
      <c r="S34" s="61">
        <v>0</v>
      </c>
      <c r="T34" s="61">
        <v>0.0015</v>
      </c>
      <c r="U34" s="61">
        <v>0.0002</v>
      </c>
      <c r="V34" s="61"/>
      <c r="W34" s="61"/>
      <c r="X34" s="61"/>
      <c r="Y34" s="61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>
      <c r="A35" s="63"/>
      <c r="B35" s="59">
        <v>21</v>
      </c>
      <c r="C35" s="60"/>
      <c r="D35" s="60"/>
      <c r="E35" s="60"/>
      <c r="F35" s="60"/>
      <c r="G35" s="60"/>
      <c r="H35" s="60"/>
      <c r="I35" s="60" t="s">
        <v>31</v>
      </c>
      <c r="J35" s="61">
        <v>-0.0053</v>
      </c>
      <c r="K35" s="61">
        <v>-0.0048</v>
      </c>
      <c r="L35" s="61">
        <v>-0.0045</v>
      </c>
      <c r="M35" s="61">
        <v>-0.0018</v>
      </c>
      <c r="N35" s="61">
        <v>-0.0056</v>
      </c>
      <c r="O35" s="61">
        <v>-0.0002</v>
      </c>
      <c r="P35" s="61">
        <v>0.0032</v>
      </c>
      <c r="Q35" s="61">
        <v>0.0033</v>
      </c>
      <c r="R35" s="61">
        <v>0.0024</v>
      </c>
      <c r="S35" s="61">
        <v>0.0024</v>
      </c>
      <c r="T35" s="61">
        <v>0.0026</v>
      </c>
      <c r="U35" s="61">
        <v>0.0023</v>
      </c>
      <c r="V35" s="61"/>
      <c r="W35" s="61"/>
      <c r="X35" s="61"/>
      <c r="Y35" s="61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>
      <c r="A36" s="63"/>
      <c r="B36" s="59" t="s">
        <v>39</v>
      </c>
      <c r="C36" s="60" t="s">
        <v>40</v>
      </c>
      <c r="D36" s="60">
        <v>0</v>
      </c>
      <c r="E36" s="60">
        <v>0.04</v>
      </c>
      <c r="F36" s="60">
        <v>0</v>
      </c>
      <c r="G36" s="60">
        <f>D36+E36</f>
        <v>0.04</v>
      </c>
      <c r="H36" s="60">
        <f>D36+F36</f>
        <v>0</v>
      </c>
      <c r="I36" s="60" t="s">
        <v>31</v>
      </c>
      <c r="J36" s="61">
        <v>0.0027</v>
      </c>
      <c r="K36" s="61">
        <v>0.0011</v>
      </c>
      <c r="L36" s="61">
        <v>0.0017</v>
      </c>
      <c r="M36" s="61">
        <v>0.0013</v>
      </c>
      <c r="N36" s="61">
        <v>0.0022</v>
      </c>
      <c r="O36" s="61">
        <v>0.0023</v>
      </c>
      <c r="P36" s="61">
        <v>0.0029</v>
      </c>
      <c r="Q36" s="61">
        <v>0.0022</v>
      </c>
      <c r="R36" s="61">
        <v>0.0026</v>
      </c>
      <c r="S36" s="61">
        <v>0.0017</v>
      </c>
      <c r="T36" s="61">
        <v>0.0011</v>
      </c>
      <c r="U36" s="61">
        <v>0.0019</v>
      </c>
      <c r="V36" s="61"/>
      <c r="W36" s="61"/>
      <c r="X36" s="61"/>
      <c r="Y36" s="61"/>
      <c r="Z36" s="62" t="str">
        <f t="shared" ref="Z36:AO36" si="9">IF(J36="","",IF(J36&gt;($D36+$E36),(J36-$D36-$E36),IF(J36&lt;($D36+$F36),(J36-$D36-$F36),"√")))</f>
        <v>√</v>
      </c>
      <c r="AA36" s="62" t="str">
        <f t="shared" si="9"/>
        <v>√</v>
      </c>
      <c r="AB36" s="62" t="str">
        <f t="shared" si="9"/>
        <v>√</v>
      </c>
      <c r="AC36" s="62" t="str">
        <f t="shared" si="9"/>
        <v>√</v>
      </c>
      <c r="AD36" s="62" t="str">
        <f t="shared" si="9"/>
        <v>√</v>
      </c>
      <c r="AE36" s="62" t="str">
        <f t="shared" si="9"/>
        <v>√</v>
      </c>
      <c r="AF36" s="62" t="str">
        <f t="shared" si="9"/>
        <v>√</v>
      </c>
      <c r="AG36" s="62" t="str">
        <f t="shared" si="9"/>
        <v>√</v>
      </c>
      <c r="AH36" s="62" t="str">
        <f t="shared" si="9"/>
        <v>√</v>
      </c>
      <c r="AI36" s="62" t="str">
        <f t="shared" si="9"/>
        <v>√</v>
      </c>
      <c r="AJ36" s="62" t="str">
        <f t="shared" si="9"/>
        <v>√</v>
      </c>
      <c r="AK36" s="62" t="str">
        <f t="shared" si="9"/>
        <v>√</v>
      </c>
      <c r="AL36" s="62" t="str">
        <f t="shared" si="9"/>
        <v/>
      </c>
      <c r="AM36" s="62" t="str">
        <f t="shared" si="9"/>
        <v/>
      </c>
      <c r="AN36" s="62" t="str">
        <f t="shared" si="9"/>
        <v/>
      </c>
      <c r="AO36" s="62" t="str">
        <f t="shared" si="9"/>
        <v/>
      </c>
    </row>
    <row r="37" spans="1:41">
      <c r="A37" s="63"/>
      <c r="B37" s="59">
        <v>1</v>
      </c>
      <c r="C37" s="60"/>
      <c r="D37" s="60"/>
      <c r="E37" s="60"/>
      <c r="F37" s="60"/>
      <c r="G37" s="60"/>
      <c r="H37" s="60"/>
      <c r="I37" s="60" t="s">
        <v>31</v>
      </c>
      <c r="J37" s="61">
        <v>0.0013</v>
      </c>
      <c r="K37" s="61">
        <v>0.0005</v>
      </c>
      <c r="L37" s="61">
        <v>0.0008</v>
      </c>
      <c r="M37" s="61">
        <v>-0.0006</v>
      </c>
      <c r="N37" s="61">
        <v>-0.0011</v>
      </c>
      <c r="O37" s="61">
        <v>0.0008</v>
      </c>
      <c r="P37" s="61">
        <v>0.0014</v>
      </c>
      <c r="Q37" s="61">
        <v>-0.0004</v>
      </c>
      <c r="R37" s="61">
        <v>0.0005</v>
      </c>
      <c r="S37" s="61">
        <v>-0.0003</v>
      </c>
      <c r="T37" s="61">
        <v>-0.0002</v>
      </c>
      <c r="U37" s="61">
        <v>0.0002</v>
      </c>
      <c r="V37" s="61"/>
      <c r="W37" s="61"/>
      <c r="X37" s="61"/>
      <c r="Y37" s="61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>
      <c r="A38" s="63"/>
      <c r="B38" s="59">
        <v>2</v>
      </c>
      <c r="C38" s="60"/>
      <c r="D38" s="60"/>
      <c r="E38" s="60"/>
      <c r="F38" s="60"/>
      <c r="G38" s="60"/>
      <c r="H38" s="60"/>
      <c r="I38" s="60" t="s">
        <v>31</v>
      </c>
      <c r="J38" s="61">
        <v>-0.0002</v>
      </c>
      <c r="K38" s="61">
        <v>-0.0004</v>
      </c>
      <c r="L38" s="61">
        <v>0.0007</v>
      </c>
      <c r="M38" s="61">
        <v>0.0001</v>
      </c>
      <c r="N38" s="61">
        <v>0.0004</v>
      </c>
      <c r="O38" s="61">
        <v>0.0012</v>
      </c>
      <c r="P38" s="61">
        <v>0.0008</v>
      </c>
      <c r="Q38" s="61">
        <v>0.0011</v>
      </c>
      <c r="R38" s="61">
        <v>0</v>
      </c>
      <c r="S38" s="61">
        <v>0.0009</v>
      </c>
      <c r="T38" s="61">
        <v>-0.0005</v>
      </c>
      <c r="U38" s="61">
        <v>0.001</v>
      </c>
      <c r="V38" s="61"/>
      <c r="W38" s="61"/>
      <c r="X38" s="61"/>
      <c r="Y38" s="61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>
      <c r="A39" s="63"/>
      <c r="B39" s="59">
        <v>3</v>
      </c>
      <c r="C39" s="60"/>
      <c r="D39" s="60"/>
      <c r="E39" s="60"/>
      <c r="F39" s="60"/>
      <c r="G39" s="60"/>
      <c r="H39" s="60"/>
      <c r="I39" s="60" t="s">
        <v>31</v>
      </c>
      <c r="J39" s="61">
        <v>-0.0013</v>
      </c>
      <c r="K39" s="61">
        <v>-0.0005</v>
      </c>
      <c r="L39" s="61">
        <v>-0.0008</v>
      </c>
      <c r="M39" s="61">
        <v>-0.0006</v>
      </c>
      <c r="N39" s="61">
        <v>-0.0003</v>
      </c>
      <c r="O39" s="61">
        <v>-0.0012</v>
      </c>
      <c r="P39" s="61">
        <v>-0.0005</v>
      </c>
      <c r="Q39" s="61">
        <v>-0.0011</v>
      </c>
      <c r="R39" s="61">
        <v>-0.0013</v>
      </c>
      <c r="S39" s="61">
        <v>-0.0009</v>
      </c>
      <c r="T39" s="61">
        <v>-0.0002</v>
      </c>
      <c r="U39" s="61">
        <v>-0.0007</v>
      </c>
      <c r="V39" s="61"/>
      <c r="W39" s="61"/>
      <c r="X39" s="61"/>
      <c r="Y39" s="61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>
      <c r="A40" s="63"/>
      <c r="B40" s="59">
        <v>4</v>
      </c>
      <c r="C40" s="60"/>
      <c r="D40" s="60"/>
      <c r="E40" s="60"/>
      <c r="F40" s="60"/>
      <c r="G40" s="60"/>
      <c r="H40" s="60"/>
      <c r="I40" s="60" t="s">
        <v>31</v>
      </c>
      <c r="J40" s="61">
        <v>-0.0006</v>
      </c>
      <c r="K40" s="61">
        <v>-0.0002</v>
      </c>
      <c r="L40" s="61">
        <v>-0.0006</v>
      </c>
      <c r="M40" s="61">
        <v>0.0006</v>
      </c>
      <c r="N40" s="61">
        <v>0.0011</v>
      </c>
      <c r="O40" s="61">
        <v>0.0003</v>
      </c>
      <c r="P40" s="61">
        <v>-0.0014</v>
      </c>
      <c r="Q40" s="61">
        <v>-0.0003</v>
      </c>
      <c r="R40" s="61">
        <v>0.0013</v>
      </c>
      <c r="S40" s="61">
        <v>0.0001</v>
      </c>
      <c r="T40" s="61">
        <v>0.0005</v>
      </c>
      <c r="U40" s="61">
        <v>-0.001</v>
      </c>
      <c r="V40" s="61"/>
      <c r="W40" s="61"/>
      <c r="X40" s="61"/>
      <c r="Y40" s="61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>
      <c r="A41" s="63"/>
      <c r="B41" s="59" t="s">
        <v>41</v>
      </c>
      <c r="C41" s="60" t="s">
        <v>40</v>
      </c>
      <c r="D41" s="60">
        <v>0</v>
      </c>
      <c r="E41" s="60">
        <v>0.04</v>
      </c>
      <c r="F41" s="60">
        <v>0</v>
      </c>
      <c r="G41" s="60">
        <f>D41+E41</f>
        <v>0.04</v>
      </c>
      <c r="H41" s="60">
        <f>D41+F41</f>
        <v>0</v>
      </c>
      <c r="I41" s="60" t="s">
        <v>31</v>
      </c>
      <c r="J41" s="61">
        <v>0.0019</v>
      </c>
      <c r="K41" s="61">
        <v>0.0026</v>
      </c>
      <c r="L41" s="61">
        <v>0.0043</v>
      </c>
      <c r="M41" s="61">
        <v>0.003</v>
      </c>
      <c r="N41" s="61">
        <v>0.0014</v>
      </c>
      <c r="O41" s="61">
        <v>0.0035</v>
      </c>
      <c r="P41" s="61">
        <v>0.0008</v>
      </c>
      <c r="Q41" s="61">
        <v>0.0029</v>
      </c>
      <c r="R41" s="61">
        <v>0.0025</v>
      </c>
      <c r="S41" s="61">
        <v>0.0007</v>
      </c>
      <c r="T41" s="61">
        <v>0.0028</v>
      </c>
      <c r="U41" s="61">
        <v>0.0051</v>
      </c>
      <c r="V41" s="61"/>
      <c r="W41" s="61"/>
      <c r="X41" s="61"/>
      <c r="Y41" s="61"/>
      <c r="Z41" s="62" t="str">
        <f t="shared" ref="Z41:AO41" si="10">IF(J41="","",IF(J41&gt;($D41+$E41),(J41-$D41-$E41),IF(J41&lt;($D41+$F41),(J41-$D41-$F41),"√")))</f>
        <v>√</v>
      </c>
      <c r="AA41" s="62" t="str">
        <f t="shared" si="10"/>
        <v>√</v>
      </c>
      <c r="AB41" s="62" t="str">
        <f t="shared" si="10"/>
        <v>√</v>
      </c>
      <c r="AC41" s="62" t="str">
        <f t="shared" si="10"/>
        <v>√</v>
      </c>
      <c r="AD41" s="62" t="str">
        <f t="shared" si="10"/>
        <v>√</v>
      </c>
      <c r="AE41" s="62" t="str">
        <f t="shared" si="10"/>
        <v>√</v>
      </c>
      <c r="AF41" s="62" t="str">
        <f t="shared" si="10"/>
        <v>√</v>
      </c>
      <c r="AG41" s="62" t="str">
        <f t="shared" si="10"/>
        <v>√</v>
      </c>
      <c r="AH41" s="62" t="str">
        <f t="shared" si="10"/>
        <v>√</v>
      </c>
      <c r="AI41" s="62" t="str">
        <f t="shared" si="10"/>
        <v>√</v>
      </c>
      <c r="AJ41" s="62" t="str">
        <f t="shared" si="10"/>
        <v>√</v>
      </c>
      <c r="AK41" s="62" t="str">
        <f t="shared" si="10"/>
        <v>√</v>
      </c>
      <c r="AL41" s="62" t="str">
        <f t="shared" si="10"/>
        <v/>
      </c>
      <c r="AM41" s="62" t="str">
        <f t="shared" si="10"/>
        <v/>
      </c>
      <c r="AN41" s="62" t="str">
        <f t="shared" si="10"/>
        <v/>
      </c>
      <c r="AO41" s="62" t="str">
        <f t="shared" si="10"/>
        <v/>
      </c>
    </row>
    <row r="42" spans="1:41">
      <c r="A42" s="63"/>
      <c r="B42" s="59">
        <v>1</v>
      </c>
      <c r="C42" s="60"/>
      <c r="D42" s="60"/>
      <c r="E42" s="60"/>
      <c r="F42" s="60"/>
      <c r="G42" s="60"/>
      <c r="H42" s="60"/>
      <c r="I42" s="60" t="s">
        <v>31</v>
      </c>
      <c r="J42" s="61">
        <v>0.0008</v>
      </c>
      <c r="K42" s="61">
        <v>0.0012</v>
      </c>
      <c r="L42" s="61">
        <v>0.0006</v>
      </c>
      <c r="M42" s="61">
        <v>-0.0005</v>
      </c>
      <c r="N42" s="61">
        <v>0.0007</v>
      </c>
      <c r="O42" s="61">
        <v>0.0017</v>
      </c>
      <c r="P42" s="61">
        <v>-0.0004</v>
      </c>
      <c r="Q42" s="61">
        <v>-0.0014</v>
      </c>
      <c r="R42" s="61">
        <v>0.0007</v>
      </c>
      <c r="S42" s="61">
        <v>-0.0002</v>
      </c>
      <c r="T42" s="61">
        <v>-0.0005</v>
      </c>
      <c r="U42" s="61">
        <v>0.0026</v>
      </c>
      <c r="V42" s="61"/>
      <c r="W42" s="61"/>
      <c r="X42" s="61"/>
      <c r="Y42" s="61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>
      <c r="A43" s="63"/>
      <c r="B43" s="59">
        <v>2</v>
      </c>
      <c r="C43" s="60"/>
      <c r="D43" s="60"/>
      <c r="E43" s="60"/>
      <c r="F43" s="60"/>
      <c r="G43" s="60"/>
      <c r="H43" s="60"/>
      <c r="I43" s="60" t="s">
        <v>31</v>
      </c>
      <c r="J43" s="61">
        <v>0.001</v>
      </c>
      <c r="K43" s="61">
        <v>0.0013</v>
      </c>
      <c r="L43" s="61">
        <v>0.0021</v>
      </c>
      <c r="M43" s="61">
        <v>0.0015</v>
      </c>
      <c r="N43" s="61">
        <v>0.0003</v>
      </c>
      <c r="O43" s="61">
        <v>0.0003</v>
      </c>
      <c r="P43" s="61">
        <v>0.0004</v>
      </c>
      <c r="Q43" s="61">
        <v>-0.0011</v>
      </c>
      <c r="R43" s="61">
        <v>0.0012</v>
      </c>
      <c r="S43" s="61">
        <v>0.0004</v>
      </c>
      <c r="T43" s="61">
        <v>0.0014</v>
      </c>
      <c r="U43" s="61">
        <v>0.0005</v>
      </c>
      <c r="V43" s="61"/>
      <c r="W43" s="61"/>
      <c r="X43" s="61"/>
      <c r="Y43" s="61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>
      <c r="A44" s="63"/>
      <c r="B44" s="59">
        <v>3</v>
      </c>
      <c r="C44" s="60"/>
      <c r="D44" s="60"/>
      <c r="E44" s="60"/>
      <c r="F44" s="60"/>
      <c r="G44" s="60"/>
      <c r="H44" s="60"/>
      <c r="I44" s="60" t="s">
        <v>31</v>
      </c>
      <c r="J44" s="61">
        <v>-0.001</v>
      </c>
      <c r="K44" s="61">
        <v>-0.0013</v>
      </c>
      <c r="L44" s="61">
        <v>-0.0021</v>
      </c>
      <c r="M44" s="61">
        <v>-0.0015</v>
      </c>
      <c r="N44" s="61">
        <v>-0.0007</v>
      </c>
      <c r="O44" s="61">
        <v>-0.0015</v>
      </c>
      <c r="P44" s="61">
        <v>-0.0004</v>
      </c>
      <c r="Q44" s="61">
        <v>0</v>
      </c>
      <c r="R44" s="61">
        <v>-0.0012</v>
      </c>
      <c r="S44" s="61">
        <v>-0.0004</v>
      </c>
      <c r="T44" s="61">
        <v>-0.0014</v>
      </c>
      <c r="U44" s="61">
        <v>-0.0026</v>
      </c>
      <c r="V44" s="61"/>
      <c r="W44" s="61"/>
      <c r="X44" s="61"/>
      <c r="Y44" s="61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>
      <c r="A45" s="63"/>
      <c r="B45" s="59">
        <v>4</v>
      </c>
      <c r="C45" s="60"/>
      <c r="D45" s="60"/>
      <c r="E45" s="60"/>
      <c r="F45" s="60"/>
      <c r="G45" s="60"/>
      <c r="H45" s="60"/>
      <c r="I45" s="60" t="s">
        <v>31</v>
      </c>
      <c r="J45" s="61">
        <v>-0.0009</v>
      </c>
      <c r="K45" s="61">
        <v>-0.0007</v>
      </c>
      <c r="L45" s="61">
        <v>-0.0017</v>
      </c>
      <c r="M45" s="61">
        <v>-0.0012</v>
      </c>
      <c r="N45" s="61">
        <v>-0.0001</v>
      </c>
      <c r="O45" s="61">
        <v>-0.0017</v>
      </c>
      <c r="P45" s="61">
        <v>-0.0002</v>
      </c>
      <c r="Q45" s="61">
        <v>0.0014</v>
      </c>
      <c r="R45" s="61">
        <v>0.0001</v>
      </c>
      <c r="S45" s="61">
        <v>-0.0004</v>
      </c>
      <c r="T45" s="61">
        <v>-0.0008</v>
      </c>
      <c r="U45" s="61">
        <v>0.0002</v>
      </c>
      <c r="V45" s="61"/>
      <c r="W45" s="61"/>
      <c r="X45" s="61"/>
      <c r="Y45" s="61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>
      <c r="A46" s="63"/>
      <c r="B46" s="59" t="s">
        <v>42</v>
      </c>
      <c r="C46" s="60"/>
      <c r="D46" s="60">
        <v>0.7</v>
      </c>
      <c r="E46" s="60">
        <v>0.05</v>
      </c>
      <c r="F46" s="60">
        <v>-0.05</v>
      </c>
      <c r="G46" s="60">
        <f t="shared" ref="G46:G50" si="11">D46+E46</f>
        <v>0.75</v>
      </c>
      <c r="H46" s="60">
        <f t="shared" ref="H46:H50" si="12">D46+F46</f>
        <v>0.65</v>
      </c>
      <c r="I46" s="60" t="s">
        <v>31</v>
      </c>
      <c r="J46" s="61">
        <v>0.6969</v>
      </c>
      <c r="K46" s="61">
        <v>0.701</v>
      </c>
      <c r="L46" s="61">
        <v>0.7001</v>
      </c>
      <c r="M46" s="61">
        <v>0.6996</v>
      </c>
      <c r="N46" s="61">
        <v>0.6955</v>
      </c>
      <c r="O46" s="61">
        <v>0.7051</v>
      </c>
      <c r="P46" s="61">
        <v>0.702</v>
      </c>
      <c r="Q46" s="61">
        <v>0.7014</v>
      </c>
      <c r="R46" s="61">
        <v>0.7023</v>
      </c>
      <c r="S46" s="61">
        <v>0.7027</v>
      </c>
      <c r="T46" s="61">
        <v>0.7016</v>
      </c>
      <c r="U46" s="61">
        <v>0.7012</v>
      </c>
      <c r="V46" s="61"/>
      <c r="W46" s="61"/>
      <c r="X46" s="61"/>
      <c r="Y46" s="61"/>
      <c r="Z46" s="62" t="str">
        <f t="shared" ref="Z46:AO46" si="13">IF(J46="","",IF(J46&gt;($D46+$E46),(J46-$D46-$E46),IF(J46&lt;($D46+$F46),(J46-$D46-$F46),"√")))</f>
        <v>√</v>
      </c>
      <c r="AA46" s="62" t="str">
        <f t="shared" si="13"/>
        <v>√</v>
      </c>
      <c r="AB46" s="62" t="str">
        <f t="shared" si="13"/>
        <v>√</v>
      </c>
      <c r="AC46" s="62" t="str">
        <f t="shared" si="13"/>
        <v>√</v>
      </c>
      <c r="AD46" s="62" t="str">
        <f t="shared" si="13"/>
        <v>√</v>
      </c>
      <c r="AE46" s="62" t="str">
        <f t="shared" si="13"/>
        <v>√</v>
      </c>
      <c r="AF46" s="62" t="str">
        <f t="shared" si="13"/>
        <v>√</v>
      </c>
      <c r="AG46" s="62" t="str">
        <f t="shared" si="13"/>
        <v>√</v>
      </c>
      <c r="AH46" s="62" t="str">
        <f t="shared" si="13"/>
        <v>√</v>
      </c>
      <c r="AI46" s="62" t="str">
        <f t="shared" si="13"/>
        <v>√</v>
      </c>
      <c r="AJ46" s="62" t="str">
        <f t="shared" si="13"/>
        <v>√</v>
      </c>
      <c r="AK46" s="62" t="str">
        <f t="shared" si="13"/>
        <v>√</v>
      </c>
      <c r="AL46" s="62" t="str">
        <f t="shared" si="13"/>
        <v/>
      </c>
      <c r="AM46" s="62" t="str">
        <f t="shared" si="13"/>
        <v/>
      </c>
      <c r="AN46" s="62" t="str">
        <f t="shared" si="13"/>
        <v/>
      </c>
      <c r="AO46" s="62" t="str">
        <f t="shared" si="13"/>
        <v/>
      </c>
    </row>
    <row r="47" spans="1:41">
      <c r="A47" s="63"/>
      <c r="B47" s="59" t="s">
        <v>43</v>
      </c>
      <c r="C47" s="60"/>
      <c r="D47" s="60">
        <v>0.7</v>
      </c>
      <c r="E47" s="60">
        <v>0.05</v>
      </c>
      <c r="F47" s="60">
        <v>-0.05</v>
      </c>
      <c r="G47" s="60">
        <f t="shared" si="11"/>
        <v>0.75</v>
      </c>
      <c r="H47" s="60">
        <f t="shared" si="12"/>
        <v>0.65</v>
      </c>
      <c r="I47" s="60" t="s">
        <v>31</v>
      </c>
      <c r="J47" s="61">
        <v>0.6972</v>
      </c>
      <c r="K47" s="61">
        <v>0.7015</v>
      </c>
      <c r="L47" s="61">
        <v>0.7004</v>
      </c>
      <c r="M47" s="61">
        <v>0.7019</v>
      </c>
      <c r="N47" s="61">
        <v>0.7004</v>
      </c>
      <c r="O47" s="61">
        <v>0.7077</v>
      </c>
      <c r="P47" s="61">
        <v>0.7031</v>
      </c>
      <c r="Q47" s="61">
        <v>0.699</v>
      </c>
      <c r="R47" s="61">
        <v>0.7033</v>
      </c>
      <c r="S47" s="61">
        <v>0.7006</v>
      </c>
      <c r="T47" s="61">
        <v>0.7071</v>
      </c>
      <c r="U47" s="61">
        <v>0.7007</v>
      </c>
      <c r="V47" s="61"/>
      <c r="W47" s="61"/>
      <c r="X47" s="61"/>
      <c r="Y47" s="61"/>
      <c r="Z47" s="62" t="str">
        <f t="shared" ref="Z47:AO47" si="14">IF(J47="","",IF(J47&gt;($D47+$E47),(J47-$D47-$E47),IF(J47&lt;($D47+$F47),(J47-$D47-$F47),"√")))</f>
        <v>√</v>
      </c>
      <c r="AA47" s="62" t="str">
        <f t="shared" si="14"/>
        <v>√</v>
      </c>
      <c r="AB47" s="62" t="str">
        <f t="shared" si="14"/>
        <v>√</v>
      </c>
      <c r="AC47" s="62" t="str">
        <f t="shared" si="14"/>
        <v>√</v>
      </c>
      <c r="AD47" s="62" t="str">
        <f t="shared" si="14"/>
        <v>√</v>
      </c>
      <c r="AE47" s="62" t="str">
        <f t="shared" si="14"/>
        <v>√</v>
      </c>
      <c r="AF47" s="62" t="str">
        <f t="shared" si="14"/>
        <v>√</v>
      </c>
      <c r="AG47" s="62" t="str">
        <f t="shared" si="14"/>
        <v>√</v>
      </c>
      <c r="AH47" s="62" t="str">
        <f t="shared" si="14"/>
        <v>√</v>
      </c>
      <c r="AI47" s="62" t="str">
        <f t="shared" si="14"/>
        <v>√</v>
      </c>
      <c r="AJ47" s="62" t="str">
        <f t="shared" si="14"/>
        <v>√</v>
      </c>
      <c r="AK47" s="62" t="str">
        <f t="shared" si="14"/>
        <v>√</v>
      </c>
      <c r="AL47" s="62" t="str">
        <f t="shared" si="14"/>
        <v/>
      </c>
      <c r="AM47" s="62" t="str">
        <f t="shared" si="14"/>
        <v/>
      </c>
      <c r="AN47" s="62" t="str">
        <f t="shared" si="14"/>
        <v/>
      </c>
      <c r="AO47" s="62" t="str">
        <f t="shared" si="14"/>
        <v/>
      </c>
    </row>
    <row r="48" spans="1:41">
      <c r="A48" s="63"/>
      <c r="B48" s="59" t="s">
        <v>44</v>
      </c>
      <c r="C48" s="60"/>
      <c r="D48" s="60">
        <v>0.7</v>
      </c>
      <c r="E48" s="60">
        <v>0.05</v>
      </c>
      <c r="F48" s="60">
        <v>-0.05</v>
      </c>
      <c r="G48" s="60">
        <f t="shared" si="11"/>
        <v>0.75</v>
      </c>
      <c r="H48" s="60">
        <f t="shared" si="12"/>
        <v>0.65</v>
      </c>
      <c r="I48" s="60" t="s">
        <v>31</v>
      </c>
      <c r="J48" s="61">
        <v>0.7007</v>
      </c>
      <c r="K48" s="61">
        <v>0.7032</v>
      </c>
      <c r="L48" s="61">
        <v>0.7005</v>
      </c>
      <c r="M48" s="61">
        <v>0.7052</v>
      </c>
      <c r="N48" s="61">
        <v>0.6995</v>
      </c>
      <c r="O48" s="61">
        <v>0.7059</v>
      </c>
      <c r="P48" s="61">
        <v>0.7054</v>
      </c>
      <c r="Q48" s="61">
        <v>0.7074</v>
      </c>
      <c r="R48" s="61">
        <v>0.699</v>
      </c>
      <c r="S48" s="61">
        <v>0.7036</v>
      </c>
      <c r="T48" s="61">
        <v>0.7062</v>
      </c>
      <c r="U48" s="61">
        <v>0.7023</v>
      </c>
      <c r="V48" s="61"/>
      <c r="W48" s="61"/>
      <c r="X48" s="61"/>
      <c r="Y48" s="61"/>
      <c r="Z48" s="62" t="str">
        <f t="shared" ref="Z48:AO48" si="15">IF(J48="","",IF(J48&gt;($D48+$E48),(J48-$D48-$E48),IF(J48&lt;($D48+$F48),(J48-$D48-$F48),"√")))</f>
        <v>√</v>
      </c>
      <c r="AA48" s="62" t="str">
        <f t="shared" si="15"/>
        <v>√</v>
      </c>
      <c r="AB48" s="62" t="str">
        <f t="shared" si="15"/>
        <v>√</v>
      </c>
      <c r="AC48" s="62" t="str">
        <f t="shared" si="15"/>
        <v>√</v>
      </c>
      <c r="AD48" s="62" t="str">
        <f t="shared" si="15"/>
        <v>√</v>
      </c>
      <c r="AE48" s="62" t="str">
        <f t="shared" si="15"/>
        <v>√</v>
      </c>
      <c r="AF48" s="62" t="str">
        <f t="shared" si="15"/>
        <v>√</v>
      </c>
      <c r="AG48" s="62" t="str">
        <f t="shared" si="15"/>
        <v>√</v>
      </c>
      <c r="AH48" s="62" t="str">
        <f t="shared" si="15"/>
        <v>√</v>
      </c>
      <c r="AI48" s="62" t="str">
        <f t="shared" si="15"/>
        <v>√</v>
      </c>
      <c r="AJ48" s="62" t="str">
        <f t="shared" si="15"/>
        <v>√</v>
      </c>
      <c r="AK48" s="62" t="str">
        <f t="shared" si="15"/>
        <v>√</v>
      </c>
      <c r="AL48" s="62" t="str">
        <f t="shared" si="15"/>
        <v/>
      </c>
      <c r="AM48" s="62" t="str">
        <f t="shared" si="15"/>
        <v/>
      </c>
      <c r="AN48" s="62" t="str">
        <f t="shared" si="15"/>
        <v/>
      </c>
      <c r="AO48" s="62" t="str">
        <f t="shared" si="15"/>
        <v/>
      </c>
    </row>
    <row r="49" spans="1:41">
      <c r="A49" s="63"/>
      <c r="B49" s="59" t="s">
        <v>45</v>
      </c>
      <c r="C49" s="60"/>
      <c r="D49" s="60">
        <v>0.965</v>
      </c>
      <c r="E49" s="60">
        <v>0.015</v>
      </c>
      <c r="F49" s="60">
        <v>-0.015</v>
      </c>
      <c r="G49" s="60">
        <f t="shared" si="11"/>
        <v>0.98</v>
      </c>
      <c r="H49" s="60">
        <f t="shared" si="12"/>
        <v>0.95</v>
      </c>
      <c r="I49" s="60" t="s">
        <v>31</v>
      </c>
      <c r="J49" s="61">
        <v>0.9671</v>
      </c>
      <c r="K49" s="61">
        <v>0.9749</v>
      </c>
      <c r="L49" s="61">
        <v>0.9747</v>
      </c>
      <c r="M49" s="61">
        <v>0.9727</v>
      </c>
      <c r="N49" s="61">
        <v>0.9758</v>
      </c>
      <c r="O49" s="61">
        <v>0.9703</v>
      </c>
      <c r="P49" s="61">
        <v>0.9774</v>
      </c>
      <c r="Q49" s="61">
        <v>0.9737</v>
      </c>
      <c r="R49" s="61">
        <v>0.9733</v>
      </c>
      <c r="S49" s="61">
        <v>0.9744</v>
      </c>
      <c r="T49" s="61">
        <v>0.9747</v>
      </c>
      <c r="U49" s="61">
        <v>0.9762</v>
      </c>
      <c r="V49" s="61"/>
      <c r="W49" s="61"/>
      <c r="X49" s="61"/>
      <c r="Y49" s="61"/>
      <c r="Z49" s="62" t="str">
        <f t="shared" ref="Z49:AO49" si="16">IF(J49="","",IF(J49&gt;($D49+$E49),(J49-$D49-$E49),IF(J49&lt;($D49+$F49),(J49-$D49-$F49),"√")))</f>
        <v>√</v>
      </c>
      <c r="AA49" s="62" t="str">
        <f t="shared" si="16"/>
        <v>√</v>
      </c>
      <c r="AB49" s="62" t="str">
        <f t="shared" si="16"/>
        <v>√</v>
      </c>
      <c r="AC49" s="62" t="str">
        <f t="shared" si="16"/>
        <v>√</v>
      </c>
      <c r="AD49" s="62" t="str">
        <f t="shared" si="16"/>
        <v>√</v>
      </c>
      <c r="AE49" s="62" t="str">
        <f t="shared" si="16"/>
        <v>√</v>
      </c>
      <c r="AF49" s="62" t="str">
        <f t="shared" si="16"/>
        <v>√</v>
      </c>
      <c r="AG49" s="62" t="str">
        <f t="shared" si="16"/>
        <v>√</v>
      </c>
      <c r="AH49" s="62" t="str">
        <f t="shared" si="16"/>
        <v>√</v>
      </c>
      <c r="AI49" s="62" t="str">
        <f t="shared" si="16"/>
        <v>√</v>
      </c>
      <c r="AJ49" s="62" t="str">
        <f t="shared" si="16"/>
        <v>√</v>
      </c>
      <c r="AK49" s="62" t="str">
        <f t="shared" si="16"/>
        <v>√</v>
      </c>
      <c r="AL49" s="62" t="str">
        <f t="shared" si="16"/>
        <v/>
      </c>
      <c r="AM49" s="62" t="str">
        <f t="shared" si="16"/>
        <v/>
      </c>
      <c r="AN49" s="62" t="str">
        <f t="shared" si="16"/>
        <v/>
      </c>
      <c r="AO49" s="62" t="str">
        <f t="shared" si="16"/>
        <v/>
      </c>
    </row>
    <row r="50" spans="1:41">
      <c r="A50" s="63"/>
      <c r="B50" s="59" t="s">
        <v>46</v>
      </c>
      <c r="C50" s="60" t="s">
        <v>47</v>
      </c>
      <c r="D50" s="60">
        <v>0</v>
      </c>
      <c r="E50" s="60">
        <v>0.03</v>
      </c>
      <c r="F50" s="60">
        <v>0</v>
      </c>
      <c r="G50" s="60">
        <f t="shared" si="11"/>
        <v>0.03</v>
      </c>
      <c r="H50" s="60">
        <f t="shared" si="12"/>
        <v>0</v>
      </c>
      <c r="I50" s="60" t="s">
        <v>31</v>
      </c>
      <c r="J50" s="61">
        <v>0.0004</v>
      </c>
      <c r="K50" s="61">
        <v>0.0002</v>
      </c>
      <c r="L50" s="61">
        <v>0.0011</v>
      </c>
      <c r="M50" s="61">
        <v>0.002</v>
      </c>
      <c r="N50" s="61">
        <v>0.001</v>
      </c>
      <c r="O50" s="61">
        <v>0.0015</v>
      </c>
      <c r="P50" s="61">
        <v>0.0005</v>
      </c>
      <c r="Q50" s="61">
        <v>0.0001</v>
      </c>
      <c r="R50" s="61">
        <v>0.0019</v>
      </c>
      <c r="S50" s="61">
        <v>0.0011</v>
      </c>
      <c r="T50" s="61">
        <v>0.0049</v>
      </c>
      <c r="U50" s="61">
        <v>0.0004</v>
      </c>
      <c r="V50" s="61"/>
      <c r="W50" s="61"/>
      <c r="X50" s="61"/>
      <c r="Y50" s="61"/>
      <c r="Z50" s="62" t="str">
        <f t="shared" ref="Z50:AO50" si="17">IF(J50="","",IF(J50&gt;($D50+$E50),(J50-$D50-$E50),IF(J50&lt;($D50+$F50),(J50-$D50-$F50),"√")))</f>
        <v>√</v>
      </c>
      <c r="AA50" s="62" t="str">
        <f t="shared" si="17"/>
        <v>√</v>
      </c>
      <c r="AB50" s="62" t="str">
        <f t="shared" si="17"/>
        <v>√</v>
      </c>
      <c r="AC50" s="62" t="str">
        <f t="shared" si="17"/>
        <v>√</v>
      </c>
      <c r="AD50" s="62" t="str">
        <f t="shared" si="17"/>
        <v>√</v>
      </c>
      <c r="AE50" s="62" t="str">
        <f t="shared" si="17"/>
        <v>√</v>
      </c>
      <c r="AF50" s="62" t="str">
        <f t="shared" si="17"/>
        <v>√</v>
      </c>
      <c r="AG50" s="62" t="str">
        <f t="shared" si="17"/>
        <v>√</v>
      </c>
      <c r="AH50" s="62" t="str">
        <f t="shared" si="17"/>
        <v>√</v>
      </c>
      <c r="AI50" s="62" t="str">
        <f t="shared" si="17"/>
        <v>√</v>
      </c>
      <c r="AJ50" s="62" t="str">
        <f t="shared" si="17"/>
        <v>√</v>
      </c>
      <c r="AK50" s="62" t="str">
        <f t="shared" si="17"/>
        <v>√</v>
      </c>
      <c r="AL50" s="62" t="str">
        <f t="shared" si="17"/>
        <v/>
      </c>
      <c r="AM50" s="62" t="str">
        <f t="shared" si="17"/>
        <v/>
      </c>
      <c r="AN50" s="62" t="str">
        <f t="shared" si="17"/>
        <v/>
      </c>
      <c r="AO50" s="62" t="str">
        <f t="shared" si="17"/>
        <v/>
      </c>
    </row>
    <row r="51" spans="1:41">
      <c r="A51" s="63"/>
      <c r="B51" s="59">
        <v>1</v>
      </c>
      <c r="C51" s="60"/>
      <c r="D51" s="60"/>
      <c r="E51" s="60"/>
      <c r="F51" s="60"/>
      <c r="G51" s="60"/>
      <c r="H51" s="60"/>
      <c r="I51" s="60" t="s">
        <v>31</v>
      </c>
      <c r="J51" s="61">
        <v>0.0001</v>
      </c>
      <c r="K51" s="61">
        <v>-0.0001</v>
      </c>
      <c r="L51" s="61">
        <v>-0.0004</v>
      </c>
      <c r="M51" s="61">
        <v>-0.0008</v>
      </c>
      <c r="N51" s="61">
        <v>0.0004</v>
      </c>
      <c r="O51" s="61">
        <v>0.0006</v>
      </c>
      <c r="P51" s="61">
        <v>-0.0002</v>
      </c>
      <c r="Q51" s="61">
        <v>0</v>
      </c>
      <c r="R51" s="61">
        <v>-0.0008</v>
      </c>
      <c r="S51" s="61">
        <v>-0.0004</v>
      </c>
      <c r="T51" s="61">
        <v>0.0019</v>
      </c>
      <c r="U51" s="61">
        <v>0.0002</v>
      </c>
      <c r="V51" s="61"/>
      <c r="W51" s="61"/>
      <c r="X51" s="61"/>
      <c r="Y51" s="61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>
      <c r="A52" s="63"/>
      <c r="B52" s="59">
        <v>2</v>
      </c>
      <c r="C52" s="60"/>
      <c r="D52" s="60"/>
      <c r="E52" s="60"/>
      <c r="F52" s="60"/>
      <c r="G52" s="60"/>
      <c r="H52" s="60"/>
      <c r="I52" s="60" t="s">
        <v>31</v>
      </c>
      <c r="J52" s="61">
        <v>-0.0001</v>
      </c>
      <c r="K52" s="61">
        <v>0.0001</v>
      </c>
      <c r="L52" s="61">
        <v>0.0004</v>
      </c>
      <c r="M52" s="61">
        <v>0.0008</v>
      </c>
      <c r="N52" s="61">
        <v>-0.0004</v>
      </c>
      <c r="O52" s="61">
        <v>-0.0006</v>
      </c>
      <c r="P52" s="61">
        <v>0.0002</v>
      </c>
      <c r="Q52" s="61">
        <v>0</v>
      </c>
      <c r="R52" s="61">
        <v>0.0008</v>
      </c>
      <c r="S52" s="61">
        <v>0.0004</v>
      </c>
      <c r="T52" s="61">
        <v>-0.0019</v>
      </c>
      <c r="U52" s="61">
        <v>-0.0002</v>
      </c>
      <c r="V52" s="61"/>
      <c r="W52" s="61"/>
      <c r="X52" s="61"/>
      <c r="Y52" s="61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>
      <c r="A53" s="63"/>
      <c r="B53" s="59">
        <v>3</v>
      </c>
      <c r="C53" s="60"/>
      <c r="D53" s="60"/>
      <c r="E53" s="60"/>
      <c r="F53" s="60"/>
      <c r="G53" s="60"/>
      <c r="H53" s="60"/>
      <c r="I53" s="60" t="s">
        <v>31</v>
      </c>
      <c r="J53" s="61">
        <v>-0.0002</v>
      </c>
      <c r="K53" s="61">
        <v>0.0001</v>
      </c>
      <c r="L53" s="61">
        <v>0.0005</v>
      </c>
      <c r="M53" s="61">
        <v>0.001</v>
      </c>
      <c r="N53" s="61">
        <v>-0.0005</v>
      </c>
      <c r="O53" s="61">
        <v>-0.0008</v>
      </c>
      <c r="P53" s="61">
        <v>0.0002</v>
      </c>
      <c r="Q53" s="61">
        <v>0</v>
      </c>
      <c r="R53" s="61">
        <v>0.001</v>
      </c>
      <c r="S53" s="61">
        <v>0.0005</v>
      </c>
      <c r="T53" s="61">
        <v>-0.0024</v>
      </c>
      <c r="U53" s="61">
        <v>-0.0002</v>
      </c>
      <c r="V53" s="61"/>
      <c r="W53" s="61"/>
      <c r="X53" s="61"/>
      <c r="Y53" s="61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>
      <c r="A54" s="63"/>
      <c r="B54" s="59">
        <v>4</v>
      </c>
      <c r="C54" s="60"/>
      <c r="D54" s="60"/>
      <c r="E54" s="60"/>
      <c r="F54" s="60"/>
      <c r="G54" s="60"/>
      <c r="H54" s="60"/>
      <c r="I54" s="60" t="s">
        <v>31</v>
      </c>
      <c r="J54" s="61">
        <v>0.0002</v>
      </c>
      <c r="K54" s="61">
        <v>-0.0001</v>
      </c>
      <c r="L54" s="61">
        <v>-0.0005</v>
      </c>
      <c r="M54" s="61">
        <v>-0.001</v>
      </c>
      <c r="N54" s="61">
        <v>0.0005</v>
      </c>
      <c r="O54" s="61">
        <v>0.0008</v>
      </c>
      <c r="P54" s="61">
        <v>-0.0002</v>
      </c>
      <c r="Q54" s="61">
        <v>0</v>
      </c>
      <c r="R54" s="61">
        <v>-0.001</v>
      </c>
      <c r="S54" s="61">
        <v>-0.0005</v>
      </c>
      <c r="T54" s="61">
        <v>0.0024</v>
      </c>
      <c r="U54" s="61">
        <v>0.0002</v>
      </c>
      <c r="V54" s="61"/>
      <c r="W54" s="61"/>
      <c r="X54" s="61"/>
      <c r="Y54" s="61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>
      <c r="A55" s="63"/>
      <c r="B55" s="59" t="s">
        <v>48</v>
      </c>
      <c r="C55" s="60"/>
      <c r="D55" s="60">
        <v>0</v>
      </c>
      <c r="E55" s="60">
        <v>0.08</v>
      </c>
      <c r="F55" s="60">
        <v>0</v>
      </c>
      <c r="G55" s="60">
        <f>D55+E55</f>
        <v>0.08</v>
      </c>
      <c r="H55" s="60">
        <f>D55+F55</f>
        <v>0</v>
      </c>
      <c r="I55" s="60" t="s">
        <v>31</v>
      </c>
      <c r="J55" s="61">
        <v>0.0065</v>
      </c>
      <c r="K55" s="61">
        <v>0.0071</v>
      </c>
      <c r="L55" s="61">
        <v>0.0061</v>
      </c>
      <c r="M55" s="61">
        <v>0.0083</v>
      </c>
      <c r="N55" s="61">
        <v>0.0056</v>
      </c>
      <c r="O55" s="61">
        <v>0.0073</v>
      </c>
      <c r="P55" s="61">
        <v>0.009</v>
      </c>
      <c r="Q55" s="61">
        <v>0.009</v>
      </c>
      <c r="R55" s="61">
        <v>0.0106</v>
      </c>
      <c r="S55" s="61">
        <v>0.0106</v>
      </c>
      <c r="T55" s="61">
        <v>0.0119</v>
      </c>
      <c r="U55" s="61">
        <v>0.0113</v>
      </c>
      <c r="V55" s="61"/>
      <c r="W55" s="61"/>
      <c r="X55" s="61"/>
      <c r="Y55" s="61"/>
      <c r="Z55" s="62" t="str">
        <f t="shared" ref="Z55:AO55" si="18">IF(J55="","",IF(J55&gt;($D55+$E55),(J55-$D55-$E55),IF(J55&lt;($D55+$F55),(J55-$D55-$F55),"√")))</f>
        <v>√</v>
      </c>
      <c r="AA55" s="62" t="str">
        <f t="shared" si="18"/>
        <v>√</v>
      </c>
      <c r="AB55" s="62" t="str">
        <f t="shared" si="18"/>
        <v>√</v>
      </c>
      <c r="AC55" s="62" t="str">
        <f t="shared" si="18"/>
        <v>√</v>
      </c>
      <c r="AD55" s="62" t="str">
        <f t="shared" si="18"/>
        <v>√</v>
      </c>
      <c r="AE55" s="62" t="str">
        <f t="shared" si="18"/>
        <v>√</v>
      </c>
      <c r="AF55" s="62" t="str">
        <f t="shared" si="18"/>
        <v>√</v>
      </c>
      <c r="AG55" s="62" t="str">
        <f t="shared" si="18"/>
        <v>√</v>
      </c>
      <c r="AH55" s="62" t="str">
        <f t="shared" si="18"/>
        <v>√</v>
      </c>
      <c r="AI55" s="62" t="str">
        <f t="shared" si="18"/>
        <v>√</v>
      </c>
      <c r="AJ55" s="62" t="str">
        <f t="shared" si="18"/>
        <v>√</v>
      </c>
      <c r="AK55" s="62" t="str">
        <f t="shared" si="18"/>
        <v>√</v>
      </c>
      <c r="AL55" s="62" t="str">
        <f t="shared" si="18"/>
        <v/>
      </c>
      <c r="AM55" s="62" t="str">
        <f t="shared" si="18"/>
        <v/>
      </c>
      <c r="AN55" s="62" t="str">
        <f t="shared" si="18"/>
        <v/>
      </c>
      <c r="AO55" s="62" t="str">
        <f t="shared" si="18"/>
        <v/>
      </c>
    </row>
    <row r="56" spans="1:41">
      <c r="A56" s="63"/>
      <c r="B56" s="59">
        <v>1</v>
      </c>
      <c r="C56" s="60"/>
      <c r="D56" s="60"/>
      <c r="E56" s="60"/>
      <c r="F56" s="60"/>
      <c r="G56" s="60"/>
      <c r="H56" s="60"/>
      <c r="I56" s="60" t="s">
        <v>31</v>
      </c>
      <c r="J56" s="61">
        <v>-0.0032</v>
      </c>
      <c r="K56" s="61">
        <v>-0.0033</v>
      </c>
      <c r="L56" s="61">
        <v>-0.0031</v>
      </c>
      <c r="M56" s="61">
        <v>-0.0015</v>
      </c>
      <c r="N56" s="61">
        <v>-0.0026</v>
      </c>
      <c r="O56" s="61">
        <v>-0.0036</v>
      </c>
      <c r="P56" s="61">
        <v>-0.0038</v>
      </c>
      <c r="Q56" s="61">
        <v>-0.004</v>
      </c>
      <c r="R56" s="61">
        <v>-0.0032</v>
      </c>
      <c r="S56" s="61">
        <v>-0.0042</v>
      </c>
      <c r="T56" s="61">
        <v>-0.0039</v>
      </c>
      <c r="U56" s="61">
        <v>-0.0047</v>
      </c>
      <c r="V56" s="61"/>
      <c r="W56" s="61"/>
      <c r="X56" s="61"/>
      <c r="Y56" s="61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>
      <c r="A57" s="63"/>
      <c r="B57" s="59">
        <v>2</v>
      </c>
      <c r="C57" s="60"/>
      <c r="D57" s="60"/>
      <c r="E57" s="60"/>
      <c r="F57" s="60"/>
      <c r="G57" s="60"/>
      <c r="H57" s="60"/>
      <c r="I57" s="60" t="s">
        <v>31</v>
      </c>
      <c r="J57" s="61">
        <v>-0.0032</v>
      </c>
      <c r="K57" s="61">
        <v>-0.0036</v>
      </c>
      <c r="L57" s="61">
        <v>-0.0014</v>
      </c>
      <c r="M57" s="61">
        <v>-0.0009</v>
      </c>
      <c r="N57" s="61">
        <v>-0.0028</v>
      </c>
      <c r="O57" s="61">
        <v>-0.003</v>
      </c>
      <c r="P57" s="61">
        <v>-0.0045</v>
      </c>
      <c r="Q57" s="61">
        <v>-0.0045</v>
      </c>
      <c r="R57" s="61">
        <v>-0.0053</v>
      </c>
      <c r="S57" s="61">
        <v>-0.0053</v>
      </c>
      <c r="T57" s="61">
        <v>-0.0059</v>
      </c>
      <c r="U57" s="61">
        <v>-0.0057</v>
      </c>
      <c r="V57" s="61"/>
      <c r="W57" s="61"/>
      <c r="X57" s="61"/>
      <c r="Y57" s="61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>
      <c r="A58" s="63"/>
      <c r="B58" s="59">
        <v>3</v>
      </c>
      <c r="C58" s="60"/>
      <c r="D58" s="60"/>
      <c r="E58" s="60"/>
      <c r="F58" s="60"/>
      <c r="G58" s="60"/>
      <c r="H58" s="60"/>
      <c r="I58" s="60" t="s">
        <v>31</v>
      </c>
      <c r="J58" s="61">
        <v>0.0028</v>
      </c>
      <c r="K58" s="61">
        <v>0.0031</v>
      </c>
      <c r="L58" s="61">
        <v>0.0031</v>
      </c>
      <c r="M58" s="61">
        <v>0.0041</v>
      </c>
      <c r="N58" s="61">
        <v>0.0028</v>
      </c>
      <c r="O58" s="61">
        <v>0.0036</v>
      </c>
      <c r="P58" s="61">
        <v>-0.0003</v>
      </c>
      <c r="Q58" s="61">
        <v>-0.0021</v>
      </c>
      <c r="R58" s="61">
        <v>-0.0002</v>
      </c>
      <c r="S58" s="61">
        <v>-0.0003</v>
      </c>
      <c r="T58" s="61">
        <v>-0.0016</v>
      </c>
      <c r="U58" s="61">
        <v>-0.0001</v>
      </c>
      <c r="V58" s="61"/>
      <c r="W58" s="61"/>
      <c r="X58" s="61"/>
      <c r="Y58" s="61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>
      <c r="A59" s="63"/>
      <c r="B59" s="59">
        <v>4</v>
      </c>
      <c r="C59" s="60"/>
      <c r="D59" s="60"/>
      <c r="E59" s="60"/>
      <c r="F59" s="60"/>
      <c r="G59" s="60"/>
      <c r="H59" s="60"/>
      <c r="I59" s="60" t="s">
        <v>31</v>
      </c>
      <c r="J59" s="61">
        <v>0.0032</v>
      </c>
      <c r="K59" s="61">
        <v>0.0036</v>
      </c>
      <c r="L59" s="61">
        <v>0.0026</v>
      </c>
      <c r="M59" s="61">
        <v>0.0041</v>
      </c>
      <c r="N59" s="61">
        <v>0.0017</v>
      </c>
      <c r="O59" s="61">
        <v>0.0025</v>
      </c>
      <c r="P59" s="61">
        <v>-0.0012</v>
      </c>
      <c r="Q59" s="61">
        <v>-0.0025</v>
      </c>
      <c r="R59" s="61">
        <v>0</v>
      </c>
      <c r="S59" s="61">
        <v>-0.0026</v>
      </c>
      <c r="T59" s="61">
        <v>-0.0004</v>
      </c>
      <c r="U59" s="61">
        <v>-0.002</v>
      </c>
      <c r="V59" s="61"/>
      <c r="W59" s="61"/>
      <c r="X59" s="61"/>
      <c r="Y59" s="61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>
      <c r="A60" s="63"/>
      <c r="B60" s="59">
        <v>5</v>
      </c>
      <c r="C60" s="60"/>
      <c r="D60" s="60"/>
      <c r="E60" s="60"/>
      <c r="F60" s="60"/>
      <c r="G60" s="60"/>
      <c r="H60" s="60"/>
      <c r="I60" s="60" t="s">
        <v>31</v>
      </c>
      <c r="J60" s="61">
        <v>-0.0014</v>
      </c>
      <c r="K60" s="61">
        <v>-0.0014</v>
      </c>
      <c r="L60" s="61">
        <v>0.0015</v>
      </c>
      <c r="M60" s="61">
        <v>-0.0014</v>
      </c>
      <c r="N60" s="61">
        <v>0.0009</v>
      </c>
      <c r="O60" s="61">
        <v>0.0036</v>
      </c>
      <c r="P60" s="61">
        <v>0.0043</v>
      </c>
      <c r="Q60" s="61">
        <v>0.0033</v>
      </c>
      <c r="R60" s="61">
        <v>0.0053</v>
      </c>
      <c r="S60" s="61">
        <v>0.0053</v>
      </c>
      <c r="T60" s="61">
        <v>0.0041</v>
      </c>
      <c r="U60" s="61">
        <v>0.0057</v>
      </c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>
      <c r="A61" s="63"/>
      <c r="B61" s="59">
        <v>6</v>
      </c>
      <c r="C61" s="60"/>
      <c r="D61" s="60"/>
      <c r="E61" s="60"/>
      <c r="F61" s="60"/>
      <c r="G61" s="60"/>
      <c r="H61" s="60"/>
      <c r="I61" s="60" t="s">
        <v>31</v>
      </c>
      <c r="J61" s="61">
        <v>-0.0023</v>
      </c>
      <c r="K61" s="61">
        <v>-0.0002</v>
      </c>
      <c r="L61" s="61">
        <v>0.0006</v>
      </c>
      <c r="M61" s="61">
        <v>-0.0022</v>
      </c>
      <c r="N61" s="61">
        <v>0.001</v>
      </c>
      <c r="O61" s="61">
        <v>0.0028</v>
      </c>
      <c r="P61" s="61">
        <v>0.0045</v>
      </c>
      <c r="Q61" s="61">
        <v>0.0045</v>
      </c>
      <c r="R61" s="61">
        <v>0.003</v>
      </c>
      <c r="S61" s="61">
        <v>0.0041</v>
      </c>
      <c r="T61" s="61">
        <v>0.0059</v>
      </c>
      <c r="U61" s="61">
        <v>0.0052</v>
      </c>
      <c r="V61" s="61"/>
      <c r="W61" s="61"/>
      <c r="X61" s="61"/>
      <c r="Y61" s="61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>
      <c r="A62" s="63"/>
      <c r="B62" s="59">
        <v>7</v>
      </c>
      <c r="C62" s="60"/>
      <c r="D62" s="60"/>
      <c r="E62" s="60"/>
      <c r="F62" s="60"/>
      <c r="G62" s="60"/>
      <c r="H62" s="60"/>
      <c r="I62" s="60" t="s">
        <v>31</v>
      </c>
      <c r="J62" s="61">
        <v>-0.0014</v>
      </c>
      <c r="K62" s="61">
        <v>-0.0024</v>
      </c>
      <c r="L62" s="61">
        <v>-0.0001</v>
      </c>
      <c r="M62" s="61">
        <v>-0.0041</v>
      </c>
      <c r="N62" s="61">
        <v>-0.0005</v>
      </c>
      <c r="O62" s="61">
        <v>0.0033</v>
      </c>
      <c r="P62" s="61">
        <v>0.0004</v>
      </c>
      <c r="Q62" s="61">
        <v>-0.0022</v>
      </c>
      <c r="R62" s="61">
        <v>0.0017</v>
      </c>
      <c r="S62" s="61">
        <v>0.0014</v>
      </c>
      <c r="T62" s="61">
        <v>0.0028</v>
      </c>
      <c r="U62" s="61">
        <v>0.0032</v>
      </c>
      <c r="V62" s="61"/>
      <c r="W62" s="61"/>
      <c r="X62" s="61"/>
      <c r="Y62" s="61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>
      <c r="A63" s="63"/>
      <c r="B63" s="59">
        <v>8</v>
      </c>
      <c r="C63" s="60"/>
      <c r="D63" s="60"/>
      <c r="E63" s="60"/>
      <c r="F63" s="60"/>
      <c r="G63" s="60"/>
      <c r="H63" s="60"/>
      <c r="I63" s="60" t="s">
        <v>31</v>
      </c>
      <c r="J63" s="61">
        <v>-0.0023</v>
      </c>
      <c r="K63" s="61">
        <v>-0.0019</v>
      </c>
      <c r="L63" s="61">
        <v>0.0003</v>
      </c>
      <c r="M63" s="61">
        <v>-0.0039</v>
      </c>
      <c r="N63" s="61">
        <v>0.0006</v>
      </c>
      <c r="O63" s="61">
        <v>0.0008</v>
      </c>
      <c r="P63" s="61">
        <v>0.0017</v>
      </c>
      <c r="Q63" s="61">
        <v>-0.0008</v>
      </c>
      <c r="R63" s="61">
        <v>0.0019</v>
      </c>
      <c r="S63" s="61">
        <v>0.0005</v>
      </c>
      <c r="T63" s="61">
        <v>0.0022</v>
      </c>
      <c r="U63" s="61">
        <v>0.0045</v>
      </c>
      <c r="V63" s="61"/>
      <c r="W63" s="61"/>
      <c r="X63" s="61"/>
      <c r="Y63" s="61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>
      <c r="A64" s="63"/>
      <c r="B64" s="59" t="s">
        <v>49</v>
      </c>
      <c r="C64" s="60"/>
      <c r="D64" s="60">
        <v>2</v>
      </c>
      <c r="E64" s="60">
        <v>0.05</v>
      </c>
      <c r="F64" s="60">
        <v>-0.05</v>
      </c>
      <c r="G64" s="60">
        <f t="shared" ref="G64:G71" si="19">D64+E64</f>
        <v>2.05</v>
      </c>
      <c r="H64" s="60">
        <f t="shared" ref="H64:H71" si="20">D64+F64</f>
        <v>1.95</v>
      </c>
      <c r="I64" s="60" t="s">
        <v>50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2" t="str">
        <f t="shared" ref="Z64:AO64" si="21">IF(J64="","",IF(J64&gt;($D64+$E64),(J64-$D64-$E64),IF(J64&lt;($D64+$F64),(J64-$D64-$F64),"√")))</f>
        <v/>
      </c>
      <c r="AA64" s="62" t="str">
        <f t="shared" si="21"/>
        <v/>
      </c>
      <c r="AB64" s="62" t="str">
        <f t="shared" si="21"/>
        <v/>
      </c>
      <c r="AC64" s="62" t="str">
        <f t="shared" si="21"/>
        <v/>
      </c>
      <c r="AD64" s="62" t="str">
        <f t="shared" si="21"/>
        <v/>
      </c>
      <c r="AE64" s="62" t="str">
        <f t="shared" si="21"/>
        <v/>
      </c>
      <c r="AF64" s="62" t="str">
        <f t="shared" si="21"/>
        <v/>
      </c>
      <c r="AG64" s="62" t="str">
        <f t="shared" si="21"/>
        <v/>
      </c>
      <c r="AH64" s="62" t="str">
        <f t="shared" si="21"/>
        <v/>
      </c>
      <c r="AI64" s="62" t="str">
        <f t="shared" si="21"/>
        <v/>
      </c>
      <c r="AJ64" s="62" t="str">
        <f t="shared" si="21"/>
        <v/>
      </c>
      <c r="AK64" s="62" t="str">
        <f t="shared" si="21"/>
        <v/>
      </c>
      <c r="AL64" s="62" t="str">
        <f t="shared" si="21"/>
        <v/>
      </c>
      <c r="AM64" s="62" t="str">
        <f t="shared" si="21"/>
        <v/>
      </c>
      <c r="AN64" s="62" t="str">
        <f t="shared" si="21"/>
        <v/>
      </c>
      <c r="AO64" s="62" t="str">
        <f t="shared" si="21"/>
        <v/>
      </c>
    </row>
    <row r="65" spans="1:41">
      <c r="A65" s="63"/>
      <c r="B65" s="59" t="s">
        <v>51</v>
      </c>
      <c r="C65" s="60"/>
      <c r="D65" s="60">
        <v>2</v>
      </c>
      <c r="E65" s="60">
        <v>0.05</v>
      </c>
      <c r="F65" s="60">
        <v>-0.05</v>
      </c>
      <c r="G65" s="60">
        <f t="shared" si="19"/>
        <v>2.05</v>
      </c>
      <c r="H65" s="60">
        <f t="shared" si="20"/>
        <v>1.95</v>
      </c>
      <c r="I65" s="60" t="s">
        <v>50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2" t="str">
        <f t="shared" ref="Z65:AO65" si="22">IF(J65="","",IF(J65&gt;($D65+$E65),(J65-$D65-$E65),IF(J65&lt;($D65+$F65),(J65-$D65-$F65),"√")))</f>
        <v/>
      </c>
      <c r="AA65" s="62" t="str">
        <f t="shared" si="22"/>
        <v/>
      </c>
      <c r="AB65" s="62" t="str">
        <f t="shared" si="22"/>
        <v/>
      </c>
      <c r="AC65" s="62" t="str">
        <f t="shared" si="22"/>
        <v/>
      </c>
      <c r="AD65" s="62" t="str">
        <f t="shared" si="22"/>
        <v/>
      </c>
      <c r="AE65" s="62" t="str">
        <f t="shared" si="22"/>
        <v/>
      </c>
      <c r="AF65" s="62" t="str">
        <f t="shared" si="22"/>
        <v/>
      </c>
      <c r="AG65" s="62" t="str">
        <f t="shared" si="22"/>
        <v/>
      </c>
      <c r="AH65" s="62" t="str">
        <f t="shared" si="22"/>
        <v/>
      </c>
      <c r="AI65" s="62" t="str">
        <f t="shared" si="22"/>
        <v/>
      </c>
      <c r="AJ65" s="62" t="str">
        <f t="shared" si="22"/>
        <v/>
      </c>
      <c r="AK65" s="62" t="str">
        <f t="shared" si="22"/>
        <v/>
      </c>
      <c r="AL65" s="62" t="str">
        <f t="shared" si="22"/>
        <v/>
      </c>
      <c r="AM65" s="62" t="str">
        <f t="shared" si="22"/>
        <v/>
      </c>
      <c r="AN65" s="62" t="str">
        <f t="shared" si="22"/>
        <v/>
      </c>
      <c r="AO65" s="62" t="str">
        <f t="shared" si="22"/>
        <v/>
      </c>
    </row>
    <row r="66" spans="1:41">
      <c r="A66" s="63"/>
      <c r="B66" s="59" t="s">
        <v>52</v>
      </c>
      <c r="C66" s="60" t="s">
        <v>53</v>
      </c>
      <c r="D66" s="60">
        <v>0.935</v>
      </c>
      <c r="E66" s="60">
        <v>0.015</v>
      </c>
      <c r="F66" s="60">
        <v>-0.015</v>
      </c>
      <c r="G66" s="60">
        <f t="shared" si="19"/>
        <v>0.95</v>
      </c>
      <c r="H66" s="60">
        <f t="shared" si="20"/>
        <v>0.92</v>
      </c>
      <c r="I66" s="60" t="s">
        <v>54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2" t="str">
        <f t="shared" ref="Z66:AO66" si="23">IF(J66="","",IF(J66&gt;($D66+$E66),(J66-$D66-$E66),IF(J66&lt;($D66+$F66),(J66-$D66-$F66),"√")))</f>
        <v/>
      </c>
      <c r="AA66" s="62" t="str">
        <f t="shared" si="23"/>
        <v/>
      </c>
      <c r="AB66" s="62" t="str">
        <f t="shared" si="23"/>
        <v/>
      </c>
      <c r="AC66" s="62" t="str">
        <f t="shared" si="23"/>
        <v/>
      </c>
      <c r="AD66" s="62" t="str">
        <f t="shared" si="23"/>
        <v/>
      </c>
      <c r="AE66" s="62" t="str">
        <f t="shared" si="23"/>
        <v/>
      </c>
      <c r="AF66" s="62" t="str">
        <f t="shared" si="23"/>
        <v/>
      </c>
      <c r="AG66" s="62" t="str">
        <f t="shared" si="23"/>
        <v/>
      </c>
      <c r="AH66" s="62" t="str">
        <f t="shared" si="23"/>
        <v/>
      </c>
      <c r="AI66" s="62" t="str">
        <f t="shared" si="23"/>
        <v/>
      </c>
      <c r="AJ66" s="62" t="str">
        <f t="shared" si="23"/>
        <v/>
      </c>
      <c r="AK66" s="62" t="str">
        <f t="shared" si="23"/>
        <v/>
      </c>
      <c r="AL66" s="62" t="str">
        <f t="shared" si="23"/>
        <v/>
      </c>
      <c r="AM66" s="62" t="str">
        <f t="shared" si="23"/>
        <v/>
      </c>
      <c r="AN66" s="62" t="str">
        <f t="shared" si="23"/>
        <v/>
      </c>
      <c r="AO66" s="62" t="str">
        <f t="shared" si="23"/>
        <v/>
      </c>
    </row>
    <row r="67" spans="1:41">
      <c r="A67" s="63"/>
      <c r="B67" s="59" t="s">
        <v>55</v>
      </c>
      <c r="C67" s="60"/>
      <c r="D67" s="60">
        <v>2.1</v>
      </c>
      <c r="E67" s="60">
        <v>0.03</v>
      </c>
      <c r="F67" s="60">
        <v>-0.03</v>
      </c>
      <c r="G67" s="60">
        <f t="shared" si="19"/>
        <v>2.13</v>
      </c>
      <c r="H67" s="60">
        <f t="shared" si="20"/>
        <v>2.07</v>
      </c>
      <c r="I67" s="60" t="s">
        <v>50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2" t="str">
        <f t="shared" ref="Z67:AO67" si="24">IF(J67="","",IF(J67&gt;($D67+$E67),(J67-$D67-$E67),IF(J67&lt;($D67+$F67),(J67-$D67-$F67),"√")))</f>
        <v/>
      </c>
      <c r="AA67" s="62" t="str">
        <f t="shared" si="24"/>
        <v/>
      </c>
      <c r="AB67" s="62" t="str">
        <f t="shared" si="24"/>
        <v/>
      </c>
      <c r="AC67" s="62" t="str">
        <f t="shared" si="24"/>
        <v/>
      </c>
      <c r="AD67" s="62" t="str">
        <f t="shared" si="24"/>
        <v/>
      </c>
      <c r="AE67" s="62" t="str">
        <f t="shared" si="24"/>
        <v/>
      </c>
      <c r="AF67" s="62" t="str">
        <f t="shared" si="24"/>
        <v/>
      </c>
      <c r="AG67" s="62" t="str">
        <f t="shared" si="24"/>
        <v/>
      </c>
      <c r="AH67" s="62" t="str">
        <f t="shared" si="24"/>
        <v/>
      </c>
      <c r="AI67" s="62" t="str">
        <f t="shared" si="24"/>
        <v/>
      </c>
      <c r="AJ67" s="62" t="str">
        <f t="shared" si="24"/>
        <v/>
      </c>
      <c r="AK67" s="62" t="str">
        <f t="shared" si="24"/>
        <v/>
      </c>
      <c r="AL67" s="62" t="str">
        <f t="shared" si="24"/>
        <v/>
      </c>
      <c r="AM67" s="62" t="str">
        <f t="shared" si="24"/>
        <v/>
      </c>
      <c r="AN67" s="62" t="str">
        <f t="shared" si="24"/>
        <v/>
      </c>
      <c r="AO67" s="62" t="str">
        <f t="shared" si="24"/>
        <v/>
      </c>
    </row>
    <row r="68" spans="1:41">
      <c r="A68" s="63"/>
      <c r="B68" s="59" t="s">
        <v>56</v>
      </c>
      <c r="C68" s="60"/>
      <c r="D68" s="60">
        <v>2.1</v>
      </c>
      <c r="E68" s="60">
        <v>0.03</v>
      </c>
      <c r="F68" s="60">
        <v>-0.03</v>
      </c>
      <c r="G68" s="60">
        <f t="shared" si="19"/>
        <v>2.13</v>
      </c>
      <c r="H68" s="60">
        <f t="shared" si="20"/>
        <v>2.07</v>
      </c>
      <c r="I68" s="60" t="s">
        <v>50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2" t="str">
        <f t="shared" ref="Z68:AO68" si="25">IF(J68="","",IF(J68&gt;($D68+$E68),(J68-$D68-$E68),IF(J68&lt;($D68+$F68),(J68-$D68-$F68),"√")))</f>
        <v/>
      </c>
      <c r="AA68" s="62" t="str">
        <f t="shared" si="25"/>
        <v/>
      </c>
      <c r="AB68" s="62" t="str">
        <f t="shared" si="25"/>
        <v/>
      </c>
      <c r="AC68" s="62" t="str">
        <f t="shared" si="25"/>
        <v/>
      </c>
      <c r="AD68" s="62" t="str">
        <f t="shared" si="25"/>
        <v/>
      </c>
      <c r="AE68" s="62" t="str">
        <f t="shared" si="25"/>
        <v/>
      </c>
      <c r="AF68" s="62" t="str">
        <f t="shared" si="25"/>
        <v/>
      </c>
      <c r="AG68" s="62" t="str">
        <f t="shared" si="25"/>
        <v/>
      </c>
      <c r="AH68" s="62" t="str">
        <f t="shared" si="25"/>
        <v/>
      </c>
      <c r="AI68" s="62" t="str">
        <f t="shared" si="25"/>
        <v/>
      </c>
      <c r="AJ68" s="62" t="str">
        <f t="shared" si="25"/>
        <v/>
      </c>
      <c r="AK68" s="62" t="str">
        <f t="shared" si="25"/>
        <v/>
      </c>
      <c r="AL68" s="62" t="str">
        <f t="shared" si="25"/>
        <v/>
      </c>
      <c r="AM68" s="62" t="str">
        <f t="shared" si="25"/>
        <v/>
      </c>
      <c r="AN68" s="62" t="str">
        <f t="shared" si="25"/>
        <v/>
      </c>
      <c r="AO68" s="62" t="str">
        <f t="shared" si="25"/>
        <v/>
      </c>
    </row>
    <row r="69" spans="1:41">
      <c r="A69" s="63"/>
      <c r="B69" s="59" t="s">
        <v>57</v>
      </c>
      <c r="C69" s="60"/>
      <c r="D69" s="60">
        <v>0.98</v>
      </c>
      <c r="E69" s="60">
        <v>0.03</v>
      </c>
      <c r="F69" s="60">
        <v>-0.03</v>
      </c>
      <c r="G69" s="60">
        <f t="shared" si="19"/>
        <v>1.01</v>
      </c>
      <c r="H69" s="60">
        <f t="shared" si="20"/>
        <v>0.95</v>
      </c>
      <c r="I69" s="60" t="s">
        <v>58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2" t="str">
        <f t="shared" ref="Z69:AO69" si="26">IF(J69="","",IF(J69&gt;($D69+$E69),(J69-$D69-$E69),IF(J69&lt;($D69+$F69),(J69-$D69-$F69),"√")))</f>
        <v/>
      </c>
      <c r="AA69" s="62" t="str">
        <f t="shared" si="26"/>
        <v/>
      </c>
      <c r="AB69" s="62" t="str">
        <f t="shared" si="26"/>
        <v/>
      </c>
      <c r="AC69" s="62" t="str">
        <f t="shared" si="26"/>
        <v/>
      </c>
      <c r="AD69" s="62" t="str">
        <f t="shared" si="26"/>
        <v/>
      </c>
      <c r="AE69" s="62" t="str">
        <f t="shared" si="26"/>
        <v/>
      </c>
      <c r="AF69" s="62" t="str">
        <f t="shared" si="26"/>
        <v/>
      </c>
      <c r="AG69" s="62" t="str">
        <f t="shared" si="26"/>
        <v/>
      </c>
      <c r="AH69" s="62" t="str">
        <f t="shared" si="26"/>
        <v/>
      </c>
      <c r="AI69" s="62" t="str">
        <f t="shared" si="26"/>
        <v/>
      </c>
      <c r="AJ69" s="62" t="str">
        <f t="shared" si="26"/>
        <v/>
      </c>
      <c r="AK69" s="62" t="str">
        <f t="shared" si="26"/>
        <v/>
      </c>
      <c r="AL69" s="62" t="str">
        <f t="shared" si="26"/>
        <v/>
      </c>
      <c r="AM69" s="62" t="str">
        <f t="shared" si="26"/>
        <v/>
      </c>
      <c r="AN69" s="62" t="str">
        <f t="shared" si="26"/>
        <v/>
      </c>
      <c r="AO69" s="62" t="str">
        <f t="shared" si="26"/>
        <v/>
      </c>
    </row>
    <row r="70" spans="1:41">
      <c r="A70" s="63"/>
      <c r="B70" s="59" t="s">
        <v>59</v>
      </c>
      <c r="C70" s="60"/>
      <c r="D70" s="60">
        <v>0.98</v>
      </c>
      <c r="E70" s="60">
        <v>0.03</v>
      </c>
      <c r="F70" s="60">
        <v>-0.03</v>
      </c>
      <c r="G70" s="60">
        <f t="shared" si="19"/>
        <v>1.01</v>
      </c>
      <c r="H70" s="60">
        <f t="shared" si="20"/>
        <v>0.95</v>
      </c>
      <c r="I70" s="60" t="s">
        <v>58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2" t="str">
        <f t="shared" ref="Z70:AO70" si="27">IF(J70="","",IF(J70&gt;($D70+$E70),(J70-$D70-$E70),IF(J70&lt;($D70+$F70),(J70-$D70-$F70),"√")))</f>
        <v/>
      </c>
      <c r="AA70" s="62" t="str">
        <f t="shared" si="27"/>
        <v/>
      </c>
      <c r="AB70" s="62" t="str">
        <f t="shared" si="27"/>
        <v/>
      </c>
      <c r="AC70" s="62" t="str">
        <f t="shared" si="27"/>
        <v/>
      </c>
      <c r="AD70" s="62" t="str">
        <f t="shared" si="27"/>
        <v/>
      </c>
      <c r="AE70" s="62" t="str">
        <f t="shared" si="27"/>
        <v/>
      </c>
      <c r="AF70" s="62" t="str">
        <f t="shared" si="27"/>
        <v/>
      </c>
      <c r="AG70" s="62" t="str">
        <f t="shared" si="27"/>
        <v/>
      </c>
      <c r="AH70" s="62" t="str">
        <f t="shared" si="27"/>
        <v/>
      </c>
      <c r="AI70" s="62" t="str">
        <f t="shared" si="27"/>
        <v/>
      </c>
      <c r="AJ70" s="62" t="str">
        <f t="shared" si="27"/>
        <v/>
      </c>
      <c r="AK70" s="62" t="str">
        <f t="shared" si="27"/>
        <v/>
      </c>
      <c r="AL70" s="62" t="str">
        <f t="shared" si="27"/>
        <v/>
      </c>
      <c r="AM70" s="62" t="str">
        <f t="shared" si="27"/>
        <v/>
      </c>
      <c r="AN70" s="62" t="str">
        <f t="shared" si="27"/>
        <v/>
      </c>
      <c r="AO70" s="62" t="str">
        <f t="shared" si="27"/>
        <v/>
      </c>
    </row>
    <row r="71" spans="1:41">
      <c r="A71" s="64"/>
      <c r="B71" s="59" t="s">
        <v>60</v>
      </c>
      <c r="C71" s="60"/>
      <c r="D71" s="60">
        <v>0.98</v>
      </c>
      <c r="E71" s="60">
        <v>0.03</v>
      </c>
      <c r="F71" s="60">
        <v>-0.03</v>
      </c>
      <c r="G71" s="60">
        <f t="shared" si="19"/>
        <v>1.01</v>
      </c>
      <c r="H71" s="60">
        <f t="shared" si="20"/>
        <v>0.95</v>
      </c>
      <c r="I71" s="60" t="s">
        <v>58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2" t="str">
        <f t="shared" ref="Z71:AO71" si="28">IF(J71="","",IF(J71&gt;($D71+$E71),(J71-$D71-$E71),IF(J71&lt;($D71+$F71),(J71-$D71-$F71),"√")))</f>
        <v/>
      </c>
      <c r="AA71" s="62" t="str">
        <f t="shared" si="28"/>
        <v/>
      </c>
      <c r="AB71" s="62" t="str">
        <f t="shared" si="28"/>
        <v/>
      </c>
      <c r="AC71" s="62" t="str">
        <f t="shared" si="28"/>
        <v/>
      </c>
      <c r="AD71" s="62" t="str">
        <f t="shared" si="28"/>
        <v/>
      </c>
      <c r="AE71" s="62" t="str">
        <f t="shared" si="28"/>
        <v/>
      </c>
      <c r="AF71" s="62" t="str">
        <f t="shared" si="28"/>
        <v/>
      </c>
      <c r="AG71" s="62" t="str">
        <f t="shared" si="28"/>
        <v/>
      </c>
      <c r="AH71" s="62" t="str">
        <f t="shared" si="28"/>
        <v/>
      </c>
      <c r="AI71" s="62" t="str">
        <f t="shared" si="28"/>
        <v/>
      </c>
      <c r="AJ71" s="62" t="str">
        <f t="shared" si="28"/>
        <v/>
      </c>
      <c r="AK71" s="62" t="str">
        <f t="shared" si="28"/>
        <v/>
      </c>
      <c r="AL71" s="62" t="str">
        <f t="shared" si="28"/>
        <v/>
      </c>
      <c r="AM71" s="62" t="str">
        <f t="shared" si="28"/>
        <v/>
      </c>
      <c r="AN71" s="62" t="str">
        <f t="shared" si="28"/>
        <v/>
      </c>
      <c r="AO71" s="62" t="str">
        <f t="shared" si="28"/>
        <v/>
      </c>
    </row>
    <row r="72" s="1" customFormat="1" ht="13.5" spans="1:4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7"/>
      <c r="AL72" s="68"/>
      <c r="AM72" s="69"/>
      <c r="AN72" s="70"/>
      <c r="AO72" s="71"/>
    </row>
    <row r="73" spans="1:41">
      <c r="D73"/>
      <c r="E73"/>
      <c r="F73"/>
      <c r="G73"/>
      <c r="H73"/>
      <c r="I73"/>
    </row>
    <row r="74" spans="1:41">
      <c r="D74"/>
      <c r="E74"/>
      <c r="F74"/>
      <c r="G74"/>
      <c r="H74"/>
      <c r="I74"/>
    </row>
    <row r="75" spans="1:41">
      <c r="D75"/>
      <c r="E75"/>
      <c r="F75"/>
      <c r="G75"/>
      <c r="H75"/>
      <c r="I75"/>
    </row>
    <row r="76" spans="1:41">
      <c r="D76"/>
      <c r="E76"/>
      <c r="F76"/>
      <c r="G76"/>
      <c r="H76"/>
      <c r="I76"/>
    </row>
    <row r="77" spans="1:41">
      <c r="D77"/>
      <c r="E77"/>
      <c r="F77"/>
      <c r="G77"/>
      <c r="H77"/>
      <c r="I77"/>
    </row>
    <row r="78" spans="1:41">
      <c r="D78"/>
      <c r="E78"/>
      <c r="F78"/>
      <c r="G78"/>
      <c r="H78"/>
      <c r="I78"/>
    </row>
    <row r="79" spans="1:41">
      <c r="D79"/>
      <c r="E79"/>
      <c r="F79"/>
      <c r="G79"/>
      <c r="H79"/>
      <c r="I79"/>
    </row>
    <row r="80" spans="1:41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</sheetData>
  <mergeCells count="36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6:O6"/>
    <mergeCell ref="P6:U6"/>
    <mergeCell ref="Z6:AE6"/>
    <mergeCell ref="AF6:AK6"/>
    <mergeCell ref="A72:AK72"/>
    <mergeCell ref="AL72:AM72"/>
    <mergeCell ref="AN72:AO72"/>
    <mergeCell ref="A2:A3"/>
    <mergeCell ref="A4:A7"/>
    <mergeCell ref="A8:A71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8:Y8">
    <cfRule type="cellIs" dxfId="0" priority="12" stopIfTrue="1" operator="notBetween">
      <formula>$G8</formula>
      <formula>$H8</formula>
    </cfRule>
  </conditionalFormatting>
  <conditionalFormatting sqref="J9:Y9">
    <cfRule type="cellIs" dxfId="0" priority="11" stopIfTrue="1" operator="notBetween">
      <formula>$G9</formula>
      <formula>$H9</formula>
    </cfRule>
  </conditionalFormatting>
  <conditionalFormatting sqref="J49:Y49">
    <cfRule type="cellIs" dxfId="0" priority="9" stopIfTrue="1" operator="notBetween">
      <formula>$G49</formula>
      <formula>$H49</formula>
    </cfRule>
  </conditionalFormatting>
  <conditionalFormatting sqref="J64:Y64">
    <cfRule type="cellIs" dxfId="0" priority="8" stopIfTrue="1" operator="notBetween">
      <formula>$G64</formula>
      <formula>$H64</formula>
    </cfRule>
  </conditionalFormatting>
  <conditionalFormatting sqref="J65:Y65">
    <cfRule type="cellIs" dxfId="0" priority="4" stopIfTrue="1" operator="notBetween">
      <formula>$G65</formula>
      <formula>$H65</formula>
    </cfRule>
  </conditionalFormatting>
  <conditionalFormatting sqref="J66:Y66">
    <cfRule type="cellIs" dxfId="0" priority="7" stopIfTrue="1" operator="notBetween">
      <formula>$G66</formula>
      <formula>$H66</formula>
    </cfRule>
  </conditionalFormatting>
  <conditionalFormatting sqref="J67:Y67">
    <cfRule type="cellIs" dxfId="0" priority="6" stopIfTrue="1" operator="notBetween">
      <formula>$G67</formula>
      <formula>$H67</formula>
    </cfRule>
  </conditionalFormatting>
  <conditionalFormatting sqref="J68:Y68">
    <cfRule type="cellIs" dxfId="0" priority="3" stopIfTrue="1" operator="notBetween">
      <formula>$G68</formula>
      <formula>$H68</formula>
    </cfRule>
  </conditionalFormatting>
  <conditionalFormatting sqref="J69:Y69">
    <cfRule type="cellIs" dxfId="0" priority="5" stopIfTrue="1" operator="notBetween">
      <formula>$G69</formula>
      <formula>$H69</formula>
    </cfRule>
  </conditionalFormatting>
  <conditionalFormatting sqref="J70:Y70">
    <cfRule type="cellIs" dxfId="0" priority="2" stopIfTrue="1" operator="notBetween">
      <formula>$G70</formula>
      <formula>$H70</formula>
    </cfRule>
  </conditionalFormatting>
  <conditionalFormatting sqref="J71:Y71">
    <cfRule type="cellIs" dxfId="0" priority="1" stopIfTrue="1" operator="notBetween">
      <formula>$G71</formula>
      <formula>$H71</formula>
    </cfRule>
  </conditionalFormatting>
  <conditionalFormatting sqref="J12:Y14 J36:Y36 J41:Y41 J50:Y50 J55:Y55">
    <cfRule type="cellIs" dxfId="0" priority="13" stopIfTrue="1" operator="notBetween">
      <formula>$G12</formula>
      <formula>$H12</formula>
    </cfRule>
  </conditionalFormatting>
  <conditionalFormatting sqref="J46:Y48">
    <cfRule type="cellIs" dxfId="0" priority="10" stopIfTrue="1" operator="notBetween">
      <formula>$G46</formula>
      <formula>$H46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"/>
  <sheetViews>
    <sheetView topLeftCell="F1" workbookViewId="0">
      <selection activeCell="AJ3" sqref="AJ3:AO3"/>
    </sheetView>
  </sheetViews>
  <sheetFormatPr defaultColWidth="9" defaultRowHeight="14.25"/>
  <cols>
    <col min="1" max="3" width="9.25" customWidth="1"/>
    <col min="4" max="9" width="9.25" style="2" customWidth="1"/>
    <col min="10" max="41" width="9.25" customWidth="1"/>
  </cols>
  <sheetData>
    <row r="1" ht="70.5" customHeight="1" spans="1:4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ht="15" customHeight="1" spans="1:41">
      <c r="A2" s="6" t="s">
        <v>1</v>
      </c>
      <c r="B2" s="7" t="s">
        <v>2</v>
      </c>
      <c r="C2" s="8"/>
      <c r="D2" s="8"/>
      <c r="E2" s="8"/>
      <c r="F2" s="8"/>
      <c r="G2" s="9"/>
      <c r="H2" s="10" t="s">
        <v>3</v>
      </c>
      <c r="I2" s="11"/>
      <c r="J2" s="11"/>
      <c r="K2" s="12"/>
      <c r="L2" s="13"/>
      <c r="M2" s="13"/>
      <c r="N2" s="13"/>
      <c r="O2" s="13"/>
      <c r="P2" s="13"/>
      <c r="Q2" s="13"/>
      <c r="R2" s="13"/>
      <c r="S2" s="14" t="s">
        <v>4</v>
      </c>
      <c r="T2" s="15"/>
      <c r="U2" s="15"/>
      <c r="V2" s="15"/>
      <c r="W2" s="15"/>
      <c r="X2" s="16"/>
      <c r="Y2" s="17" t="s">
        <v>5</v>
      </c>
      <c r="Z2" s="18"/>
      <c r="AA2" s="18"/>
      <c r="AB2" s="18"/>
      <c r="AC2" s="18"/>
      <c r="AD2" s="19"/>
      <c r="AE2" s="17" t="s">
        <v>6</v>
      </c>
      <c r="AF2" s="18"/>
      <c r="AG2" s="18"/>
      <c r="AH2" s="18"/>
      <c r="AI2" s="19"/>
      <c r="AJ2" s="20" t="s">
        <v>7</v>
      </c>
      <c r="AK2" s="21"/>
      <c r="AL2" s="21"/>
      <c r="AM2" s="22"/>
      <c r="AN2" s="20" t="s">
        <v>8</v>
      </c>
      <c r="AO2" s="22"/>
    </row>
    <row r="3" ht="15" customHeight="1" spans="1:41">
      <c r="A3" s="6"/>
      <c r="B3" s="23"/>
      <c r="C3" s="24"/>
      <c r="D3" s="24"/>
      <c r="E3" s="24"/>
      <c r="F3" s="24"/>
      <c r="G3" s="25"/>
      <c r="H3" s="26"/>
      <c r="I3" s="27"/>
      <c r="J3" s="27"/>
      <c r="K3" s="28"/>
      <c r="L3" s="13"/>
      <c r="M3" s="13"/>
      <c r="N3" s="13"/>
      <c r="O3" s="13"/>
      <c r="P3" s="13"/>
      <c r="Q3" s="13"/>
      <c r="R3" s="13"/>
      <c r="S3" s="29" t="s">
        <v>9</v>
      </c>
      <c r="T3" s="30"/>
      <c r="U3" s="30"/>
      <c r="V3" s="30"/>
      <c r="W3" s="30"/>
      <c r="X3" s="31"/>
      <c r="Y3" s="29" t="s">
        <v>10</v>
      </c>
      <c r="Z3" s="30"/>
      <c r="AA3" s="30"/>
      <c r="AB3" s="30"/>
      <c r="AC3" s="30"/>
      <c r="AD3" s="31"/>
      <c r="AE3" s="32" t="s">
        <v>11</v>
      </c>
      <c r="AF3" s="33"/>
      <c r="AG3" s="33"/>
      <c r="AH3" s="33"/>
      <c r="AI3" s="34"/>
      <c r="AJ3" s="32" t="s">
        <v>63</v>
      </c>
      <c r="AK3" s="33"/>
      <c r="AL3" s="33"/>
      <c r="AM3" s="34"/>
      <c r="AN3" s="32" t="s">
        <v>64</v>
      </c>
      <c r="AO3" s="34"/>
    </row>
    <row r="4" customHeight="1" spans="1:41">
      <c r="A4" s="35" t="s">
        <v>14</v>
      </c>
      <c r="B4" s="35" t="s">
        <v>15</v>
      </c>
      <c r="C4" s="35" t="s">
        <v>16</v>
      </c>
      <c r="D4" s="35" t="s">
        <v>17</v>
      </c>
      <c r="E4" s="35" t="s">
        <v>18</v>
      </c>
      <c r="F4" s="35" t="s">
        <v>19</v>
      </c>
      <c r="G4" s="35" t="s">
        <v>20</v>
      </c>
      <c r="H4" s="35" t="s">
        <v>21</v>
      </c>
      <c r="I4" s="35" t="s">
        <v>22</v>
      </c>
      <c r="J4" s="36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2"/>
      <c r="C5" s="42"/>
      <c r="D5" s="42"/>
      <c r="E5" s="42"/>
      <c r="F5" s="42"/>
      <c r="G5" s="42"/>
      <c r="H5" s="42"/>
      <c r="I5" s="42"/>
      <c r="J5" s="36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  <c r="Z5" s="39" t="s">
        <v>26</v>
      </c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</row>
    <row r="6" customHeight="1" spans="1:41">
      <c r="A6" s="43"/>
      <c r="B6" s="43"/>
      <c r="C6" s="43"/>
      <c r="D6" s="43"/>
      <c r="E6" s="43"/>
      <c r="F6" s="43"/>
      <c r="G6" s="43"/>
      <c r="H6" s="43"/>
      <c r="I6" s="43"/>
      <c r="J6" s="44" t="s">
        <v>67</v>
      </c>
      <c r="K6" s="45"/>
      <c r="L6" s="45"/>
      <c r="M6" s="45"/>
      <c r="N6" s="45"/>
      <c r="O6" s="46"/>
      <c r="P6" s="47" t="s">
        <v>68</v>
      </c>
      <c r="Q6" s="48"/>
      <c r="R6" s="48"/>
      <c r="S6" s="48"/>
      <c r="T6" s="48"/>
      <c r="U6" s="49"/>
      <c r="V6" s="50"/>
      <c r="W6" s="50"/>
      <c r="X6" s="50"/>
      <c r="Y6" s="50"/>
      <c r="Z6" s="51" t="str">
        <f>J6</f>
        <v>cav7</v>
      </c>
      <c r="AA6" s="52"/>
      <c r="AB6" s="52"/>
      <c r="AC6" s="52"/>
      <c r="AD6" s="52"/>
      <c r="AE6" s="53"/>
      <c r="AF6" s="54" t="str">
        <f>P6</f>
        <v>cav8</v>
      </c>
      <c r="AG6" s="55"/>
      <c r="AH6" s="55"/>
      <c r="AI6" s="55"/>
      <c r="AJ6" s="55"/>
      <c r="AK6" s="56"/>
      <c r="AL6" s="57">
        <f t="shared" ref="AL6:AO6" si="0">V6</f>
        <v>0</v>
      </c>
      <c r="AM6" s="57">
        <f t="shared" si="0"/>
        <v>0</v>
      </c>
      <c r="AN6" s="57">
        <f t="shared" si="0"/>
        <v>0</v>
      </c>
      <c r="AO6" s="57">
        <f t="shared" si="0"/>
        <v>0</v>
      </c>
    </row>
    <row r="7" customHeight="1" spans="1:41">
      <c r="A7" s="43"/>
      <c r="B7" s="43"/>
      <c r="C7" s="43"/>
      <c r="D7" s="43"/>
      <c r="E7" s="43"/>
      <c r="F7" s="43"/>
      <c r="G7" s="43"/>
      <c r="H7" s="43"/>
      <c r="I7" s="43"/>
      <c r="J7" s="50">
        <v>1</v>
      </c>
      <c r="K7" s="50">
        <v>2</v>
      </c>
      <c r="L7" s="50">
        <v>3</v>
      </c>
      <c r="M7" s="50">
        <v>4</v>
      </c>
      <c r="N7" s="50">
        <v>5</v>
      </c>
      <c r="O7" s="50">
        <v>6</v>
      </c>
      <c r="P7" s="50">
        <v>1</v>
      </c>
      <c r="Q7" s="50">
        <v>2</v>
      </c>
      <c r="R7" s="50">
        <v>3</v>
      </c>
      <c r="S7" s="50">
        <v>4</v>
      </c>
      <c r="T7" s="50">
        <v>5</v>
      </c>
      <c r="U7" s="50">
        <v>6</v>
      </c>
      <c r="V7" s="50"/>
      <c r="W7" s="50"/>
      <c r="X7" s="50"/>
      <c r="Y7" s="50"/>
      <c r="Z7" s="57">
        <f t="shared" ref="Z7:AO7" si="1">J7</f>
        <v>1</v>
      </c>
      <c r="AA7" s="57">
        <f t="shared" si="1"/>
        <v>2</v>
      </c>
      <c r="AB7" s="57">
        <f t="shared" si="1"/>
        <v>3</v>
      </c>
      <c r="AC7" s="57">
        <f t="shared" si="1"/>
        <v>4</v>
      </c>
      <c r="AD7" s="57">
        <f t="shared" si="1"/>
        <v>5</v>
      </c>
      <c r="AE7" s="57">
        <f t="shared" si="1"/>
        <v>6</v>
      </c>
      <c r="AF7" s="57">
        <f t="shared" si="1"/>
        <v>1</v>
      </c>
      <c r="AG7" s="57">
        <f t="shared" si="1"/>
        <v>2</v>
      </c>
      <c r="AH7" s="57">
        <f t="shared" si="1"/>
        <v>3</v>
      </c>
      <c r="AI7" s="57">
        <f t="shared" si="1"/>
        <v>4</v>
      </c>
      <c r="AJ7" s="57">
        <f t="shared" si="1"/>
        <v>5</v>
      </c>
      <c r="AK7" s="57">
        <f t="shared" si="1"/>
        <v>6</v>
      </c>
      <c r="AL7" s="57">
        <f t="shared" si="1"/>
        <v>0</v>
      </c>
      <c r="AM7" s="57">
        <f t="shared" si="1"/>
        <v>0</v>
      </c>
      <c r="AN7" s="57">
        <f t="shared" si="1"/>
        <v>0</v>
      </c>
      <c r="AO7" s="57">
        <f t="shared" si="1"/>
        <v>0</v>
      </c>
    </row>
    <row r="8" spans="1:41">
      <c r="A8" s="58">
        <v>46201</v>
      </c>
      <c r="B8" s="59" t="s">
        <v>30</v>
      </c>
      <c r="C8" s="60"/>
      <c r="D8" s="60">
        <v>0.995</v>
      </c>
      <c r="E8" s="60">
        <v>0.03</v>
      </c>
      <c r="F8" s="60">
        <v>-0.03</v>
      </c>
      <c r="G8" s="60">
        <f t="shared" ref="G8:G14" si="2">D8+E8</f>
        <v>1.025</v>
      </c>
      <c r="H8" s="60">
        <f t="shared" ref="H8:H14" si="3">D8+F8</f>
        <v>0.965</v>
      </c>
      <c r="I8" s="60" t="s">
        <v>31</v>
      </c>
      <c r="J8" s="61">
        <v>0.9988</v>
      </c>
      <c r="K8" s="61">
        <v>1.0034</v>
      </c>
      <c r="L8" s="61">
        <v>1.0125</v>
      </c>
      <c r="M8" s="61">
        <v>1.0055</v>
      </c>
      <c r="N8" s="61">
        <v>1.0011</v>
      </c>
      <c r="O8" s="61">
        <v>1.0118</v>
      </c>
      <c r="P8" s="61">
        <v>1.0161</v>
      </c>
      <c r="Q8" s="61">
        <v>1.0146</v>
      </c>
      <c r="R8" s="61">
        <v>1.0113</v>
      </c>
      <c r="S8" s="61">
        <v>1.0026</v>
      </c>
      <c r="T8" s="61">
        <v>0.9995</v>
      </c>
      <c r="U8" s="61">
        <v>1.0123</v>
      </c>
      <c r="V8" s="61"/>
      <c r="W8" s="61"/>
      <c r="X8" s="61"/>
      <c r="Y8" s="61"/>
      <c r="Z8" s="62" t="str">
        <f t="shared" ref="Z8:AO8" si="4">IF(J8="","",IF(J8&gt;($D8+$E8),(J8-$D8-$E8),IF(J8&lt;($D8+$F8),(J8-$D8-$F8),"√")))</f>
        <v>√</v>
      </c>
      <c r="AA8" s="62" t="str">
        <f t="shared" si="4"/>
        <v>√</v>
      </c>
      <c r="AB8" s="62" t="str">
        <f t="shared" si="4"/>
        <v>√</v>
      </c>
      <c r="AC8" s="62" t="str">
        <f t="shared" si="4"/>
        <v>√</v>
      </c>
      <c r="AD8" s="62" t="str">
        <f t="shared" si="4"/>
        <v>√</v>
      </c>
      <c r="AE8" s="62" t="str">
        <f t="shared" si="4"/>
        <v>√</v>
      </c>
      <c r="AF8" s="62" t="str">
        <f t="shared" si="4"/>
        <v>√</v>
      </c>
      <c r="AG8" s="62" t="str">
        <f t="shared" si="4"/>
        <v>√</v>
      </c>
      <c r="AH8" s="62" t="str">
        <f t="shared" si="4"/>
        <v>√</v>
      </c>
      <c r="AI8" s="62" t="str">
        <f t="shared" si="4"/>
        <v>√</v>
      </c>
      <c r="AJ8" s="62" t="str">
        <f t="shared" si="4"/>
        <v>√</v>
      </c>
      <c r="AK8" s="62" t="str">
        <f t="shared" si="4"/>
        <v>√</v>
      </c>
      <c r="AL8" s="62" t="str">
        <f t="shared" si="4"/>
        <v/>
      </c>
      <c r="AM8" s="62" t="str">
        <f t="shared" si="4"/>
        <v/>
      </c>
      <c r="AN8" s="62" t="str">
        <f t="shared" si="4"/>
        <v/>
      </c>
      <c r="AO8" s="62" t="str">
        <f t="shared" si="4"/>
        <v/>
      </c>
    </row>
    <row r="9" spans="1:41">
      <c r="A9" s="63"/>
      <c r="B9" s="59" t="s">
        <v>32</v>
      </c>
      <c r="C9" s="60"/>
      <c r="D9" s="60">
        <v>0</v>
      </c>
      <c r="E9" s="60">
        <v>0.08</v>
      </c>
      <c r="F9" s="60">
        <v>0</v>
      </c>
      <c r="G9" s="60">
        <f t="shared" si="2"/>
        <v>0.08</v>
      </c>
      <c r="H9" s="60">
        <f t="shared" si="3"/>
        <v>0</v>
      </c>
      <c r="I9" s="60" t="s">
        <v>31</v>
      </c>
      <c r="J9" s="61">
        <v>0.0041</v>
      </c>
      <c r="K9" s="61">
        <v>0.001</v>
      </c>
      <c r="L9" s="61">
        <v>0.0024</v>
      </c>
      <c r="M9" s="61">
        <v>0.0031</v>
      </c>
      <c r="N9" s="61">
        <v>0.0044</v>
      </c>
      <c r="O9" s="61">
        <v>0.004</v>
      </c>
      <c r="P9" s="61">
        <v>0.0022</v>
      </c>
      <c r="Q9" s="61">
        <v>0.006</v>
      </c>
      <c r="R9" s="61">
        <v>0.0016</v>
      </c>
      <c r="S9" s="61">
        <v>0.004</v>
      </c>
      <c r="T9" s="61">
        <v>0.0065</v>
      </c>
      <c r="U9" s="61">
        <v>0.0013</v>
      </c>
      <c r="V9" s="61"/>
      <c r="W9" s="61"/>
      <c r="X9" s="61"/>
      <c r="Y9" s="61"/>
      <c r="Z9" s="62" t="str">
        <f t="shared" ref="Z9:AO9" si="5">IF(J9="","",IF(J9&gt;($D9+$E9),(J9-$D9-$E9),IF(J9&lt;($D9+$F9),(J9-$D9-$F9),"√")))</f>
        <v>√</v>
      </c>
      <c r="AA9" s="62" t="str">
        <f t="shared" si="5"/>
        <v>√</v>
      </c>
      <c r="AB9" s="62" t="str">
        <f t="shared" si="5"/>
        <v>√</v>
      </c>
      <c r="AC9" s="62" t="str">
        <f t="shared" si="5"/>
        <v>√</v>
      </c>
      <c r="AD9" s="62" t="str">
        <f t="shared" si="5"/>
        <v>√</v>
      </c>
      <c r="AE9" s="62" t="str">
        <f t="shared" si="5"/>
        <v>√</v>
      </c>
      <c r="AF9" s="62" t="str">
        <f t="shared" si="5"/>
        <v>√</v>
      </c>
      <c r="AG9" s="62" t="str">
        <f t="shared" si="5"/>
        <v>√</v>
      </c>
      <c r="AH9" s="62" t="str">
        <f t="shared" si="5"/>
        <v>√</v>
      </c>
      <c r="AI9" s="62" t="str">
        <f t="shared" si="5"/>
        <v>√</v>
      </c>
      <c r="AJ9" s="62" t="str">
        <f t="shared" si="5"/>
        <v>√</v>
      </c>
      <c r="AK9" s="62" t="str">
        <f t="shared" si="5"/>
        <v>√</v>
      </c>
      <c r="AL9" s="62" t="str">
        <f t="shared" si="5"/>
        <v/>
      </c>
      <c r="AM9" s="62" t="str">
        <f t="shared" si="5"/>
        <v/>
      </c>
      <c r="AN9" s="62" t="str">
        <f t="shared" si="5"/>
        <v/>
      </c>
      <c r="AO9" s="62" t="str">
        <f t="shared" si="5"/>
        <v/>
      </c>
    </row>
    <row r="10" spans="1:41">
      <c r="A10" s="63"/>
      <c r="B10" s="59" t="s">
        <v>33</v>
      </c>
      <c r="C10" s="60"/>
      <c r="D10" s="60"/>
      <c r="E10" s="60"/>
      <c r="F10" s="60"/>
      <c r="G10" s="60"/>
      <c r="H10" s="60"/>
      <c r="I10" s="60" t="s">
        <v>31</v>
      </c>
      <c r="J10" s="61">
        <v>-0.0011</v>
      </c>
      <c r="K10" s="61">
        <v>0.0002</v>
      </c>
      <c r="L10" s="61">
        <v>0.003</v>
      </c>
      <c r="M10" s="61">
        <v>0.0017</v>
      </c>
      <c r="N10" s="61">
        <v>0.0021</v>
      </c>
      <c r="O10" s="61">
        <v>0.0029</v>
      </c>
      <c r="P10" s="61">
        <v>0.0015</v>
      </c>
      <c r="Q10" s="61">
        <v>-0.0001</v>
      </c>
      <c r="R10" s="61">
        <v>0.0012</v>
      </c>
      <c r="S10" s="61">
        <v>0.0021</v>
      </c>
      <c r="T10" s="61">
        <v>0.0001</v>
      </c>
      <c r="U10" s="61">
        <v>0.0004</v>
      </c>
      <c r="V10" s="61"/>
      <c r="W10" s="61"/>
      <c r="X10" s="61"/>
      <c r="Y10" s="61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>
      <c r="A11" s="63"/>
      <c r="B11" s="59" t="s">
        <v>34</v>
      </c>
      <c r="C11" s="60"/>
      <c r="D11" s="60"/>
      <c r="E11" s="60"/>
      <c r="F11" s="60"/>
      <c r="G11" s="60"/>
      <c r="H11" s="60"/>
      <c r="I11" s="60" t="s">
        <v>31</v>
      </c>
      <c r="J11" s="61">
        <v>-0.002</v>
      </c>
      <c r="K11" s="61">
        <v>0.0016</v>
      </c>
      <c r="L11" s="61">
        <v>0.0058</v>
      </c>
      <c r="M11" s="61">
        <v>0.001</v>
      </c>
      <c r="N11" s="61">
        <v>0</v>
      </c>
      <c r="O11" s="61">
        <v>-0.0002</v>
      </c>
      <c r="P11" s="61">
        <v>0.0009</v>
      </c>
      <c r="Q11" s="61">
        <v>-0.0034</v>
      </c>
      <c r="R11" s="61">
        <v>0.0019</v>
      </c>
      <c r="S11" s="61">
        <v>-0.0002</v>
      </c>
      <c r="T11" s="61">
        <v>-0.004</v>
      </c>
      <c r="U11" s="61">
        <v>0.0021</v>
      </c>
      <c r="V11" s="61"/>
      <c r="W11" s="61"/>
      <c r="X11" s="61"/>
      <c r="Y11" s="61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>
      <c r="A12" s="63"/>
      <c r="B12" s="59" t="s">
        <v>35</v>
      </c>
      <c r="C12" s="60"/>
      <c r="D12" s="60">
        <v>0.35</v>
      </c>
      <c r="E12" s="60">
        <v>0.03</v>
      </c>
      <c r="F12" s="60">
        <v>-0.03</v>
      </c>
      <c r="G12" s="60">
        <f t="shared" si="2"/>
        <v>0.38</v>
      </c>
      <c r="H12" s="60">
        <f t="shared" si="3"/>
        <v>0.32</v>
      </c>
      <c r="I12" s="60" t="s">
        <v>31</v>
      </c>
      <c r="J12" s="61">
        <v>0.3406</v>
      </c>
      <c r="K12" s="61">
        <v>0.3402</v>
      </c>
      <c r="L12" s="61">
        <v>0.3395</v>
      </c>
      <c r="M12" s="61">
        <v>0.3428</v>
      </c>
      <c r="N12" s="61">
        <v>0.339</v>
      </c>
      <c r="O12" s="61">
        <v>0.3417</v>
      </c>
      <c r="P12" s="61">
        <v>0.3432</v>
      </c>
      <c r="Q12" s="61">
        <v>0.3429</v>
      </c>
      <c r="R12" s="61">
        <v>0.3397</v>
      </c>
      <c r="S12" s="61">
        <v>0.3415</v>
      </c>
      <c r="T12" s="61">
        <v>0.3442</v>
      </c>
      <c r="U12" s="61">
        <v>0.3449</v>
      </c>
      <c r="V12" s="61"/>
      <c r="W12" s="61"/>
      <c r="X12" s="61"/>
      <c r="Y12" s="61"/>
      <c r="Z12" s="62" t="str">
        <f t="shared" ref="Z12:AO12" si="6">IF(J12="","",IF(J12&gt;($D12+$E12),(J12-$D12-$E12),IF(J12&lt;($D12+$F12),(J12-$D12-$F12),"√")))</f>
        <v>√</v>
      </c>
      <c r="AA12" s="62" t="str">
        <f t="shared" si="6"/>
        <v>√</v>
      </c>
      <c r="AB12" s="62" t="str">
        <f t="shared" si="6"/>
        <v>√</v>
      </c>
      <c r="AC12" s="62" t="str">
        <f t="shared" si="6"/>
        <v>√</v>
      </c>
      <c r="AD12" s="62" t="str">
        <f t="shared" si="6"/>
        <v>√</v>
      </c>
      <c r="AE12" s="62" t="str">
        <f t="shared" si="6"/>
        <v>√</v>
      </c>
      <c r="AF12" s="62" t="str">
        <f t="shared" si="6"/>
        <v>√</v>
      </c>
      <c r="AG12" s="62" t="str">
        <f t="shared" si="6"/>
        <v>√</v>
      </c>
      <c r="AH12" s="62" t="str">
        <f t="shared" si="6"/>
        <v>√</v>
      </c>
      <c r="AI12" s="62" t="str">
        <f t="shared" si="6"/>
        <v>√</v>
      </c>
      <c r="AJ12" s="62" t="str">
        <f t="shared" si="6"/>
        <v>√</v>
      </c>
      <c r="AK12" s="62" t="str">
        <f t="shared" si="6"/>
        <v>√</v>
      </c>
      <c r="AL12" s="62" t="str">
        <f t="shared" si="6"/>
        <v/>
      </c>
      <c r="AM12" s="62" t="str">
        <f t="shared" si="6"/>
        <v/>
      </c>
      <c r="AN12" s="62" t="str">
        <f t="shared" si="6"/>
        <v/>
      </c>
      <c r="AO12" s="62" t="str">
        <f t="shared" si="6"/>
        <v/>
      </c>
    </row>
    <row r="13" spans="1:41">
      <c r="A13" s="63"/>
      <c r="B13" s="59" t="s">
        <v>36</v>
      </c>
      <c r="C13" s="60"/>
      <c r="D13" s="60">
        <v>0.35</v>
      </c>
      <c r="E13" s="60">
        <v>0.03</v>
      </c>
      <c r="F13" s="60">
        <v>-0.03</v>
      </c>
      <c r="G13" s="60">
        <f t="shared" si="2"/>
        <v>0.38</v>
      </c>
      <c r="H13" s="60">
        <f t="shared" si="3"/>
        <v>0.32</v>
      </c>
      <c r="I13" s="60" t="s">
        <v>31</v>
      </c>
      <c r="J13" s="61">
        <v>0.3392</v>
      </c>
      <c r="K13" s="61">
        <v>0.3383</v>
      </c>
      <c r="L13" s="61">
        <v>0.3399</v>
      </c>
      <c r="M13" s="61">
        <v>0.3419</v>
      </c>
      <c r="N13" s="61">
        <v>0.3401</v>
      </c>
      <c r="O13" s="61">
        <v>0.3409</v>
      </c>
      <c r="P13" s="61">
        <v>0.342</v>
      </c>
      <c r="Q13" s="61">
        <v>0.3457</v>
      </c>
      <c r="R13" s="61">
        <v>0.3438</v>
      </c>
      <c r="S13" s="61">
        <v>0.338</v>
      </c>
      <c r="T13" s="61">
        <v>0.3375</v>
      </c>
      <c r="U13" s="61">
        <v>0.3413</v>
      </c>
      <c r="V13" s="61"/>
      <c r="W13" s="61"/>
      <c r="X13" s="61"/>
      <c r="Y13" s="61"/>
      <c r="Z13" s="62" t="str">
        <f t="shared" ref="Z13:AO13" si="7">IF(J13="","",IF(J13&gt;($D13+$E13),(J13-$D13-$E13),IF(J13&lt;($D13+$F13),(J13-$D13-$F13),"√")))</f>
        <v>√</v>
      </c>
      <c r="AA13" s="62" t="str">
        <f t="shared" si="7"/>
        <v>√</v>
      </c>
      <c r="AB13" s="62" t="str">
        <f t="shared" si="7"/>
        <v>√</v>
      </c>
      <c r="AC13" s="62" t="str">
        <f t="shared" si="7"/>
        <v>√</v>
      </c>
      <c r="AD13" s="62" t="str">
        <f t="shared" si="7"/>
        <v>√</v>
      </c>
      <c r="AE13" s="62" t="str">
        <f t="shared" si="7"/>
        <v>√</v>
      </c>
      <c r="AF13" s="62" t="str">
        <f t="shared" si="7"/>
        <v>√</v>
      </c>
      <c r="AG13" s="62" t="str">
        <f t="shared" si="7"/>
        <v>√</v>
      </c>
      <c r="AH13" s="62" t="str">
        <f t="shared" si="7"/>
        <v>√</v>
      </c>
      <c r="AI13" s="62" t="str">
        <f t="shared" si="7"/>
        <v>√</v>
      </c>
      <c r="AJ13" s="62" t="str">
        <f t="shared" si="7"/>
        <v>√</v>
      </c>
      <c r="AK13" s="62" t="str">
        <f t="shared" si="7"/>
        <v>√</v>
      </c>
      <c r="AL13" s="62" t="str">
        <f t="shared" si="7"/>
        <v/>
      </c>
      <c r="AM13" s="62" t="str">
        <f t="shared" si="7"/>
        <v/>
      </c>
      <c r="AN13" s="62" t="str">
        <f t="shared" si="7"/>
        <v/>
      </c>
      <c r="AO13" s="62" t="str">
        <f t="shared" si="7"/>
        <v/>
      </c>
    </row>
    <row r="14" spans="1:41">
      <c r="A14" s="63"/>
      <c r="B14" s="59" t="s">
        <v>37</v>
      </c>
      <c r="C14" s="60" t="s">
        <v>38</v>
      </c>
      <c r="D14" s="60">
        <v>0</v>
      </c>
      <c r="E14" s="60">
        <v>0.06</v>
      </c>
      <c r="F14" s="60">
        <v>0</v>
      </c>
      <c r="G14" s="60">
        <f t="shared" si="2"/>
        <v>0.06</v>
      </c>
      <c r="H14" s="60">
        <f t="shared" si="3"/>
        <v>0</v>
      </c>
      <c r="I14" s="60" t="s">
        <v>31</v>
      </c>
      <c r="J14" s="61">
        <v>0.0265</v>
      </c>
      <c r="K14" s="61">
        <v>0.0155</v>
      </c>
      <c r="L14" s="61">
        <v>0.0161</v>
      </c>
      <c r="M14" s="61">
        <v>0.016</v>
      </c>
      <c r="N14" s="61">
        <v>0.0182</v>
      </c>
      <c r="O14" s="61">
        <v>0.0199</v>
      </c>
      <c r="P14" s="61">
        <v>0.0117</v>
      </c>
      <c r="Q14" s="61">
        <v>0.0171</v>
      </c>
      <c r="R14" s="61">
        <v>0.0142</v>
      </c>
      <c r="S14" s="61">
        <v>0.017</v>
      </c>
      <c r="T14" s="61">
        <v>0.0275</v>
      </c>
      <c r="U14" s="61">
        <v>0.0134</v>
      </c>
      <c r="V14" s="61"/>
      <c r="W14" s="61"/>
      <c r="X14" s="61"/>
      <c r="Y14" s="61"/>
      <c r="Z14" s="62" t="str">
        <f t="shared" ref="Z14:AO14" si="8">IF(J14="","",IF(J14&gt;($D14+$E14),(J14-$D14-$E14),IF(J14&lt;($D14+$F14),(J14-$D14-$F14),"√")))</f>
        <v>√</v>
      </c>
      <c r="AA14" s="62" t="str">
        <f t="shared" si="8"/>
        <v>√</v>
      </c>
      <c r="AB14" s="62" t="str">
        <f t="shared" si="8"/>
        <v>√</v>
      </c>
      <c r="AC14" s="62" t="str">
        <f t="shared" si="8"/>
        <v>√</v>
      </c>
      <c r="AD14" s="62" t="str">
        <f t="shared" si="8"/>
        <v>√</v>
      </c>
      <c r="AE14" s="62" t="str">
        <f t="shared" si="8"/>
        <v>√</v>
      </c>
      <c r="AF14" s="62" t="str">
        <f t="shared" si="8"/>
        <v>√</v>
      </c>
      <c r="AG14" s="62" t="str">
        <f t="shared" si="8"/>
        <v>√</v>
      </c>
      <c r="AH14" s="62" t="str">
        <f t="shared" si="8"/>
        <v>√</v>
      </c>
      <c r="AI14" s="62" t="str">
        <f t="shared" si="8"/>
        <v>√</v>
      </c>
      <c r="AJ14" s="62" t="str">
        <f t="shared" si="8"/>
        <v>√</v>
      </c>
      <c r="AK14" s="62" t="str">
        <f t="shared" si="8"/>
        <v>√</v>
      </c>
      <c r="AL14" s="62" t="str">
        <f t="shared" si="8"/>
        <v/>
      </c>
      <c r="AM14" s="62" t="str">
        <f t="shared" si="8"/>
        <v/>
      </c>
      <c r="AN14" s="62" t="str">
        <f t="shared" si="8"/>
        <v/>
      </c>
      <c r="AO14" s="62" t="str">
        <f t="shared" si="8"/>
        <v/>
      </c>
    </row>
    <row r="15" spans="1:41">
      <c r="A15" s="63"/>
      <c r="B15" s="59">
        <v>1</v>
      </c>
      <c r="C15" s="60"/>
      <c r="D15" s="60"/>
      <c r="E15" s="60"/>
      <c r="F15" s="60"/>
      <c r="G15" s="60"/>
      <c r="H15" s="60"/>
      <c r="I15" s="60" t="s">
        <v>31</v>
      </c>
      <c r="J15" s="61">
        <v>-0.0002</v>
      </c>
      <c r="K15" s="61">
        <v>-0.0011</v>
      </c>
      <c r="L15" s="61">
        <v>0.0012</v>
      </c>
      <c r="M15" s="61">
        <v>-0.0065</v>
      </c>
      <c r="N15" s="61">
        <v>-0.0026</v>
      </c>
      <c r="O15" s="61">
        <v>-0.0001</v>
      </c>
      <c r="P15" s="61">
        <v>-0.0007</v>
      </c>
      <c r="Q15" s="61">
        <v>0.001</v>
      </c>
      <c r="R15" s="61">
        <v>0.0052</v>
      </c>
      <c r="S15" s="61">
        <v>-0.0042</v>
      </c>
      <c r="T15" s="61">
        <v>-0.003</v>
      </c>
      <c r="U15" s="61">
        <v>0.0002</v>
      </c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>
      <c r="A16" s="63"/>
      <c r="B16" s="59">
        <v>2</v>
      </c>
      <c r="C16" s="60"/>
      <c r="D16" s="60"/>
      <c r="E16" s="60"/>
      <c r="F16" s="60"/>
      <c r="G16" s="60"/>
      <c r="H16" s="60"/>
      <c r="I16" s="60" t="s">
        <v>31</v>
      </c>
      <c r="J16" s="61">
        <v>-0.0005</v>
      </c>
      <c r="K16" s="61">
        <v>0</v>
      </c>
      <c r="L16" s="61">
        <v>0.0043</v>
      </c>
      <c r="M16" s="61">
        <v>-0.0071</v>
      </c>
      <c r="N16" s="61">
        <v>-0.0004</v>
      </c>
      <c r="O16" s="61">
        <v>-0.0007</v>
      </c>
      <c r="P16" s="61">
        <v>0.0011</v>
      </c>
      <c r="Q16" s="61">
        <v>0.002</v>
      </c>
      <c r="R16" s="61">
        <v>0.0037</v>
      </c>
      <c r="S16" s="61">
        <v>-0.0029</v>
      </c>
      <c r="T16" s="61">
        <v>-0.0009</v>
      </c>
      <c r="U16" s="61">
        <v>-0.0008</v>
      </c>
      <c r="V16" s="61"/>
      <c r="W16" s="61"/>
      <c r="X16" s="61"/>
      <c r="Y16" s="61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>
      <c r="A17" s="63"/>
      <c r="B17" s="59">
        <v>3</v>
      </c>
      <c r="C17" s="60"/>
      <c r="D17" s="60"/>
      <c r="E17" s="60"/>
      <c r="F17" s="60"/>
      <c r="G17" s="60"/>
      <c r="H17" s="60"/>
      <c r="I17" s="60" t="s">
        <v>31</v>
      </c>
      <c r="J17" s="61">
        <v>-0.004</v>
      </c>
      <c r="K17" s="61">
        <v>-0.0019</v>
      </c>
      <c r="L17" s="61">
        <v>0.0011</v>
      </c>
      <c r="M17" s="61">
        <v>-0.008</v>
      </c>
      <c r="N17" s="61">
        <v>-0.0034</v>
      </c>
      <c r="O17" s="61">
        <v>-0.0034</v>
      </c>
      <c r="P17" s="61">
        <v>-0.0005</v>
      </c>
      <c r="Q17" s="61">
        <v>-0.0015</v>
      </c>
      <c r="R17" s="61">
        <v>0.0018</v>
      </c>
      <c r="S17" s="61">
        <v>-0.006</v>
      </c>
      <c r="T17" s="61">
        <v>-0.0019</v>
      </c>
      <c r="U17" s="61">
        <v>-0.0034</v>
      </c>
      <c r="V17" s="61"/>
      <c r="W17" s="61"/>
      <c r="X17" s="61"/>
      <c r="Y17" s="61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>
      <c r="A18" s="63"/>
      <c r="B18" s="59">
        <v>4</v>
      </c>
      <c r="C18" s="60"/>
      <c r="D18" s="60"/>
      <c r="E18" s="60"/>
      <c r="F18" s="60"/>
      <c r="G18" s="60"/>
      <c r="H18" s="60"/>
      <c r="I18" s="60" t="s">
        <v>31</v>
      </c>
      <c r="J18" s="61">
        <v>0.0002</v>
      </c>
      <c r="K18" s="61">
        <v>-0.0004</v>
      </c>
      <c r="L18" s="61">
        <v>0.0042</v>
      </c>
      <c r="M18" s="61">
        <v>-0.0045</v>
      </c>
      <c r="N18" s="61">
        <v>0.0014</v>
      </c>
      <c r="O18" s="61">
        <v>-0.0002</v>
      </c>
      <c r="P18" s="61">
        <v>0.0011</v>
      </c>
      <c r="Q18" s="61">
        <v>0.0019</v>
      </c>
      <c r="R18" s="61">
        <v>0.0006</v>
      </c>
      <c r="S18" s="61">
        <v>-0.0035</v>
      </c>
      <c r="T18" s="61">
        <v>0.0016</v>
      </c>
      <c r="U18" s="61">
        <v>-0.0002</v>
      </c>
      <c r="V18" s="61"/>
      <c r="W18" s="61"/>
      <c r="X18" s="61"/>
      <c r="Y18" s="61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>
      <c r="A19" s="63"/>
      <c r="B19" s="59">
        <v>5</v>
      </c>
      <c r="C19" s="60"/>
      <c r="D19" s="60"/>
      <c r="E19" s="60"/>
      <c r="F19" s="60"/>
      <c r="G19" s="60"/>
      <c r="H19" s="60"/>
      <c r="I19" s="60" t="s">
        <v>31</v>
      </c>
      <c r="J19" s="61">
        <v>-0.0001</v>
      </c>
      <c r="K19" s="61">
        <v>0.0031</v>
      </c>
      <c r="L19" s="61">
        <v>0.0025</v>
      </c>
      <c r="M19" s="61">
        <v>-0.0022</v>
      </c>
      <c r="N19" s="61">
        <v>0.0062</v>
      </c>
      <c r="O19" s="61">
        <v>-0.0001</v>
      </c>
      <c r="P19" s="61">
        <v>0.0036</v>
      </c>
      <c r="Q19" s="61">
        <v>0.0029</v>
      </c>
      <c r="R19" s="61">
        <v>0.0023</v>
      </c>
      <c r="S19" s="61">
        <v>-0.0026</v>
      </c>
      <c r="T19" s="61">
        <v>0.0044</v>
      </c>
      <c r="U19" s="61">
        <v>0.0022</v>
      </c>
      <c r="V19" s="61"/>
      <c r="W19" s="61"/>
      <c r="X19" s="61"/>
      <c r="Y19" s="61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>
      <c r="A20" s="63"/>
      <c r="B20" s="59">
        <v>6</v>
      </c>
      <c r="C20" s="60"/>
      <c r="D20" s="60"/>
      <c r="E20" s="60"/>
      <c r="F20" s="60"/>
      <c r="G20" s="60"/>
      <c r="H20" s="60"/>
      <c r="I20" s="60" t="s">
        <v>31</v>
      </c>
      <c r="J20" s="61">
        <v>0.0036</v>
      </c>
      <c r="K20" s="61">
        <v>0.0062</v>
      </c>
      <c r="L20" s="61">
        <v>0.008</v>
      </c>
      <c r="M20" s="61">
        <v>-0.0018</v>
      </c>
      <c r="N20" s="61">
        <v>0.0056</v>
      </c>
      <c r="O20" s="61">
        <v>0.0038</v>
      </c>
      <c r="P20" s="61">
        <v>0.003</v>
      </c>
      <c r="Q20" s="61">
        <v>0.0061</v>
      </c>
      <c r="R20" s="61">
        <v>0.0058</v>
      </c>
      <c r="S20" s="61">
        <v>0.0042</v>
      </c>
      <c r="T20" s="61">
        <v>0.0057</v>
      </c>
      <c r="U20" s="61">
        <v>0.0048</v>
      </c>
      <c r="V20" s="61"/>
      <c r="W20" s="61"/>
      <c r="X20" s="61"/>
      <c r="Y20" s="61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>
      <c r="A21" s="63"/>
      <c r="B21" s="59">
        <v>7</v>
      </c>
      <c r="C21" s="60"/>
      <c r="D21" s="60"/>
      <c r="E21" s="60"/>
      <c r="F21" s="60"/>
      <c r="G21" s="60"/>
      <c r="H21" s="60"/>
      <c r="I21" s="60" t="s">
        <v>31</v>
      </c>
      <c r="J21" s="61">
        <v>0.0065</v>
      </c>
      <c r="K21" s="61">
        <v>0.0058</v>
      </c>
      <c r="L21" s="61">
        <v>0.0073</v>
      </c>
      <c r="M21" s="61">
        <v>0.0022</v>
      </c>
      <c r="N21" s="61">
        <v>0.0091</v>
      </c>
      <c r="O21" s="61">
        <v>0.007</v>
      </c>
      <c r="P21" s="61">
        <v>0.0052</v>
      </c>
      <c r="Q21" s="61">
        <v>0.0085</v>
      </c>
      <c r="R21" s="61">
        <v>0.0071</v>
      </c>
      <c r="S21" s="61">
        <v>0.0084</v>
      </c>
      <c r="T21" s="61">
        <v>0.0114</v>
      </c>
      <c r="U21" s="61">
        <v>0.0042</v>
      </c>
      <c r="V21" s="61"/>
      <c r="W21" s="61"/>
      <c r="X21" s="61"/>
      <c r="Y21" s="61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>
      <c r="A22" s="63"/>
      <c r="B22" s="59">
        <v>8</v>
      </c>
      <c r="C22" s="60"/>
      <c r="D22" s="60"/>
      <c r="E22" s="60"/>
      <c r="F22" s="60"/>
      <c r="G22" s="60"/>
      <c r="H22" s="60"/>
      <c r="I22" s="60" t="s">
        <v>31</v>
      </c>
      <c r="J22" s="61">
        <v>0.0067</v>
      </c>
      <c r="K22" s="61">
        <v>0.0059</v>
      </c>
      <c r="L22" s="61">
        <v>0.0026</v>
      </c>
      <c r="M22" s="61">
        <v>-0.0015</v>
      </c>
      <c r="N22" s="61">
        <v>0.0061</v>
      </c>
      <c r="O22" s="61">
        <v>0.0031</v>
      </c>
      <c r="P22" s="61">
        <v>0.004</v>
      </c>
      <c r="Q22" s="61">
        <v>0.0055</v>
      </c>
      <c r="R22" s="61">
        <v>0.0049</v>
      </c>
      <c r="S22" s="61">
        <v>0.0071</v>
      </c>
      <c r="T22" s="61">
        <v>0.0104</v>
      </c>
      <c r="U22" s="61">
        <v>0.0051</v>
      </c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>
      <c r="A23" s="63"/>
      <c r="B23" s="59">
        <v>9</v>
      </c>
      <c r="C23" s="60"/>
      <c r="D23" s="60"/>
      <c r="E23" s="60"/>
      <c r="F23" s="60"/>
      <c r="G23" s="60"/>
      <c r="H23" s="60"/>
      <c r="I23" s="60" t="s">
        <v>31</v>
      </c>
      <c r="J23" s="61">
        <v>0.0078</v>
      </c>
      <c r="K23" s="61">
        <v>0.0065</v>
      </c>
      <c r="L23" s="61">
        <v>0.0057</v>
      </c>
      <c r="M23" s="61">
        <v>0.0014</v>
      </c>
      <c r="N23" s="61">
        <v>0.0077</v>
      </c>
      <c r="O23" s="61">
        <v>0.0037</v>
      </c>
      <c r="P23" s="61">
        <v>0.0045</v>
      </c>
      <c r="Q23" s="61">
        <v>0.0067</v>
      </c>
      <c r="R23" s="61">
        <v>0.0056</v>
      </c>
      <c r="S23" s="61">
        <v>0.008</v>
      </c>
      <c r="T23" s="61">
        <v>0.0119</v>
      </c>
      <c r="U23" s="61">
        <v>0.006</v>
      </c>
      <c r="V23" s="61"/>
      <c r="W23" s="61"/>
      <c r="X23" s="61"/>
      <c r="Y23" s="61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>
      <c r="A24" s="63"/>
      <c r="B24" s="59">
        <v>10</v>
      </c>
      <c r="C24" s="60"/>
      <c r="D24" s="60"/>
      <c r="E24" s="60"/>
      <c r="F24" s="60"/>
      <c r="G24" s="60"/>
      <c r="H24" s="60"/>
      <c r="I24" s="60" t="s">
        <v>31</v>
      </c>
      <c r="J24" s="61">
        <v>0.0094</v>
      </c>
      <c r="K24" s="61">
        <v>0.0078</v>
      </c>
      <c r="L24" s="61">
        <v>0.0067</v>
      </c>
      <c r="M24" s="61">
        <v>0.0007</v>
      </c>
      <c r="N24" s="61">
        <v>0.005</v>
      </c>
      <c r="O24" s="61">
        <v>0.0069</v>
      </c>
      <c r="P24" s="61">
        <v>0.0059</v>
      </c>
      <c r="Q24" s="61">
        <v>0.0062</v>
      </c>
      <c r="R24" s="61">
        <v>0.0067</v>
      </c>
      <c r="S24" s="61">
        <v>0.0085</v>
      </c>
      <c r="T24" s="61">
        <v>0.0138</v>
      </c>
      <c r="U24" s="61">
        <v>0.0067</v>
      </c>
      <c r="V24" s="61"/>
      <c r="W24" s="61"/>
      <c r="X24" s="61"/>
      <c r="Y24" s="61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>
      <c r="A25" s="63"/>
      <c r="B25" s="59">
        <v>11</v>
      </c>
      <c r="C25" s="60"/>
      <c r="D25" s="60"/>
      <c r="E25" s="60"/>
      <c r="F25" s="60"/>
      <c r="G25" s="60"/>
      <c r="H25" s="60"/>
      <c r="I25" s="60" t="s">
        <v>31</v>
      </c>
      <c r="J25" s="61">
        <v>0.0056</v>
      </c>
      <c r="K25" s="61">
        <v>0.0038</v>
      </c>
      <c r="L25" s="61">
        <v>0.0056</v>
      </c>
      <c r="M25" s="61">
        <v>-0.0051</v>
      </c>
      <c r="N25" s="61">
        <v>-0.0021</v>
      </c>
      <c r="O25" s="61">
        <v>0.0078</v>
      </c>
      <c r="P25" s="61">
        <v>0.0046</v>
      </c>
      <c r="Q25" s="61">
        <v>0.0016</v>
      </c>
      <c r="R25" s="61">
        <v>0.0065</v>
      </c>
      <c r="S25" s="61">
        <v>0.0015</v>
      </c>
      <c r="T25" s="61">
        <v>0.0067</v>
      </c>
      <c r="U25" s="61">
        <v>0.0035</v>
      </c>
      <c r="V25" s="61"/>
      <c r="W25" s="61"/>
      <c r="X25" s="61"/>
      <c r="Y25" s="61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>
      <c r="A26" s="63"/>
      <c r="B26" s="59">
        <v>12</v>
      </c>
      <c r="C26" s="60"/>
      <c r="D26" s="60"/>
      <c r="E26" s="60"/>
      <c r="F26" s="60"/>
      <c r="G26" s="60"/>
      <c r="H26" s="60"/>
      <c r="I26" s="60" t="s">
        <v>31</v>
      </c>
      <c r="J26" s="61">
        <v>0.0023</v>
      </c>
      <c r="K26" s="61">
        <v>0.0038</v>
      </c>
      <c r="L26" s="61">
        <v>0.0058</v>
      </c>
      <c r="M26" s="61">
        <v>-0.0051</v>
      </c>
      <c r="N26" s="61">
        <v>-0.0023</v>
      </c>
      <c r="O26" s="61">
        <v>0.01</v>
      </c>
      <c r="P26" s="61">
        <v>0.0057</v>
      </c>
      <c r="Q26" s="61">
        <v>0.0004</v>
      </c>
      <c r="R26" s="61">
        <v>0.0063</v>
      </c>
      <c r="S26" s="61">
        <v>-0.0006</v>
      </c>
      <c r="T26" s="61">
        <v>0.0056</v>
      </c>
      <c r="U26" s="61">
        <v>0.0031</v>
      </c>
      <c r="V26" s="61"/>
      <c r="W26" s="61"/>
      <c r="X26" s="61"/>
      <c r="Y26" s="61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>
      <c r="A27" s="63"/>
      <c r="B27" s="59">
        <v>13</v>
      </c>
      <c r="C27" s="60"/>
      <c r="D27" s="60"/>
      <c r="E27" s="60"/>
      <c r="F27" s="60"/>
      <c r="G27" s="60"/>
      <c r="H27" s="60"/>
      <c r="I27" s="60" t="s">
        <v>31</v>
      </c>
      <c r="J27" s="61">
        <v>0.0036</v>
      </c>
      <c r="K27" s="61">
        <v>0.0036</v>
      </c>
      <c r="L27" s="61">
        <v>0.0021</v>
      </c>
      <c r="M27" s="61">
        <v>-0.0065</v>
      </c>
      <c r="N27" s="61">
        <v>-0.0022</v>
      </c>
      <c r="O27" s="61">
        <v>0.005</v>
      </c>
      <c r="P27" s="61">
        <v>0.0001</v>
      </c>
      <c r="Q27" s="61">
        <v>-0.0006</v>
      </c>
      <c r="R27" s="61">
        <v>0.0059</v>
      </c>
      <c r="S27" s="61">
        <v>0.0011</v>
      </c>
      <c r="T27" s="61">
        <v>0.0073</v>
      </c>
      <c r="U27" s="61">
        <v>0.0061</v>
      </c>
      <c r="V27" s="61"/>
      <c r="W27" s="61"/>
      <c r="X27" s="61"/>
      <c r="Y27" s="61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>
      <c r="A28" s="63"/>
      <c r="B28" s="59">
        <v>14</v>
      </c>
      <c r="C28" s="60"/>
      <c r="D28" s="60"/>
      <c r="E28" s="60"/>
      <c r="F28" s="60"/>
      <c r="G28" s="60"/>
      <c r="H28" s="60"/>
      <c r="I28" s="60" t="s">
        <v>31</v>
      </c>
      <c r="J28" s="61">
        <v>0.0042</v>
      </c>
      <c r="K28" s="61">
        <v>0.0042</v>
      </c>
      <c r="L28" s="61">
        <v>0.0004</v>
      </c>
      <c r="M28" s="61">
        <v>-0.0056</v>
      </c>
      <c r="N28" s="61">
        <v>-0.0027</v>
      </c>
      <c r="O28" s="61">
        <v>0.0037</v>
      </c>
      <c r="P28" s="61">
        <v>0.0028</v>
      </c>
      <c r="Q28" s="61">
        <v>0.0003</v>
      </c>
      <c r="R28" s="61">
        <v>0.0057</v>
      </c>
      <c r="S28" s="61">
        <v>0.0017</v>
      </c>
      <c r="T28" s="61">
        <v>0.0059</v>
      </c>
      <c r="U28" s="61">
        <v>0.0023</v>
      </c>
      <c r="V28" s="61"/>
      <c r="W28" s="61"/>
      <c r="X28" s="61"/>
      <c r="Y28" s="61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>
      <c r="A29" s="63"/>
      <c r="B29" s="59">
        <v>15</v>
      </c>
      <c r="C29" s="60"/>
      <c r="D29" s="60"/>
      <c r="E29" s="60"/>
      <c r="F29" s="60"/>
      <c r="G29" s="60"/>
      <c r="H29" s="60"/>
      <c r="I29" s="60" t="s">
        <v>31</v>
      </c>
      <c r="J29" s="61">
        <v>0.001</v>
      </c>
      <c r="K29" s="61">
        <v>0.0004</v>
      </c>
      <c r="L29" s="61">
        <v>0.0003</v>
      </c>
      <c r="M29" s="61">
        <v>-0.0077</v>
      </c>
      <c r="N29" s="61">
        <v>-0.0033</v>
      </c>
      <c r="O29" s="61">
        <v>-0.0003</v>
      </c>
      <c r="P29" s="61">
        <v>0.0012</v>
      </c>
      <c r="Q29" s="61">
        <v>-0.0035</v>
      </c>
      <c r="R29" s="61">
        <v>0.0002</v>
      </c>
      <c r="S29" s="61">
        <v>-0.0003</v>
      </c>
      <c r="T29" s="61">
        <v>0.0042</v>
      </c>
      <c r="U29" s="61">
        <v>-0.0008</v>
      </c>
      <c r="V29" s="61"/>
      <c r="W29" s="61"/>
      <c r="X29" s="61"/>
      <c r="Y29" s="61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>
      <c r="A30" s="63"/>
      <c r="B30" s="59">
        <v>16</v>
      </c>
      <c r="C30" s="60"/>
      <c r="D30" s="60"/>
      <c r="E30" s="60"/>
      <c r="F30" s="60"/>
      <c r="G30" s="60"/>
      <c r="H30" s="60"/>
      <c r="I30" s="60" t="s">
        <v>31</v>
      </c>
      <c r="J30" s="61">
        <v>-0.0028</v>
      </c>
      <c r="K30" s="61">
        <v>0.0008</v>
      </c>
      <c r="L30" s="61">
        <v>0.0038</v>
      </c>
      <c r="M30" s="61">
        <v>-0.0072</v>
      </c>
      <c r="N30" s="61">
        <v>-0.0021</v>
      </c>
      <c r="O30" s="61">
        <v>-0.0005</v>
      </c>
      <c r="P30" s="61">
        <v>-0.0004</v>
      </c>
      <c r="Q30" s="61">
        <v>-0.0006</v>
      </c>
      <c r="R30" s="61">
        <v>0.0013</v>
      </c>
      <c r="S30" s="61">
        <v>-0.0042</v>
      </c>
      <c r="T30" s="61">
        <v>-0.0007</v>
      </c>
      <c r="U30" s="61">
        <v>0</v>
      </c>
      <c r="V30" s="61"/>
      <c r="W30" s="61"/>
      <c r="X30" s="61"/>
      <c r="Y30" s="61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>
      <c r="A31" s="63"/>
      <c r="B31" s="59">
        <v>17</v>
      </c>
      <c r="C31" s="60"/>
      <c r="D31" s="60"/>
      <c r="E31" s="60"/>
      <c r="F31" s="60"/>
      <c r="G31" s="60"/>
      <c r="H31" s="60"/>
      <c r="I31" s="60" t="s">
        <v>31</v>
      </c>
      <c r="J31" s="61">
        <v>0.0133</v>
      </c>
      <c r="K31" s="61">
        <v>0.0026</v>
      </c>
      <c r="L31" s="61">
        <v>0.0037</v>
      </c>
      <c r="M31" s="61">
        <v>-0.0034</v>
      </c>
      <c r="N31" s="61">
        <v>0.0023</v>
      </c>
      <c r="O31" s="61">
        <v>0.0002</v>
      </c>
      <c r="P31" s="61">
        <v>0.0013</v>
      </c>
      <c r="Q31" s="61">
        <v>0.0007</v>
      </c>
      <c r="R31" s="61">
        <v>0.001</v>
      </c>
      <c r="S31" s="61">
        <v>-0.0014</v>
      </c>
      <c r="T31" s="61">
        <v>0.0045</v>
      </c>
      <c r="U31" s="61">
        <v>0.0015</v>
      </c>
      <c r="V31" s="61"/>
      <c r="W31" s="61"/>
      <c r="X31" s="61"/>
      <c r="Y31" s="61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>
      <c r="A32" s="63"/>
      <c r="B32" s="59">
        <v>18</v>
      </c>
      <c r="C32" s="60"/>
      <c r="D32" s="60"/>
      <c r="E32" s="60"/>
      <c r="F32" s="60"/>
      <c r="G32" s="60"/>
      <c r="H32" s="60"/>
      <c r="I32" s="60" t="s">
        <v>31</v>
      </c>
      <c r="J32" s="61">
        <v>0.0053</v>
      </c>
      <c r="K32" s="61">
        <v>0.0048</v>
      </c>
      <c r="L32" s="61">
        <v>0.0063</v>
      </c>
      <c r="M32" s="61">
        <v>-0.0025</v>
      </c>
      <c r="N32" s="61">
        <v>0.0039</v>
      </c>
      <c r="O32" s="61">
        <v>0.0067</v>
      </c>
      <c r="P32" s="61">
        <v>0.004</v>
      </c>
      <c r="Q32" s="61">
        <v>0.0051</v>
      </c>
      <c r="R32" s="61">
        <v>0.0053</v>
      </c>
      <c r="S32" s="61">
        <v>0.007</v>
      </c>
      <c r="T32" s="61">
        <v>0.0087</v>
      </c>
      <c r="U32" s="61">
        <v>0.006</v>
      </c>
      <c r="V32" s="61"/>
      <c r="W32" s="61"/>
      <c r="X32" s="61"/>
      <c r="Y32" s="61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>
      <c r="A33" s="63"/>
      <c r="B33" s="59">
        <v>19</v>
      </c>
      <c r="C33" s="60"/>
      <c r="D33" s="60"/>
      <c r="E33" s="60"/>
      <c r="F33" s="60"/>
      <c r="G33" s="60"/>
      <c r="H33" s="60"/>
      <c r="I33" s="60" t="s">
        <v>31</v>
      </c>
      <c r="J33" s="61">
        <v>0.0054</v>
      </c>
      <c r="K33" s="61">
        <v>0.0065</v>
      </c>
      <c r="L33" s="61">
        <v>0.003</v>
      </c>
      <c r="M33" s="61">
        <v>0.0005</v>
      </c>
      <c r="N33" s="61">
        <v>0.006</v>
      </c>
      <c r="O33" s="61">
        <v>0.0033</v>
      </c>
      <c r="P33" s="61">
        <v>0.0031</v>
      </c>
      <c r="Q33" s="61">
        <v>0.0049</v>
      </c>
      <c r="R33" s="61">
        <v>0.0055</v>
      </c>
      <c r="S33" s="61">
        <v>0.005</v>
      </c>
      <c r="T33" s="61">
        <v>0.0101</v>
      </c>
      <c r="U33" s="61">
        <v>0.0047</v>
      </c>
      <c r="V33" s="61"/>
      <c r="W33" s="61"/>
      <c r="X33" s="61"/>
      <c r="Y33" s="61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>
      <c r="A34" s="63"/>
      <c r="B34" s="59">
        <v>20</v>
      </c>
      <c r="C34" s="60"/>
      <c r="D34" s="60"/>
      <c r="E34" s="60"/>
      <c r="F34" s="60"/>
      <c r="G34" s="60"/>
      <c r="H34" s="60"/>
      <c r="I34" s="60" t="s">
        <v>31</v>
      </c>
      <c r="J34" s="61">
        <v>0.0029</v>
      </c>
      <c r="K34" s="61">
        <v>0.0022</v>
      </c>
      <c r="L34" s="61">
        <v>0.0035</v>
      </c>
      <c r="M34" s="61">
        <v>-0.0039</v>
      </c>
      <c r="N34" s="61">
        <v>-0.0008</v>
      </c>
      <c r="O34" s="61">
        <v>0.0061</v>
      </c>
      <c r="P34" s="61">
        <v>0.0029</v>
      </c>
      <c r="Q34" s="61">
        <v>0.0027</v>
      </c>
      <c r="R34" s="61">
        <v>0.006</v>
      </c>
      <c r="S34" s="61">
        <v>0.001</v>
      </c>
      <c r="T34" s="61">
        <v>0.0033</v>
      </c>
      <c r="U34" s="61">
        <v>0.0027</v>
      </c>
      <c r="V34" s="61"/>
      <c r="W34" s="61"/>
      <c r="X34" s="61"/>
      <c r="Y34" s="61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>
      <c r="A35" s="63"/>
      <c r="B35" s="59">
        <v>21</v>
      </c>
      <c r="C35" s="60"/>
      <c r="D35" s="60"/>
      <c r="E35" s="60"/>
      <c r="F35" s="60"/>
      <c r="G35" s="60"/>
      <c r="H35" s="60"/>
      <c r="I35" s="60" t="s">
        <v>31</v>
      </c>
      <c r="J35" s="61">
        <v>0.0034</v>
      </c>
      <c r="K35" s="61">
        <v>0.0022</v>
      </c>
      <c r="L35" s="61">
        <v>-0.0005</v>
      </c>
      <c r="M35" s="61">
        <v>-0.0068</v>
      </c>
      <c r="N35" s="61">
        <v>-0.0013</v>
      </c>
      <c r="O35" s="61">
        <v>-0.0001</v>
      </c>
      <c r="P35" s="61">
        <v>0.003</v>
      </c>
      <c r="Q35" s="61">
        <v>-0.0016</v>
      </c>
      <c r="R35" s="61">
        <v>0.0028</v>
      </c>
      <c r="S35" s="61">
        <v>0.0034</v>
      </c>
      <c r="T35" s="61">
        <v>0.0058</v>
      </c>
      <c r="U35" s="61">
        <v>0.0013</v>
      </c>
      <c r="V35" s="61"/>
      <c r="W35" s="61"/>
      <c r="X35" s="61"/>
      <c r="Y35" s="61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>
      <c r="A36" s="63"/>
      <c r="B36" s="59" t="s">
        <v>39</v>
      </c>
      <c r="C36" s="60" t="s">
        <v>40</v>
      </c>
      <c r="D36" s="60">
        <v>0</v>
      </c>
      <c r="E36" s="60">
        <v>0.04</v>
      </c>
      <c r="F36" s="60">
        <v>0</v>
      </c>
      <c r="G36" s="60">
        <f>D36+E36</f>
        <v>0.04</v>
      </c>
      <c r="H36" s="60">
        <f>D36+F36</f>
        <v>0</v>
      </c>
      <c r="I36" s="60" t="s">
        <v>31</v>
      </c>
      <c r="J36" s="61">
        <v>0.0023</v>
      </c>
      <c r="K36" s="61">
        <v>0.0014</v>
      </c>
      <c r="L36" s="61">
        <v>0.0013</v>
      </c>
      <c r="M36" s="61">
        <v>0.0017</v>
      </c>
      <c r="N36" s="61">
        <v>0.0033</v>
      </c>
      <c r="O36" s="61">
        <v>0.0021</v>
      </c>
      <c r="P36" s="61">
        <v>0.0027</v>
      </c>
      <c r="Q36" s="61">
        <v>0.0033</v>
      </c>
      <c r="R36" s="61">
        <v>0.0023</v>
      </c>
      <c r="S36" s="61">
        <v>0.0016</v>
      </c>
      <c r="T36" s="61">
        <v>0.0018</v>
      </c>
      <c r="U36" s="61">
        <v>0.002</v>
      </c>
      <c r="V36" s="61"/>
      <c r="W36" s="61"/>
      <c r="X36" s="61"/>
      <c r="Y36" s="61"/>
      <c r="Z36" s="62" t="str">
        <f t="shared" ref="Z36:AO36" si="9">IF(J36="","",IF(J36&gt;($D36+$E36),(J36-$D36-$E36),IF(J36&lt;($D36+$F36),(J36-$D36-$F36),"√")))</f>
        <v>√</v>
      </c>
      <c r="AA36" s="62" t="str">
        <f t="shared" si="9"/>
        <v>√</v>
      </c>
      <c r="AB36" s="62" t="str">
        <f t="shared" si="9"/>
        <v>√</v>
      </c>
      <c r="AC36" s="62" t="str">
        <f t="shared" si="9"/>
        <v>√</v>
      </c>
      <c r="AD36" s="62" t="str">
        <f t="shared" si="9"/>
        <v>√</v>
      </c>
      <c r="AE36" s="62" t="str">
        <f t="shared" si="9"/>
        <v>√</v>
      </c>
      <c r="AF36" s="62" t="str">
        <f t="shared" si="9"/>
        <v>√</v>
      </c>
      <c r="AG36" s="62" t="str">
        <f t="shared" si="9"/>
        <v>√</v>
      </c>
      <c r="AH36" s="62" t="str">
        <f t="shared" si="9"/>
        <v>√</v>
      </c>
      <c r="AI36" s="62" t="str">
        <f t="shared" si="9"/>
        <v>√</v>
      </c>
      <c r="AJ36" s="62" t="str">
        <f t="shared" si="9"/>
        <v>√</v>
      </c>
      <c r="AK36" s="62" t="str">
        <f t="shared" si="9"/>
        <v>√</v>
      </c>
      <c r="AL36" s="62" t="str">
        <f t="shared" si="9"/>
        <v/>
      </c>
      <c r="AM36" s="62" t="str">
        <f t="shared" si="9"/>
        <v/>
      </c>
      <c r="AN36" s="62" t="str">
        <f t="shared" si="9"/>
        <v/>
      </c>
      <c r="AO36" s="62" t="str">
        <f t="shared" si="9"/>
        <v/>
      </c>
    </row>
    <row r="37" spans="1:41">
      <c r="A37" s="63"/>
      <c r="B37" s="59">
        <v>1</v>
      </c>
      <c r="C37" s="60"/>
      <c r="D37" s="60"/>
      <c r="E37" s="60"/>
      <c r="F37" s="60"/>
      <c r="G37" s="60"/>
      <c r="H37" s="60"/>
      <c r="I37" s="60" t="s">
        <v>31</v>
      </c>
      <c r="J37" s="61">
        <v>0.0002</v>
      </c>
      <c r="K37" s="61">
        <v>0.0006</v>
      </c>
      <c r="L37" s="61">
        <v>0.0007</v>
      </c>
      <c r="M37" s="61">
        <v>-0.0008</v>
      </c>
      <c r="N37" s="61">
        <v>0.0007</v>
      </c>
      <c r="O37" s="61">
        <v>0.001</v>
      </c>
      <c r="P37" s="61">
        <v>0.0013</v>
      </c>
      <c r="Q37" s="61">
        <v>0.0017</v>
      </c>
      <c r="R37" s="61">
        <v>0.0012</v>
      </c>
      <c r="S37" s="61">
        <v>-0.0005</v>
      </c>
      <c r="T37" s="61">
        <v>-0.0006</v>
      </c>
      <c r="U37" s="61">
        <v>0.0002</v>
      </c>
      <c r="V37" s="61"/>
      <c r="W37" s="61"/>
      <c r="X37" s="61"/>
      <c r="Y37" s="61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>
      <c r="A38" s="63"/>
      <c r="B38" s="59">
        <v>2</v>
      </c>
      <c r="C38" s="60"/>
      <c r="D38" s="60"/>
      <c r="E38" s="60"/>
      <c r="F38" s="60"/>
      <c r="G38" s="60"/>
      <c r="H38" s="60"/>
      <c r="I38" s="60" t="s">
        <v>31</v>
      </c>
      <c r="J38" s="61">
        <v>0.001</v>
      </c>
      <c r="K38" s="61">
        <v>0.0007</v>
      </c>
      <c r="L38" s="61">
        <v>0.0004</v>
      </c>
      <c r="M38" s="61">
        <v>0</v>
      </c>
      <c r="N38" s="61">
        <v>0.0017</v>
      </c>
      <c r="O38" s="61">
        <v>0.0006</v>
      </c>
      <c r="P38" s="61">
        <v>-0.0013</v>
      </c>
      <c r="Q38" s="61">
        <v>0.0014</v>
      </c>
      <c r="R38" s="61">
        <v>-0.0012</v>
      </c>
      <c r="S38" s="61">
        <v>-0.0008</v>
      </c>
      <c r="T38" s="61">
        <v>0.0001</v>
      </c>
      <c r="U38" s="61">
        <v>0.001</v>
      </c>
      <c r="V38" s="61"/>
      <c r="W38" s="61"/>
      <c r="X38" s="61"/>
      <c r="Y38" s="61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>
      <c r="A39" s="63"/>
      <c r="B39" s="59">
        <v>3</v>
      </c>
      <c r="C39" s="60"/>
      <c r="D39" s="60"/>
      <c r="E39" s="60"/>
      <c r="F39" s="60"/>
      <c r="G39" s="60"/>
      <c r="H39" s="60"/>
      <c r="I39" s="60" t="s">
        <v>31</v>
      </c>
      <c r="J39" s="61">
        <v>-0.0012</v>
      </c>
      <c r="K39" s="61">
        <v>-0.0007</v>
      </c>
      <c r="L39" s="61">
        <v>-0.0007</v>
      </c>
      <c r="M39" s="61">
        <v>-0.0004</v>
      </c>
      <c r="N39" s="61">
        <v>0.0012</v>
      </c>
      <c r="O39" s="61">
        <v>-0.001</v>
      </c>
      <c r="P39" s="61">
        <v>-0.0003</v>
      </c>
      <c r="Q39" s="61">
        <v>-0.0007</v>
      </c>
      <c r="R39" s="61">
        <v>0.0003</v>
      </c>
      <c r="S39" s="61">
        <v>-0.0001</v>
      </c>
      <c r="T39" s="61">
        <v>0.0009</v>
      </c>
      <c r="U39" s="61">
        <v>-0.0006</v>
      </c>
      <c r="V39" s="61"/>
      <c r="W39" s="61"/>
      <c r="X39" s="61"/>
      <c r="Y39" s="61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>
      <c r="A40" s="63"/>
      <c r="B40" s="59">
        <v>4</v>
      </c>
      <c r="C40" s="60"/>
      <c r="D40" s="60"/>
      <c r="E40" s="60"/>
      <c r="F40" s="60"/>
      <c r="G40" s="60"/>
      <c r="H40" s="60"/>
      <c r="I40" s="60" t="s">
        <v>31</v>
      </c>
      <c r="J40" s="61">
        <v>0.0012</v>
      </c>
      <c r="K40" s="61">
        <v>0.0007</v>
      </c>
      <c r="L40" s="61">
        <v>-0.0005</v>
      </c>
      <c r="M40" s="61">
        <v>0.0008</v>
      </c>
      <c r="N40" s="61">
        <v>-0.0017</v>
      </c>
      <c r="O40" s="61">
        <v>-0.0001</v>
      </c>
      <c r="P40" s="61">
        <v>-0.0003</v>
      </c>
      <c r="Q40" s="61">
        <v>-0.0017</v>
      </c>
      <c r="R40" s="61">
        <v>-0.0007</v>
      </c>
      <c r="S40" s="61">
        <v>0.0008</v>
      </c>
      <c r="T40" s="61">
        <v>-0.0009</v>
      </c>
      <c r="U40" s="61">
        <v>-0.001</v>
      </c>
      <c r="V40" s="61"/>
      <c r="W40" s="61"/>
      <c r="X40" s="61"/>
      <c r="Y40" s="61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>
      <c r="A41" s="63"/>
      <c r="B41" s="59" t="s">
        <v>41</v>
      </c>
      <c r="C41" s="60" t="s">
        <v>40</v>
      </c>
      <c r="D41" s="60">
        <v>0</v>
      </c>
      <c r="E41" s="60">
        <v>0.04</v>
      </c>
      <c r="F41" s="60">
        <v>0</v>
      </c>
      <c r="G41" s="60">
        <f>D41+E41</f>
        <v>0.04</v>
      </c>
      <c r="H41" s="60">
        <f>D41+F41</f>
        <v>0</v>
      </c>
      <c r="I41" s="60" t="s">
        <v>31</v>
      </c>
      <c r="J41" s="61">
        <v>0.0044</v>
      </c>
      <c r="K41" s="61">
        <v>0.0011</v>
      </c>
      <c r="L41" s="61">
        <v>0.0033</v>
      </c>
      <c r="M41" s="61">
        <v>0.0037</v>
      </c>
      <c r="N41" s="61">
        <v>0.0068</v>
      </c>
      <c r="O41" s="61">
        <v>0.0016</v>
      </c>
      <c r="P41" s="61">
        <v>0.0017</v>
      </c>
      <c r="Q41" s="61">
        <v>0.0024</v>
      </c>
      <c r="R41" s="61">
        <v>0.0029</v>
      </c>
      <c r="S41" s="61">
        <v>0.0013</v>
      </c>
      <c r="T41" s="61">
        <v>0.0008</v>
      </c>
      <c r="U41" s="61">
        <v>0.0016</v>
      </c>
      <c r="V41" s="61"/>
      <c r="W41" s="61"/>
      <c r="X41" s="61"/>
      <c r="Y41" s="61"/>
      <c r="Z41" s="62" t="str">
        <f t="shared" ref="Z41:AO41" si="10">IF(J41="","",IF(J41&gt;($D41+$E41),(J41-$D41-$E41),IF(J41&lt;($D41+$F41),(J41-$D41-$F41),"√")))</f>
        <v>√</v>
      </c>
      <c r="AA41" s="62" t="str">
        <f t="shared" si="10"/>
        <v>√</v>
      </c>
      <c r="AB41" s="62" t="str">
        <f t="shared" si="10"/>
        <v>√</v>
      </c>
      <c r="AC41" s="62" t="str">
        <f t="shared" si="10"/>
        <v>√</v>
      </c>
      <c r="AD41" s="62" t="str">
        <f t="shared" si="10"/>
        <v>√</v>
      </c>
      <c r="AE41" s="62" t="str">
        <f t="shared" si="10"/>
        <v>√</v>
      </c>
      <c r="AF41" s="62" t="str">
        <f t="shared" si="10"/>
        <v>√</v>
      </c>
      <c r="AG41" s="62" t="str">
        <f t="shared" si="10"/>
        <v>√</v>
      </c>
      <c r="AH41" s="62" t="str">
        <f t="shared" si="10"/>
        <v>√</v>
      </c>
      <c r="AI41" s="62" t="str">
        <f t="shared" si="10"/>
        <v>√</v>
      </c>
      <c r="AJ41" s="62" t="str">
        <f t="shared" si="10"/>
        <v>√</v>
      </c>
      <c r="AK41" s="62" t="str">
        <f t="shared" si="10"/>
        <v>√</v>
      </c>
      <c r="AL41" s="62" t="str">
        <f t="shared" si="10"/>
        <v/>
      </c>
      <c r="AM41" s="62" t="str">
        <f t="shared" si="10"/>
        <v/>
      </c>
      <c r="AN41" s="62" t="str">
        <f t="shared" si="10"/>
        <v/>
      </c>
      <c r="AO41" s="62" t="str">
        <f t="shared" si="10"/>
        <v/>
      </c>
    </row>
    <row r="42" spans="1:41">
      <c r="A42" s="63"/>
      <c r="B42" s="59">
        <v>1</v>
      </c>
      <c r="C42" s="60"/>
      <c r="D42" s="60"/>
      <c r="E42" s="60"/>
      <c r="F42" s="60"/>
      <c r="G42" s="60"/>
      <c r="H42" s="60"/>
      <c r="I42" s="60" t="s">
        <v>31</v>
      </c>
      <c r="J42" s="61">
        <v>0.0001</v>
      </c>
      <c r="K42" s="61">
        <v>0.0005</v>
      </c>
      <c r="L42" s="61">
        <v>0.0016</v>
      </c>
      <c r="M42" s="61">
        <v>0.0018</v>
      </c>
      <c r="N42" s="61">
        <v>0.0034</v>
      </c>
      <c r="O42" s="61">
        <v>-0.0008</v>
      </c>
      <c r="P42" s="61">
        <v>0</v>
      </c>
      <c r="Q42" s="61">
        <v>0.0012</v>
      </c>
      <c r="R42" s="61">
        <v>-0.0014</v>
      </c>
      <c r="S42" s="61">
        <v>0.0007</v>
      </c>
      <c r="T42" s="61">
        <v>0.0004</v>
      </c>
      <c r="U42" s="61">
        <v>0.0001</v>
      </c>
      <c r="V42" s="61"/>
      <c r="W42" s="61"/>
      <c r="X42" s="61"/>
      <c r="Y42" s="61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>
      <c r="A43" s="63"/>
      <c r="B43" s="59">
        <v>2</v>
      </c>
      <c r="C43" s="60"/>
      <c r="D43" s="60"/>
      <c r="E43" s="60"/>
      <c r="F43" s="60"/>
      <c r="G43" s="60"/>
      <c r="H43" s="60"/>
      <c r="I43" s="60" t="s">
        <v>31</v>
      </c>
      <c r="J43" s="61">
        <v>0.0022</v>
      </c>
      <c r="K43" s="61">
        <v>0.0006</v>
      </c>
      <c r="L43" s="61">
        <v>0.0007</v>
      </c>
      <c r="M43" s="61">
        <v>0.0008</v>
      </c>
      <c r="N43" s="61">
        <v>0.002</v>
      </c>
      <c r="O43" s="61">
        <v>0.0008</v>
      </c>
      <c r="P43" s="61">
        <v>-0.0007</v>
      </c>
      <c r="Q43" s="61">
        <v>0.0001</v>
      </c>
      <c r="R43" s="61">
        <v>-0.0014</v>
      </c>
      <c r="S43" s="61">
        <v>-0.0002</v>
      </c>
      <c r="T43" s="61">
        <v>0.0001</v>
      </c>
      <c r="U43" s="61">
        <v>0.0008</v>
      </c>
      <c r="V43" s="61"/>
      <c r="W43" s="61"/>
      <c r="X43" s="61"/>
      <c r="Y43" s="61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>
      <c r="A44" s="63"/>
      <c r="B44" s="59">
        <v>3</v>
      </c>
      <c r="C44" s="60"/>
      <c r="D44" s="60"/>
      <c r="E44" s="60"/>
      <c r="F44" s="60"/>
      <c r="G44" s="60"/>
      <c r="H44" s="60"/>
      <c r="I44" s="60" t="s">
        <v>31</v>
      </c>
      <c r="J44" s="61">
        <v>-0.0022</v>
      </c>
      <c r="K44" s="61">
        <v>-0.0006</v>
      </c>
      <c r="L44" s="61">
        <v>-0.0016</v>
      </c>
      <c r="M44" s="61">
        <v>-0.0013</v>
      </c>
      <c r="N44" s="61">
        <v>-0.003</v>
      </c>
      <c r="O44" s="61">
        <v>0.0003</v>
      </c>
      <c r="P44" s="61">
        <v>-0.0008</v>
      </c>
      <c r="Q44" s="61">
        <v>-0.0012</v>
      </c>
      <c r="R44" s="61">
        <v>0.0001</v>
      </c>
      <c r="S44" s="61">
        <v>-0.0007</v>
      </c>
      <c r="T44" s="61">
        <v>0.0003</v>
      </c>
      <c r="U44" s="61">
        <v>-0.0008</v>
      </c>
      <c r="V44" s="61"/>
      <c r="W44" s="61"/>
      <c r="X44" s="61"/>
      <c r="Y44" s="61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>
      <c r="A45" s="63"/>
      <c r="B45" s="59">
        <v>4</v>
      </c>
      <c r="C45" s="60"/>
      <c r="D45" s="60"/>
      <c r="E45" s="60"/>
      <c r="F45" s="60"/>
      <c r="G45" s="60"/>
      <c r="H45" s="60"/>
      <c r="I45" s="60" t="s">
        <v>31</v>
      </c>
      <c r="J45" s="61">
        <v>-0.0018</v>
      </c>
      <c r="K45" s="61">
        <v>-0.0004</v>
      </c>
      <c r="L45" s="61">
        <v>-0.0001</v>
      </c>
      <c r="M45" s="61">
        <v>-0.0018</v>
      </c>
      <c r="N45" s="61">
        <v>-0.0034</v>
      </c>
      <c r="O45" s="61">
        <v>-0.0001</v>
      </c>
      <c r="P45" s="61">
        <v>0.0008</v>
      </c>
      <c r="Q45" s="61">
        <v>0.0004</v>
      </c>
      <c r="R45" s="61">
        <v>0.0014</v>
      </c>
      <c r="S45" s="61">
        <v>0.0002</v>
      </c>
      <c r="T45" s="61">
        <v>-0.0004</v>
      </c>
      <c r="U45" s="61">
        <v>0.0006</v>
      </c>
      <c r="V45" s="61"/>
      <c r="W45" s="61"/>
      <c r="X45" s="61"/>
      <c r="Y45" s="61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>
      <c r="A46" s="63"/>
      <c r="B46" s="59" t="s">
        <v>42</v>
      </c>
      <c r="C46" s="60"/>
      <c r="D46" s="60">
        <v>0.7</v>
      </c>
      <c r="E46" s="60">
        <v>0.05</v>
      </c>
      <c r="F46" s="60">
        <v>-0.05</v>
      </c>
      <c r="G46" s="60">
        <f t="shared" ref="G46:G50" si="11">D46+E46</f>
        <v>0.75</v>
      </c>
      <c r="H46" s="60">
        <f t="shared" ref="H46:H50" si="12">D46+F46</f>
        <v>0.65</v>
      </c>
      <c r="I46" s="60" t="s">
        <v>31</v>
      </c>
      <c r="J46" s="61">
        <v>0.7001</v>
      </c>
      <c r="K46" s="61">
        <v>0.7025</v>
      </c>
      <c r="L46" s="61">
        <v>0.703</v>
      </c>
      <c r="M46" s="61">
        <v>0.6884</v>
      </c>
      <c r="N46" s="61">
        <v>0.6968</v>
      </c>
      <c r="O46" s="61">
        <v>0.7012</v>
      </c>
      <c r="P46" s="61">
        <v>0.7034</v>
      </c>
      <c r="Q46" s="61">
        <v>0.701</v>
      </c>
      <c r="R46" s="61">
        <v>0.7027</v>
      </c>
      <c r="S46" s="61">
        <v>0.6998</v>
      </c>
      <c r="T46" s="61">
        <v>0.7044</v>
      </c>
      <c r="U46" s="61">
        <v>0.7003</v>
      </c>
      <c r="V46" s="61"/>
      <c r="W46" s="61"/>
      <c r="X46" s="61"/>
      <c r="Y46" s="61"/>
      <c r="Z46" s="62" t="str">
        <f t="shared" ref="Z46:AO46" si="13">IF(J46="","",IF(J46&gt;($D46+$E46),(J46-$D46-$E46),IF(J46&lt;($D46+$F46),(J46-$D46-$F46),"√")))</f>
        <v>√</v>
      </c>
      <c r="AA46" s="62" t="str">
        <f t="shared" si="13"/>
        <v>√</v>
      </c>
      <c r="AB46" s="62" t="str">
        <f t="shared" si="13"/>
        <v>√</v>
      </c>
      <c r="AC46" s="62" t="str">
        <f t="shared" si="13"/>
        <v>√</v>
      </c>
      <c r="AD46" s="62" t="str">
        <f t="shared" si="13"/>
        <v>√</v>
      </c>
      <c r="AE46" s="62" t="str">
        <f t="shared" si="13"/>
        <v>√</v>
      </c>
      <c r="AF46" s="62" t="str">
        <f t="shared" si="13"/>
        <v>√</v>
      </c>
      <c r="AG46" s="62" t="str">
        <f t="shared" si="13"/>
        <v>√</v>
      </c>
      <c r="AH46" s="62" t="str">
        <f t="shared" si="13"/>
        <v>√</v>
      </c>
      <c r="AI46" s="62" t="str">
        <f t="shared" si="13"/>
        <v>√</v>
      </c>
      <c r="AJ46" s="62" t="str">
        <f t="shared" si="13"/>
        <v>√</v>
      </c>
      <c r="AK46" s="62" t="str">
        <f t="shared" si="13"/>
        <v>√</v>
      </c>
      <c r="AL46" s="62" t="str">
        <f t="shared" si="13"/>
        <v/>
      </c>
      <c r="AM46" s="62" t="str">
        <f t="shared" si="13"/>
        <v/>
      </c>
      <c r="AN46" s="62" t="str">
        <f t="shared" si="13"/>
        <v/>
      </c>
      <c r="AO46" s="62" t="str">
        <f t="shared" si="13"/>
        <v/>
      </c>
    </row>
    <row r="47" spans="1:41">
      <c r="A47" s="63"/>
      <c r="B47" s="59" t="s">
        <v>43</v>
      </c>
      <c r="C47" s="60"/>
      <c r="D47" s="60">
        <v>0.7</v>
      </c>
      <c r="E47" s="60">
        <v>0.05</v>
      </c>
      <c r="F47" s="60">
        <v>-0.05</v>
      </c>
      <c r="G47" s="60">
        <f t="shared" si="11"/>
        <v>0.75</v>
      </c>
      <c r="H47" s="60">
        <f t="shared" si="12"/>
        <v>0.65</v>
      </c>
      <c r="I47" s="60" t="s">
        <v>31</v>
      </c>
      <c r="J47" s="61">
        <v>0.7052</v>
      </c>
      <c r="K47" s="61">
        <v>0.7018</v>
      </c>
      <c r="L47" s="61">
        <v>0.7038</v>
      </c>
      <c r="M47" s="61">
        <v>0.6981</v>
      </c>
      <c r="N47" s="61">
        <v>0.7074</v>
      </c>
      <c r="O47" s="61">
        <v>0.7024</v>
      </c>
      <c r="P47" s="61">
        <v>0.7021</v>
      </c>
      <c r="Q47" s="61">
        <v>0.7019</v>
      </c>
      <c r="R47" s="61">
        <v>0.7017</v>
      </c>
      <c r="S47" s="61">
        <v>0.7029</v>
      </c>
      <c r="T47" s="61">
        <v>0.7062</v>
      </c>
      <c r="U47" s="61">
        <v>0.7012</v>
      </c>
      <c r="V47" s="61"/>
      <c r="W47" s="61"/>
      <c r="X47" s="61"/>
      <c r="Y47" s="61"/>
      <c r="Z47" s="62" t="str">
        <f t="shared" ref="Z47:AO47" si="14">IF(J47="","",IF(J47&gt;($D47+$E47),(J47-$D47-$E47),IF(J47&lt;($D47+$F47),(J47-$D47-$F47),"√")))</f>
        <v>√</v>
      </c>
      <c r="AA47" s="62" t="str">
        <f t="shared" si="14"/>
        <v>√</v>
      </c>
      <c r="AB47" s="62" t="str">
        <f t="shared" si="14"/>
        <v>√</v>
      </c>
      <c r="AC47" s="62" t="str">
        <f t="shared" si="14"/>
        <v>√</v>
      </c>
      <c r="AD47" s="62" t="str">
        <f t="shared" si="14"/>
        <v>√</v>
      </c>
      <c r="AE47" s="62" t="str">
        <f t="shared" si="14"/>
        <v>√</v>
      </c>
      <c r="AF47" s="62" t="str">
        <f t="shared" si="14"/>
        <v>√</v>
      </c>
      <c r="AG47" s="62" t="str">
        <f t="shared" si="14"/>
        <v>√</v>
      </c>
      <c r="AH47" s="62" t="str">
        <f t="shared" si="14"/>
        <v>√</v>
      </c>
      <c r="AI47" s="62" t="str">
        <f t="shared" si="14"/>
        <v>√</v>
      </c>
      <c r="AJ47" s="62" t="str">
        <f t="shared" si="14"/>
        <v>√</v>
      </c>
      <c r="AK47" s="62" t="str">
        <f t="shared" si="14"/>
        <v>√</v>
      </c>
      <c r="AL47" s="62" t="str">
        <f t="shared" si="14"/>
        <v/>
      </c>
      <c r="AM47" s="62" t="str">
        <f t="shared" si="14"/>
        <v/>
      </c>
      <c r="AN47" s="62" t="str">
        <f t="shared" si="14"/>
        <v/>
      </c>
      <c r="AO47" s="62" t="str">
        <f t="shared" si="14"/>
        <v/>
      </c>
    </row>
    <row r="48" spans="1:41">
      <c r="A48" s="63"/>
      <c r="B48" s="59" t="s">
        <v>44</v>
      </c>
      <c r="C48" s="60"/>
      <c r="D48" s="60">
        <v>0.7</v>
      </c>
      <c r="E48" s="60">
        <v>0.05</v>
      </c>
      <c r="F48" s="60">
        <v>-0.05</v>
      </c>
      <c r="G48" s="60">
        <f t="shared" si="11"/>
        <v>0.75</v>
      </c>
      <c r="H48" s="60">
        <f t="shared" si="12"/>
        <v>0.65</v>
      </c>
      <c r="I48" s="60" t="s">
        <v>31</v>
      </c>
      <c r="J48" s="61">
        <v>0.7072</v>
      </c>
      <c r="K48" s="61">
        <v>0.7045</v>
      </c>
      <c r="L48" s="61">
        <v>0.7036</v>
      </c>
      <c r="M48" s="61">
        <v>0.702</v>
      </c>
      <c r="N48" s="61">
        <v>0.7005</v>
      </c>
      <c r="O48" s="61">
        <v>0.7057</v>
      </c>
      <c r="P48" s="61">
        <v>0.7072</v>
      </c>
      <c r="Q48" s="61">
        <v>0.7032</v>
      </c>
      <c r="R48" s="61">
        <v>0.7074</v>
      </c>
      <c r="S48" s="61">
        <v>0.7038</v>
      </c>
      <c r="T48" s="61">
        <v>0.7062</v>
      </c>
      <c r="U48" s="61">
        <v>0.707</v>
      </c>
      <c r="V48" s="61"/>
      <c r="W48" s="61"/>
      <c r="X48" s="61"/>
      <c r="Y48" s="61"/>
      <c r="Z48" s="62" t="str">
        <f t="shared" ref="Z48:AO48" si="15">IF(J48="","",IF(J48&gt;($D48+$E48),(J48-$D48-$E48),IF(J48&lt;($D48+$F48),(J48-$D48-$F48),"√")))</f>
        <v>√</v>
      </c>
      <c r="AA48" s="62" t="str">
        <f t="shared" si="15"/>
        <v>√</v>
      </c>
      <c r="AB48" s="62" t="str">
        <f t="shared" si="15"/>
        <v>√</v>
      </c>
      <c r="AC48" s="62" t="str">
        <f t="shared" si="15"/>
        <v>√</v>
      </c>
      <c r="AD48" s="62" t="str">
        <f t="shared" si="15"/>
        <v>√</v>
      </c>
      <c r="AE48" s="62" t="str">
        <f t="shared" si="15"/>
        <v>√</v>
      </c>
      <c r="AF48" s="62" t="str">
        <f t="shared" si="15"/>
        <v>√</v>
      </c>
      <c r="AG48" s="62" t="str">
        <f t="shared" si="15"/>
        <v>√</v>
      </c>
      <c r="AH48" s="62" t="str">
        <f t="shared" si="15"/>
        <v>√</v>
      </c>
      <c r="AI48" s="62" t="str">
        <f t="shared" si="15"/>
        <v>√</v>
      </c>
      <c r="AJ48" s="62" t="str">
        <f t="shared" si="15"/>
        <v>√</v>
      </c>
      <c r="AK48" s="62" t="str">
        <f t="shared" si="15"/>
        <v>√</v>
      </c>
      <c r="AL48" s="62" t="str">
        <f t="shared" si="15"/>
        <v/>
      </c>
      <c r="AM48" s="62" t="str">
        <f t="shared" si="15"/>
        <v/>
      </c>
      <c r="AN48" s="62" t="str">
        <f t="shared" si="15"/>
        <v/>
      </c>
      <c r="AO48" s="62" t="str">
        <f t="shared" si="15"/>
        <v/>
      </c>
    </row>
    <row r="49" spans="1:41">
      <c r="A49" s="63"/>
      <c r="B49" s="59" t="s">
        <v>45</v>
      </c>
      <c r="C49" s="60"/>
      <c r="D49" s="60">
        <v>0.965</v>
      </c>
      <c r="E49" s="60">
        <v>0.015</v>
      </c>
      <c r="F49" s="60">
        <v>-0.015</v>
      </c>
      <c r="G49" s="60">
        <f t="shared" si="11"/>
        <v>0.98</v>
      </c>
      <c r="H49" s="60">
        <f t="shared" si="12"/>
        <v>0.95</v>
      </c>
      <c r="I49" s="60" t="s">
        <v>31</v>
      </c>
      <c r="J49" s="61">
        <v>0.9732</v>
      </c>
      <c r="K49" s="61">
        <v>0.972</v>
      </c>
      <c r="L49" s="61">
        <v>0.9739</v>
      </c>
      <c r="M49" s="61">
        <v>0.9788</v>
      </c>
      <c r="N49" s="61">
        <v>0.9743</v>
      </c>
      <c r="O49" s="61">
        <v>0.9744</v>
      </c>
      <c r="P49" s="61">
        <v>0.9761</v>
      </c>
      <c r="Q49" s="61">
        <v>0.9783</v>
      </c>
      <c r="R49" s="61">
        <v>0.9744</v>
      </c>
      <c r="S49" s="61">
        <v>0.9761</v>
      </c>
      <c r="T49" s="61">
        <v>0.9726</v>
      </c>
      <c r="U49" s="61">
        <v>0.9779</v>
      </c>
      <c r="V49" s="61"/>
      <c r="W49" s="61"/>
      <c r="X49" s="61"/>
      <c r="Y49" s="61"/>
      <c r="Z49" s="62" t="str">
        <f t="shared" ref="Z49:AO49" si="16">IF(J49="","",IF(J49&gt;($D49+$E49),(J49-$D49-$E49),IF(J49&lt;($D49+$F49),(J49-$D49-$F49),"√")))</f>
        <v>√</v>
      </c>
      <c r="AA49" s="62" t="str">
        <f t="shared" si="16"/>
        <v>√</v>
      </c>
      <c r="AB49" s="62" t="str">
        <f t="shared" si="16"/>
        <v>√</v>
      </c>
      <c r="AC49" s="62" t="str">
        <f t="shared" si="16"/>
        <v>√</v>
      </c>
      <c r="AD49" s="62" t="str">
        <f t="shared" si="16"/>
        <v>√</v>
      </c>
      <c r="AE49" s="62" t="str">
        <f t="shared" si="16"/>
        <v>√</v>
      </c>
      <c r="AF49" s="62" t="str">
        <f t="shared" si="16"/>
        <v>√</v>
      </c>
      <c r="AG49" s="62" t="str">
        <f t="shared" si="16"/>
        <v>√</v>
      </c>
      <c r="AH49" s="62" t="str">
        <f t="shared" si="16"/>
        <v>√</v>
      </c>
      <c r="AI49" s="62" t="str">
        <f t="shared" si="16"/>
        <v>√</v>
      </c>
      <c r="AJ49" s="62" t="str">
        <f t="shared" si="16"/>
        <v>√</v>
      </c>
      <c r="AK49" s="62" t="str">
        <f t="shared" si="16"/>
        <v>√</v>
      </c>
      <c r="AL49" s="62" t="str">
        <f t="shared" si="16"/>
        <v/>
      </c>
      <c r="AM49" s="62" t="str">
        <f t="shared" si="16"/>
        <v/>
      </c>
      <c r="AN49" s="62" t="str">
        <f t="shared" si="16"/>
        <v/>
      </c>
      <c r="AO49" s="62" t="str">
        <f t="shared" si="16"/>
        <v/>
      </c>
    </row>
    <row r="50" spans="1:41">
      <c r="A50" s="63"/>
      <c r="B50" s="59" t="s">
        <v>46</v>
      </c>
      <c r="C50" s="60" t="s">
        <v>47</v>
      </c>
      <c r="D50" s="60">
        <v>0</v>
      </c>
      <c r="E50" s="60">
        <v>0.03</v>
      </c>
      <c r="F50" s="60">
        <v>0</v>
      </c>
      <c r="G50" s="60">
        <f t="shared" si="11"/>
        <v>0.03</v>
      </c>
      <c r="H50" s="60">
        <f t="shared" si="12"/>
        <v>0</v>
      </c>
      <c r="I50" s="60" t="s">
        <v>31</v>
      </c>
      <c r="J50" s="61">
        <v>0.001</v>
      </c>
      <c r="K50" s="61">
        <v>0.0005</v>
      </c>
      <c r="L50" s="61">
        <v>0.0009</v>
      </c>
      <c r="M50" s="61">
        <v>0.0012</v>
      </c>
      <c r="N50" s="61">
        <v>0.0016</v>
      </c>
      <c r="O50" s="61">
        <v>0.0003</v>
      </c>
      <c r="P50" s="61">
        <v>0.0007</v>
      </c>
      <c r="Q50" s="61">
        <v>0.001</v>
      </c>
      <c r="R50" s="61">
        <v>0.0011</v>
      </c>
      <c r="S50" s="61">
        <v>0.0008</v>
      </c>
      <c r="T50" s="61">
        <v>0.0002</v>
      </c>
      <c r="U50" s="61">
        <v>0.0033</v>
      </c>
      <c r="V50" s="61"/>
      <c r="W50" s="61"/>
      <c r="X50" s="61"/>
      <c r="Y50" s="61"/>
      <c r="Z50" s="62" t="str">
        <f t="shared" ref="Z50:AO50" si="17">IF(J50="","",IF(J50&gt;($D50+$E50),(J50-$D50-$E50),IF(J50&lt;($D50+$F50),(J50-$D50-$F50),"√")))</f>
        <v>√</v>
      </c>
      <c r="AA50" s="62" t="str">
        <f t="shared" si="17"/>
        <v>√</v>
      </c>
      <c r="AB50" s="62" t="str">
        <f t="shared" si="17"/>
        <v>√</v>
      </c>
      <c r="AC50" s="62" t="str">
        <f t="shared" si="17"/>
        <v>√</v>
      </c>
      <c r="AD50" s="62" t="str">
        <f t="shared" si="17"/>
        <v>√</v>
      </c>
      <c r="AE50" s="62" t="str">
        <f t="shared" si="17"/>
        <v>√</v>
      </c>
      <c r="AF50" s="62" t="str">
        <f t="shared" si="17"/>
        <v>√</v>
      </c>
      <c r="AG50" s="62" t="str">
        <f t="shared" si="17"/>
        <v>√</v>
      </c>
      <c r="AH50" s="62" t="str">
        <f t="shared" si="17"/>
        <v>√</v>
      </c>
      <c r="AI50" s="62" t="str">
        <f t="shared" si="17"/>
        <v>√</v>
      </c>
      <c r="AJ50" s="62" t="str">
        <f t="shared" si="17"/>
        <v>√</v>
      </c>
      <c r="AK50" s="62" t="str">
        <f t="shared" si="17"/>
        <v>√</v>
      </c>
      <c r="AL50" s="62" t="str">
        <f t="shared" si="17"/>
        <v/>
      </c>
      <c r="AM50" s="62" t="str">
        <f t="shared" si="17"/>
        <v/>
      </c>
      <c r="AN50" s="62" t="str">
        <f t="shared" si="17"/>
        <v/>
      </c>
      <c r="AO50" s="62" t="str">
        <f t="shared" si="17"/>
        <v/>
      </c>
    </row>
    <row r="51" spans="1:41">
      <c r="A51" s="63"/>
      <c r="B51" s="59">
        <v>1</v>
      </c>
      <c r="C51" s="60"/>
      <c r="D51" s="60"/>
      <c r="E51" s="60"/>
      <c r="F51" s="60"/>
      <c r="G51" s="60"/>
      <c r="H51" s="60"/>
      <c r="I51" s="60" t="s">
        <v>31</v>
      </c>
      <c r="J51" s="61">
        <v>-0.0004</v>
      </c>
      <c r="K51" s="61">
        <v>-0.0002</v>
      </c>
      <c r="L51" s="61">
        <v>0.0004</v>
      </c>
      <c r="M51" s="61">
        <v>0.0005</v>
      </c>
      <c r="N51" s="61">
        <v>0.0006</v>
      </c>
      <c r="O51" s="61">
        <v>0.0001</v>
      </c>
      <c r="P51" s="61">
        <v>-0.0003</v>
      </c>
      <c r="Q51" s="61">
        <v>-0.0004</v>
      </c>
      <c r="R51" s="61">
        <v>0.0004</v>
      </c>
      <c r="S51" s="61">
        <v>0.0003</v>
      </c>
      <c r="T51" s="61">
        <v>0.0001</v>
      </c>
      <c r="U51" s="61">
        <v>0.0013</v>
      </c>
      <c r="V51" s="61"/>
      <c r="W51" s="61"/>
      <c r="X51" s="61"/>
      <c r="Y51" s="61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>
      <c r="A52" s="63"/>
      <c r="B52" s="59">
        <v>2</v>
      </c>
      <c r="C52" s="60"/>
      <c r="D52" s="60"/>
      <c r="E52" s="60"/>
      <c r="F52" s="60"/>
      <c r="G52" s="60"/>
      <c r="H52" s="60"/>
      <c r="I52" s="60" t="s">
        <v>31</v>
      </c>
      <c r="J52" s="61">
        <v>0.0004</v>
      </c>
      <c r="K52" s="61">
        <v>0.0002</v>
      </c>
      <c r="L52" s="61">
        <v>-0.0004</v>
      </c>
      <c r="M52" s="61">
        <v>-0.0005</v>
      </c>
      <c r="N52" s="61">
        <v>-0.0006</v>
      </c>
      <c r="O52" s="61">
        <v>-0.0001</v>
      </c>
      <c r="P52" s="61">
        <v>0.0003</v>
      </c>
      <c r="Q52" s="61">
        <v>0.0004</v>
      </c>
      <c r="R52" s="61">
        <v>-0.0004</v>
      </c>
      <c r="S52" s="61">
        <v>-0.0003</v>
      </c>
      <c r="T52" s="61">
        <v>-0.0001</v>
      </c>
      <c r="U52" s="61">
        <v>-0.0013</v>
      </c>
      <c r="V52" s="61"/>
      <c r="W52" s="61"/>
      <c r="X52" s="61"/>
      <c r="Y52" s="61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>
      <c r="A53" s="63"/>
      <c r="B53" s="59">
        <v>3</v>
      </c>
      <c r="C53" s="60"/>
      <c r="D53" s="60"/>
      <c r="E53" s="60"/>
      <c r="F53" s="60"/>
      <c r="G53" s="60"/>
      <c r="H53" s="60"/>
      <c r="I53" s="60" t="s">
        <v>31</v>
      </c>
      <c r="J53" s="61">
        <v>0.0005</v>
      </c>
      <c r="K53" s="61">
        <v>0.0002</v>
      </c>
      <c r="L53" s="61">
        <v>-0.0005</v>
      </c>
      <c r="M53" s="61">
        <v>-0.0006</v>
      </c>
      <c r="N53" s="61">
        <v>-0.0008</v>
      </c>
      <c r="O53" s="61">
        <v>-0.0001</v>
      </c>
      <c r="P53" s="61">
        <v>0.0004</v>
      </c>
      <c r="Q53" s="61">
        <v>0.0005</v>
      </c>
      <c r="R53" s="61">
        <v>-0.0006</v>
      </c>
      <c r="S53" s="61">
        <v>-0.0004</v>
      </c>
      <c r="T53" s="61">
        <v>-0.0001</v>
      </c>
      <c r="U53" s="61">
        <v>-0.0016</v>
      </c>
      <c r="V53" s="61"/>
      <c r="W53" s="61"/>
      <c r="X53" s="61"/>
      <c r="Y53" s="61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>
      <c r="A54" s="63"/>
      <c r="B54" s="59">
        <v>4</v>
      </c>
      <c r="C54" s="60"/>
      <c r="D54" s="60"/>
      <c r="E54" s="60"/>
      <c r="F54" s="60"/>
      <c r="G54" s="60"/>
      <c r="H54" s="60"/>
      <c r="I54" s="60" t="s">
        <v>31</v>
      </c>
      <c r="J54" s="61">
        <v>-0.0005</v>
      </c>
      <c r="K54" s="61">
        <v>-0.0002</v>
      </c>
      <c r="L54" s="61">
        <v>0.0005</v>
      </c>
      <c r="M54" s="61">
        <v>0.0006</v>
      </c>
      <c r="N54" s="61">
        <v>0.0008</v>
      </c>
      <c r="O54" s="61">
        <v>0.0001</v>
      </c>
      <c r="P54" s="61">
        <v>-0.0004</v>
      </c>
      <c r="Q54" s="61">
        <v>-0.0005</v>
      </c>
      <c r="R54" s="61">
        <v>0.0006</v>
      </c>
      <c r="S54" s="61">
        <v>0.0004</v>
      </c>
      <c r="T54" s="61">
        <v>0.0001</v>
      </c>
      <c r="U54" s="61">
        <v>0.0016</v>
      </c>
      <c r="V54" s="61"/>
      <c r="W54" s="61"/>
      <c r="X54" s="61"/>
      <c r="Y54" s="61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>
      <c r="A55" s="63"/>
      <c r="B55" s="59" t="s">
        <v>48</v>
      </c>
      <c r="C55" s="60"/>
      <c r="D55" s="60">
        <v>0</v>
      </c>
      <c r="E55" s="60">
        <v>0.08</v>
      </c>
      <c r="F55" s="60">
        <v>0</v>
      </c>
      <c r="G55" s="60">
        <f>D55+E55</f>
        <v>0.08</v>
      </c>
      <c r="H55" s="60">
        <f>D55+F55</f>
        <v>0</v>
      </c>
      <c r="I55" s="60" t="s">
        <v>31</v>
      </c>
      <c r="J55" s="61">
        <v>0.0086</v>
      </c>
      <c r="K55" s="61">
        <v>0.0113</v>
      </c>
      <c r="L55" s="61">
        <v>0.0094</v>
      </c>
      <c r="M55" s="61">
        <v>0.0131</v>
      </c>
      <c r="N55" s="61">
        <v>0.0075</v>
      </c>
      <c r="O55" s="61">
        <v>0.0115</v>
      </c>
      <c r="P55" s="61">
        <v>0.0053</v>
      </c>
      <c r="Q55" s="61">
        <v>0.0177</v>
      </c>
      <c r="R55" s="61">
        <v>0.0061</v>
      </c>
      <c r="S55" s="61">
        <v>0.0073</v>
      </c>
      <c r="T55" s="61">
        <v>0.011</v>
      </c>
      <c r="U55" s="61">
        <v>0.0072</v>
      </c>
      <c r="V55" s="61"/>
      <c r="W55" s="61"/>
      <c r="X55" s="61"/>
      <c r="Y55" s="61"/>
      <c r="Z55" s="62" t="str">
        <f t="shared" ref="Z55:AO55" si="18">IF(J55="","",IF(J55&gt;($D55+$E55),(J55-$D55-$E55),IF(J55&lt;($D55+$F55),(J55-$D55-$F55),"√")))</f>
        <v>√</v>
      </c>
      <c r="AA55" s="62" t="str">
        <f t="shared" si="18"/>
        <v>√</v>
      </c>
      <c r="AB55" s="62" t="str">
        <f t="shared" si="18"/>
        <v>√</v>
      </c>
      <c r="AC55" s="62" t="str">
        <f t="shared" si="18"/>
        <v>√</v>
      </c>
      <c r="AD55" s="62" t="str">
        <f t="shared" si="18"/>
        <v>√</v>
      </c>
      <c r="AE55" s="62" t="str">
        <f t="shared" si="18"/>
        <v>√</v>
      </c>
      <c r="AF55" s="62" t="str">
        <f t="shared" si="18"/>
        <v>√</v>
      </c>
      <c r="AG55" s="62" t="str">
        <f t="shared" si="18"/>
        <v>√</v>
      </c>
      <c r="AH55" s="62" t="str">
        <f t="shared" si="18"/>
        <v>√</v>
      </c>
      <c r="AI55" s="62" t="str">
        <f t="shared" si="18"/>
        <v>√</v>
      </c>
      <c r="AJ55" s="62" t="str">
        <f t="shared" si="18"/>
        <v>√</v>
      </c>
      <c r="AK55" s="62" t="str">
        <f t="shared" si="18"/>
        <v>√</v>
      </c>
      <c r="AL55" s="62" t="str">
        <f t="shared" si="18"/>
        <v/>
      </c>
      <c r="AM55" s="62" t="str">
        <f t="shared" si="18"/>
        <v/>
      </c>
      <c r="AN55" s="62" t="str">
        <f t="shared" si="18"/>
        <v/>
      </c>
      <c r="AO55" s="62" t="str">
        <f t="shared" si="18"/>
        <v/>
      </c>
    </row>
    <row r="56" spans="1:41">
      <c r="A56" s="63"/>
      <c r="B56" s="59">
        <v>1</v>
      </c>
      <c r="C56" s="60"/>
      <c r="D56" s="60"/>
      <c r="E56" s="60"/>
      <c r="F56" s="60"/>
      <c r="G56" s="60"/>
      <c r="H56" s="60"/>
      <c r="I56" s="60" t="s">
        <v>31</v>
      </c>
      <c r="J56" s="61">
        <v>-0.0003</v>
      </c>
      <c r="K56" s="61">
        <v>0.0015</v>
      </c>
      <c r="L56" s="61">
        <v>0.0004</v>
      </c>
      <c r="M56" s="61">
        <v>-0.0015</v>
      </c>
      <c r="N56" s="61">
        <v>-0.0017</v>
      </c>
      <c r="O56" s="61">
        <v>0.003</v>
      </c>
      <c r="P56" s="61">
        <v>-0.0026</v>
      </c>
      <c r="Q56" s="61">
        <v>-0.0065</v>
      </c>
      <c r="R56" s="61">
        <v>-0.0018</v>
      </c>
      <c r="S56" s="61">
        <v>-0.0015</v>
      </c>
      <c r="T56" s="61">
        <v>-0.0043</v>
      </c>
      <c r="U56" s="61">
        <v>-0.0026</v>
      </c>
      <c r="V56" s="61"/>
      <c r="W56" s="61"/>
      <c r="X56" s="61"/>
      <c r="Y56" s="61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>
      <c r="A57" s="63"/>
      <c r="B57" s="59">
        <v>2</v>
      </c>
      <c r="C57" s="60"/>
      <c r="D57" s="60"/>
      <c r="E57" s="60"/>
      <c r="F57" s="60"/>
      <c r="G57" s="60"/>
      <c r="H57" s="60"/>
      <c r="I57" s="60" t="s">
        <v>31</v>
      </c>
      <c r="J57" s="61">
        <v>-0.0027</v>
      </c>
      <c r="K57" s="61">
        <v>0.0021</v>
      </c>
      <c r="L57" s="61">
        <v>-0.0011</v>
      </c>
      <c r="M57" s="61">
        <v>-0.0026</v>
      </c>
      <c r="N57" s="61">
        <v>-0.0034</v>
      </c>
      <c r="O57" s="61">
        <v>0.0023</v>
      </c>
      <c r="P57" s="61">
        <v>-0.0027</v>
      </c>
      <c r="Q57" s="61">
        <v>-0.0089</v>
      </c>
      <c r="R57" s="61">
        <v>-0.0031</v>
      </c>
      <c r="S57" s="61">
        <v>-0.0037</v>
      </c>
      <c r="T57" s="61">
        <v>-0.0055</v>
      </c>
      <c r="U57" s="61">
        <v>-0.0036</v>
      </c>
      <c r="V57" s="61"/>
      <c r="W57" s="61"/>
      <c r="X57" s="61"/>
      <c r="Y57" s="61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>
      <c r="A58" s="63"/>
      <c r="B58" s="59">
        <v>3</v>
      </c>
      <c r="C58" s="60"/>
      <c r="D58" s="60"/>
      <c r="E58" s="60"/>
      <c r="F58" s="60"/>
      <c r="G58" s="60"/>
      <c r="H58" s="60"/>
      <c r="I58" s="60" t="s">
        <v>31</v>
      </c>
      <c r="J58" s="61">
        <v>0.0043</v>
      </c>
      <c r="K58" s="61">
        <v>0.0056</v>
      </c>
      <c r="L58" s="61">
        <v>0.0041</v>
      </c>
      <c r="M58" s="61">
        <v>0.0064</v>
      </c>
      <c r="N58" s="61">
        <v>0.0031</v>
      </c>
      <c r="O58" s="61">
        <v>0.0058</v>
      </c>
      <c r="P58" s="61">
        <v>-0.0011</v>
      </c>
      <c r="Q58" s="61">
        <v>-0.003</v>
      </c>
      <c r="R58" s="61">
        <v>-0.0009</v>
      </c>
      <c r="S58" s="61">
        <v>-0.0002</v>
      </c>
      <c r="T58" s="61">
        <v>-0.0015</v>
      </c>
      <c r="U58" s="61">
        <v>-0.0011</v>
      </c>
      <c r="V58" s="61"/>
      <c r="W58" s="61"/>
      <c r="X58" s="61"/>
      <c r="Y58" s="61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>
      <c r="A59" s="63"/>
      <c r="B59" s="59">
        <v>4</v>
      </c>
      <c r="C59" s="60"/>
      <c r="D59" s="60"/>
      <c r="E59" s="60"/>
      <c r="F59" s="60"/>
      <c r="G59" s="60"/>
      <c r="H59" s="60"/>
      <c r="I59" s="60" t="s">
        <v>31</v>
      </c>
      <c r="J59" s="61">
        <v>0.0028</v>
      </c>
      <c r="K59" s="61">
        <v>0.0043</v>
      </c>
      <c r="L59" s="61">
        <v>0.0047</v>
      </c>
      <c r="M59" s="61">
        <v>0.0066</v>
      </c>
      <c r="N59" s="61">
        <v>0.0037</v>
      </c>
      <c r="O59" s="61">
        <v>0.0049</v>
      </c>
      <c r="P59" s="61">
        <v>-0.0006</v>
      </c>
      <c r="Q59" s="61">
        <v>-0.0048</v>
      </c>
      <c r="R59" s="61">
        <v>-0.0012</v>
      </c>
      <c r="S59" s="61">
        <v>-0.0007</v>
      </c>
      <c r="T59" s="61">
        <v>-0.0035</v>
      </c>
      <c r="U59" s="61">
        <v>0.0002</v>
      </c>
      <c r="V59" s="61"/>
      <c r="W59" s="61"/>
      <c r="X59" s="61"/>
      <c r="Y59" s="61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>
      <c r="A60" s="63"/>
      <c r="B60" s="59">
        <v>5</v>
      </c>
      <c r="C60" s="60"/>
      <c r="D60" s="60"/>
      <c r="E60" s="60"/>
      <c r="F60" s="60"/>
      <c r="G60" s="60"/>
      <c r="H60" s="60"/>
      <c r="I60" s="60" t="s">
        <v>31</v>
      </c>
      <c r="J60" s="61">
        <v>-0.0037</v>
      </c>
      <c r="K60" s="61">
        <v>-0.003</v>
      </c>
      <c r="L60" s="61">
        <v>-0.004</v>
      </c>
      <c r="M60" s="61">
        <v>-0.004</v>
      </c>
      <c r="N60" s="61">
        <v>-0.0027</v>
      </c>
      <c r="O60" s="61">
        <v>-0.004</v>
      </c>
      <c r="P60" s="61">
        <v>0.0024</v>
      </c>
      <c r="Q60" s="61">
        <v>0.0089</v>
      </c>
      <c r="R60" s="61">
        <v>0.003</v>
      </c>
      <c r="S60" s="61">
        <v>0.0033</v>
      </c>
      <c r="T60" s="61">
        <v>0.0055</v>
      </c>
      <c r="U60" s="61">
        <v>0.0036</v>
      </c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>
      <c r="A61" s="63"/>
      <c r="B61" s="59">
        <v>6</v>
      </c>
      <c r="C61" s="60"/>
      <c r="D61" s="60"/>
      <c r="E61" s="60"/>
      <c r="F61" s="60"/>
      <c r="G61" s="60"/>
      <c r="H61" s="60"/>
      <c r="I61" s="60" t="s">
        <v>31</v>
      </c>
      <c r="J61" s="61">
        <v>-0.0029</v>
      </c>
      <c r="K61" s="61">
        <v>-0.0023</v>
      </c>
      <c r="L61" s="61">
        <v>-0.0031</v>
      </c>
      <c r="M61" s="61">
        <v>-0.0049</v>
      </c>
      <c r="N61" s="61">
        <v>-0.0026</v>
      </c>
      <c r="O61" s="61">
        <v>-0.0048</v>
      </c>
      <c r="P61" s="61">
        <v>0.0027</v>
      </c>
      <c r="Q61" s="61">
        <v>0.0012</v>
      </c>
      <c r="R61" s="61">
        <v>0.0031</v>
      </c>
      <c r="S61" s="61">
        <v>0.0037</v>
      </c>
      <c r="T61" s="61">
        <v>0.0044</v>
      </c>
      <c r="U61" s="61">
        <v>0.0036</v>
      </c>
      <c r="V61" s="61"/>
      <c r="W61" s="61"/>
      <c r="X61" s="61"/>
      <c r="Y61" s="61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>
      <c r="A62" s="63"/>
      <c r="B62" s="59">
        <v>7</v>
      </c>
      <c r="C62" s="60"/>
      <c r="D62" s="60"/>
      <c r="E62" s="60"/>
      <c r="F62" s="60"/>
      <c r="G62" s="60"/>
      <c r="H62" s="60"/>
      <c r="I62" s="60" t="s">
        <v>31</v>
      </c>
      <c r="J62" s="61">
        <v>-0.004</v>
      </c>
      <c r="K62" s="61">
        <v>-0.0056</v>
      </c>
      <c r="L62" s="61">
        <v>-0.0046</v>
      </c>
      <c r="M62" s="61">
        <v>-0.0066</v>
      </c>
      <c r="N62" s="61">
        <v>-0.0035</v>
      </c>
      <c r="O62" s="61">
        <v>-0.0041</v>
      </c>
      <c r="P62" s="61">
        <v>0.0002</v>
      </c>
      <c r="Q62" s="61">
        <v>-0.0031</v>
      </c>
      <c r="R62" s="61">
        <v>0.001</v>
      </c>
      <c r="S62" s="61">
        <v>0.0016</v>
      </c>
      <c r="T62" s="61">
        <v>0.0052</v>
      </c>
      <c r="U62" s="61">
        <v>-0.0001</v>
      </c>
      <c r="V62" s="61"/>
      <c r="W62" s="61"/>
      <c r="X62" s="61"/>
      <c r="Y62" s="61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>
      <c r="A63" s="63"/>
      <c r="B63" s="59">
        <v>8</v>
      </c>
      <c r="C63" s="60"/>
      <c r="D63" s="60"/>
      <c r="E63" s="60"/>
      <c r="F63" s="60"/>
      <c r="G63" s="60"/>
      <c r="H63" s="60"/>
      <c r="I63" s="60" t="s">
        <v>31</v>
      </c>
      <c r="J63" s="61">
        <v>-0.0043</v>
      </c>
      <c r="K63" s="61">
        <v>-0.0051</v>
      </c>
      <c r="L63" s="61">
        <v>-0.0047</v>
      </c>
      <c r="M63" s="61">
        <v>-0.0065</v>
      </c>
      <c r="N63" s="61">
        <v>-0.0037</v>
      </c>
      <c r="O63" s="61">
        <v>-0.0058</v>
      </c>
      <c r="P63" s="61">
        <v>0.0002</v>
      </c>
      <c r="Q63" s="61">
        <v>-0.0031</v>
      </c>
      <c r="R63" s="61">
        <v>-0.0002</v>
      </c>
      <c r="S63" s="61">
        <v>0.0002</v>
      </c>
      <c r="T63" s="61">
        <v>0.0034</v>
      </c>
      <c r="U63" s="61">
        <v>0.0005</v>
      </c>
      <c r="V63" s="61"/>
      <c r="W63" s="61"/>
      <c r="X63" s="61"/>
      <c r="Y63" s="61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>
      <c r="A64" s="63"/>
      <c r="B64" s="59" t="s">
        <v>49</v>
      </c>
      <c r="C64" s="60"/>
      <c r="D64" s="60">
        <v>2</v>
      </c>
      <c r="E64" s="60">
        <v>0.05</v>
      </c>
      <c r="F64" s="60">
        <v>-0.05</v>
      </c>
      <c r="G64" s="60">
        <f t="shared" ref="G64:G71" si="19">D64+E64</f>
        <v>2.05</v>
      </c>
      <c r="H64" s="60">
        <f t="shared" ref="H64:H71" si="20">D64+F64</f>
        <v>1.95</v>
      </c>
      <c r="I64" s="60" t="s">
        <v>50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2" t="str">
        <f t="shared" ref="Z64:AO64" si="21">IF(J64="","",IF(J64&gt;($D64+$E64),(J64-$D64-$E64),IF(J64&lt;($D64+$F64),(J64-$D64-$F64),"√")))</f>
        <v/>
      </c>
      <c r="AA64" s="62" t="str">
        <f t="shared" si="21"/>
        <v/>
      </c>
      <c r="AB64" s="62" t="str">
        <f t="shared" si="21"/>
        <v/>
      </c>
      <c r="AC64" s="62" t="str">
        <f t="shared" si="21"/>
        <v/>
      </c>
      <c r="AD64" s="62" t="str">
        <f t="shared" si="21"/>
        <v/>
      </c>
      <c r="AE64" s="62" t="str">
        <f t="shared" si="21"/>
        <v/>
      </c>
      <c r="AF64" s="62" t="str">
        <f t="shared" si="21"/>
        <v/>
      </c>
      <c r="AG64" s="62" t="str">
        <f t="shared" si="21"/>
        <v/>
      </c>
      <c r="AH64" s="62" t="str">
        <f t="shared" si="21"/>
        <v/>
      </c>
      <c r="AI64" s="62" t="str">
        <f t="shared" si="21"/>
        <v/>
      </c>
      <c r="AJ64" s="62" t="str">
        <f t="shared" si="21"/>
        <v/>
      </c>
      <c r="AK64" s="62" t="str">
        <f t="shared" si="21"/>
        <v/>
      </c>
      <c r="AL64" s="62" t="str">
        <f t="shared" si="21"/>
        <v/>
      </c>
      <c r="AM64" s="62" t="str">
        <f t="shared" si="21"/>
        <v/>
      </c>
      <c r="AN64" s="62" t="str">
        <f t="shared" si="21"/>
        <v/>
      </c>
      <c r="AO64" s="62" t="str">
        <f t="shared" si="21"/>
        <v/>
      </c>
    </row>
    <row r="65" spans="1:41">
      <c r="A65" s="63"/>
      <c r="B65" s="59" t="s">
        <v>51</v>
      </c>
      <c r="C65" s="60"/>
      <c r="D65" s="60">
        <v>2</v>
      </c>
      <c r="E65" s="60">
        <v>0.05</v>
      </c>
      <c r="F65" s="60">
        <v>-0.05</v>
      </c>
      <c r="G65" s="60">
        <f t="shared" si="19"/>
        <v>2.05</v>
      </c>
      <c r="H65" s="60">
        <f t="shared" si="20"/>
        <v>1.95</v>
      </c>
      <c r="I65" s="60" t="s">
        <v>50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2" t="str">
        <f t="shared" ref="Z65:AO65" si="22">IF(J65="","",IF(J65&gt;($D65+$E65),(J65-$D65-$E65),IF(J65&lt;($D65+$F65),(J65-$D65-$F65),"√")))</f>
        <v/>
      </c>
      <c r="AA65" s="62" t="str">
        <f t="shared" si="22"/>
        <v/>
      </c>
      <c r="AB65" s="62" t="str">
        <f t="shared" si="22"/>
        <v/>
      </c>
      <c r="AC65" s="62" t="str">
        <f t="shared" si="22"/>
        <v/>
      </c>
      <c r="AD65" s="62" t="str">
        <f t="shared" si="22"/>
        <v/>
      </c>
      <c r="AE65" s="62" t="str">
        <f t="shared" si="22"/>
        <v/>
      </c>
      <c r="AF65" s="62" t="str">
        <f t="shared" si="22"/>
        <v/>
      </c>
      <c r="AG65" s="62" t="str">
        <f t="shared" si="22"/>
        <v/>
      </c>
      <c r="AH65" s="62" t="str">
        <f t="shared" si="22"/>
        <v/>
      </c>
      <c r="AI65" s="62" t="str">
        <f t="shared" si="22"/>
        <v/>
      </c>
      <c r="AJ65" s="62" t="str">
        <f t="shared" si="22"/>
        <v/>
      </c>
      <c r="AK65" s="62" t="str">
        <f t="shared" si="22"/>
        <v/>
      </c>
      <c r="AL65" s="62" t="str">
        <f t="shared" si="22"/>
        <v/>
      </c>
      <c r="AM65" s="62" t="str">
        <f t="shared" si="22"/>
        <v/>
      </c>
      <c r="AN65" s="62" t="str">
        <f t="shared" si="22"/>
        <v/>
      </c>
      <c r="AO65" s="62" t="str">
        <f t="shared" si="22"/>
        <v/>
      </c>
    </row>
    <row r="66" spans="1:41">
      <c r="A66" s="63"/>
      <c r="B66" s="59" t="s">
        <v>52</v>
      </c>
      <c r="C66" s="60" t="s">
        <v>53</v>
      </c>
      <c r="D66" s="60">
        <v>0.935</v>
      </c>
      <c r="E66" s="60">
        <v>0.015</v>
      </c>
      <c r="F66" s="60">
        <v>-0.015</v>
      </c>
      <c r="G66" s="60">
        <f t="shared" si="19"/>
        <v>0.95</v>
      </c>
      <c r="H66" s="60">
        <f t="shared" si="20"/>
        <v>0.92</v>
      </c>
      <c r="I66" s="60" t="s">
        <v>54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2" t="str">
        <f t="shared" ref="Z66:AO66" si="23">IF(J66="","",IF(J66&gt;($D66+$E66),(J66-$D66-$E66),IF(J66&lt;($D66+$F66),(J66-$D66-$F66),"√")))</f>
        <v/>
      </c>
      <c r="AA66" s="62" t="str">
        <f t="shared" si="23"/>
        <v/>
      </c>
      <c r="AB66" s="62" t="str">
        <f t="shared" si="23"/>
        <v/>
      </c>
      <c r="AC66" s="62" t="str">
        <f t="shared" si="23"/>
        <v/>
      </c>
      <c r="AD66" s="62" t="str">
        <f t="shared" si="23"/>
        <v/>
      </c>
      <c r="AE66" s="62" t="str">
        <f t="shared" si="23"/>
        <v/>
      </c>
      <c r="AF66" s="62" t="str">
        <f t="shared" si="23"/>
        <v/>
      </c>
      <c r="AG66" s="62" t="str">
        <f t="shared" si="23"/>
        <v/>
      </c>
      <c r="AH66" s="62" t="str">
        <f t="shared" si="23"/>
        <v/>
      </c>
      <c r="AI66" s="62" t="str">
        <f t="shared" si="23"/>
        <v/>
      </c>
      <c r="AJ66" s="62" t="str">
        <f t="shared" si="23"/>
        <v/>
      </c>
      <c r="AK66" s="62" t="str">
        <f t="shared" si="23"/>
        <v/>
      </c>
      <c r="AL66" s="62" t="str">
        <f t="shared" si="23"/>
        <v/>
      </c>
      <c r="AM66" s="62" t="str">
        <f t="shared" si="23"/>
        <v/>
      </c>
      <c r="AN66" s="62" t="str">
        <f t="shared" si="23"/>
        <v/>
      </c>
      <c r="AO66" s="62" t="str">
        <f t="shared" si="23"/>
        <v/>
      </c>
    </row>
    <row r="67" spans="1:41">
      <c r="A67" s="63"/>
      <c r="B67" s="59" t="s">
        <v>55</v>
      </c>
      <c r="C67" s="60"/>
      <c r="D67" s="60">
        <v>2.1</v>
      </c>
      <c r="E67" s="60">
        <v>0.03</v>
      </c>
      <c r="F67" s="60">
        <v>-0.03</v>
      </c>
      <c r="G67" s="60">
        <f t="shared" si="19"/>
        <v>2.13</v>
      </c>
      <c r="H67" s="60">
        <f t="shared" si="20"/>
        <v>2.07</v>
      </c>
      <c r="I67" s="60" t="s">
        <v>50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2" t="str">
        <f t="shared" ref="Z67:AO67" si="24">IF(J67="","",IF(J67&gt;($D67+$E67),(J67-$D67-$E67),IF(J67&lt;($D67+$F67),(J67-$D67-$F67),"√")))</f>
        <v/>
      </c>
      <c r="AA67" s="62" t="str">
        <f t="shared" si="24"/>
        <v/>
      </c>
      <c r="AB67" s="62" t="str">
        <f t="shared" si="24"/>
        <v/>
      </c>
      <c r="AC67" s="62" t="str">
        <f t="shared" si="24"/>
        <v/>
      </c>
      <c r="AD67" s="62" t="str">
        <f t="shared" si="24"/>
        <v/>
      </c>
      <c r="AE67" s="62" t="str">
        <f t="shared" si="24"/>
        <v/>
      </c>
      <c r="AF67" s="62" t="str">
        <f t="shared" si="24"/>
        <v/>
      </c>
      <c r="AG67" s="62" t="str">
        <f t="shared" si="24"/>
        <v/>
      </c>
      <c r="AH67" s="62" t="str">
        <f t="shared" si="24"/>
        <v/>
      </c>
      <c r="AI67" s="62" t="str">
        <f t="shared" si="24"/>
        <v/>
      </c>
      <c r="AJ67" s="62" t="str">
        <f t="shared" si="24"/>
        <v/>
      </c>
      <c r="AK67" s="62" t="str">
        <f t="shared" si="24"/>
        <v/>
      </c>
      <c r="AL67" s="62" t="str">
        <f t="shared" si="24"/>
        <v/>
      </c>
      <c r="AM67" s="62" t="str">
        <f t="shared" si="24"/>
        <v/>
      </c>
      <c r="AN67" s="62" t="str">
        <f t="shared" si="24"/>
        <v/>
      </c>
      <c r="AO67" s="62" t="str">
        <f t="shared" si="24"/>
        <v/>
      </c>
    </row>
    <row r="68" spans="1:41">
      <c r="A68" s="63"/>
      <c r="B68" s="59" t="s">
        <v>56</v>
      </c>
      <c r="C68" s="60"/>
      <c r="D68" s="60">
        <v>2.1</v>
      </c>
      <c r="E68" s="60">
        <v>0.03</v>
      </c>
      <c r="F68" s="60">
        <v>-0.03</v>
      </c>
      <c r="G68" s="60">
        <f t="shared" si="19"/>
        <v>2.13</v>
      </c>
      <c r="H68" s="60">
        <f t="shared" si="20"/>
        <v>2.07</v>
      </c>
      <c r="I68" s="60" t="s">
        <v>50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2" t="str">
        <f t="shared" ref="Z68:AO68" si="25">IF(J68="","",IF(J68&gt;($D68+$E68),(J68-$D68-$E68),IF(J68&lt;($D68+$F68),(J68-$D68-$F68),"√")))</f>
        <v/>
      </c>
      <c r="AA68" s="62" t="str">
        <f t="shared" si="25"/>
        <v/>
      </c>
      <c r="AB68" s="62" t="str">
        <f t="shared" si="25"/>
        <v/>
      </c>
      <c r="AC68" s="62" t="str">
        <f t="shared" si="25"/>
        <v/>
      </c>
      <c r="AD68" s="62" t="str">
        <f t="shared" si="25"/>
        <v/>
      </c>
      <c r="AE68" s="62" t="str">
        <f t="shared" si="25"/>
        <v/>
      </c>
      <c r="AF68" s="62" t="str">
        <f t="shared" si="25"/>
        <v/>
      </c>
      <c r="AG68" s="62" t="str">
        <f t="shared" si="25"/>
        <v/>
      </c>
      <c r="AH68" s="62" t="str">
        <f t="shared" si="25"/>
        <v/>
      </c>
      <c r="AI68" s="62" t="str">
        <f t="shared" si="25"/>
        <v/>
      </c>
      <c r="AJ68" s="62" t="str">
        <f t="shared" si="25"/>
        <v/>
      </c>
      <c r="AK68" s="62" t="str">
        <f t="shared" si="25"/>
        <v/>
      </c>
      <c r="AL68" s="62" t="str">
        <f t="shared" si="25"/>
        <v/>
      </c>
      <c r="AM68" s="62" t="str">
        <f t="shared" si="25"/>
        <v/>
      </c>
      <c r="AN68" s="62" t="str">
        <f t="shared" si="25"/>
        <v/>
      </c>
      <c r="AO68" s="62" t="str">
        <f t="shared" si="25"/>
        <v/>
      </c>
    </row>
    <row r="69" spans="1:41">
      <c r="A69" s="63"/>
      <c r="B69" s="59" t="s">
        <v>57</v>
      </c>
      <c r="C69" s="60"/>
      <c r="D69" s="60">
        <v>0.98</v>
      </c>
      <c r="E69" s="60">
        <v>0.03</v>
      </c>
      <c r="F69" s="60">
        <v>-0.03</v>
      </c>
      <c r="G69" s="60">
        <f t="shared" si="19"/>
        <v>1.01</v>
      </c>
      <c r="H69" s="60">
        <f t="shared" si="20"/>
        <v>0.95</v>
      </c>
      <c r="I69" s="60" t="s">
        <v>58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2" t="str">
        <f t="shared" ref="Z69:AO69" si="26">IF(J69="","",IF(J69&gt;($D69+$E69),(J69-$D69-$E69),IF(J69&lt;($D69+$F69),(J69-$D69-$F69),"√")))</f>
        <v/>
      </c>
      <c r="AA69" s="62" t="str">
        <f t="shared" si="26"/>
        <v/>
      </c>
      <c r="AB69" s="62" t="str">
        <f t="shared" si="26"/>
        <v/>
      </c>
      <c r="AC69" s="62" t="str">
        <f t="shared" si="26"/>
        <v/>
      </c>
      <c r="AD69" s="62" t="str">
        <f t="shared" si="26"/>
        <v/>
      </c>
      <c r="AE69" s="62" t="str">
        <f t="shared" si="26"/>
        <v/>
      </c>
      <c r="AF69" s="62" t="str">
        <f t="shared" si="26"/>
        <v/>
      </c>
      <c r="AG69" s="62" t="str">
        <f t="shared" si="26"/>
        <v/>
      </c>
      <c r="AH69" s="62" t="str">
        <f t="shared" si="26"/>
        <v/>
      </c>
      <c r="AI69" s="62" t="str">
        <f t="shared" si="26"/>
        <v/>
      </c>
      <c r="AJ69" s="62" t="str">
        <f t="shared" si="26"/>
        <v/>
      </c>
      <c r="AK69" s="62" t="str">
        <f t="shared" si="26"/>
        <v/>
      </c>
      <c r="AL69" s="62" t="str">
        <f t="shared" si="26"/>
        <v/>
      </c>
      <c r="AM69" s="62" t="str">
        <f t="shared" si="26"/>
        <v/>
      </c>
      <c r="AN69" s="62" t="str">
        <f t="shared" si="26"/>
        <v/>
      </c>
      <c r="AO69" s="62" t="str">
        <f t="shared" si="26"/>
        <v/>
      </c>
    </row>
    <row r="70" spans="1:41">
      <c r="A70" s="63"/>
      <c r="B70" s="59" t="s">
        <v>59</v>
      </c>
      <c r="C70" s="60"/>
      <c r="D70" s="60">
        <v>0.98</v>
      </c>
      <c r="E70" s="60">
        <v>0.03</v>
      </c>
      <c r="F70" s="60">
        <v>-0.03</v>
      </c>
      <c r="G70" s="60">
        <f t="shared" si="19"/>
        <v>1.01</v>
      </c>
      <c r="H70" s="60">
        <f t="shared" si="20"/>
        <v>0.95</v>
      </c>
      <c r="I70" s="60" t="s">
        <v>58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2" t="str">
        <f t="shared" ref="Z70:AO70" si="27">IF(J70="","",IF(J70&gt;($D70+$E70),(J70-$D70-$E70),IF(J70&lt;($D70+$F70),(J70-$D70-$F70),"√")))</f>
        <v/>
      </c>
      <c r="AA70" s="62" t="str">
        <f t="shared" si="27"/>
        <v/>
      </c>
      <c r="AB70" s="62" t="str">
        <f t="shared" si="27"/>
        <v/>
      </c>
      <c r="AC70" s="62" t="str">
        <f t="shared" si="27"/>
        <v/>
      </c>
      <c r="AD70" s="62" t="str">
        <f t="shared" si="27"/>
        <v/>
      </c>
      <c r="AE70" s="62" t="str">
        <f t="shared" si="27"/>
        <v/>
      </c>
      <c r="AF70" s="62" t="str">
        <f t="shared" si="27"/>
        <v/>
      </c>
      <c r="AG70" s="62" t="str">
        <f t="shared" si="27"/>
        <v/>
      </c>
      <c r="AH70" s="62" t="str">
        <f t="shared" si="27"/>
        <v/>
      </c>
      <c r="AI70" s="62" t="str">
        <f t="shared" si="27"/>
        <v/>
      </c>
      <c r="AJ70" s="62" t="str">
        <f t="shared" si="27"/>
        <v/>
      </c>
      <c r="AK70" s="62" t="str">
        <f t="shared" si="27"/>
        <v/>
      </c>
      <c r="AL70" s="62" t="str">
        <f t="shared" si="27"/>
        <v/>
      </c>
      <c r="AM70" s="62" t="str">
        <f t="shared" si="27"/>
        <v/>
      </c>
      <c r="AN70" s="62" t="str">
        <f t="shared" si="27"/>
        <v/>
      </c>
      <c r="AO70" s="62" t="str">
        <f t="shared" si="27"/>
        <v/>
      </c>
    </row>
    <row r="71" spans="1:41">
      <c r="A71" s="64"/>
      <c r="B71" s="59" t="s">
        <v>60</v>
      </c>
      <c r="C71" s="60"/>
      <c r="D71" s="60">
        <v>0.98</v>
      </c>
      <c r="E71" s="60">
        <v>0.03</v>
      </c>
      <c r="F71" s="60">
        <v>-0.03</v>
      </c>
      <c r="G71" s="60">
        <f t="shared" si="19"/>
        <v>1.01</v>
      </c>
      <c r="H71" s="60">
        <f t="shared" si="20"/>
        <v>0.95</v>
      </c>
      <c r="I71" s="60" t="s">
        <v>58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2" t="str">
        <f t="shared" ref="Z71:AO71" si="28">IF(J71="","",IF(J71&gt;($D71+$E71),(J71-$D71-$E71),IF(J71&lt;($D71+$F71),(J71-$D71-$F71),"√")))</f>
        <v/>
      </c>
      <c r="AA71" s="62" t="str">
        <f t="shared" si="28"/>
        <v/>
      </c>
      <c r="AB71" s="62" t="str">
        <f t="shared" si="28"/>
        <v/>
      </c>
      <c r="AC71" s="62" t="str">
        <f t="shared" si="28"/>
        <v/>
      </c>
      <c r="AD71" s="62" t="str">
        <f t="shared" si="28"/>
        <v/>
      </c>
      <c r="AE71" s="62" t="str">
        <f t="shared" si="28"/>
        <v/>
      </c>
      <c r="AF71" s="62" t="str">
        <f t="shared" si="28"/>
        <v/>
      </c>
      <c r="AG71" s="62" t="str">
        <f t="shared" si="28"/>
        <v/>
      </c>
      <c r="AH71" s="62" t="str">
        <f t="shared" si="28"/>
        <v/>
      </c>
      <c r="AI71" s="62" t="str">
        <f t="shared" si="28"/>
        <v/>
      </c>
      <c r="AJ71" s="62" t="str">
        <f t="shared" si="28"/>
        <v/>
      </c>
      <c r="AK71" s="62" t="str">
        <f t="shared" si="28"/>
        <v/>
      </c>
      <c r="AL71" s="62" t="str">
        <f t="shared" si="28"/>
        <v/>
      </c>
      <c r="AM71" s="62" t="str">
        <f t="shared" si="28"/>
        <v/>
      </c>
      <c r="AN71" s="62" t="str">
        <f t="shared" si="28"/>
        <v/>
      </c>
      <c r="AO71" s="62" t="str">
        <f t="shared" si="28"/>
        <v/>
      </c>
    </row>
    <row r="72" s="1" customFormat="1" ht="13.5" spans="1:4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7"/>
      <c r="AL72" s="68"/>
      <c r="AM72" s="69"/>
      <c r="AN72" s="70"/>
      <c r="AO72" s="71"/>
    </row>
    <row r="73" spans="1:41">
      <c r="D73"/>
      <c r="E73"/>
      <c r="F73"/>
      <c r="G73"/>
      <c r="H73"/>
      <c r="I73"/>
    </row>
    <row r="74" spans="1:41">
      <c r="D74"/>
      <c r="E74"/>
      <c r="F74"/>
      <c r="G74"/>
      <c r="H74"/>
      <c r="I74"/>
    </row>
    <row r="75" spans="1:41">
      <c r="D75"/>
      <c r="E75"/>
      <c r="F75"/>
      <c r="G75"/>
      <c r="H75"/>
      <c r="I75"/>
    </row>
    <row r="76" spans="1:41">
      <c r="D76"/>
      <c r="E76"/>
      <c r="F76"/>
      <c r="G76"/>
      <c r="H76"/>
      <c r="I76"/>
    </row>
    <row r="77" spans="1:41">
      <c r="D77"/>
      <c r="E77"/>
      <c r="F77"/>
      <c r="G77"/>
      <c r="H77"/>
      <c r="I77"/>
    </row>
    <row r="78" spans="1:41">
      <c r="D78"/>
      <c r="E78"/>
      <c r="F78"/>
      <c r="G78"/>
      <c r="H78"/>
      <c r="I78"/>
    </row>
    <row r="79" spans="1:41">
      <c r="D79"/>
      <c r="E79"/>
      <c r="F79"/>
      <c r="G79"/>
      <c r="H79"/>
      <c r="I79"/>
    </row>
    <row r="80" spans="1:41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</sheetData>
  <mergeCells count="36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6:O6"/>
    <mergeCell ref="P6:U6"/>
    <mergeCell ref="Z6:AE6"/>
    <mergeCell ref="AF6:AK6"/>
    <mergeCell ref="A72:AK72"/>
    <mergeCell ref="AL72:AM72"/>
    <mergeCell ref="AN72:AO72"/>
    <mergeCell ref="A2:A3"/>
    <mergeCell ref="A4:A7"/>
    <mergeCell ref="A8:A71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8:Y8">
    <cfRule type="cellIs" dxfId="0" priority="12" stopIfTrue="1" operator="notBetween">
      <formula>$G8</formula>
      <formula>$H8</formula>
    </cfRule>
  </conditionalFormatting>
  <conditionalFormatting sqref="J9:Y9">
    <cfRule type="cellIs" dxfId="0" priority="11" stopIfTrue="1" operator="notBetween">
      <formula>$G9</formula>
      <formula>$H9</formula>
    </cfRule>
  </conditionalFormatting>
  <conditionalFormatting sqref="J49:Y49">
    <cfRule type="cellIs" dxfId="0" priority="9" stopIfTrue="1" operator="notBetween">
      <formula>$G49</formula>
      <formula>$H49</formula>
    </cfRule>
  </conditionalFormatting>
  <conditionalFormatting sqref="J64:Y64">
    <cfRule type="cellIs" dxfId="0" priority="8" stopIfTrue="1" operator="notBetween">
      <formula>$G64</formula>
      <formula>$H64</formula>
    </cfRule>
  </conditionalFormatting>
  <conditionalFormatting sqref="J65:Y65">
    <cfRule type="cellIs" dxfId="0" priority="4" stopIfTrue="1" operator="notBetween">
      <formula>$G65</formula>
      <formula>$H65</formula>
    </cfRule>
  </conditionalFormatting>
  <conditionalFormatting sqref="J66:Y66">
    <cfRule type="cellIs" dxfId="0" priority="7" stopIfTrue="1" operator="notBetween">
      <formula>$G66</formula>
      <formula>$H66</formula>
    </cfRule>
  </conditionalFormatting>
  <conditionalFormatting sqref="J67:Y67">
    <cfRule type="cellIs" dxfId="0" priority="6" stopIfTrue="1" operator="notBetween">
      <formula>$G67</formula>
      <formula>$H67</formula>
    </cfRule>
  </conditionalFormatting>
  <conditionalFormatting sqref="J68:Y68">
    <cfRule type="cellIs" dxfId="0" priority="3" stopIfTrue="1" operator="notBetween">
      <formula>$G68</formula>
      <formula>$H68</formula>
    </cfRule>
  </conditionalFormatting>
  <conditionalFormatting sqref="J69:Y69">
    <cfRule type="cellIs" dxfId="0" priority="5" stopIfTrue="1" operator="notBetween">
      <formula>$G69</formula>
      <formula>$H69</formula>
    </cfRule>
  </conditionalFormatting>
  <conditionalFormatting sqref="J70:Y70">
    <cfRule type="cellIs" dxfId="0" priority="2" stopIfTrue="1" operator="notBetween">
      <formula>$G70</formula>
      <formula>$H70</formula>
    </cfRule>
  </conditionalFormatting>
  <conditionalFormatting sqref="J71:Y71">
    <cfRule type="cellIs" dxfId="0" priority="1" stopIfTrue="1" operator="notBetween">
      <formula>$G71</formula>
      <formula>$H71</formula>
    </cfRule>
  </conditionalFormatting>
  <conditionalFormatting sqref="J12:Y14 J36:Y36 J41:Y41 J50:Y50 J55:Y55">
    <cfRule type="cellIs" dxfId="0" priority="13" stopIfTrue="1" operator="notBetween">
      <formula>$G12</formula>
      <formula>$H12</formula>
    </cfRule>
  </conditionalFormatting>
  <conditionalFormatting sqref="J46:Y48">
    <cfRule type="cellIs" dxfId="0" priority="10" stopIfTrue="1" operator="notBetween">
      <formula>$G46</formula>
      <formula>$H46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"/>
  <sheetViews>
    <sheetView topLeftCell="R2" workbookViewId="0">
      <selection activeCell="AJ3" sqref="AJ3:AO3"/>
    </sheetView>
  </sheetViews>
  <sheetFormatPr defaultColWidth="9" defaultRowHeight="14.25"/>
  <cols>
    <col min="1" max="3" width="9.25" customWidth="1"/>
    <col min="4" max="9" width="9.25" style="2" customWidth="1"/>
    <col min="10" max="41" width="9.25" customWidth="1"/>
  </cols>
  <sheetData>
    <row r="1" ht="70.5" customHeight="1" spans="1:4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ht="15" customHeight="1" spans="1:41">
      <c r="A2" s="6" t="s">
        <v>1</v>
      </c>
      <c r="B2" s="7" t="s">
        <v>2</v>
      </c>
      <c r="C2" s="8"/>
      <c r="D2" s="8"/>
      <c r="E2" s="8"/>
      <c r="F2" s="8"/>
      <c r="G2" s="9"/>
      <c r="H2" s="10" t="s">
        <v>3</v>
      </c>
      <c r="I2" s="11"/>
      <c r="J2" s="11"/>
      <c r="K2" s="12"/>
      <c r="L2" s="13"/>
      <c r="M2" s="13"/>
      <c r="N2" s="13"/>
      <c r="O2" s="13"/>
      <c r="P2" s="13"/>
      <c r="Q2" s="13"/>
      <c r="R2" s="13"/>
      <c r="S2" s="14" t="s">
        <v>4</v>
      </c>
      <c r="T2" s="15"/>
      <c r="U2" s="15"/>
      <c r="V2" s="15"/>
      <c r="W2" s="15"/>
      <c r="X2" s="16"/>
      <c r="Y2" s="17" t="s">
        <v>5</v>
      </c>
      <c r="Z2" s="18"/>
      <c r="AA2" s="18"/>
      <c r="AB2" s="18"/>
      <c r="AC2" s="18"/>
      <c r="AD2" s="19"/>
      <c r="AE2" s="17" t="s">
        <v>6</v>
      </c>
      <c r="AF2" s="18"/>
      <c r="AG2" s="18"/>
      <c r="AH2" s="18"/>
      <c r="AI2" s="19"/>
      <c r="AJ2" s="20" t="s">
        <v>7</v>
      </c>
      <c r="AK2" s="21"/>
      <c r="AL2" s="21"/>
      <c r="AM2" s="22"/>
      <c r="AN2" s="20" t="s">
        <v>8</v>
      </c>
      <c r="AO2" s="22"/>
    </row>
    <row r="3" ht="15" customHeight="1" spans="1:41">
      <c r="A3" s="6"/>
      <c r="B3" s="23"/>
      <c r="C3" s="24"/>
      <c r="D3" s="24"/>
      <c r="E3" s="24"/>
      <c r="F3" s="24"/>
      <c r="G3" s="25"/>
      <c r="H3" s="26"/>
      <c r="I3" s="27"/>
      <c r="J3" s="27"/>
      <c r="K3" s="28"/>
      <c r="L3" s="13"/>
      <c r="M3" s="13"/>
      <c r="N3" s="13"/>
      <c r="O3" s="13"/>
      <c r="P3" s="13"/>
      <c r="Q3" s="13"/>
      <c r="R3" s="13"/>
      <c r="S3" s="29" t="s">
        <v>9</v>
      </c>
      <c r="T3" s="30"/>
      <c r="U3" s="30"/>
      <c r="V3" s="30"/>
      <c r="W3" s="30"/>
      <c r="X3" s="31"/>
      <c r="Y3" s="29" t="s">
        <v>10</v>
      </c>
      <c r="Z3" s="30"/>
      <c r="AA3" s="30"/>
      <c r="AB3" s="30"/>
      <c r="AC3" s="30"/>
      <c r="AD3" s="31"/>
      <c r="AE3" s="32" t="s">
        <v>11</v>
      </c>
      <c r="AF3" s="33"/>
      <c r="AG3" s="33"/>
      <c r="AH3" s="33"/>
      <c r="AI3" s="34"/>
      <c r="AJ3" s="32" t="s">
        <v>63</v>
      </c>
      <c r="AK3" s="33"/>
      <c r="AL3" s="33"/>
      <c r="AM3" s="34"/>
      <c r="AN3" s="32" t="s">
        <v>64</v>
      </c>
      <c r="AO3" s="34"/>
    </row>
    <row r="4" customHeight="1" spans="1:41">
      <c r="A4" s="35" t="s">
        <v>14</v>
      </c>
      <c r="B4" s="35" t="s">
        <v>15</v>
      </c>
      <c r="C4" s="35" t="s">
        <v>16</v>
      </c>
      <c r="D4" s="35" t="s">
        <v>17</v>
      </c>
      <c r="E4" s="35" t="s">
        <v>18</v>
      </c>
      <c r="F4" s="35" t="s">
        <v>19</v>
      </c>
      <c r="G4" s="35" t="s">
        <v>20</v>
      </c>
      <c r="H4" s="35" t="s">
        <v>21</v>
      </c>
      <c r="I4" s="35" t="s">
        <v>22</v>
      </c>
      <c r="J4" s="36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2"/>
      <c r="C5" s="42"/>
      <c r="D5" s="42"/>
      <c r="E5" s="42"/>
      <c r="F5" s="42"/>
      <c r="G5" s="42"/>
      <c r="H5" s="42"/>
      <c r="I5" s="42"/>
      <c r="J5" s="36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  <c r="Z5" s="39" t="s">
        <v>26</v>
      </c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</row>
    <row r="6" customHeight="1" spans="1:41">
      <c r="A6" s="43"/>
      <c r="B6" s="43"/>
      <c r="C6" s="43"/>
      <c r="D6" s="43"/>
      <c r="E6" s="43"/>
      <c r="F6" s="43"/>
      <c r="G6" s="43"/>
      <c r="H6" s="43"/>
      <c r="I6" s="43"/>
      <c r="J6" s="44" t="s">
        <v>69</v>
      </c>
      <c r="K6" s="45"/>
      <c r="L6" s="45"/>
      <c r="M6" s="45"/>
      <c r="N6" s="45"/>
      <c r="O6" s="46"/>
      <c r="P6" s="47" t="s">
        <v>70</v>
      </c>
      <c r="Q6" s="48"/>
      <c r="R6" s="48"/>
      <c r="S6" s="48"/>
      <c r="T6" s="48"/>
      <c r="U6" s="49"/>
      <c r="V6" s="50"/>
      <c r="W6" s="50"/>
      <c r="X6" s="50"/>
      <c r="Y6" s="50"/>
      <c r="Z6" s="51" t="str">
        <f>J6</f>
        <v>cav9</v>
      </c>
      <c r="AA6" s="52"/>
      <c r="AB6" s="52"/>
      <c r="AC6" s="52"/>
      <c r="AD6" s="52"/>
      <c r="AE6" s="53"/>
      <c r="AF6" s="54" t="str">
        <f>P6</f>
        <v>cav10</v>
      </c>
      <c r="AG6" s="55"/>
      <c r="AH6" s="55"/>
      <c r="AI6" s="55"/>
      <c r="AJ6" s="55"/>
      <c r="AK6" s="56"/>
      <c r="AL6" s="57">
        <f t="shared" ref="AL6:AO6" si="0">V6</f>
        <v>0</v>
      </c>
      <c r="AM6" s="57">
        <f t="shared" si="0"/>
        <v>0</v>
      </c>
      <c r="AN6" s="57">
        <f t="shared" si="0"/>
        <v>0</v>
      </c>
      <c r="AO6" s="57">
        <f t="shared" si="0"/>
        <v>0</v>
      </c>
    </row>
    <row r="7" customHeight="1" spans="1:41">
      <c r="A7" s="43"/>
      <c r="B7" s="43"/>
      <c r="C7" s="43"/>
      <c r="D7" s="43"/>
      <c r="E7" s="43"/>
      <c r="F7" s="43"/>
      <c r="G7" s="43"/>
      <c r="H7" s="43"/>
      <c r="I7" s="43"/>
      <c r="J7" s="50">
        <v>1</v>
      </c>
      <c r="K7" s="50">
        <v>2</v>
      </c>
      <c r="L7" s="50">
        <v>3</v>
      </c>
      <c r="M7" s="50">
        <v>4</v>
      </c>
      <c r="N7" s="50">
        <v>5</v>
      </c>
      <c r="O7" s="50">
        <v>6</v>
      </c>
      <c r="P7" s="50">
        <v>1</v>
      </c>
      <c r="Q7" s="50">
        <v>2</v>
      </c>
      <c r="R7" s="50">
        <v>3</v>
      </c>
      <c r="S7" s="50">
        <v>4</v>
      </c>
      <c r="T7" s="50">
        <v>5</v>
      </c>
      <c r="U7" s="50">
        <v>6</v>
      </c>
      <c r="V7" s="50"/>
      <c r="W7" s="50"/>
      <c r="X7" s="50"/>
      <c r="Y7" s="50"/>
      <c r="Z7" s="57">
        <f t="shared" ref="Z7:AO7" si="1">J7</f>
        <v>1</v>
      </c>
      <c r="AA7" s="57">
        <f t="shared" si="1"/>
        <v>2</v>
      </c>
      <c r="AB7" s="57">
        <f t="shared" si="1"/>
        <v>3</v>
      </c>
      <c r="AC7" s="57">
        <f t="shared" si="1"/>
        <v>4</v>
      </c>
      <c r="AD7" s="57">
        <f t="shared" si="1"/>
        <v>5</v>
      </c>
      <c r="AE7" s="57">
        <f t="shared" si="1"/>
        <v>6</v>
      </c>
      <c r="AF7" s="57">
        <f t="shared" si="1"/>
        <v>1</v>
      </c>
      <c r="AG7" s="57">
        <f t="shared" si="1"/>
        <v>2</v>
      </c>
      <c r="AH7" s="57">
        <f t="shared" si="1"/>
        <v>3</v>
      </c>
      <c r="AI7" s="57">
        <f t="shared" si="1"/>
        <v>4</v>
      </c>
      <c r="AJ7" s="57">
        <f t="shared" si="1"/>
        <v>5</v>
      </c>
      <c r="AK7" s="57">
        <f t="shared" si="1"/>
        <v>6</v>
      </c>
      <c r="AL7" s="57">
        <f t="shared" si="1"/>
        <v>0</v>
      </c>
      <c r="AM7" s="57">
        <f t="shared" si="1"/>
        <v>0</v>
      </c>
      <c r="AN7" s="57">
        <f t="shared" si="1"/>
        <v>0</v>
      </c>
      <c r="AO7" s="57">
        <f t="shared" si="1"/>
        <v>0</v>
      </c>
    </row>
    <row r="8" spans="1:41">
      <c r="A8" s="58">
        <v>46201</v>
      </c>
      <c r="B8" s="59" t="s">
        <v>30</v>
      </c>
      <c r="C8" s="60"/>
      <c r="D8" s="60">
        <v>0.995</v>
      </c>
      <c r="E8" s="60">
        <v>0.03</v>
      </c>
      <c r="F8" s="60">
        <v>-0.03</v>
      </c>
      <c r="G8" s="60">
        <f t="shared" ref="G8:G14" si="2">D8+E8</f>
        <v>1.025</v>
      </c>
      <c r="H8" s="60">
        <f t="shared" ref="H8:H14" si="3">D8+F8</f>
        <v>0.965</v>
      </c>
      <c r="I8" s="60" t="s">
        <v>31</v>
      </c>
      <c r="J8" s="61">
        <v>1.0131</v>
      </c>
      <c r="K8" s="61">
        <v>1.0001</v>
      </c>
      <c r="L8" s="61">
        <v>1.014</v>
      </c>
      <c r="M8" s="61">
        <v>1.0133</v>
      </c>
      <c r="N8" s="61">
        <v>0.9984</v>
      </c>
      <c r="O8" s="61">
        <v>1.0085</v>
      </c>
      <c r="P8" s="61">
        <v>1.0136</v>
      </c>
      <c r="Q8" s="61">
        <v>1.0006</v>
      </c>
      <c r="R8" s="61">
        <v>1.0098</v>
      </c>
      <c r="S8" s="61">
        <v>1.0126</v>
      </c>
      <c r="T8" s="61">
        <v>1.0064</v>
      </c>
      <c r="U8" s="61">
        <v>1.0028</v>
      </c>
      <c r="V8" s="61"/>
      <c r="W8" s="61"/>
      <c r="X8" s="61"/>
      <c r="Y8" s="61"/>
      <c r="Z8" s="62" t="str">
        <f t="shared" ref="Z8:AO8" si="4">IF(J8="","",IF(J8&gt;($D8+$E8),(J8-$D8-$E8),IF(J8&lt;($D8+$F8),(J8-$D8-$F8),"√")))</f>
        <v>√</v>
      </c>
      <c r="AA8" s="62" t="str">
        <f t="shared" si="4"/>
        <v>√</v>
      </c>
      <c r="AB8" s="62" t="str">
        <f t="shared" si="4"/>
        <v>√</v>
      </c>
      <c r="AC8" s="62" t="str">
        <f t="shared" si="4"/>
        <v>√</v>
      </c>
      <c r="AD8" s="62" t="str">
        <f t="shared" si="4"/>
        <v>√</v>
      </c>
      <c r="AE8" s="62" t="str">
        <f t="shared" si="4"/>
        <v>√</v>
      </c>
      <c r="AF8" s="62" t="str">
        <f t="shared" si="4"/>
        <v>√</v>
      </c>
      <c r="AG8" s="62" t="str">
        <f t="shared" si="4"/>
        <v>√</v>
      </c>
      <c r="AH8" s="62" t="str">
        <f t="shared" si="4"/>
        <v>√</v>
      </c>
      <c r="AI8" s="62" t="str">
        <f t="shared" si="4"/>
        <v>√</v>
      </c>
      <c r="AJ8" s="62" t="str">
        <f t="shared" si="4"/>
        <v>√</v>
      </c>
      <c r="AK8" s="62" t="str">
        <f t="shared" si="4"/>
        <v>√</v>
      </c>
      <c r="AL8" s="62" t="str">
        <f t="shared" si="4"/>
        <v/>
      </c>
      <c r="AM8" s="62" t="str">
        <f t="shared" si="4"/>
        <v/>
      </c>
      <c r="AN8" s="62" t="str">
        <f t="shared" si="4"/>
        <v/>
      </c>
      <c r="AO8" s="62" t="str">
        <f t="shared" si="4"/>
        <v/>
      </c>
    </row>
    <row r="9" spans="1:41">
      <c r="A9" s="63"/>
      <c r="B9" s="59" t="s">
        <v>32</v>
      </c>
      <c r="C9" s="60"/>
      <c r="D9" s="60">
        <v>0</v>
      </c>
      <c r="E9" s="60">
        <v>0.08</v>
      </c>
      <c r="F9" s="60">
        <v>0</v>
      </c>
      <c r="G9" s="60">
        <f t="shared" si="2"/>
        <v>0.08</v>
      </c>
      <c r="H9" s="60">
        <f t="shared" si="3"/>
        <v>0</v>
      </c>
      <c r="I9" s="60" t="s">
        <v>31</v>
      </c>
      <c r="J9" s="61">
        <v>0.0103</v>
      </c>
      <c r="K9" s="61">
        <v>0.0099</v>
      </c>
      <c r="L9" s="61">
        <v>0.0069</v>
      </c>
      <c r="M9" s="61">
        <v>0.0144</v>
      </c>
      <c r="N9" s="61">
        <v>0.0073</v>
      </c>
      <c r="O9" s="61">
        <v>0.012</v>
      </c>
      <c r="P9" s="61">
        <v>0.0042</v>
      </c>
      <c r="Q9" s="61">
        <v>0.0074</v>
      </c>
      <c r="R9" s="61">
        <v>0.0089</v>
      </c>
      <c r="S9" s="61">
        <v>0.0083</v>
      </c>
      <c r="T9" s="61">
        <v>0.0094</v>
      </c>
      <c r="U9" s="61">
        <v>0.0042</v>
      </c>
      <c r="V9" s="61"/>
      <c r="W9" s="61"/>
      <c r="X9" s="61"/>
      <c r="Y9" s="61"/>
      <c r="Z9" s="62" t="str">
        <f t="shared" ref="Z9:AO9" si="5">IF(J9="","",IF(J9&gt;($D9+$E9),(J9-$D9-$E9),IF(J9&lt;($D9+$F9),(J9-$D9-$F9),"√")))</f>
        <v>√</v>
      </c>
      <c r="AA9" s="62" t="str">
        <f t="shared" si="5"/>
        <v>√</v>
      </c>
      <c r="AB9" s="62" t="str">
        <f t="shared" si="5"/>
        <v>√</v>
      </c>
      <c r="AC9" s="62" t="str">
        <f t="shared" si="5"/>
        <v>√</v>
      </c>
      <c r="AD9" s="62" t="str">
        <f t="shared" si="5"/>
        <v>√</v>
      </c>
      <c r="AE9" s="62" t="str">
        <f t="shared" si="5"/>
        <v>√</v>
      </c>
      <c r="AF9" s="62" t="str">
        <f t="shared" si="5"/>
        <v>√</v>
      </c>
      <c r="AG9" s="62" t="str">
        <f t="shared" si="5"/>
        <v>√</v>
      </c>
      <c r="AH9" s="62" t="str">
        <f t="shared" si="5"/>
        <v>√</v>
      </c>
      <c r="AI9" s="62" t="str">
        <f t="shared" si="5"/>
        <v>√</v>
      </c>
      <c r="AJ9" s="62" t="str">
        <f t="shared" si="5"/>
        <v>√</v>
      </c>
      <c r="AK9" s="62" t="str">
        <f t="shared" si="5"/>
        <v>√</v>
      </c>
      <c r="AL9" s="62" t="str">
        <f t="shared" si="5"/>
        <v/>
      </c>
      <c r="AM9" s="62" t="str">
        <f t="shared" si="5"/>
        <v/>
      </c>
      <c r="AN9" s="62" t="str">
        <f t="shared" si="5"/>
        <v/>
      </c>
      <c r="AO9" s="62" t="str">
        <f t="shared" si="5"/>
        <v/>
      </c>
    </row>
    <row r="10" spans="1:41">
      <c r="A10" s="63"/>
      <c r="B10" s="59" t="s">
        <v>33</v>
      </c>
      <c r="C10" s="60"/>
      <c r="D10" s="60"/>
      <c r="E10" s="60"/>
      <c r="F10" s="60"/>
      <c r="G10" s="60"/>
      <c r="H10" s="60"/>
      <c r="I10" s="60" t="s">
        <v>31</v>
      </c>
      <c r="J10" s="61">
        <v>0.003</v>
      </c>
      <c r="K10" s="61">
        <v>-0.0008</v>
      </c>
      <c r="L10" s="61">
        <v>0.0002</v>
      </c>
      <c r="M10" s="61">
        <v>-0.003</v>
      </c>
      <c r="N10" s="61">
        <v>-0.0015</v>
      </c>
      <c r="O10" s="61">
        <v>0.0055</v>
      </c>
      <c r="P10" s="61">
        <v>-0.0013</v>
      </c>
      <c r="Q10" s="61">
        <v>-0.0014</v>
      </c>
      <c r="R10" s="61">
        <v>0.0057</v>
      </c>
      <c r="S10" s="61">
        <v>0.0039</v>
      </c>
      <c r="T10" s="61">
        <v>0.003</v>
      </c>
      <c r="U10" s="61">
        <v>-0.0004</v>
      </c>
      <c r="V10" s="61"/>
      <c r="W10" s="61"/>
      <c r="X10" s="61"/>
      <c r="Y10" s="61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>
      <c r="A11" s="63"/>
      <c r="B11" s="59" t="s">
        <v>34</v>
      </c>
      <c r="C11" s="60"/>
      <c r="D11" s="60"/>
      <c r="E11" s="60"/>
      <c r="F11" s="60"/>
      <c r="G11" s="60"/>
      <c r="H11" s="60"/>
      <c r="I11" s="60" t="s">
        <v>31</v>
      </c>
      <c r="J11" s="61">
        <v>-0.0018</v>
      </c>
      <c r="K11" s="61">
        <v>-0.0034</v>
      </c>
      <c r="L11" s="61">
        <v>-0.0012</v>
      </c>
      <c r="M11" s="61">
        <v>-0.0093</v>
      </c>
      <c r="N11" s="61">
        <v>-0.0027</v>
      </c>
      <c r="O11" s="61">
        <v>-0.0021</v>
      </c>
      <c r="P11" s="61">
        <v>-0.0027</v>
      </c>
      <c r="Q11" s="61">
        <v>-0.0017</v>
      </c>
      <c r="R11" s="61">
        <v>-0.0003</v>
      </c>
      <c r="S11" s="61">
        <v>-0.0006</v>
      </c>
      <c r="T11" s="61">
        <v>-0.0026</v>
      </c>
      <c r="U11" s="61">
        <v>0.0001</v>
      </c>
      <c r="V11" s="61"/>
      <c r="W11" s="61"/>
      <c r="X11" s="61"/>
      <c r="Y11" s="61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>
      <c r="A12" s="63"/>
      <c r="B12" s="59" t="s">
        <v>35</v>
      </c>
      <c r="C12" s="60"/>
      <c r="D12" s="60">
        <v>0.35</v>
      </c>
      <c r="E12" s="60">
        <v>0.03</v>
      </c>
      <c r="F12" s="60">
        <v>-0.03</v>
      </c>
      <c r="G12" s="60">
        <f t="shared" si="2"/>
        <v>0.38</v>
      </c>
      <c r="H12" s="60">
        <f t="shared" si="3"/>
        <v>0.32</v>
      </c>
      <c r="I12" s="60" t="s">
        <v>31</v>
      </c>
      <c r="J12" s="61">
        <v>0.3434</v>
      </c>
      <c r="K12" s="61">
        <v>0.3457</v>
      </c>
      <c r="L12" s="61">
        <v>0.351</v>
      </c>
      <c r="M12" s="61">
        <v>0.3439</v>
      </c>
      <c r="N12" s="61">
        <v>0.3441</v>
      </c>
      <c r="O12" s="61">
        <v>0.3449</v>
      </c>
      <c r="P12" s="61">
        <v>0.3475</v>
      </c>
      <c r="Q12" s="61">
        <v>0.3369</v>
      </c>
      <c r="R12" s="61">
        <v>0.3464</v>
      </c>
      <c r="S12" s="61">
        <v>0.3496</v>
      </c>
      <c r="T12" s="61">
        <v>0.3469</v>
      </c>
      <c r="U12" s="61">
        <v>0.3493</v>
      </c>
      <c r="V12" s="61"/>
      <c r="W12" s="61"/>
      <c r="X12" s="61"/>
      <c r="Y12" s="61"/>
      <c r="Z12" s="62" t="str">
        <f t="shared" ref="Z12:AO12" si="6">IF(J12="","",IF(J12&gt;($D12+$E12),(J12-$D12-$E12),IF(J12&lt;($D12+$F12),(J12-$D12-$F12),"√")))</f>
        <v>√</v>
      </c>
      <c r="AA12" s="62" t="str">
        <f t="shared" si="6"/>
        <v>√</v>
      </c>
      <c r="AB12" s="62" t="str">
        <f t="shared" si="6"/>
        <v>√</v>
      </c>
      <c r="AC12" s="62" t="str">
        <f t="shared" si="6"/>
        <v>√</v>
      </c>
      <c r="AD12" s="62" t="str">
        <f t="shared" si="6"/>
        <v>√</v>
      </c>
      <c r="AE12" s="62" t="str">
        <f t="shared" si="6"/>
        <v>√</v>
      </c>
      <c r="AF12" s="62" t="str">
        <f t="shared" si="6"/>
        <v>√</v>
      </c>
      <c r="AG12" s="62" t="str">
        <f t="shared" si="6"/>
        <v>√</v>
      </c>
      <c r="AH12" s="62" t="str">
        <f t="shared" si="6"/>
        <v>√</v>
      </c>
      <c r="AI12" s="62" t="str">
        <f t="shared" si="6"/>
        <v>√</v>
      </c>
      <c r="AJ12" s="62" t="str">
        <f t="shared" si="6"/>
        <v>√</v>
      </c>
      <c r="AK12" s="62" t="str">
        <f t="shared" si="6"/>
        <v>√</v>
      </c>
      <c r="AL12" s="62" t="str">
        <f t="shared" si="6"/>
        <v/>
      </c>
      <c r="AM12" s="62" t="str">
        <f t="shared" si="6"/>
        <v/>
      </c>
      <c r="AN12" s="62" t="str">
        <f t="shared" si="6"/>
        <v/>
      </c>
      <c r="AO12" s="62" t="str">
        <f t="shared" si="6"/>
        <v/>
      </c>
    </row>
    <row r="13" spans="1:41">
      <c r="A13" s="63"/>
      <c r="B13" s="59" t="s">
        <v>36</v>
      </c>
      <c r="C13" s="60"/>
      <c r="D13" s="60">
        <v>0.35</v>
      </c>
      <c r="E13" s="60">
        <v>0.03</v>
      </c>
      <c r="F13" s="60">
        <v>-0.03</v>
      </c>
      <c r="G13" s="60">
        <f t="shared" si="2"/>
        <v>0.38</v>
      </c>
      <c r="H13" s="60">
        <f t="shared" si="3"/>
        <v>0.32</v>
      </c>
      <c r="I13" s="60" t="s">
        <v>31</v>
      </c>
      <c r="J13" s="61">
        <v>0.3445</v>
      </c>
      <c r="K13" s="61">
        <v>0.343</v>
      </c>
      <c r="L13" s="61">
        <v>0.3466</v>
      </c>
      <c r="M13" s="61">
        <v>0.3469</v>
      </c>
      <c r="N13" s="61">
        <v>0.3438</v>
      </c>
      <c r="O13" s="61">
        <v>0.3482</v>
      </c>
      <c r="P13" s="61">
        <v>0.347</v>
      </c>
      <c r="Q13" s="61">
        <v>0.3434</v>
      </c>
      <c r="R13" s="61">
        <v>0.3418</v>
      </c>
      <c r="S13" s="61">
        <v>0.3464</v>
      </c>
      <c r="T13" s="61">
        <v>0.3462</v>
      </c>
      <c r="U13" s="61">
        <v>0.3435</v>
      </c>
      <c r="V13" s="61"/>
      <c r="W13" s="61"/>
      <c r="X13" s="61"/>
      <c r="Y13" s="61"/>
      <c r="Z13" s="62" t="str">
        <f t="shared" ref="Z13:AO13" si="7">IF(J13="","",IF(J13&gt;($D13+$E13),(J13-$D13-$E13),IF(J13&lt;($D13+$F13),(J13-$D13-$F13),"√")))</f>
        <v>√</v>
      </c>
      <c r="AA13" s="62" t="str">
        <f t="shared" si="7"/>
        <v>√</v>
      </c>
      <c r="AB13" s="62" t="str">
        <f t="shared" si="7"/>
        <v>√</v>
      </c>
      <c r="AC13" s="62" t="str">
        <f t="shared" si="7"/>
        <v>√</v>
      </c>
      <c r="AD13" s="62" t="str">
        <f t="shared" si="7"/>
        <v>√</v>
      </c>
      <c r="AE13" s="62" t="str">
        <f t="shared" si="7"/>
        <v>√</v>
      </c>
      <c r="AF13" s="62" t="str">
        <f t="shared" si="7"/>
        <v>√</v>
      </c>
      <c r="AG13" s="62" t="str">
        <f t="shared" si="7"/>
        <v>√</v>
      </c>
      <c r="AH13" s="62" t="str">
        <f t="shared" si="7"/>
        <v>√</v>
      </c>
      <c r="AI13" s="62" t="str">
        <f t="shared" si="7"/>
        <v>√</v>
      </c>
      <c r="AJ13" s="62" t="str">
        <f t="shared" si="7"/>
        <v>√</v>
      </c>
      <c r="AK13" s="62" t="str">
        <f t="shared" si="7"/>
        <v>√</v>
      </c>
      <c r="AL13" s="62" t="str">
        <f t="shared" si="7"/>
        <v/>
      </c>
      <c r="AM13" s="62" t="str">
        <f t="shared" si="7"/>
        <v/>
      </c>
      <c r="AN13" s="62" t="str">
        <f t="shared" si="7"/>
        <v/>
      </c>
      <c r="AO13" s="62" t="str">
        <f t="shared" si="7"/>
        <v/>
      </c>
    </row>
    <row r="14" spans="1:41">
      <c r="A14" s="63"/>
      <c r="B14" s="59" t="s">
        <v>37</v>
      </c>
      <c r="C14" s="60" t="s">
        <v>38</v>
      </c>
      <c r="D14" s="60">
        <v>0</v>
      </c>
      <c r="E14" s="60">
        <v>0.06</v>
      </c>
      <c r="F14" s="60">
        <v>0</v>
      </c>
      <c r="G14" s="60">
        <f t="shared" si="2"/>
        <v>0.06</v>
      </c>
      <c r="H14" s="60">
        <f t="shared" si="3"/>
        <v>0</v>
      </c>
      <c r="I14" s="60" t="s">
        <v>31</v>
      </c>
      <c r="J14" s="61">
        <v>0.0182</v>
      </c>
      <c r="K14" s="61">
        <v>0.0117</v>
      </c>
      <c r="L14" s="61">
        <v>0.0193</v>
      </c>
      <c r="M14" s="61">
        <v>0.0178</v>
      </c>
      <c r="N14" s="61">
        <v>0.0158</v>
      </c>
      <c r="O14" s="61">
        <v>0.0235</v>
      </c>
      <c r="P14" s="61">
        <v>0.0118</v>
      </c>
      <c r="Q14" s="61">
        <v>0.0219</v>
      </c>
      <c r="R14" s="61">
        <v>0.015</v>
      </c>
      <c r="S14" s="61">
        <v>0.0094</v>
      </c>
      <c r="T14" s="61">
        <v>0.0148</v>
      </c>
      <c r="U14" s="61">
        <v>0.0101</v>
      </c>
      <c r="V14" s="61"/>
      <c r="W14" s="61"/>
      <c r="X14" s="61"/>
      <c r="Y14" s="61"/>
      <c r="Z14" s="62" t="str">
        <f t="shared" ref="Z14:AO14" si="8">IF(J14="","",IF(J14&gt;($D14+$E14),(J14-$D14-$E14),IF(J14&lt;($D14+$F14),(J14-$D14-$F14),"√")))</f>
        <v>√</v>
      </c>
      <c r="AA14" s="62" t="str">
        <f t="shared" si="8"/>
        <v>√</v>
      </c>
      <c r="AB14" s="62" t="str">
        <f t="shared" si="8"/>
        <v>√</v>
      </c>
      <c r="AC14" s="62" t="str">
        <f t="shared" si="8"/>
        <v>√</v>
      </c>
      <c r="AD14" s="62" t="str">
        <f t="shared" si="8"/>
        <v>√</v>
      </c>
      <c r="AE14" s="62" t="str">
        <f t="shared" si="8"/>
        <v>√</v>
      </c>
      <c r="AF14" s="62" t="str">
        <f t="shared" si="8"/>
        <v>√</v>
      </c>
      <c r="AG14" s="62" t="str">
        <f t="shared" si="8"/>
        <v>√</v>
      </c>
      <c r="AH14" s="62" t="str">
        <f t="shared" si="8"/>
        <v>√</v>
      </c>
      <c r="AI14" s="62" t="str">
        <f t="shared" si="8"/>
        <v>√</v>
      </c>
      <c r="AJ14" s="62" t="str">
        <f t="shared" si="8"/>
        <v>√</v>
      </c>
      <c r="AK14" s="62" t="str">
        <f t="shared" si="8"/>
        <v>√</v>
      </c>
      <c r="AL14" s="62" t="str">
        <f t="shared" si="8"/>
        <v/>
      </c>
      <c r="AM14" s="62" t="str">
        <f t="shared" si="8"/>
        <v/>
      </c>
      <c r="AN14" s="62" t="str">
        <f t="shared" si="8"/>
        <v/>
      </c>
      <c r="AO14" s="62" t="str">
        <f t="shared" si="8"/>
        <v/>
      </c>
    </row>
    <row r="15" spans="1:41">
      <c r="A15" s="63"/>
      <c r="B15" s="59">
        <v>1</v>
      </c>
      <c r="C15" s="60"/>
      <c r="D15" s="60"/>
      <c r="E15" s="60"/>
      <c r="F15" s="60"/>
      <c r="G15" s="60"/>
      <c r="H15" s="60"/>
      <c r="I15" s="60" t="s">
        <v>31</v>
      </c>
      <c r="J15" s="61">
        <v>0.008</v>
      </c>
      <c r="K15" s="61">
        <v>-0.0006</v>
      </c>
      <c r="L15" s="61">
        <v>0.0073</v>
      </c>
      <c r="M15" s="61">
        <v>0.0001</v>
      </c>
      <c r="N15" s="61">
        <v>0.0045</v>
      </c>
      <c r="O15" s="61">
        <v>0.0023</v>
      </c>
      <c r="P15" s="61">
        <v>0.0039</v>
      </c>
      <c r="Q15" s="61">
        <v>0.0071</v>
      </c>
      <c r="R15" s="61">
        <v>0.0036</v>
      </c>
      <c r="S15" s="61">
        <v>0.0014</v>
      </c>
      <c r="T15" s="61">
        <v>-0.0028</v>
      </c>
      <c r="U15" s="61">
        <v>0.0044</v>
      </c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>
      <c r="A16" s="63"/>
      <c r="B16" s="59">
        <v>2</v>
      </c>
      <c r="C16" s="60"/>
      <c r="D16" s="60"/>
      <c r="E16" s="60"/>
      <c r="F16" s="60"/>
      <c r="G16" s="60"/>
      <c r="H16" s="60"/>
      <c r="I16" s="60" t="s">
        <v>31</v>
      </c>
      <c r="J16" s="61">
        <v>0.0065</v>
      </c>
      <c r="K16" s="61">
        <v>-0.0013</v>
      </c>
      <c r="L16" s="61">
        <v>0.0074</v>
      </c>
      <c r="M16" s="61">
        <v>0</v>
      </c>
      <c r="N16" s="61">
        <v>0.0037</v>
      </c>
      <c r="O16" s="61">
        <v>0.0041</v>
      </c>
      <c r="P16" s="61">
        <v>0.0043</v>
      </c>
      <c r="Q16" s="61">
        <v>0.0082</v>
      </c>
      <c r="R16" s="61">
        <v>0.0047</v>
      </c>
      <c r="S16" s="61">
        <v>0.0027</v>
      </c>
      <c r="T16" s="61">
        <v>-0.0012</v>
      </c>
      <c r="U16" s="61">
        <v>0.0036</v>
      </c>
      <c r="V16" s="61"/>
      <c r="W16" s="61"/>
      <c r="X16" s="61"/>
      <c r="Y16" s="61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>
      <c r="A17" s="63"/>
      <c r="B17" s="59">
        <v>3</v>
      </c>
      <c r="C17" s="60"/>
      <c r="D17" s="60"/>
      <c r="E17" s="60"/>
      <c r="F17" s="60"/>
      <c r="G17" s="60"/>
      <c r="H17" s="60"/>
      <c r="I17" s="60" t="s">
        <v>31</v>
      </c>
      <c r="J17" s="61">
        <v>0.0028</v>
      </c>
      <c r="K17" s="61">
        <v>-0.0052</v>
      </c>
      <c r="L17" s="61">
        <v>0.0032</v>
      </c>
      <c r="M17" s="61">
        <v>-0.0045</v>
      </c>
      <c r="N17" s="61">
        <v>0.0035</v>
      </c>
      <c r="O17" s="61">
        <v>0.0011</v>
      </c>
      <c r="P17" s="61">
        <v>0.0028</v>
      </c>
      <c r="Q17" s="61">
        <v>0.0073</v>
      </c>
      <c r="R17" s="61">
        <v>0.0028</v>
      </c>
      <c r="S17" s="61">
        <v>0.0008</v>
      </c>
      <c r="T17" s="61">
        <v>-0.0031</v>
      </c>
      <c r="U17" s="61">
        <v>0.0015</v>
      </c>
      <c r="V17" s="61"/>
      <c r="W17" s="61"/>
      <c r="X17" s="61"/>
      <c r="Y17" s="61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>
      <c r="A18" s="63"/>
      <c r="B18" s="59">
        <v>4</v>
      </c>
      <c r="C18" s="60"/>
      <c r="D18" s="60"/>
      <c r="E18" s="60"/>
      <c r="F18" s="60"/>
      <c r="G18" s="60"/>
      <c r="H18" s="60"/>
      <c r="I18" s="60" t="s">
        <v>31</v>
      </c>
      <c r="J18" s="61">
        <v>0.0059</v>
      </c>
      <c r="K18" s="61">
        <v>-0.0027</v>
      </c>
      <c r="L18" s="61">
        <v>0.0045</v>
      </c>
      <c r="M18" s="61">
        <v>-0.0031</v>
      </c>
      <c r="N18" s="61">
        <v>0.0053</v>
      </c>
      <c r="O18" s="61">
        <v>0.0009</v>
      </c>
      <c r="P18" s="61">
        <v>0.0027</v>
      </c>
      <c r="Q18" s="61">
        <v>0.0068</v>
      </c>
      <c r="R18" s="61">
        <v>0.0049</v>
      </c>
      <c r="S18" s="61">
        <v>-0.0001</v>
      </c>
      <c r="T18" s="61">
        <v>-0.0016</v>
      </c>
      <c r="U18" s="61">
        <v>0.005</v>
      </c>
      <c r="V18" s="61"/>
      <c r="W18" s="61"/>
      <c r="X18" s="61"/>
      <c r="Y18" s="61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>
      <c r="A19" s="63"/>
      <c r="B19" s="59">
        <v>5</v>
      </c>
      <c r="C19" s="60"/>
      <c r="D19" s="60"/>
      <c r="E19" s="60"/>
      <c r="F19" s="60"/>
      <c r="G19" s="60"/>
      <c r="H19" s="60"/>
      <c r="I19" s="60" t="s">
        <v>31</v>
      </c>
      <c r="J19" s="61">
        <v>0.0056</v>
      </c>
      <c r="K19" s="61">
        <v>-0.0001</v>
      </c>
      <c r="L19" s="61">
        <v>0.0043</v>
      </c>
      <c r="M19" s="61">
        <v>-0.0001</v>
      </c>
      <c r="N19" s="61">
        <v>0.0032</v>
      </c>
      <c r="O19" s="61">
        <v>0.0021</v>
      </c>
      <c r="P19" s="61">
        <v>0.0044</v>
      </c>
      <c r="Q19" s="61">
        <v>0.0069</v>
      </c>
      <c r="R19" s="61">
        <v>0.0038</v>
      </c>
      <c r="S19" s="61">
        <v>-0.0002</v>
      </c>
      <c r="T19" s="61">
        <v>0.0016</v>
      </c>
      <c r="U19" s="61">
        <v>0.0014</v>
      </c>
      <c r="V19" s="61"/>
      <c r="W19" s="61"/>
      <c r="X19" s="61"/>
      <c r="Y19" s="61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>
      <c r="A20" s="63"/>
      <c r="B20" s="59">
        <v>6</v>
      </c>
      <c r="C20" s="60"/>
      <c r="D20" s="60"/>
      <c r="E20" s="60"/>
      <c r="F20" s="60"/>
      <c r="G20" s="60"/>
      <c r="H20" s="60"/>
      <c r="I20" s="60" t="s">
        <v>31</v>
      </c>
      <c r="J20" s="61">
        <v>0.0091</v>
      </c>
      <c r="K20" s="61">
        <v>0.001</v>
      </c>
      <c r="L20" s="61">
        <v>0.0045</v>
      </c>
      <c r="M20" s="61">
        <v>0.0072</v>
      </c>
      <c r="N20" s="61">
        <v>0.0031</v>
      </c>
      <c r="O20" s="61">
        <v>0.0044</v>
      </c>
      <c r="P20" s="61">
        <v>0.0057</v>
      </c>
      <c r="Q20" s="61">
        <v>0.0078</v>
      </c>
      <c r="R20" s="61">
        <v>0.0051</v>
      </c>
      <c r="S20" s="61">
        <v>0.0047</v>
      </c>
      <c r="T20" s="61">
        <v>0.0001</v>
      </c>
      <c r="U20" s="61">
        <v>-0.0002</v>
      </c>
      <c r="V20" s="61"/>
      <c r="W20" s="61"/>
      <c r="X20" s="61"/>
      <c r="Y20" s="61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>
      <c r="A21" s="63"/>
      <c r="B21" s="59">
        <v>7</v>
      </c>
      <c r="C21" s="60"/>
      <c r="D21" s="60"/>
      <c r="E21" s="60"/>
      <c r="F21" s="60"/>
      <c r="G21" s="60"/>
      <c r="H21" s="60"/>
      <c r="I21" s="60" t="s">
        <v>31</v>
      </c>
      <c r="J21" s="61">
        <v>0.0074</v>
      </c>
      <c r="K21" s="61">
        <v>0.0045</v>
      </c>
      <c r="L21" s="61">
        <v>0.0057</v>
      </c>
      <c r="M21" s="61">
        <v>0.0064</v>
      </c>
      <c r="N21" s="61">
        <v>0.0046</v>
      </c>
      <c r="O21" s="61">
        <v>0.0071</v>
      </c>
      <c r="P21" s="61">
        <v>0.0052</v>
      </c>
      <c r="Q21" s="61">
        <v>0.0094</v>
      </c>
      <c r="R21" s="61">
        <v>0.0068</v>
      </c>
      <c r="S21" s="61">
        <v>0.0046</v>
      </c>
      <c r="T21" s="61">
        <v>0.002</v>
      </c>
      <c r="U21" s="61">
        <v>0</v>
      </c>
      <c r="V21" s="61"/>
      <c r="W21" s="61"/>
      <c r="X21" s="61"/>
      <c r="Y21" s="61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>
      <c r="A22" s="63"/>
      <c r="B22" s="59">
        <v>8</v>
      </c>
      <c r="C22" s="60"/>
      <c r="D22" s="60"/>
      <c r="E22" s="60"/>
      <c r="F22" s="60"/>
      <c r="G22" s="60"/>
      <c r="H22" s="60"/>
      <c r="I22" s="60" t="s">
        <v>31</v>
      </c>
      <c r="J22" s="61">
        <v>0.0082</v>
      </c>
      <c r="K22" s="61">
        <v>0.0032</v>
      </c>
      <c r="L22" s="61">
        <v>0.0047</v>
      </c>
      <c r="M22" s="61">
        <v>0.0056</v>
      </c>
      <c r="N22" s="61">
        <v>0.0065</v>
      </c>
      <c r="O22" s="61">
        <v>0.0032</v>
      </c>
      <c r="P22" s="61">
        <v>0.0048</v>
      </c>
      <c r="Q22" s="61">
        <v>0.0072</v>
      </c>
      <c r="R22" s="61">
        <v>0.005</v>
      </c>
      <c r="S22" s="61">
        <v>0.0023</v>
      </c>
      <c r="T22" s="61">
        <v>0.0036</v>
      </c>
      <c r="U22" s="61">
        <v>0.0005</v>
      </c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>
      <c r="A23" s="63"/>
      <c r="B23" s="59">
        <v>9</v>
      </c>
      <c r="C23" s="60"/>
      <c r="D23" s="60"/>
      <c r="E23" s="60"/>
      <c r="F23" s="60"/>
      <c r="G23" s="60"/>
      <c r="H23" s="60"/>
      <c r="I23" s="60" t="s">
        <v>31</v>
      </c>
      <c r="J23" s="61">
        <v>0.0065</v>
      </c>
      <c r="K23" s="61">
        <v>0.0059</v>
      </c>
      <c r="L23" s="61">
        <v>0.0046</v>
      </c>
      <c r="M23" s="61">
        <v>0.0078</v>
      </c>
      <c r="N23" s="61">
        <v>0.0079</v>
      </c>
      <c r="O23" s="61">
        <v>0.0041</v>
      </c>
      <c r="P23" s="61">
        <v>0.0044</v>
      </c>
      <c r="Q23" s="61">
        <v>0.0073</v>
      </c>
      <c r="R23" s="61">
        <v>0.0073</v>
      </c>
      <c r="S23" s="61">
        <v>0.0022</v>
      </c>
      <c r="T23" s="61">
        <v>0.006</v>
      </c>
      <c r="U23" s="61">
        <v>0.0022</v>
      </c>
      <c r="V23" s="61"/>
      <c r="W23" s="61"/>
      <c r="X23" s="61"/>
      <c r="Y23" s="61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>
      <c r="A24" s="63"/>
      <c r="B24" s="59">
        <v>10</v>
      </c>
      <c r="C24" s="60"/>
      <c r="D24" s="60"/>
      <c r="E24" s="60"/>
      <c r="F24" s="60"/>
      <c r="G24" s="60"/>
      <c r="H24" s="60"/>
      <c r="I24" s="60" t="s">
        <v>31</v>
      </c>
      <c r="J24" s="61">
        <v>0.0088</v>
      </c>
      <c r="K24" s="61">
        <v>0.0056</v>
      </c>
      <c r="L24" s="61">
        <v>0.0072</v>
      </c>
      <c r="M24" s="61">
        <v>0.0089</v>
      </c>
      <c r="N24" s="61">
        <v>0.0076</v>
      </c>
      <c r="O24" s="61">
        <v>0.0055</v>
      </c>
      <c r="P24" s="61">
        <v>0.0059</v>
      </c>
      <c r="Q24" s="61">
        <v>0.0109</v>
      </c>
      <c r="R24" s="61">
        <v>0.0075</v>
      </c>
      <c r="S24" s="61">
        <v>0.0047</v>
      </c>
      <c r="T24" s="61">
        <v>0.0059</v>
      </c>
      <c r="U24" s="61">
        <v>0.0038</v>
      </c>
      <c r="V24" s="61"/>
      <c r="W24" s="61"/>
      <c r="X24" s="61"/>
      <c r="Y24" s="61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>
      <c r="A25" s="63"/>
      <c r="B25" s="59">
        <v>11</v>
      </c>
      <c r="C25" s="60"/>
      <c r="D25" s="60"/>
      <c r="E25" s="60"/>
      <c r="F25" s="60"/>
      <c r="G25" s="60"/>
      <c r="H25" s="60"/>
      <c r="I25" s="60" t="s">
        <v>31</v>
      </c>
      <c r="J25" s="61">
        <v>0.0054</v>
      </c>
      <c r="K25" s="61">
        <v>-0.005</v>
      </c>
      <c r="L25" s="61">
        <v>0.0056</v>
      </c>
      <c r="M25" s="61">
        <v>0.0045</v>
      </c>
      <c r="N25" s="61">
        <v>0.0035</v>
      </c>
      <c r="O25" s="61">
        <v>0.004</v>
      </c>
      <c r="P25" s="61">
        <v>0.0018</v>
      </c>
      <c r="Q25" s="61">
        <v>0.0063</v>
      </c>
      <c r="R25" s="61">
        <v>0.0023</v>
      </c>
      <c r="S25" s="61">
        <v>0.0024</v>
      </c>
      <c r="T25" s="61">
        <v>-0.0037</v>
      </c>
      <c r="U25" s="61">
        <v>0.0023</v>
      </c>
      <c r="V25" s="61"/>
      <c r="W25" s="61"/>
      <c r="X25" s="61"/>
      <c r="Y25" s="61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>
      <c r="A26" s="63"/>
      <c r="B26" s="59">
        <v>12</v>
      </c>
      <c r="C26" s="60"/>
      <c r="D26" s="60"/>
      <c r="E26" s="60"/>
      <c r="F26" s="60"/>
      <c r="G26" s="60"/>
      <c r="H26" s="60"/>
      <c r="I26" s="60" t="s">
        <v>31</v>
      </c>
      <c r="J26" s="61">
        <v>0.0075</v>
      </c>
      <c r="K26" s="61">
        <v>-0.003</v>
      </c>
      <c r="L26" s="61">
        <v>0.0064</v>
      </c>
      <c r="M26" s="61">
        <v>0.0056</v>
      </c>
      <c r="N26" s="61">
        <v>0.0042</v>
      </c>
      <c r="O26" s="61">
        <v>0.0055</v>
      </c>
      <c r="P26" s="61">
        <v>0.0033</v>
      </c>
      <c r="Q26" s="61">
        <v>0.0087</v>
      </c>
      <c r="R26" s="61">
        <v>0.0025</v>
      </c>
      <c r="S26" s="61">
        <v>0.0035</v>
      </c>
      <c r="T26" s="61">
        <v>-0.0038</v>
      </c>
      <c r="U26" s="61">
        <v>0.004</v>
      </c>
      <c r="V26" s="61"/>
      <c r="W26" s="61"/>
      <c r="X26" s="61"/>
      <c r="Y26" s="61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>
      <c r="A27" s="63"/>
      <c r="B27" s="59">
        <v>13</v>
      </c>
      <c r="C27" s="60"/>
      <c r="D27" s="60"/>
      <c r="E27" s="60"/>
      <c r="F27" s="60"/>
      <c r="G27" s="60"/>
      <c r="H27" s="60"/>
      <c r="I27" s="60" t="s">
        <v>31</v>
      </c>
      <c r="J27" s="61">
        <v>0.0057</v>
      </c>
      <c r="K27" s="61">
        <v>-0.0046</v>
      </c>
      <c r="L27" s="61">
        <v>0.0058</v>
      </c>
      <c r="M27" s="61">
        <v>0.0017</v>
      </c>
      <c r="N27" s="61">
        <v>0.0067</v>
      </c>
      <c r="O27" s="61">
        <v>0.0043</v>
      </c>
      <c r="P27" s="61">
        <v>0.0025</v>
      </c>
      <c r="Q27" s="61">
        <v>0.0093</v>
      </c>
      <c r="R27" s="61">
        <v>0.0042</v>
      </c>
      <c r="S27" s="61">
        <v>0.0032</v>
      </c>
      <c r="T27" s="61">
        <v>-0.0074</v>
      </c>
      <c r="U27" s="61">
        <v>0.002</v>
      </c>
      <c r="V27" s="61"/>
      <c r="W27" s="61"/>
      <c r="X27" s="61"/>
      <c r="Y27" s="61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>
      <c r="A28" s="63"/>
      <c r="B28" s="59">
        <v>14</v>
      </c>
      <c r="C28" s="60"/>
      <c r="D28" s="60"/>
      <c r="E28" s="60"/>
      <c r="F28" s="60"/>
      <c r="G28" s="60"/>
      <c r="H28" s="60"/>
      <c r="I28" s="60" t="s">
        <v>31</v>
      </c>
      <c r="J28" s="61">
        <v>0.0041</v>
      </c>
      <c r="K28" s="61">
        <v>-0.0041</v>
      </c>
      <c r="L28" s="61">
        <v>0.0055</v>
      </c>
      <c r="M28" s="61">
        <v>0.0018</v>
      </c>
      <c r="N28" s="61">
        <v>0.0065</v>
      </c>
      <c r="O28" s="61">
        <v>0.0037</v>
      </c>
      <c r="P28" s="61">
        <v>0.0018</v>
      </c>
      <c r="Q28" s="61">
        <v>0.0093</v>
      </c>
      <c r="R28" s="61">
        <v>0.0046</v>
      </c>
      <c r="S28" s="61">
        <v>0.0014</v>
      </c>
      <c r="T28" s="61">
        <v>-0.0036</v>
      </c>
      <c r="U28" s="61">
        <v>0.0035</v>
      </c>
      <c r="V28" s="61"/>
      <c r="W28" s="61"/>
      <c r="X28" s="61"/>
      <c r="Y28" s="61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>
      <c r="A29" s="63"/>
      <c r="B29" s="59">
        <v>15</v>
      </c>
      <c r="C29" s="60"/>
      <c r="D29" s="60"/>
      <c r="E29" s="60"/>
      <c r="F29" s="60"/>
      <c r="G29" s="60"/>
      <c r="H29" s="60"/>
      <c r="I29" s="60" t="s">
        <v>31</v>
      </c>
      <c r="J29" s="61">
        <v>0.001</v>
      </c>
      <c r="K29" s="61">
        <v>-0.0042</v>
      </c>
      <c r="L29" s="61">
        <v>0.0014</v>
      </c>
      <c r="M29" s="61">
        <v>-0.0011</v>
      </c>
      <c r="N29" s="61">
        <v>0.0055</v>
      </c>
      <c r="O29" s="61">
        <v>0.0117</v>
      </c>
      <c r="P29" s="61">
        <v>-0.0007</v>
      </c>
      <c r="Q29" s="61">
        <v>0.0078</v>
      </c>
      <c r="R29" s="61">
        <v>0.003</v>
      </c>
      <c r="S29" s="61">
        <v>-0.0006</v>
      </c>
      <c r="T29" s="61">
        <v>-0.0068</v>
      </c>
      <c r="U29" s="61">
        <v>0.0014</v>
      </c>
      <c r="V29" s="61"/>
      <c r="W29" s="61"/>
      <c r="X29" s="61"/>
      <c r="Y29" s="61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>
      <c r="A30" s="63"/>
      <c r="B30" s="59">
        <v>16</v>
      </c>
      <c r="C30" s="60"/>
      <c r="D30" s="60"/>
      <c r="E30" s="60"/>
      <c r="F30" s="60"/>
      <c r="G30" s="60"/>
      <c r="H30" s="60"/>
      <c r="I30" s="60" t="s">
        <v>31</v>
      </c>
      <c r="J30" s="61">
        <v>0.0061</v>
      </c>
      <c r="K30" s="61">
        <v>-0.0023</v>
      </c>
      <c r="L30" s="61">
        <v>0.0096</v>
      </c>
      <c r="M30" s="61">
        <v>0.0009</v>
      </c>
      <c r="N30" s="61">
        <v>0.0045</v>
      </c>
      <c r="O30" s="61">
        <v>0.0031</v>
      </c>
      <c r="P30" s="61">
        <v>0.0028</v>
      </c>
      <c r="Q30" s="61">
        <v>0.0065</v>
      </c>
      <c r="R30" s="61">
        <v>0.0035</v>
      </c>
      <c r="S30" s="61">
        <v>0.0027</v>
      </c>
      <c r="T30" s="61">
        <v>-0.0014</v>
      </c>
      <c r="U30" s="61">
        <v>0.0004</v>
      </c>
      <c r="V30" s="61"/>
      <c r="W30" s="61"/>
      <c r="X30" s="61"/>
      <c r="Y30" s="61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>
      <c r="A31" s="63"/>
      <c r="B31" s="59">
        <v>17</v>
      </c>
      <c r="C31" s="60"/>
      <c r="D31" s="60"/>
      <c r="E31" s="60"/>
      <c r="F31" s="60"/>
      <c r="G31" s="60"/>
      <c r="H31" s="60"/>
      <c r="I31" s="60" t="s">
        <v>31</v>
      </c>
      <c r="J31" s="61">
        <v>0.0049</v>
      </c>
      <c r="K31" s="61">
        <v>-0.0018</v>
      </c>
      <c r="L31" s="61">
        <v>0.0051</v>
      </c>
      <c r="M31" s="61">
        <v>-0.0016</v>
      </c>
      <c r="N31" s="61">
        <v>0.0034</v>
      </c>
      <c r="O31" s="61">
        <v>0.0023</v>
      </c>
      <c r="P31" s="61">
        <v>0.0026</v>
      </c>
      <c r="Q31" s="61">
        <v>0.0032</v>
      </c>
      <c r="R31" s="61">
        <v>0.0045</v>
      </c>
      <c r="S31" s="61">
        <v>0.0013</v>
      </c>
      <c r="T31" s="61">
        <v>-0.0022</v>
      </c>
      <c r="U31" s="61">
        <v>0.0006</v>
      </c>
      <c r="V31" s="61"/>
      <c r="W31" s="61"/>
      <c r="X31" s="61"/>
      <c r="Y31" s="61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>
      <c r="A32" s="63"/>
      <c r="B32" s="59">
        <v>18</v>
      </c>
      <c r="C32" s="60"/>
      <c r="D32" s="60"/>
      <c r="E32" s="60"/>
      <c r="F32" s="60"/>
      <c r="G32" s="60"/>
      <c r="H32" s="60"/>
      <c r="I32" s="60" t="s">
        <v>31</v>
      </c>
      <c r="J32" s="61">
        <v>0.0066</v>
      </c>
      <c r="K32" s="61">
        <v>0.0006</v>
      </c>
      <c r="L32" s="61">
        <v>0.0046</v>
      </c>
      <c r="M32" s="61">
        <v>0.0063</v>
      </c>
      <c r="N32" s="61">
        <v>0.0056</v>
      </c>
      <c r="O32" s="61">
        <v>0.0032</v>
      </c>
      <c r="P32" s="61">
        <v>0.0045</v>
      </c>
      <c r="Q32" s="61">
        <v>0.0087</v>
      </c>
      <c r="R32" s="61">
        <v>0.0045</v>
      </c>
      <c r="S32" s="61">
        <v>0.0041</v>
      </c>
      <c r="T32" s="61">
        <v>0</v>
      </c>
      <c r="U32" s="61">
        <v>0.0004</v>
      </c>
      <c r="V32" s="61"/>
      <c r="W32" s="61"/>
      <c r="X32" s="61"/>
      <c r="Y32" s="61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>
      <c r="A33" s="63"/>
      <c r="B33" s="59">
        <v>19</v>
      </c>
      <c r="C33" s="60"/>
      <c r="D33" s="60"/>
      <c r="E33" s="60"/>
      <c r="F33" s="60"/>
      <c r="G33" s="60"/>
      <c r="H33" s="60"/>
      <c r="I33" s="60" t="s">
        <v>31</v>
      </c>
      <c r="J33" s="61">
        <v>0.0057</v>
      </c>
      <c r="K33" s="61">
        <v>0.0045</v>
      </c>
      <c r="L33" s="61">
        <v>0.0032</v>
      </c>
      <c r="M33" s="61">
        <v>0.0051</v>
      </c>
      <c r="N33" s="61">
        <v>0.0077</v>
      </c>
      <c r="O33" s="61">
        <v>0.0037</v>
      </c>
      <c r="P33" s="61">
        <v>0.0028</v>
      </c>
      <c r="Q33" s="61">
        <v>0.0055</v>
      </c>
      <c r="R33" s="61">
        <v>0.0041</v>
      </c>
      <c r="S33" s="61">
        <v>0.0019</v>
      </c>
      <c r="T33" s="61">
        <v>0.0036</v>
      </c>
      <c r="U33" s="61">
        <v>0.0023</v>
      </c>
      <c r="V33" s="61"/>
      <c r="W33" s="61"/>
      <c r="X33" s="61"/>
      <c r="Y33" s="61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>
      <c r="A34" s="63"/>
      <c r="B34" s="59">
        <v>20</v>
      </c>
      <c r="C34" s="60"/>
      <c r="D34" s="60"/>
      <c r="E34" s="60"/>
      <c r="F34" s="60"/>
      <c r="G34" s="60"/>
      <c r="H34" s="60"/>
      <c r="I34" s="60" t="s">
        <v>31</v>
      </c>
      <c r="J34" s="61">
        <v>0.0061</v>
      </c>
      <c r="K34" s="61">
        <v>-0.0024</v>
      </c>
      <c r="L34" s="61">
        <v>0.0072</v>
      </c>
      <c r="M34" s="61">
        <v>0.002</v>
      </c>
      <c r="N34" s="61">
        <v>0.0031</v>
      </c>
      <c r="O34" s="61">
        <v>0.0036</v>
      </c>
      <c r="P34" s="61">
        <v>0.0024</v>
      </c>
      <c r="Q34" s="61">
        <v>0.0032</v>
      </c>
      <c r="R34" s="61">
        <v>0.0003</v>
      </c>
      <c r="S34" s="61">
        <v>0.0017</v>
      </c>
      <c r="T34" s="61">
        <v>-0.0019</v>
      </c>
      <c r="U34" s="61">
        <v>0.0021</v>
      </c>
      <c r="V34" s="61"/>
      <c r="W34" s="61"/>
      <c r="X34" s="61"/>
      <c r="Y34" s="61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>
      <c r="A35" s="63"/>
      <c r="B35" s="59">
        <v>21</v>
      </c>
      <c r="C35" s="60"/>
      <c r="D35" s="60"/>
      <c r="E35" s="60"/>
      <c r="F35" s="60"/>
      <c r="G35" s="60"/>
      <c r="H35" s="60"/>
      <c r="I35" s="60" t="s">
        <v>31</v>
      </c>
      <c r="J35" s="61">
        <v>0.0015</v>
      </c>
      <c r="K35" s="61">
        <v>-0.0019</v>
      </c>
      <c r="L35" s="61">
        <v>0.0037</v>
      </c>
      <c r="M35" s="61">
        <v>0.0026</v>
      </c>
      <c r="N35" s="61">
        <v>0.0042</v>
      </c>
      <c r="O35" s="61">
        <v>0.0017</v>
      </c>
      <c r="P35" s="61">
        <v>0.0012</v>
      </c>
      <c r="Q35" s="61">
        <v>0.0064</v>
      </c>
      <c r="R35" s="61">
        <v>0.0029</v>
      </c>
      <c r="S35" s="61">
        <v>0.0001</v>
      </c>
      <c r="T35" s="61">
        <v>-0.0052</v>
      </c>
      <c r="U35" s="61">
        <v>0.0013</v>
      </c>
      <c r="V35" s="61"/>
      <c r="W35" s="61"/>
      <c r="X35" s="61"/>
      <c r="Y35" s="61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>
      <c r="A36" s="63"/>
      <c r="B36" s="59" t="s">
        <v>39</v>
      </c>
      <c r="C36" s="60" t="s">
        <v>40</v>
      </c>
      <c r="D36" s="60">
        <v>0</v>
      </c>
      <c r="E36" s="60">
        <v>0.04</v>
      </c>
      <c r="F36" s="60">
        <v>0</v>
      </c>
      <c r="G36" s="60">
        <f>D36+E36</f>
        <v>0.04</v>
      </c>
      <c r="H36" s="60">
        <f>D36+F36</f>
        <v>0</v>
      </c>
      <c r="I36" s="60" t="s">
        <v>31</v>
      </c>
      <c r="J36" s="61">
        <v>0.0028</v>
      </c>
      <c r="K36" s="61">
        <v>0.0021</v>
      </c>
      <c r="L36" s="61">
        <v>0.0017</v>
      </c>
      <c r="M36" s="61">
        <v>0.0013</v>
      </c>
      <c r="N36" s="61">
        <v>0.002</v>
      </c>
      <c r="O36" s="61">
        <v>0.0024</v>
      </c>
      <c r="P36" s="61">
        <v>0.0019</v>
      </c>
      <c r="Q36" s="61">
        <v>0.003</v>
      </c>
      <c r="R36" s="61">
        <v>0.0022</v>
      </c>
      <c r="S36" s="61">
        <v>0.0032</v>
      </c>
      <c r="T36" s="61">
        <v>0.001</v>
      </c>
      <c r="U36" s="61">
        <v>0.003</v>
      </c>
      <c r="V36" s="61"/>
      <c r="W36" s="61"/>
      <c r="X36" s="61"/>
      <c r="Y36" s="61"/>
      <c r="Z36" s="62" t="str">
        <f t="shared" ref="Z36:AO36" si="9">IF(J36="","",IF(J36&gt;($D36+$E36),(J36-$D36-$E36),IF(J36&lt;($D36+$F36),(J36-$D36-$F36),"√")))</f>
        <v>√</v>
      </c>
      <c r="AA36" s="62" t="str">
        <f t="shared" si="9"/>
        <v>√</v>
      </c>
      <c r="AB36" s="62" t="str">
        <f t="shared" si="9"/>
        <v>√</v>
      </c>
      <c r="AC36" s="62" t="str">
        <f t="shared" si="9"/>
        <v>√</v>
      </c>
      <c r="AD36" s="62" t="str">
        <f t="shared" si="9"/>
        <v>√</v>
      </c>
      <c r="AE36" s="62" t="str">
        <f t="shared" si="9"/>
        <v>√</v>
      </c>
      <c r="AF36" s="62" t="str">
        <f t="shared" si="9"/>
        <v>√</v>
      </c>
      <c r="AG36" s="62" t="str">
        <f t="shared" si="9"/>
        <v>√</v>
      </c>
      <c r="AH36" s="62" t="str">
        <f t="shared" si="9"/>
        <v>√</v>
      </c>
      <c r="AI36" s="62" t="str">
        <f t="shared" si="9"/>
        <v>√</v>
      </c>
      <c r="AJ36" s="62" t="str">
        <f t="shared" si="9"/>
        <v>√</v>
      </c>
      <c r="AK36" s="62" t="str">
        <f t="shared" si="9"/>
        <v>√</v>
      </c>
      <c r="AL36" s="62" t="str">
        <f t="shared" si="9"/>
        <v/>
      </c>
      <c r="AM36" s="62" t="str">
        <f t="shared" si="9"/>
        <v/>
      </c>
      <c r="AN36" s="62" t="str">
        <f t="shared" si="9"/>
        <v/>
      </c>
      <c r="AO36" s="62" t="str">
        <f t="shared" si="9"/>
        <v/>
      </c>
    </row>
    <row r="37" spans="1:41">
      <c r="A37" s="63"/>
      <c r="B37" s="59">
        <v>1</v>
      </c>
      <c r="C37" s="60"/>
      <c r="D37" s="60"/>
      <c r="E37" s="60"/>
      <c r="F37" s="60"/>
      <c r="G37" s="60"/>
      <c r="H37" s="60"/>
      <c r="I37" s="60" t="s">
        <v>31</v>
      </c>
      <c r="J37" s="61">
        <v>-0.0008</v>
      </c>
      <c r="K37" s="61">
        <v>-0.0011</v>
      </c>
      <c r="L37" s="61">
        <v>0.0007</v>
      </c>
      <c r="M37" s="61">
        <v>0.0007</v>
      </c>
      <c r="N37" s="61">
        <v>-0.001</v>
      </c>
      <c r="O37" s="61">
        <v>0.0005</v>
      </c>
      <c r="P37" s="61">
        <v>0.0003</v>
      </c>
      <c r="Q37" s="61">
        <v>-0.0008</v>
      </c>
      <c r="R37" s="61">
        <v>0.0011</v>
      </c>
      <c r="S37" s="61">
        <v>0.0016</v>
      </c>
      <c r="T37" s="61">
        <v>-0.0005</v>
      </c>
      <c r="U37" s="61">
        <v>-0.0015</v>
      </c>
      <c r="V37" s="61"/>
      <c r="W37" s="61"/>
      <c r="X37" s="61"/>
      <c r="Y37" s="61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>
      <c r="A38" s="63"/>
      <c r="B38" s="59">
        <v>2</v>
      </c>
      <c r="C38" s="60"/>
      <c r="D38" s="60"/>
      <c r="E38" s="60"/>
      <c r="F38" s="60"/>
      <c r="G38" s="60"/>
      <c r="H38" s="60"/>
      <c r="I38" s="60" t="s">
        <v>31</v>
      </c>
      <c r="J38" s="61">
        <v>0.0014</v>
      </c>
      <c r="K38" s="61">
        <v>-0.0008</v>
      </c>
      <c r="L38" s="61">
        <v>0.0009</v>
      </c>
      <c r="M38" s="61">
        <v>-0.0007</v>
      </c>
      <c r="N38" s="61">
        <v>0.0009</v>
      </c>
      <c r="O38" s="61">
        <v>0.0012</v>
      </c>
      <c r="P38" s="61">
        <v>0.001</v>
      </c>
      <c r="Q38" s="61">
        <v>0.0015</v>
      </c>
      <c r="R38" s="61">
        <v>0</v>
      </c>
      <c r="S38" s="61">
        <v>0.0005</v>
      </c>
      <c r="T38" s="61">
        <v>0.0005</v>
      </c>
      <c r="U38" s="61">
        <v>0.0015</v>
      </c>
      <c r="V38" s="61"/>
      <c r="W38" s="61"/>
      <c r="X38" s="61"/>
      <c r="Y38" s="61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>
      <c r="A39" s="63"/>
      <c r="B39" s="59">
        <v>3</v>
      </c>
      <c r="C39" s="60"/>
      <c r="D39" s="60"/>
      <c r="E39" s="60"/>
      <c r="F39" s="60"/>
      <c r="G39" s="60"/>
      <c r="H39" s="60"/>
      <c r="I39" s="60" t="s">
        <v>31</v>
      </c>
      <c r="J39" s="61">
        <v>0.0005</v>
      </c>
      <c r="K39" s="61">
        <v>0.0011</v>
      </c>
      <c r="L39" s="61">
        <v>-0.0006</v>
      </c>
      <c r="M39" s="61">
        <v>0.0005</v>
      </c>
      <c r="N39" s="61">
        <v>0.0001</v>
      </c>
      <c r="O39" s="61">
        <v>-0.0012</v>
      </c>
      <c r="P39" s="61">
        <v>-0.001</v>
      </c>
      <c r="Q39" s="61">
        <v>-0.0015</v>
      </c>
      <c r="R39" s="61">
        <v>0.0009</v>
      </c>
      <c r="S39" s="61">
        <v>-0.0016</v>
      </c>
      <c r="T39" s="61">
        <v>-0.0001</v>
      </c>
      <c r="U39" s="61">
        <v>0</v>
      </c>
      <c r="V39" s="61"/>
      <c r="W39" s="61"/>
      <c r="X39" s="61"/>
      <c r="Y39" s="61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>
      <c r="A40" s="63"/>
      <c r="B40" s="59">
        <v>4</v>
      </c>
      <c r="C40" s="60"/>
      <c r="D40" s="60"/>
      <c r="E40" s="60"/>
      <c r="F40" s="60"/>
      <c r="G40" s="60"/>
      <c r="H40" s="60"/>
      <c r="I40" s="60" t="s">
        <v>31</v>
      </c>
      <c r="J40" s="61">
        <v>-0.0014</v>
      </c>
      <c r="K40" s="61">
        <v>0.0002</v>
      </c>
      <c r="L40" s="61">
        <v>-0.0009</v>
      </c>
      <c r="M40" s="61">
        <v>-0.0001</v>
      </c>
      <c r="N40" s="61">
        <v>0.001</v>
      </c>
      <c r="O40" s="61">
        <v>-0.0011</v>
      </c>
      <c r="P40" s="61">
        <v>-0.0005</v>
      </c>
      <c r="Q40" s="61">
        <v>-0.0014</v>
      </c>
      <c r="R40" s="61">
        <v>-0.0011</v>
      </c>
      <c r="S40" s="61">
        <v>-0.0016</v>
      </c>
      <c r="T40" s="61">
        <v>0.0001</v>
      </c>
      <c r="U40" s="61">
        <v>0</v>
      </c>
      <c r="V40" s="61"/>
      <c r="W40" s="61"/>
      <c r="X40" s="61"/>
      <c r="Y40" s="61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>
      <c r="A41" s="63"/>
      <c r="B41" s="59" t="s">
        <v>41</v>
      </c>
      <c r="C41" s="60" t="s">
        <v>40</v>
      </c>
      <c r="D41" s="60">
        <v>0</v>
      </c>
      <c r="E41" s="60">
        <v>0.04</v>
      </c>
      <c r="F41" s="60">
        <v>0</v>
      </c>
      <c r="G41" s="60">
        <f>D41+E41</f>
        <v>0.04</v>
      </c>
      <c r="H41" s="60">
        <f>D41+F41</f>
        <v>0</v>
      </c>
      <c r="I41" s="60" t="s">
        <v>31</v>
      </c>
      <c r="J41" s="61">
        <v>0.0015</v>
      </c>
      <c r="K41" s="61">
        <v>0.0027</v>
      </c>
      <c r="L41" s="61">
        <v>0.0016</v>
      </c>
      <c r="M41" s="61">
        <v>0.0035</v>
      </c>
      <c r="N41" s="61">
        <v>0.0024</v>
      </c>
      <c r="O41" s="61">
        <v>0.0005</v>
      </c>
      <c r="P41" s="61">
        <v>0.0009</v>
      </c>
      <c r="Q41" s="61">
        <v>0.0009</v>
      </c>
      <c r="R41" s="61">
        <v>0.0026</v>
      </c>
      <c r="S41" s="61">
        <v>0.0031</v>
      </c>
      <c r="T41" s="61">
        <v>0.0036</v>
      </c>
      <c r="U41" s="61">
        <v>0.0016</v>
      </c>
      <c r="V41" s="61"/>
      <c r="W41" s="61"/>
      <c r="X41" s="61"/>
      <c r="Y41" s="61"/>
      <c r="Z41" s="62" t="str">
        <f t="shared" ref="Z41:AO41" si="10">IF(J41="","",IF(J41&gt;($D41+$E41),(J41-$D41-$E41),IF(J41&lt;($D41+$F41),(J41-$D41-$F41),"√")))</f>
        <v>√</v>
      </c>
      <c r="AA41" s="62" t="str">
        <f t="shared" si="10"/>
        <v>√</v>
      </c>
      <c r="AB41" s="62" t="str">
        <f t="shared" si="10"/>
        <v>√</v>
      </c>
      <c r="AC41" s="62" t="str">
        <f t="shared" si="10"/>
        <v>√</v>
      </c>
      <c r="AD41" s="62" t="str">
        <f t="shared" si="10"/>
        <v>√</v>
      </c>
      <c r="AE41" s="62" t="str">
        <f t="shared" si="10"/>
        <v>√</v>
      </c>
      <c r="AF41" s="62" t="str">
        <f t="shared" si="10"/>
        <v>√</v>
      </c>
      <c r="AG41" s="62" t="str">
        <f t="shared" si="10"/>
        <v>√</v>
      </c>
      <c r="AH41" s="62" t="str">
        <f t="shared" si="10"/>
        <v>√</v>
      </c>
      <c r="AI41" s="62" t="str">
        <f t="shared" si="10"/>
        <v>√</v>
      </c>
      <c r="AJ41" s="62" t="str">
        <f t="shared" si="10"/>
        <v>√</v>
      </c>
      <c r="AK41" s="62" t="str">
        <f t="shared" si="10"/>
        <v>√</v>
      </c>
      <c r="AL41" s="62" t="str">
        <f t="shared" si="10"/>
        <v/>
      </c>
      <c r="AM41" s="62" t="str">
        <f t="shared" si="10"/>
        <v/>
      </c>
      <c r="AN41" s="62" t="str">
        <f t="shared" si="10"/>
        <v/>
      </c>
      <c r="AO41" s="62" t="str">
        <f t="shared" si="10"/>
        <v/>
      </c>
    </row>
    <row r="42" spans="1:41">
      <c r="A42" s="63"/>
      <c r="B42" s="59">
        <v>1</v>
      </c>
      <c r="C42" s="60"/>
      <c r="D42" s="60"/>
      <c r="E42" s="60"/>
      <c r="F42" s="60"/>
      <c r="G42" s="60"/>
      <c r="H42" s="60"/>
      <c r="I42" s="60" t="s">
        <v>31</v>
      </c>
      <c r="J42" s="61">
        <v>-0.0007</v>
      </c>
      <c r="K42" s="61">
        <v>0.0001</v>
      </c>
      <c r="L42" s="61">
        <v>-0.0006</v>
      </c>
      <c r="M42" s="61">
        <v>-0.0018</v>
      </c>
      <c r="N42" s="61">
        <v>0.0012</v>
      </c>
      <c r="O42" s="61">
        <v>0.0001</v>
      </c>
      <c r="P42" s="61">
        <v>0.0004</v>
      </c>
      <c r="Q42" s="61">
        <v>-0.0005</v>
      </c>
      <c r="R42" s="61">
        <v>0.001</v>
      </c>
      <c r="S42" s="61">
        <v>0.0016</v>
      </c>
      <c r="T42" s="61">
        <v>0.0008</v>
      </c>
      <c r="U42" s="61">
        <v>0.0003</v>
      </c>
      <c r="V42" s="61"/>
      <c r="W42" s="61"/>
      <c r="X42" s="61"/>
      <c r="Y42" s="61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>
      <c r="A43" s="63"/>
      <c r="B43" s="59">
        <v>2</v>
      </c>
      <c r="C43" s="60"/>
      <c r="D43" s="60"/>
      <c r="E43" s="60"/>
      <c r="F43" s="60"/>
      <c r="G43" s="60"/>
      <c r="H43" s="60"/>
      <c r="I43" s="60" t="s">
        <v>31</v>
      </c>
      <c r="J43" s="61">
        <v>-0.0006</v>
      </c>
      <c r="K43" s="61">
        <v>0.0014</v>
      </c>
      <c r="L43" s="61">
        <v>-0.0008</v>
      </c>
      <c r="M43" s="61">
        <v>0.001</v>
      </c>
      <c r="N43" s="61">
        <v>0.0009</v>
      </c>
      <c r="O43" s="61">
        <v>-0.0002</v>
      </c>
      <c r="P43" s="61">
        <v>-0.0004</v>
      </c>
      <c r="Q43" s="61">
        <v>0.0005</v>
      </c>
      <c r="R43" s="61">
        <v>0.0013</v>
      </c>
      <c r="S43" s="61">
        <v>0</v>
      </c>
      <c r="T43" s="61">
        <v>0.0018</v>
      </c>
      <c r="U43" s="61">
        <v>-0.0007</v>
      </c>
      <c r="V43" s="61"/>
      <c r="W43" s="61"/>
      <c r="X43" s="61"/>
      <c r="Y43" s="61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>
      <c r="A44" s="63"/>
      <c r="B44" s="59">
        <v>3</v>
      </c>
      <c r="C44" s="60"/>
      <c r="D44" s="60"/>
      <c r="E44" s="60"/>
      <c r="F44" s="60"/>
      <c r="G44" s="60"/>
      <c r="H44" s="60"/>
      <c r="I44" s="60" t="s">
        <v>31</v>
      </c>
      <c r="J44" s="61">
        <v>0.0008</v>
      </c>
      <c r="K44" s="61">
        <v>-0.0008</v>
      </c>
      <c r="L44" s="61">
        <v>0</v>
      </c>
      <c r="M44" s="61">
        <v>0.0018</v>
      </c>
      <c r="N44" s="61">
        <v>-0.0006</v>
      </c>
      <c r="O44" s="61">
        <v>-0.0003</v>
      </c>
      <c r="P44" s="61">
        <v>-0.0004</v>
      </c>
      <c r="Q44" s="61">
        <v>0.0005</v>
      </c>
      <c r="R44" s="61">
        <v>-0.0013</v>
      </c>
      <c r="S44" s="61">
        <v>-0.0015</v>
      </c>
      <c r="T44" s="61">
        <v>-0.0018</v>
      </c>
      <c r="U44" s="61">
        <v>-0.0008</v>
      </c>
      <c r="V44" s="61"/>
      <c r="W44" s="61"/>
      <c r="X44" s="61"/>
      <c r="Y44" s="61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>
      <c r="A45" s="63"/>
      <c r="B45" s="59">
        <v>4</v>
      </c>
      <c r="C45" s="60"/>
      <c r="D45" s="60"/>
      <c r="E45" s="60"/>
      <c r="F45" s="60"/>
      <c r="G45" s="60"/>
      <c r="H45" s="60"/>
      <c r="I45" s="60" t="s">
        <v>31</v>
      </c>
      <c r="J45" s="61">
        <v>-0.0008</v>
      </c>
      <c r="K45" s="61">
        <v>-0.0014</v>
      </c>
      <c r="L45" s="61">
        <v>0.0008</v>
      </c>
      <c r="M45" s="61">
        <v>-0.0004</v>
      </c>
      <c r="N45" s="61">
        <v>-0.0012</v>
      </c>
      <c r="O45" s="61">
        <v>0.0003</v>
      </c>
      <c r="P45" s="61">
        <v>0.0002</v>
      </c>
      <c r="Q45" s="61">
        <v>0.0001</v>
      </c>
      <c r="R45" s="61">
        <v>-0.0004</v>
      </c>
      <c r="S45" s="61">
        <v>-0.0016</v>
      </c>
      <c r="T45" s="61">
        <v>-0.0005</v>
      </c>
      <c r="U45" s="61">
        <v>0.0008</v>
      </c>
      <c r="V45" s="61"/>
      <c r="W45" s="61"/>
      <c r="X45" s="61"/>
      <c r="Y45" s="61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>
      <c r="A46" s="63"/>
      <c r="B46" s="59" t="s">
        <v>42</v>
      </c>
      <c r="C46" s="60"/>
      <c r="D46" s="60">
        <v>0.7</v>
      </c>
      <c r="E46" s="60">
        <v>0.05</v>
      </c>
      <c r="F46" s="60">
        <v>-0.05</v>
      </c>
      <c r="G46" s="60">
        <f t="shared" ref="G46:G50" si="11">D46+E46</f>
        <v>0.75</v>
      </c>
      <c r="H46" s="60">
        <f t="shared" ref="H46:H50" si="12">D46+F46</f>
        <v>0.65</v>
      </c>
      <c r="I46" s="60" t="s">
        <v>31</v>
      </c>
      <c r="J46" s="61">
        <v>0.7051</v>
      </c>
      <c r="K46" s="61">
        <v>0.6934</v>
      </c>
      <c r="L46" s="61">
        <v>0.7047</v>
      </c>
      <c r="M46" s="61">
        <v>0.6996</v>
      </c>
      <c r="N46" s="61">
        <v>0.7064</v>
      </c>
      <c r="O46" s="61">
        <v>0.7049</v>
      </c>
      <c r="P46" s="61">
        <v>0.7048</v>
      </c>
      <c r="Q46" s="61">
        <v>0.7109</v>
      </c>
      <c r="R46" s="61">
        <v>0.7061</v>
      </c>
      <c r="S46" s="61">
        <v>0.7008</v>
      </c>
      <c r="T46" s="61">
        <v>0.6968</v>
      </c>
      <c r="U46" s="61">
        <v>0.7043</v>
      </c>
      <c r="V46" s="61"/>
      <c r="W46" s="61"/>
      <c r="X46" s="61"/>
      <c r="Y46" s="61"/>
      <c r="Z46" s="62" t="str">
        <f t="shared" ref="Z46:AO46" si="13">IF(J46="","",IF(J46&gt;($D46+$E46),(J46-$D46-$E46),IF(J46&lt;($D46+$F46),(J46-$D46-$F46),"√")))</f>
        <v>√</v>
      </c>
      <c r="AA46" s="62" t="str">
        <f t="shared" si="13"/>
        <v>√</v>
      </c>
      <c r="AB46" s="62" t="str">
        <f t="shared" si="13"/>
        <v>√</v>
      </c>
      <c r="AC46" s="62" t="str">
        <f t="shared" si="13"/>
        <v>√</v>
      </c>
      <c r="AD46" s="62" t="str">
        <f t="shared" si="13"/>
        <v>√</v>
      </c>
      <c r="AE46" s="62" t="str">
        <f t="shared" si="13"/>
        <v>√</v>
      </c>
      <c r="AF46" s="62" t="str">
        <f t="shared" si="13"/>
        <v>√</v>
      </c>
      <c r="AG46" s="62" t="str">
        <f t="shared" si="13"/>
        <v>√</v>
      </c>
      <c r="AH46" s="62" t="str">
        <f t="shared" si="13"/>
        <v>√</v>
      </c>
      <c r="AI46" s="62" t="str">
        <f t="shared" si="13"/>
        <v>√</v>
      </c>
      <c r="AJ46" s="62" t="str">
        <f t="shared" si="13"/>
        <v>√</v>
      </c>
      <c r="AK46" s="62" t="str">
        <f t="shared" si="13"/>
        <v>√</v>
      </c>
      <c r="AL46" s="62" t="str">
        <f t="shared" si="13"/>
        <v/>
      </c>
      <c r="AM46" s="62" t="str">
        <f t="shared" si="13"/>
        <v/>
      </c>
      <c r="AN46" s="62" t="str">
        <f t="shared" si="13"/>
        <v/>
      </c>
      <c r="AO46" s="62" t="str">
        <f t="shared" si="13"/>
        <v/>
      </c>
    </row>
    <row r="47" spans="1:41">
      <c r="A47" s="63"/>
      <c r="B47" s="59" t="s">
        <v>43</v>
      </c>
      <c r="C47" s="60"/>
      <c r="D47" s="60">
        <v>0.7</v>
      </c>
      <c r="E47" s="60">
        <v>0.05</v>
      </c>
      <c r="F47" s="60">
        <v>-0.05</v>
      </c>
      <c r="G47" s="60">
        <f t="shared" si="11"/>
        <v>0.75</v>
      </c>
      <c r="H47" s="60">
        <f t="shared" si="12"/>
        <v>0.65</v>
      </c>
      <c r="I47" s="60" t="s">
        <v>31</v>
      </c>
      <c r="J47" s="61">
        <v>0.7083</v>
      </c>
      <c r="K47" s="61">
        <v>0.7022</v>
      </c>
      <c r="L47" s="61">
        <v>0.7063</v>
      </c>
      <c r="M47" s="61">
        <v>0.7048</v>
      </c>
      <c r="N47" s="61">
        <v>0.7043</v>
      </c>
      <c r="O47" s="61">
        <v>0.7041</v>
      </c>
      <c r="P47" s="61">
        <v>0.7032</v>
      </c>
      <c r="Q47" s="61">
        <v>0.7109</v>
      </c>
      <c r="R47" s="61">
        <v>0.7042</v>
      </c>
      <c r="S47" s="61">
        <v>0.7022</v>
      </c>
      <c r="T47" s="61">
        <v>0.7012</v>
      </c>
      <c r="U47" s="61">
        <v>0.7018</v>
      </c>
      <c r="V47" s="61"/>
      <c r="W47" s="61"/>
      <c r="X47" s="61"/>
      <c r="Y47" s="61"/>
      <c r="Z47" s="62" t="str">
        <f t="shared" ref="Z47:AO47" si="14">IF(J47="","",IF(J47&gt;($D47+$E47),(J47-$D47-$E47),IF(J47&lt;($D47+$F47),(J47-$D47-$F47),"√")))</f>
        <v>√</v>
      </c>
      <c r="AA47" s="62" t="str">
        <f t="shared" si="14"/>
        <v>√</v>
      </c>
      <c r="AB47" s="62" t="str">
        <f t="shared" si="14"/>
        <v>√</v>
      </c>
      <c r="AC47" s="62" t="str">
        <f t="shared" si="14"/>
        <v>√</v>
      </c>
      <c r="AD47" s="62" t="str">
        <f t="shared" si="14"/>
        <v>√</v>
      </c>
      <c r="AE47" s="62" t="str">
        <f t="shared" si="14"/>
        <v>√</v>
      </c>
      <c r="AF47" s="62" t="str">
        <f t="shared" si="14"/>
        <v>√</v>
      </c>
      <c r="AG47" s="62" t="str">
        <f t="shared" si="14"/>
        <v>√</v>
      </c>
      <c r="AH47" s="62" t="str">
        <f t="shared" si="14"/>
        <v>√</v>
      </c>
      <c r="AI47" s="62" t="str">
        <f t="shared" si="14"/>
        <v>√</v>
      </c>
      <c r="AJ47" s="62" t="str">
        <f t="shared" si="14"/>
        <v>√</v>
      </c>
      <c r="AK47" s="62" t="str">
        <f t="shared" si="14"/>
        <v>√</v>
      </c>
      <c r="AL47" s="62" t="str">
        <f t="shared" si="14"/>
        <v/>
      </c>
      <c r="AM47" s="62" t="str">
        <f t="shared" si="14"/>
        <v/>
      </c>
      <c r="AN47" s="62" t="str">
        <f t="shared" si="14"/>
        <v/>
      </c>
      <c r="AO47" s="62" t="str">
        <f t="shared" si="14"/>
        <v/>
      </c>
    </row>
    <row r="48" spans="1:41">
      <c r="A48" s="63"/>
      <c r="B48" s="59" t="s">
        <v>44</v>
      </c>
      <c r="C48" s="60"/>
      <c r="D48" s="60">
        <v>0.7</v>
      </c>
      <c r="E48" s="60">
        <v>0.05</v>
      </c>
      <c r="F48" s="60">
        <v>-0.05</v>
      </c>
      <c r="G48" s="60">
        <f t="shared" si="11"/>
        <v>0.75</v>
      </c>
      <c r="H48" s="60">
        <f t="shared" si="12"/>
        <v>0.65</v>
      </c>
      <c r="I48" s="60" t="s">
        <v>31</v>
      </c>
      <c r="J48" s="61">
        <v>0.7055</v>
      </c>
      <c r="K48" s="61">
        <v>0.7028</v>
      </c>
      <c r="L48" s="61">
        <v>0.7062</v>
      </c>
      <c r="M48" s="61">
        <v>0.7069</v>
      </c>
      <c r="N48" s="61">
        <v>0.7057</v>
      </c>
      <c r="O48" s="61">
        <v>0.7046</v>
      </c>
      <c r="P48" s="61">
        <v>0.7042</v>
      </c>
      <c r="Q48" s="61">
        <v>0.7066</v>
      </c>
      <c r="R48" s="61">
        <v>0.7061</v>
      </c>
      <c r="S48" s="61">
        <v>0.7049</v>
      </c>
      <c r="T48" s="61">
        <v>0.701</v>
      </c>
      <c r="U48" s="61">
        <v>0.7046</v>
      </c>
      <c r="V48" s="61"/>
      <c r="W48" s="61"/>
      <c r="X48" s="61"/>
      <c r="Y48" s="61"/>
      <c r="Z48" s="62" t="str">
        <f t="shared" ref="Z48:AO48" si="15">IF(J48="","",IF(J48&gt;($D48+$E48),(J48-$D48-$E48),IF(J48&lt;($D48+$F48),(J48-$D48-$F48),"√")))</f>
        <v>√</v>
      </c>
      <c r="AA48" s="62" t="str">
        <f t="shared" si="15"/>
        <v>√</v>
      </c>
      <c r="AB48" s="62" t="str">
        <f t="shared" si="15"/>
        <v>√</v>
      </c>
      <c r="AC48" s="62" t="str">
        <f t="shared" si="15"/>
        <v>√</v>
      </c>
      <c r="AD48" s="62" t="str">
        <f t="shared" si="15"/>
        <v>√</v>
      </c>
      <c r="AE48" s="62" t="str">
        <f t="shared" si="15"/>
        <v>√</v>
      </c>
      <c r="AF48" s="62" t="str">
        <f t="shared" si="15"/>
        <v>√</v>
      </c>
      <c r="AG48" s="62" t="str">
        <f t="shared" si="15"/>
        <v>√</v>
      </c>
      <c r="AH48" s="62" t="str">
        <f t="shared" si="15"/>
        <v>√</v>
      </c>
      <c r="AI48" s="62" t="str">
        <f t="shared" si="15"/>
        <v>√</v>
      </c>
      <c r="AJ48" s="62" t="str">
        <f t="shared" si="15"/>
        <v>√</v>
      </c>
      <c r="AK48" s="62" t="str">
        <f t="shared" si="15"/>
        <v>√</v>
      </c>
      <c r="AL48" s="62" t="str">
        <f t="shared" si="15"/>
        <v/>
      </c>
      <c r="AM48" s="62" t="str">
        <f t="shared" si="15"/>
        <v/>
      </c>
      <c r="AN48" s="62" t="str">
        <f t="shared" si="15"/>
        <v/>
      </c>
      <c r="AO48" s="62" t="str">
        <f t="shared" si="15"/>
        <v/>
      </c>
    </row>
    <row r="49" spans="1:41">
      <c r="A49" s="63"/>
      <c r="B49" s="59" t="s">
        <v>45</v>
      </c>
      <c r="C49" s="60"/>
      <c r="D49" s="60">
        <v>0.965</v>
      </c>
      <c r="E49" s="60">
        <v>0.015</v>
      </c>
      <c r="F49" s="60">
        <v>-0.015</v>
      </c>
      <c r="G49" s="60">
        <f t="shared" si="11"/>
        <v>0.98</v>
      </c>
      <c r="H49" s="60">
        <f t="shared" si="12"/>
        <v>0.95</v>
      </c>
      <c r="I49" s="60" t="s">
        <v>31</v>
      </c>
      <c r="J49" s="61">
        <v>0.9763</v>
      </c>
      <c r="K49" s="61">
        <v>0.9757</v>
      </c>
      <c r="L49" s="61">
        <v>0.9735</v>
      </c>
      <c r="M49" s="61">
        <v>0.9772</v>
      </c>
      <c r="N49" s="61">
        <v>0.976</v>
      </c>
      <c r="O49" s="61">
        <v>0.9744</v>
      </c>
      <c r="P49" s="61">
        <v>0.9775</v>
      </c>
      <c r="Q49" s="61">
        <v>0.9759</v>
      </c>
      <c r="R49" s="61">
        <v>0.9772</v>
      </c>
      <c r="S49" s="61">
        <v>0.9773</v>
      </c>
      <c r="T49" s="61">
        <v>0.9782</v>
      </c>
      <c r="U49" s="61">
        <v>0.9727</v>
      </c>
      <c r="V49" s="61"/>
      <c r="W49" s="61"/>
      <c r="X49" s="61"/>
      <c r="Y49" s="61"/>
      <c r="Z49" s="62" t="str">
        <f t="shared" ref="Z49:AO49" si="16">IF(J49="","",IF(J49&gt;($D49+$E49),(J49-$D49-$E49),IF(J49&lt;($D49+$F49),(J49-$D49-$F49),"√")))</f>
        <v>√</v>
      </c>
      <c r="AA49" s="62" t="str">
        <f t="shared" si="16"/>
        <v>√</v>
      </c>
      <c r="AB49" s="62" t="str">
        <f t="shared" si="16"/>
        <v>√</v>
      </c>
      <c r="AC49" s="62" t="str">
        <f t="shared" si="16"/>
        <v>√</v>
      </c>
      <c r="AD49" s="62" t="str">
        <f t="shared" si="16"/>
        <v>√</v>
      </c>
      <c r="AE49" s="62" t="str">
        <f t="shared" si="16"/>
        <v>√</v>
      </c>
      <c r="AF49" s="62" t="str">
        <f t="shared" si="16"/>
        <v>√</v>
      </c>
      <c r="AG49" s="62" t="str">
        <f t="shared" si="16"/>
        <v>√</v>
      </c>
      <c r="AH49" s="62" t="str">
        <f t="shared" si="16"/>
        <v>√</v>
      </c>
      <c r="AI49" s="62" t="str">
        <f t="shared" si="16"/>
        <v>√</v>
      </c>
      <c r="AJ49" s="62" t="str">
        <f t="shared" si="16"/>
        <v>√</v>
      </c>
      <c r="AK49" s="62" t="str">
        <f t="shared" si="16"/>
        <v>√</v>
      </c>
      <c r="AL49" s="62" t="str">
        <f t="shared" si="16"/>
        <v/>
      </c>
      <c r="AM49" s="62" t="str">
        <f t="shared" si="16"/>
        <v/>
      </c>
      <c r="AN49" s="62" t="str">
        <f t="shared" si="16"/>
        <v/>
      </c>
      <c r="AO49" s="62" t="str">
        <f t="shared" si="16"/>
        <v/>
      </c>
    </row>
    <row r="50" spans="1:41">
      <c r="A50" s="63"/>
      <c r="B50" s="59" t="s">
        <v>46</v>
      </c>
      <c r="C50" s="60" t="s">
        <v>47</v>
      </c>
      <c r="D50" s="60">
        <v>0</v>
      </c>
      <c r="E50" s="60">
        <v>0.03</v>
      </c>
      <c r="F50" s="60">
        <v>0</v>
      </c>
      <c r="G50" s="60">
        <f t="shared" si="11"/>
        <v>0.03</v>
      </c>
      <c r="H50" s="60">
        <f t="shared" si="12"/>
        <v>0</v>
      </c>
      <c r="I50" s="60" t="s">
        <v>31</v>
      </c>
      <c r="J50" s="61">
        <v>0.0005</v>
      </c>
      <c r="K50" s="61">
        <v>0.0034</v>
      </c>
      <c r="L50" s="61">
        <v>0.002</v>
      </c>
      <c r="M50" s="61">
        <v>0.0009</v>
      </c>
      <c r="N50" s="61">
        <v>0.0007</v>
      </c>
      <c r="O50" s="61">
        <v>0</v>
      </c>
      <c r="P50" s="61">
        <v>0.0011</v>
      </c>
      <c r="Q50" s="61">
        <v>0.0053</v>
      </c>
      <c r="R50" s="61">
        <v>0</v>
      </c>
      <c r="S50" s="61">
        <v>0.0005</v>
      </c>
      <c r="T50" s="61">
        <v>0.0001</v>
      </c>
      <c r="U50" s="61">
        <v>0.0011</v>
      </c>
      <c r="V50" s="61"/>
      <c r="W50" s="61"/>
      <c r="X50" s="61"/>
      <c r="Y50" s="61"/>
      <c r="Z50" s="62" t="str">
        <f t="shared" ref="Z50:AO50" si="17">IF(J50="","",IF(J50&gt;($D50+$E50),(J50-$D50-$E50),IF(J50&lt;($D50+$F50),(J50-$D50-$F50),"√")))</f>
        <v>√</v>
      </c>
      <c r="AA50" s="62" t="str">
        <f t="shared" si="17"/>
        <v>√</v>
      </c>
      <c r="AB50" s="62" t="str">
        <f t="shared" si="17"/>
        <v>√</v>
      </c>
      <c r="AC50" s="62" t="str">
        <f t="shared" si="17"/>
        <v>√</v>
      </c>
      <c r="AD50" s="62" t="str">
        <f t="shared" si="17"/>
        <v>√</v>
      </c>
      <c r="AE50" s="62" t="str">
        <f t="shared" si="17"/>
        <v>√</v>
      </c>
      <c r="AF50" s="62" t="str">
        <f t="shared" si="17"/>
        <v>√</v>
      </c>
      <c r="AG50" s="62" t="str">
        <f t="shared" si="17"/>
        <v>√</v>
      </c>
      <c r="AH50" s="62" t="str">
        <f t="shared" si="17"/>
        <v>√</v>
      </c>
      <c r="AI50" s="62" t="str">
        <f t="shared" si="17"/>
        <v>√</v>
      </c>
      <c r="AJ50" s="62" t="str">
        <f t="shared" si="17"/>
        <v>√</v>
      </c>
      <c r="AK50" s="62" t="str">
        <f t="shared" si="17"/>
        <v>√</v>
      </c>
      <c r="AL50" s="62" t="str">
        <f t="shared" si="17"/>
        <v/>
      </c>
      <c r="AM50" s="62" t="str">
        <f t="shared" si="17"/>
        <v/>
      </c>
      <c r="AN50" s="62" t="str">
        <f t="shared" si="17"/>
        <v/>
      </c>
      <c r="AO50" s="62" t="str">
        <f t="shared" si="17"/>
        <v/>
      </c>
    </row>
    <row r="51" spans="1:41">
      <c r="A51" s="63"/>
      <c r="B51" s="59">
        <v>1</v>
      </c>
      <c r="C51" s="60"/>
      <c r="D51" s="60"/>
      <c r="E51" s="60"/>
      <c r="F51" s="60"/>
      <c r="G51" s="60"/>
      <c r="H51" s="60"/>
      <c r="I51" s="60" t="s">
        <v>31</v>
      </c>
      <c r="J51" s="61">
        <v>-0.0002</v>
      </c>
      <c r="K51" s="61">
        <v>0.0013</v>
      </c>
      <c r="L51" s="61">
        <v>-0.0008</v>
      </c>
      <c r="M51" s="61">
        <v>0.0004</v>
      </c>
      <c r="N51" s="61">
        <v>-0.0003</v>
      </c>
      <c r="O51" s="61">
        <v>0</v>
      </c>
      <c r="P51" s="61">
        <v>-0.0004</v>
      </c>
      <c r="Q51" s="61">
        <v>-0.0021</v>
      </c>
      <c r="R51" s="61">
        <v>0</v>
      </c>
      <c r="S51" s="61">
        <v>0.0002</v>
      </c>
      <c r="T51" s="61">
        <v>0.0001</v>
      </c>
      <c r="U51" s="61">
        <v>0.0004</v>
      </c>
      <c r="V51" s="61"/>
      <c r="W51" s="61"/>
      <c r="X51" s="61"/>
      <c r="Y51" s="61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>
      <c r="A52" s="63"/>
      <c r="B52" s="59">
        <v>2</v>
      </c>
      <c r="C52" s="60"/>
      <c r="D52" s="60"/>
      <c r="E52" s="60"/>
      <c r="F52" s="60"/>
      <c r="G52" s="60"/>
      <c r="H52" s="60"/>
      <c r="I52" s="60" t="s">
        <v>31</v>
      </c>
      <c r="J52" s="61">
        <v>0.0002</v>
      </c>
      <c r="K52" s="61">
        <v>-0.0013</v>
      </c>
      <c r="L52" s="61">
        <v>0.0008</v>
      </c>
      <c r="M52" s="61">
        <v>-0.0004</v>
      </c>
      <c r="N52" s="61">
        <v>0.0003</v>
      </c>
      <c r="O52" s="61">
        <v>0</v>
      </c>
      <c r="P52" s="61">
        <v>0.0004</v>
      </c>
      <c r="Q52" s="61">
        <v>0.0021</v>
      </c>
      <c r="R52" s="61">
        <v>0</v>
      </c>
      <c r="S52" s="61">
        <v>-0.0002</v>
      </c>
      <c r="T52" s="61">
        <v>-0.0001</v>
      </c>
      <c r="U52" s="61">
        <v>-0.0004</v>
      </c>
      <c r="V52" s="61"/>
      <c r="W52" s="61"/>
      <c r="X52" s="61"/>
      <c r="Y52" s="61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>
      <c r="A53" s="63"/>
      <c r="B53" s="59">
        <v>3</v>
      </c>
      <c r="C53" s="60"/>
      <c r="D53" s="60"/>
      <c r="E53" s="60"/>
      <c r="F53" s="60"/>
      <c r="G53" s="60"/>
      <c r="H53" s="60"/>
      <c r="I53" s="60" t="s">
        <v>31</v>
      </c>
      <c r="J53" s="61">
        <v>0.0003</v>
      </c>
      <c r="K53" s="61">
        <v>-0.0017</v>
      </c>
      <c r="L53" s="61">
        <v>0.001</v>
      </c>
      <c r="M53" s="61">
        <v>-0.0004</v>
      </c>
      <c r="N53" s="61">
        <v>0.0003</v>
      </c>
      <c r="O53" s="61">
        <v>0</v>
      </c>
      <c r="P53" s="61">
        <v>0.0005</v>
      </c>
      <c r="Q53" s="61">
        <v>0.0027</v>
      </c>
      <c r="R53" s="61">
        <v>0</v>
      </c>
      <c r="S53" s="61">
        <v>-0.0003</v>
      </c>
      <c r="T53" s="61">
        <v>-0.0001</v>
      </c>
      <c r="U53" s="61">
        <v>-0.0005</v>
      </c>
      <c r="V53" s="61"/>
      <c r="W53" s="61"/>
      <c r="X53" s="61"/>
      <c r="Y53" s="61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>
      <c r="A54" s="63"/>
      <c r="B54" s="59">
        <v>4</v>
      </c>
      <c r="C54" s="60"/>
      <c r="D54" s="60"/>
      <c r="E54" s="60"/>
      <c r="F54" s="60"/>
      <c r="G54" s="60"/>
      <c r="H54" s="60"/>
      <c r="I54" s="60" t="s">
        <v>31</v>
      </c>
      <c r="J54" s="61">
        <v>-0.0003</v>
      </c>
      <c r="K54" s="61">
        <v>0.0017</v>
      </c>
      <c r="L54" s="61">
        <v>-0.001</v>
      </c>
      <c r="M54" s="61">
        <v>0.0004</v>
      </c>
      <c r="N54" s="61">
        <v>-0.0003</v>
      </c>
      <c r="O54" s="61">
        <v>0</v>
      </c>
      <c r="P54" s="61">
        <v>-0.0005</v>
      </c>
      <c r="Q54" s="61">
        <v>-0.0026</v>
      </c>
      <c r="R54" s="61">
        <v>0</v>
      </c>
      <c r="S54" s="61">
        <v>0.0003</v>
      </c>
      <c r="T54" s="61">
        <v>0.0001</v>
      </c>
      <c r="U54" s="61">
        <v>0.0005</v>
      </c>
      <c r="V54" s="61"/>
      <c r="W54" s="61"/>
      <c r="X54" s="61"/>
      <c r="Y54" s="61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>
      <c r="A55" s="63"/>
      <c r="B55" s="59" t="s">
        <v>48</v>
      </c>
      <c r="C55" s="60"/>
      <c r="D55" s="60">
        <v>0</v>
      </c>
      <c r="E55" s="60">
        <v>0.08</v>
      </c>
      <c r="F55" s="60">
        <v>0</v>
      </c>
      <c r="G55" s="60">
        <f>D55+E55</f>
        <v>0.08</v>
      </c>
      <c r="H55" s="60">
        <f>D55+F55</f>
        <v>0</v>
      </c>
      <c r="I55" s="60" t="s">
        <v>31</v>
      </c>
      <c r="J55" s="61">
        <v>0.0044</v>
      </c>
      <c r="K55" s="61">
        <v>0.0096</v>
      </c>
      <c r="L55" s="61">
        <v>0.0056</v>
      </c>
      <c r="M55" s="61">
        <v>0.0101</v>
      </c>
      <c r="N55" s="61">
        <v>0.0048</v>
      </c>
      <c r="O55" s="61">
        <v>0.0047</v>
      </c>
      <c r="P55" s="61">
        <v>0.0129</v>
      </c>
      <c r="Q55" s="61">
        <v>0.0072</v>
      </c>
      <c r="R55" s="61">
        <v>0.0106</v>
      </c>
      <c r="S55" s="61">
        <v>0.0087</v>
      </c>
      <c r="T55" s="61">
        <v>0.011</v>
      </c>
      <c r="U55" s="61">
        <v>0.0091</v>
      </c>
      <c r="V55" s="61"/>
      <c r="W55" s="61"/>
      <c r="X55" s="61"/>
      <c r="Y55" s="61"/>
      <c r="Z55" s="62" t="str">
        <f t="shared" ref="Z55:AO55" si="18">IF(J55="","",IF(J55&gt;($D55+$E55),(J55-$D55-$E55),IF(J55&lt;($D55+$F55),(J55-$D55-$F55),"√")))</f>
        <v>√</v>
      </c>
      <c r="AA55" s="62" t="str">
        <f t="shared" si="18"/>
        <v>√</v>
      </c>
      <c r="AB55" s="62" t="str">
        <f t="shared" si="18"/>
        <v>√</v>
      </c>
      <c r="AC55" s="62" t="str">
        <f t="shared" si="18"/>
        <v>√</v>
      </c>
      <c r="AD55" s="62" t="str">
        <f t="shared" si="18"/>
        <v>√</v>
      </c>
      <c r="AE55" s="62" t="str">
        <f t="shared" si="18"/>
        <v>√</v>
      </c>
      <c r="AF55" s="62" t="str">
        <f t="shared" si="18"/>
        <v>√</v>
      </c>
      <c r="AG55" s="62" t="str">
        <f t="shared" si="18"/>
        <v>√</v>
      </c>
      <c r="AH55" s="62" t="str">
        <f t="shared" si="18"/>
        <v>√</v>
      </c>
      <c r="AI55" s="62" t="str">
        <f t="shared" si="18"/>
        <v>√</v>
      </c>
      <c r="AJ55" s="62" t="str">
        <f t="shared" si="18"/>
        <v>√</v>
      </c>
      <c r="AK55" s="62" t="str">
        <f t="shared" si="18"/>
        <v>√</v>
      </c>
      <c r="AL55" s="62" t="str">
        <f t="shared" si="18"/>
        <v/>
      </c>
      <c r="AM55" s="62" t="str">
        <f t="shared" si="18"/>
        <v/>
      </c>
      <c r="AN55" s="62" t="str">
        <f t="shared" si="18"/>
        <v/>
      </c>
      <c r="AO55" s="62" t="str">
        <f t="shared" si="18"/>
        <v/>
      </c>
    </row>
    <row r="56" spans="1:41">
      <c r="A56" s="63"/>
      <c r="B56" s="59">
        <v>1</v>
      </c>
      <c r="C56" s="60"/>
      <c r="D56" s="60"/>
      <c r="E56" s="60"/>
      <c r="F56" s="60"/>
      <c r="G56" s="60"/>
      <c r="H56" s="60"/>
      <c r="I56" s="60" t="s">
        <v>31</v>
      </c>
      <c r="J56" s="61">
        <v>-0.0022</v>
      </c>
      <c r="K56" s="61">
        <v>-0.0037</v>
      </c>
      <c r="L56" s="61">
        <v>-0.0005</v>
      </c>
      <c r="M56" s="61">
        <v>-0.0051</v>
      </c>
      <c r="N56" s="61">
        <v>-0.0022</v>
      </c>
      <c r="O56" s="61">
        <v>-0.0014</v>
      </c>
      <c r="P56" s="61">
        <v>-0.0064</v>
      </c>
      <c r="Q56" s="61">
        <v>-0.0036</v>
      </c>
      <c r="R56" s="61">
        <v>-0.0053</v>
      </c>
      <c r="S56" s="61">
        <v>-0.0033</v>
      </c>
      <c r="T56" s="61">
        <v>-0.0055</v>
      </c>
      <c r="U56" s="61">
        <v>-0.0045</v>
      </c>
      <c r="V56" s="61"/>
      <c r="W56" s="61"/>
      <c r="X56" s="61"/>
      <c r="Y56" s="61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>
      <c r="A57" s="63"/>
      <c r="B57" s="59">
        <v>2</v>
      </c>
      <c r="C57" s="60"/>
      <c r="D57" s="60"/>
      <c r="E57" s="60"/>
      <c r="F57" s="60"/>
      <c r="G57" s="60"/>
      <c r="H57" s="60"/>
      <c r="I57" s="60" t="s">
        <v>31</v>
      </c>
      <c r="J57" s="61">
        <v>-0.0018</v>
      </c>
      <c r="K57" s="61">
        <v>-0.0048</v>
      </c>
      <c r="L57" s="61">
        <v>-0.0028</v>
      </c>
      <c r="M57" s="61">
        <v>-0.0046</v>
      </c>
      <c r="N57" s="61">
        <v>-0.0023</v>
      </c>
      <c r="O57" s="61">
        <v>-0.0024</v>
      </c>
      <c r="P57" s="61">
        <v>-0.0065</v>
      </c>
      <c r="Q57" s="61">
        <v>-0.0031</v>
      </c>
      <c r="R57" s="61">
        <v>-0.0046</v>
      </c>
      <c r="S57" s="61">
        <v>-0.0044</v>
      </c>
      <c r="T57" s="61">
        <v>-0.0054</v>
      </c>
      <c r="U57" s="61">
        <v>-0.0033</v>
      </c>
      <c r="V57" s="61"/>
      <c r="W57" s="61"/>
      <c r="X57" s="61"/>
      <c r="Y57" s="61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>
      <c r="A58" s="63"/>
      <c r="B58" s="59">
        <v>3</v>
      </c>
      <c r="C58" s="60"/>
      <c r="D58" s="60"/>
      <c r="E58" s="60"/>
      <c r="F58" s="60"/>
      <c r="G58" s="60"/>
      <c r="H58" s="60"/>
      <c r="I58" s="60" t="s">
        <v>31</v>
      </c>
      <c r="J58" s="61">
        <v>0.0022</v>
      </c>
      <c r="K58" s="61">
        <v>0.001</v>
      </c>
      <c r="L58" s="61">
        <v>0.0015</v>
      </c>
      <c r="M58" s="61">
        <v>0.0003</v>
      </c>
      <c r="N58" s="61">
        <v>0.0024</v>
      </c>
      <c r="O58" s="61">
        <v>0.0013</v>
      </c>
      <c r="P58" s="61">
        <v>-0.0025</v>
      </c>
      <c r="Q58" s="61">
        <v>-0.0018</v>
      </c>
      <c r="R58" s="61">
        <v>0.0002</v>
      </c>
      <c r="S58" s="61">
        <v>-0.001</v>
      </c>
      <c r="T58" s="61">
        <v>-0.0011</v>
      </c>
      <c r="U58" s="61">
        <v>-0.0005</v>
      </c>
      <c r="V58" s="61"/>
      <c r="W58" s="61"/>
      <c r="X58" s="61"/>
      <c r="Y58" s="61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>
      <c r="A59" s="63"/>
      <c r="B59" s="59">
        <v>4</v>
      </c>
      <c r="C59" s="60"/>
      <c r="D59" s="60"/>
      <c r="E59" s="60"/>
      <c r="F59" s="60"/>
      <c r="G59" s="60"/>
      <c r="H59" s="60"/>
      <c r="I59" s="60" t="s">
        <v>31</v>
      </c>
      <c r="J59" s="61">
        <v>0.0012</v>
      </c>
      <c r="K59" s="61">
        <v>0.0014</v>
      </c>
      <c r="L59" s="61">
        <v>0.0028</v>
      </c>
      <c r="M59" s="61">
        <v>-0.001</v>
      </c>
      <c r="N59" s="61">
        <v>0.0018</v>
      </c>
      <c r="O59" s="61">
        <v>0.0024</v>
      </c>
      <c r="P59" s="61">
        <v>-0.001</v>
      </c>
      <c r="Q59" s="61">
        <v>-0.0001</v>
      </c>
      <c r="R59" s="61">
        <v>-0.0005</v>
      </c>
      <c r="S59" s="61">
        <v>-0.0023</v>
      </c>
      <c r="T59" s="61">
        <v>-0.0015</v>
      </c>
      <c r="U59" s="61">
        <v>0.0013</v>
      </c>
      <c r="V59" s="61"/>
      <c r="W59" s="61"/>
      <c r="X59" s="61"/>
      <c r="Y59" s="61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>
      <c r="A60" s="63"/>
      <c r="B60" s="59">
        <v>5</v>
      </c>
      <c r="C60" s="60"/>
      <c r="D60" s="60"/>
      <c r="E60" s="60"/>
      <c r="F60" s="60"/>
      <c r="G60" s="60"/>
      <c r="H60" s="60"/>
      <c r="I60" s="60" t="s">
        <v>31</v>
      </c>
      <c r="J60" s="61">
        <v>-0.0005</v>
      </c>
      <c r="K60" s="61">
        <v>0.0028</v>
      </c>
      <c r="L60" s="61">
        <v>0.0001</v>
      </c>
      <c r="M60" s="61">
        <v>0.0051</v>
      </c>
      <c r="N60" s="61">
        <v>-0.0007</v>
      </c>
      <c r="O60" s="61">
        <v>0.0008</v>
      </c>
      <c r="P60" s="61">
        <v>0.0043</v>
      </c>
      <c r="Q60" s="61">
        <v>0.0029</v>
      </c>
      <c r="R60" s="61">
        <v>0.0053</v>
      </c>
      <c r="S60" s="61">
        <v>0.0044</v>
      </c>
      <c r="T60" s="61">
        <v>0.0055</v>
      </c>
      <c r="U60" s="61">
        <v>0.0038</v>
      </c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>
      <c r="A61" s="63"/>
      <c r="B61" s="59">
        <v>6</v>
      </c>
      <c r="C61" s="60"/>
      <c r="D61" s="60"/>
      <c r="E61" s="60"/>
      <c r="F61" s="60"/>
      <c r="G61" s="60"/>
      <c r="H61" s="60"/>
      <c r="I61" s="60" t="s">
        <v>31</v>
      </c>
      <c r="J61" s="61">
        <v>0.0009</v>
      </c>
      <c r="K61" s="61">
        <v>0.0033</v>
      </c>
      <c r="L61" s="61">
        <v>0.0001</v>
      </c>
      <c r="M61" s="61">
        <v>0.0033</v>
      </c>
      <c r="N61" s="61">
        <v>0.0003</v>
      </c>
      <c r="O61" s="61">
        <v>-0.0001</v>
      </c>
      <c r="P61" s="61">
        <v>0.0042</v>
      </c>
      <c r="Q61" s="61">
        <v>0.0036</v>
      </c>
      <c r="R61" s="61">
        <v>0.005</v>
      </c>
      <c r="S61" s="61">
        <v>0.0041</v>
      </c>
      <c r="T61" s="61">
        <v>0.0052</v>
      </c>
      <c r="U61" s="61">
        <v>0.0045</v>
      </c>
      <c r="V61" s="61"/>
      <c r="W61" s="61"/>
      <c r="X61" s="61"/>
      <c r="Y61" s="61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>
      <c r="A62" s="63"/>
      <c r="B62" s="59">
        <v>7</v>
      </c>
      <c r="C62" s="60"/>
      <c r="D62" s="60"/>
      <c r="E62" s="60"/>
      <c r="F62" s="60"/>
      <c r="G62" s="60"/>
      <c r="H62" s="60"/>
      <c r="I62" s="60" t="s">
        <v>31</v>
      </c>
      <c r="J62" s="61">
        <v>-0.0001</v>
      </c>
      <c r="K62" s="61">
        <v>0.0032</v>
      </c>
      <c r="L62" s="61">
        <v>0.0004</v>
      </c>
      <c r="M62" s="61">
        <v>0.0044</v>
      </c>
      <c r="N62" s="61">
        <v>-0.0024</v>
      </c>
      <c r="O62" s="61">
        <v>0.0007</v>
      </c>
      <c r="P62" s="61">
        <v>0.0046</v>
      </c>
      <c r="Q62" s="61">
        <v>0.0003</v>
      </c>
      <c r="R62" s="61">
        <v>0.0032</v>
      </c>
      <c r="S62" s="61">
        <v>0.0016</v>
      </c>
      <c r="T62" s="61">
        <v>0.0027</v>
      </c>
      <c r="U62" s="61">
        <v>0.0024</v>
      </c>
      <c r="V62" s="61"/>
      <c r="W62" s="61"/>
      <c r="X62" s="61"/>
      <c r="Y62" s="61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>
      <c r="A63" s="63"/>
      <c r="B63" s="59">
        <v>8</v>
      </c>
      <c r="C63" s="60"/>
      <c r="D63" s="60"/>
      <c r="E63" s="60"/>
      <c r="F63" s="60"/>
      <c r="G63" s="60"/>
      <c r="H63" s="60"/>
      <c r="I63" s="60" t="s">
        <v>31</v>
      </c>
      <c r="J63" s="61">
        <v>-0.0005</v>
      </c>
      <c r="K63" s="61">
        <v>0.0048</v>
      </c>
      <c r="L63" s="61">
        <v>-0.0002</v>
      </c>
      <c r="M63" s="61">
        <v>0.0037</v>
      </c>
      <c r="N63" s="61">
        <v>-0.0006</v>
      </c>
      <c r="O63" s="61">
        <v>0.0002</v>
      </c>
      <c r="P63" s="61">
        <v>0.0065</v>
      </c>
      <c r="Q63" s="61">
        <v>0.001</v>
      </c>
      <c r="R63" s="61">
        <v>0.0032</v>
      </c>
      <c r="S63" s="61">
        <v>0.0002</v>
      </c>
      <c r="T63" s="61">
        <v>0.0026</v>
      </c>
      <c r="U63" s="61">
        <v>0.0014</v>
      </c>
      <c r="V63" s="61"/>
      <c r="W63" s="61"/>
      <c r="X63" s="61"/>
      <c r="Y63" s="61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>
      <c r="A64" s="63"/>
      <c r="B64" s="59" t="s">
        <v>49</v>
      </c>
      <c r="C64" s="60"/>
      <c r="D64" s="60">
        <v>2</v>
      </c>
      <c r="E64" s="60">
        <v>0.05</v>
      </c>
      <c r="F64" s="60">
        <v>-0.05</v>
      </c>
      <c r="G64" s="60">
        <f t="shared" ref="G64:G71" si="19">D64+E64</f>
        <v>2.05</v>
      </c>
      <c r="H64" s="60">
        <f t="shared" ref="H64:H71" si="20">D64+F64</f>
        <v>1.95</v>
      </c>
      <c r="I64" s="60" t="s">
        <v>50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2" t="str">
        <f t="shared" ref="Z64:AO64" si="21">IF(J64="","",IF(J64&gt;($D64+$E64),(J64-$D64-$E64),IF(J64&lt;($D64+$F64),(J64-$D64-$F64),"√")))</f>
        <v/>
      </c>
      <c r="AA64" s="62" t="str">
        <f t="shared" si="21"/>
        <v/>
      </c>
      <c r="AB64" s="62" t="str">
        <f t="shared" si="21"/>
        <v/>
      </c>
      <c r="AC64" s="62" t="str">
        <f t="shared" si="21"/>
        <v/>
      </c>
      <c r="AD64" s="62" t="str">
        <f t="shared" si="21"/>
        <v/>
      </c>
      <c r="AE64" s="62" t="str">
        <f t="shared" si="21"/>
        <v/>
      </c>
      <c r="AF64" s="62" t="str">
        <f t="shared" si="21"/>
        <v/>
      </c>
      <c r="AG64" s="62" t="str">
        <f t="shared" si="21"/>
        <v/>
      </c>
      <c r="AH64" s="62" t="str">
        <f t="shared" si="21"/>
        <v/>
      </c>
      <c r="AI64" s="62" t="str">
        <f t="shared" si="21"/>
        <v/>
      </c>
      <c r="AJ64" s="62" t="str">
        <f t="shared" si="21"/>
        <v/>
      </c>
      <c r="AK64" s="62" t="str">
        <f t="shared" si="21"/>
        <v/>
      </c>
      <c r="AL64" s="62" t="str">
        <f t="shared" si="21"/>
        <v/>
      </c>
      <c r="AM64" s="62" t="str">
        <f t="shared" si="21"/>
        <v/>
      </c>
      <c r="AN64" s="62" t="str">
        <f t="shared" si="21"/>
        <v/>
      </c>
      <c r="AO64" s="62" t="str">
        <f t="shared" si="21"/>
        <v/>
      </c>
    </row>
    <row r="65" spans="1:41">
      <c r="A65" s="63"/>
      <c r="B65" s="59" t="s">
        <v>51</v>
      </c>
      <c r="C65" s="60"/>
      <c r="D65" s="60">
        <v>2</v>
      </c>
      <c r="E65" s="60">
        <v>0.05</v>
      </c>
      <c r="F65" s="60">
        <v>-0.05</v>
      </c>
      <c r="G65" s="60">
        <f t="shared" si="19"/>
        <v>2.05</v>
      </c>
      <c r="H65" s="60">
        <f t="shared" si="20"/>
        <v>1.95</v>
      </c>
      <c r="I65" s="60" t="s">
        <v>50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2" t="str">
        <f t="shared" ref="Z65:AO65" si="22">IF(J65="","",IF(J65&gt;($D65+$E65),(J65-$D65-$E65),IF(J65&lt;($D65+$F65),(J65-$D65-$F65),"√")))</f>
        <v/>
      </c>
      <c r="AA65" s="62" t="str">
        <f t="shared" si="22"/>
        <v/>
      </c>
      <c r="AB65" s="62" t="str">
        <f t="shared" si="22"/>
        <v/>
      </c>
      <c r="AC65" s="62" t="str">
        <f t="shared" si="22"/>
        <v/>
      </c>
      <c r="AD65" s="62" t="str">
        <f t="shared" si="22"/>
        <v/>
      </c>
      <c r="AE65" s="62" t="str">
        <f t="shared" si="22"/>
        <v/>
      </c>
      <c r="AF65" s="62" t="str">
        <f t="shared" si="22"/>
        <v/>
      </c>
      <c r="AG65" s="62" t="str">
        <f t="shared" si="22"/>
        <v/>
      </c>
      <c r="AH65" s="62" t="str">
        <f t="shared" si="22"/>
        <v/>
      </c>
      <c r="AI65" s="62" t="str">
        <f t="shared" si="22"/>
        <v/>
      </c>
      <c r="AJ65" s="62" t="str">
        <f t="shared" si="22"/>
        <v/>
      </c>
      <c r="AK65" s="62" t="str">
        <f t="shared" si="22"/>
        <v/>
      </c>
      <c r="AL65" s="62" t="str">
        <f t="shared" si="22"/>
        <v/>
      </c>
      <c r="AM65" s="62" t="str">
        <f t="shared" si="22"/>
        <v/>
      </c>
      <c r="AN65" s="62" t="str">
        <f t="shared" si="22"/>
        <v/>
      </c>
      <c r="AO65" s="62" t="str">
        <f t="shared" si="22"/>
        <v/>
      </c>
    </row>
    <row r="66" spans="1:41">
      <c r="A66" s="63"/>
      <c r="B66" s="59" t="s">
        <v>52</v>
      </c>
      <c r="C66" s="60" t="s">
        <v>53</v>
      </c>
      <c r="D66" s="60">
        <v>0.935</v>
      </c>
      <c r="E66" s="60">
        <v>0.015</v>
      </c>
      <c r="F66" s="60">
        <v>-0.015</v>
      </c>
      <c r="G66" s="60">
        <f t="shared" si="19"/>
        <v>0.95</v>
      </c>
      <c r="H66" s="60">
        <f t="shared" si="20"/>
        <v>0.92</v>
      </c>
      <c r="I66" s="60" t="s">
        <v>54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2" t="str">
        <f t="shared" ref="Z66:AO66" si="23">IF(J66="","",IF(J66&gt;($D66+$E66),(J66-$D66-$E66),IF(J66&lt;($D66+$F66),(J66-$D66-$F66),"√")))</f>
        <v/>
      </c>
      <c r="AA66" s="62" t="str">
        <f t="shared" si="23"/>
        <v/>
      </c>
      <c r="AB66" s="62" t="str">
        <f t="shared" si="23"/>
        <v/>
      </c>
      <c r="AC66" s="62" t="str">
        <f t="shared" si="23"/>
        <v/>
      </c>
      <c r="AD66" s="62" t="str">
        <f t="shared" si="23"/>
        <v/>
      </c>
      <c r="AE66" s="62" t="str">
        <f t="shared" si="23"/>
        <v/>
      </c>
      <c r="AF66" s="62" t="str">
        <f t="shared" si="23"/>
        <v/>
      </c>
      <c r="AG66" s="62" t="str">
        <f t="shared" si="23"/>
        <v/>
      </c>
      <c r="AH66" s="62" t="str">
        <f t="shared" si="23"/>
        <v/>
      </c>
      <c r="AI66" s="62" t="str">
        <f t="shared" si="23"/>
        <v/>
      </c>
      <c r="AJ66" s="62" t="str">
        <f t="shared" si="23"/>
        <v/>
      </c>
      <c r="AK66" s="62" t="str">
        <f t="shared" si="23"/>
        <v/>
      </c>
      <c r="AL66" s="62" t="str">
        <f t="shared" si="23"/>
        <v/>
      </c>
      <c r="AM66" s="62" t="str">
        <f t="shared" si="23"/>
        <v/>
      </c>
      <c r="AN66" s="62" t="str">
        <f t="shared" si="23"/>
        <v/>
      </c>
      <c r="AO66" s="62" t="str">
        <f t="shared" si="23"/>
        <v/>
      </c>
    </row>
    <row r="67" spans="1:41">
      <c r="A67" s="63"/>
      <c r="B67" s="59" t="s">
        <v>55</v>
      </c>
      <c r="C67" s="60"/>
      <c r="D67" s="60">
        <v>2.1</v>
      </c>
      <c r="E67" s="60">
        <v>0.03</v>
      </c>
      <c r="F67" s="60">
        <v>-0.03</v>
      </c>
      <c r="G67" s="60">
        <f t="shared" si="19"/>
        <v>2.13</v>
      </c>
      <c r="H67" s="60">
        <f t="shared" si="20"/>
        <v>2.07</v>
      </c>
      <c r="I67" s="60" t="s">
        <v>50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2" t="str">
        <f t="shared" ref="Z67:AO67" si="24">IF(J67="","",IF(J67&gt;($D67+$E67),(J67-$D67-$E67),IF(J67&lt;($D67+$F67),(J67-$D67-$F67),"√")))</f>
        <v/>
      </c>
      <c r="AA67" s="62" t="str">
        <f t="shared" si="24"/>
        <v/>
      </c>
      <c r="AB67" s="62" t="str">
        <f t="shared" si="24"/>
        <v/>
      </c>
      <c r="AC67" s="62" t="str">
        <f t="shared" si="24"/>
        <v/>
      </c>
      <c r="AD67" s="62" t="str">
        <f t="shared" si="24"/>
        <v/>
      </c>
      <c r="AE67" s="62" t="str">
        <f t="shared" si="24"/>
        <v/>
      </c>
      <c r="AF67" s="62" t="str">
        <f t="shared" si="24"/>
        <v/>
      </c>
      <c r="AG67" s="62" t="str">
        <f t="shared" si="24"/>
        <v/>
      </c>
      <c r="AH67" s="62" t="str">
        <f t="shared" si="24"/>
        <v/>
      </c>
      <c r="AI67" s="62" t="str">
        <f t="shared" si="24"/>
        <v/>
      </c>
      <c r="AJ67" s="62" t="str">
        <f t="shared" si="24"/>
        <v/>
      </c>
      <c r="AK67" s="62" t="str">
        <f t="shared" si="24"/>
        <v/>
      </c>
      <c r="AL67" s="62" t="str">
        <f t="shared" si="24"/>
        <v/>
      </c>
      <c r="AM67" s="62" t="str">
        <f t="shared" si="24"/>
        <v/>
      </c>
      <c r="AN67" s="62" t="str">
        <f t="shared" si="24"/>
        <v/>
      </c>
      <c r="AO67" s="62" t="str">
        <f t="shared" si="24"/>
        <v/>
      </c>
    </row>
    <row r="68" spans="1:41">
      <c r="A68" s="63"/>
      <c r="B68" s="59" t="s">
        <v>56</v>
      </c>
      <c r="C68" s="60"/>
      <c r="D68" s="60">
        <v>2.1</v>
      </c>
      <c r="E68" s="60">
        <v>0.03</v>
      </c>
      <c r="F68" s="60">
        <v>-0.03</v>
      </c>
      <c r="G68" s="60">
        <f t="shared" si="19"/>
        <v>2.13</v>
      </c>
      <c r="H68" s="60">
        <f t="shared" si="20"/>
        <v>2.07</v>
      </c>
      <c r="I68" s="60" t="s">
        <v>50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2" t="str">
        <f t="shared" ref="Z68:AO68" si="25">IF(J68="","",IF(J68&gt;($D68+$E68),(J68-$D68-$E68),IF(J68&lt;($D68+$F68),(J68-$D68-$F68),"√")))</f>
        <v/>
      </c>
      <c r="AA68" s="62" t="str">
        <f t="shared" si="25"/>
        <v/>
      </c>
      <c r="AB68" s="62" t="str">
        <f t="shared" si="25"/>
        <v/>
      </c>
      <c r="AC68" s="62" t="str">
        <f t="shared" si="25"/>
        <v/>
      </c>
      <c r="AD68" s="62" t="str">
        <f t="shared" si="25"/>
        <v/>
      </c>
      <c r="AE68" s="62" t="str">
        <f t="shared" si="25"/>
        <v/>
      </c>
      <c r="AF68" s="62" t="str">
        <f t="shared" si="25"/>
        <v/>
      </c>
      <c r="AG68" s="62" t="str">
        <f t="shared" si="25"/>
        <v/>
      </c>
      <c r="AH68" s="62" t="str">
        <f t="shared" si="25"/>
        <v/>
      </c>
      <c r="AI68" s="62" t="str">
        <f t="shared" si="25"/>
        <v/>
      </c>
      <c r="AJ68" s="62" t="str">
        <f t="shared" si="25"/>
        <v/>
      </c>
      <c r="AK68" s="62" t="str">
        <f t="shared" si="25"/>
        <v/>
      </c>
      <c r="AL68" s="62" t="str">
        <f t="shared" si="25"/>
        <v/>
      </c>
      <c r="AM68" s="62" t="str">
        <f t="shared" si="25"/>
        <v/>
      </c>
      <c r="AN68" s="62" t="str">
        <f t="shared" si="25"/>
        <v/>
      </c>
      <c r="AO68" s="62" t="str">
        <f t="shared" si="25"/>
        <v/>
      </c>
    </row>
    <row r="69" spans="1:41">
      <c r="A69" s="63"/>
      <c r="B69" s="59" t="s">
        <v>57</v>
      </c>
      <c r="C69" s="60"/>
      <c r="D69" s="60">
        <v>0.98</v>
      </c>
      <c r="E69" s="60">
        <v>0.03</v>
      </c>
      <c r="F69" s="60">
        <v>-0.03</v>
      </c>
      <c r="G69" s="60">
        <f t="shared" si="19"/>
        <v>1.01</v>
      </c>
      <c r="H69" s="60">
        <f t="shared" si="20"/>
        <v>0.95</v>
      </c>
      <c r="I69" s="60" t="s">
        <v>58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2" t="str">
        <f t="shared" ref="Z69:AO69" si="26">IF(J69="","",IF(J69&gt;($D69+$E69),(J69-$D69-$E69),IF(J69&lt;($D69+$F69),(J69-$D69-$F69),"√")))</f>
        <v/>
      </c>
      <c r="AA69" s="62" t="str">
        <f t="shared" si="26"/>
        <v/>
      </c>
      <c r="AB69" s="62" t="str">
        <f t="shared" si="26"/>
        <v/>
      </c>
      <c r="AC69" s="62" t="str">
        <f t="shared" si="26"/>
        <v/>
      </c>
      <c r="AD69" s="62" t="str">
        <f t="shared" si="26"/>
        <v/>
      </c>
      <c r="AE69" s="62" t="str">
        <f t="shared" si="26"/>
        <v/>
      </c>
      <c r="AF69" s="62" t="str">
        <f t="shared" si="26"/>
        <v/>
      </c>
      <c r="AG69" s="62" t="str">
        <f t="shared" si="26"/>
        <v/>
      </c>
      <c r="AH69" s="62" t="str">
        <f t="shared" si="26"/>
        <v/>
      </c>
      <c r="AI69" s="62" t="str">
        <f t="shared" si="26"/>
        <v/>
      </c>
      <c r="AJ69" s="62" t="str">
        <f t="shared" si="26"/>
        <v/>
      </c>
      <c r="AK69" s="62" t="str">
        <f t="shared" si="26"/>
        <v/>
      </c>
      <c r="AL69" s="62" t="str">
        <f t="shared" si="26"/>
        <v/>
      </c>
      <c r="AM69" s="62" t="str">
        <f t="shared" si="26"/>
        <v/>
      </c>
      <c r="AN69" s="62" t="str">
        <f t="shared" si="26"/>
        <v/>
      </c>
      <c r="AO69" s="62" t="str">
        <f t="shared" si="26"/>
        <v/>
      </c>
    </row>
    <row r="70" spans="1:41">
      <c r="A70" s="63"/>
      <c r="B70" s="59" t="s">
        <v>59</v>
      </c>
      <c r="C70" s="60"/>
      <c r="D70" s="60">
        <v>0.98</v>
      </c>
      <c r="E70" s="60">
        <v>0.03</v>
      </c>
      <c r="F70" s="60">
        <v>-0.03</v>
      </c>
      <c r="G70" s="60">
        <f t="shared" si="19"/>
        <v>1.01</v>
      </c>
      <c r="H70" s="60">
        <f t="shared" si="20"/>
        <v>0.95</v>
      </c>
      <c r="I70" s="60" t="s">
        <v>58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2" t="str">
        <f t="shared" ref="Z70:AO70" si="27">IF(J70="","",IF(J70&gt;($D70+$E70),(J70-$D70-$E70),IF(J70&lt;($D70+$F70),(J70-$D70-$F70),"√")))</f>
        <v/>
      </c>
      <c r="AA70" s="62" t="str">
        <f t="shared" si="27"/>
        <v/>
      </c>
      <c r="AB70" s="62" t="str">
        <f t="shared" si="27"/>
        <v/>
      </c>
      <c r="AC70" s="62" t="str">
        <f t="shared" si="27"/>
        <v/>
      </c>
      <c r="AD70" s="62" t="str">
        <f t="shared" si="27"/>
        <v/>
      </c>
      <c r="AE70" s="62" t="str">
        <f t="shared" si="27"/>
        <v/>
      </c>
      <c r="AF70" s="62" t="str">
        <f t="shared" si="27"/>
        <v/>
      </c>
      <c r="AG70" s="62" t="str">
        <f t="shared" si="27"/>
        <v/>
      </c>
      <c r="AH70" s="62" t="str">
        <f t="shared" si="27"/>
        <v/>
      </c>
      <c r="AI70" s="62" t="str">
        <f t="shared" si="27"/>
        <v/>
      </c>
      <c r="AJ70" s="62" t="str">
        <f t="shared" si="27"/>
        <v/>
      </c>
      <c r="AK70" s="62" t="str">
        <f t="shared" si="27"/>
        <v/>
      </c>
      <c r="AL70" s="62" t="str">
        <f t="shared" si="27"/>
        <v/>
      </c>
      <c r="AM70" s="62" t="str">
        <f t="shared" si="27"/>
        <v/>
      </c>
      <c r="AN70" s="62" t="str">
        <f t="shared" si="27"/>
        <v/>
      </c>
      <c r="AO70" s="62" t="str">
        <f t="shared" si="27"/>
        <v/>
      </c>
    </row>
    <row r="71" spans="1:41">
      <c r="A71" s="64"/>
      <c r="B71" s="59" t="s">
        <v>60</v>
      </c>
      <c r="C71" s="60"/>
      <c r="D71" s="60">
        <v>0.98</v>
      </c>
      <c r="E71" s="60">
        <v>0.03</v>
      </c>
      <c r="F71" s="60">
        <v>-0.03</v>
      </c>
      <c r="G71" s="60">
        <f t="shared" si="19"/>
        <v>1.01</v>
      </c>
      <c r="H71" s="60">
        <f t="shared" si="20"/>
        <v>0.95</v>
      </c>
      <c r="I71" s="60" t="s">
        <v>58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2" t="str">
        <f t="shared" ref="Z71:AO71" si="28">IF(J71="","",IF(J71&gt;($D71+$E71),(J71-$D71-$E71),IF(J71&lt;($D71+$F71),(J71-$D71-$F71),"√")))</f>
        <v/>
      </c>
      <c r="AA71" s="62" t="str">
        <f t="shared" si="28"/>
        <v/>
      </c>
      <c r="AB71" s="62" t="str">
        <f t="shared" si="28"/>
        <v/>
      </c>
      <c r="AC71" s="62" t="str">
        <f t="shared" si="28"/>
        <v/>
      </c>
      <c r="AD71" s="62" t="str">
        <f t="shared" si="28"/>
        <v/>
      </c>
      <c r="AE71" s="62" t="str">
        <f t="shared" si="28"/>
        <v/>
      </c>
      <c r="AF71" s="62" t="str">
        <f t="shared" si="28"/>
        <v/>
      </c>
      <c r="AG71" s="62" t="str">
        <f t="shared" si="28"/>
        <v/>
      </c>
      <c r="AH71" s="62" t="str">
        <f t="shared" si="28"/>
        <v/>
      </c>
      <c r="AI71" s="62" t="str">
        <f t="shared" si="28"/>
        <v/>
      </c>
      <c r="AJ71" s="62" t="str">
        <f t="shared" si="28"/>
        <v/>
      </c>
      <c r="AK71" s="62" t="str">
        <f t="shared" si="28"/>
        <v/>
      </c>
      <c r="AL71" s="62" t="str">
        <f t="shared" si="28"/>
        <v/>
      </c>
      <c r="AM71" s="62" t="str">
        <f t="shared" si="28"/>
        <v/>
      </c>
      <c r="AN71" s="62" t="str">
        <f t="shared" si="28"/>
        <v/>
      </c>
      <c r="AO71" s="62" t="str">
        <f t="shared" si="28"/>
        <v/>
      </c>
    </row>
    <row r="72" s="1" customFormat="1" ht="13.5" spans="1:4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7"/>
      <c r="AL72" s="68"/>
      <c r="AM72" s="69"/>
      <c r="AN72" s="70"/>
      <c r="AO72" s="71"/>
    </row>
    <row r="73" spans="1:41">
      <c r="D73"/>
      <c r="E73"/>
      <c r="F73"/>
      <c r="G73"/>
      <c r="H73"/>
      <c r="I73"/>
    </row>
    <row r="74" spans="1:41">
      <c r="D74"/>
      <c r="E74"/>
      <c r="F74"/>
      <c r="G74"/>
      <c r="H74"/>
      <c r="I74"/>
    </row>
    <row r="75" spans="1:41">
      <c r="D75"/>
      <c r="E75"/>
      <c r="F75"/>
      <c r="G75"/>
      <c r="H75"/>
      <c r="I75"/>
    </row>
    <row r="76" spans="1:41">
      <c r="D76"/>
      <c r="E76"/>
      <c r="F76"/>
      <c r="G76"/>
      <c r="H76"/>
      <c r="I76"/>
    </row>
    <row r="77" spans="1:41">
      <c r="D77"/>
      <c r="E77"/>
      <c r="F77"/>
      <c r="G77"/>
      <c r="H77"/>
      <c r="I77"/>
    </row>
    <row r="78" spans="1:41">
      <c r="D78"/>
      <c r="E78"/>
      <c r="F78"/>
      <c r="G78"/>
      <c r="H78"/>
      <c r="I78"/>
    </row>
    <row r="79" spans="1:41">
      <c r="D79"/>
      <c r="E79"/>
      <c r="F79"/>
      <c r="G79"/>
      <c r="H79"/>
      <c r="I79"/>
    </row>
    <row r="80" spans="1:41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</sheetData>
  <mergeCells count="36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6:O6"/>
    <mergeCell ref="P6:U6"/>
    <mergeCell ref="Z6:AE6"/>
    <mergeCell ref="AF6:AK6"/>
    <mergeCell ref="A72:AK72"/>
    <mergeCell ref="AL72:AM72"/>
    <mergeCell ref="AN72:AO72"/>
    <mergeCell ref="A2:A3"/>
    <mergeCell ref="A4:A7"/>
    <mergeCell ref="A8:A71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8:Y8">
    <cfRule type="cellIs" dxfId="0" priority="12" stopIfTrue="1" operator="notBetween">
      <formula>$G8</formula>
      <formula>$H8</formula>
    </cfRule>
  </conditionalFormatting>
  <conditionalFormatting sqref="J9:Y9">
    <cfRule type="cellIs" dxfId="0" priority="11" stopIfTrue="1" operator="notBetween">
      <formula>$G9</formula>
      <formula>$H9</formula>
    </cfRule>
  </conditionalFormatting>
  <conditionalFormatting sqref="J49:Y49">
    <cfRule type="cellIs" dxfId="0" priority="9" stopIfTrue="1" operator="notBetween">
      <formula>$G49</formula>
      <formula>$H49</formula>
    </cfRule>
  </conditionalFormatting>
  <conditionalFormatting sqref="J64:Y64">
    <cfRule type="cellIs" dxfId="0" priority="8" stopIfTrue="1" operator="notBetween">
      <formula>$G64</formula>
      <formula>$H64</formula>
    </cfRule>
  </conditionalFormatting>
  <conditionalFormatting sqref="J65:Y65">
    <cfRule type="cellIs" dxfId="0" priority="4" stopIfTrue="1" operator="notBetween">
      <formula>$G65</formula>
      <formula>$H65</formula>
    </cfRule>
  </conditionalFormatting>
  <conditionalFormatting sqref="J66:Y66">
    <cfRule type="cellIs" dxfId="0" priority="7" stopIfTrue="1" operator="notBetween">
      <formula>$G66</formula>
      <formula>$H66</formula>
    </cfRule>
  </conditionalFormatting>
  <conditionalFormatting sqref="J67:Y67">
    <cfRule type="cellIs" dxfId="0" priority="6" stopIfTrue="1" operator="notBetween">
      <formula>$G67</formula>
      <formula>$H67</formula>
    </cfRule>
  </conditionalFormatting>
  <conditionalFormatting sqref="J68:Y68">
    <cfRule type="cellIs" dxfId="0" priority="3" stopIfTrue="1" operator="notBetween">
      <formula>$G68</formula>
      <formula>$H68</formula>
    </cfRule>
  </conditionalFormatting>
  <conditionalFormatting sqref="J69:Y69">
    <cfRule type="cellIs" dxfId="0" priority="5" stopIfTrue="1" operator="notBetween">
      <formula>$G69</formula>
      <formula>$H69</formula>
    </cfRule>
  </conditionalFormatting>
  <conditionalFormatting sqref="J70:Y70">
    <cfRule type="cellIs" dxfId="0" priority="2" stopIfTrue="1" operator="notBetween">
      <formula>$G70</formula>
      <formula>$H70</formula>
    </cfRule>
  </conditionalFormatting>
  <conditionalFormatting sqref="J71:Y71">
    <cfRule type="cellIs" dxfId="0" priority="1" stopIfTrue="1" operator="notBetween">
      <formula>$G71</formula>
      <formula>$H71</formula>
    </cfRule>
  </conditionalFormatting>
  <conditionalFormatting sqref="J12:Y14 J36:Y36 J41:Y41 J50:Y50 J55:Y55">
    <cfRule type="cellIs" dxfId="0" priority="13" stopIfTrue="1" operator="notBetween">
      <formula>$G12</formula>
      <formula>$H12</formula>
    </cfRule>
  </conditionalFormatting>
  <conditionalFormatting sqref="J46:Y48">
    <cfRule type="cellIs" dxfId="0" priority="10" stopIfTrue="1" operator="notBetween">
      <formula>$G46</formula>
      <formula>$H46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"/>
  <sheetViews>
    <sheetView tabSelected="1" workbookViewId="0">
      <selection activeCell="J8" sqref="J8"/>
    </sheetView>
  </sheetViews>
  <sheetFormatPr defaultColWidth="9" defaultRowHeight="14.25"/>
  <cols>
    <col min="1" max="3" width="9.25" customWidth="1"/>
    <col min="4" max="9" width="9.25" style="2" customWidth="1"/>
    <col min="10" max="41" width="9.25" customWidth="1"/>
  </cols>
  <sheetData>
    <row r="1" ht="70.5" customHeight="1" spans="1:4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ht="15" customHeight="1" spans="1:41">
      <c r="A2" s="6" t="s">
        <v>1</v>
      </c>
      <c r="B2" s="7" t="s">
        <v>2</v>
      </c>
      <c r="C2" s="8"/>
      <c r="D2" s="8"/>
      <c r="E2" s="8"/>
      <c r="F2" s="8"/>
      <c r="G2" s="9"/>
      <c r="H2" s="10" t="s">
        <v>3</v>
      </c>
      <c r="I2" s="11"/>
      <c r="J2" s="11"/>
      <c r="K2" s="12"/>
      <c r="L2" s="13"/>
      <c r="M2" s="13"/>
      <c r="N2" s="13"/>
      <c r="O2" s="13"/>
      <c r="P2" s="13"/>
      <c r="Q2" s="13"/>
      <c r="R2" s="13"/>
      <c r="S2" s="14" t="s">
        <v>4</v>
      </c>
      <c r="T2" s="15"/>
      <c r="U2" s="15"/>
      <c r="V2" s="15"/>
      <c r="W2" s="15"/>
      <c r="X2" s="16"/>
      <c r="Y2" s="17" t="s">
        <v>5</v>
      </c>
      <c r="Z2" s="18"/>
      <c r="AA2" s="18"/>
      <c r="AB2" s="18"/>
      <c r="AC2" s="18"/>
      <c r="AD2" s="19"/>
      <c r="AE2" s="17" t="s">
        <v>6</v>
      </c>
      <c r="AF2" s="18"/>
      <c r="AG2" s="18"/>
      <c r="AH2" s="18"/>
      <c r="AI2" s="19"/>
      <c r="AJ2" s="20" t="s">
        <v>7</v>
      </c>
      <c r="AK2" s="21"/>
      <c r="AL2" s="21"/>
      <c r="AM2" s="22"/>
      <c r="AN2" s="20" t="s">
        <v>8</v>
      </c>
      <c r="AO2" s="22"/>
    </row>
    <row r="3" ht="15" customHeight="1" spans="1:41">
      <c r="A3" s="6"/>
      <c r="B3" s="23"/>
      <c r="C3" s="24"/>
      <c r="D3" s="24"/>
      <c r="E3" s="24"/>
      <c r="F3" s="24"/>
      <c r="G3" s="25"/>
      <c r="H3" s="26"/>
      <c r="I3" s="27"/>
      <c r="J3" s="27"/>
      <c r="K3" s="28"/>
      <c r="L3" s="13"/>
      <c r="M3" s="13"/>
      <c r="N3" s="13"/>
      <c r="O3" s="13"/>
      <c r="P3" s="13"/>
      <c r="Q3" s="13"/>
      <c r="R3" s="13"/>
      <c r="S3" s="29" t="s">
        <v>9</v>
      </c>
      <c r="T3" s="30"/>
      <c r="U3" s="30"/>
      <c r="V3" s="30"/>
      <c r="W3" s="30"/>
      <c r="X3" s="31"/>
      <c r="Y3" s="29" t="s">
        <v>10</v>
      </c>
      <c r="Z3" s="30"/>
      <c r="AA3" s="30"/>
      <c r="AB3" s="30"/>
      <c r="AC3" s="30"/>
      <c r="AD3" s="31"/>
      <c r="AE3" s="32" t="s">
        <v>11</v>
      </c>
      <c r="AF3" s="33"/>
      <c r="AG3" s="33"/>
      <c r="AH3" s="33"/>
      <c r="AI3" s="34"/>
      <c r="AJ3" s="32" t="s">
        <v>63</v>
      </c>
      <c r="AK3" s="33"/>
      <c r="AL3" s="33"/>
      <c r="AM3" s="34"/>
      <c r="AN3" s="32" t="s">
        <v>64</v>
      </c>
      <c r="AO3" s="34"/>
    </row>
    <row r="4" customHeight="1" spans="1:41">
      <c r="A4" s="35" t="s">
        <v>14</v>
      </c>
      <c r="B4" s="35" t="s">
        <v>15</v>
      </c>
      <c r="C4" s="35" t="s">
        <v>16</v>
      </c>
      <c r="D4" s="35" t="s">
        <v>17</v>
      </c>
      <c r="E4" s="35" t="s">
        <v>18</v>
      </c>
      <c r="F4" s="35" t="s">
        <v>19</v>
      </c>
      <c r="G4" s="35" t="s">
        <v>20</v>
      </c>
      <c r="H4" s="35" t="s">
        <v>21</v>
      </c>
      <c r="I4" s="35" t="s">
        <v>22</v>
      </c>
      <c r="J4" s="36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2"/>
      <c r="C5" s="42"/>
      <c r="D5" s="42"/>
      <c r="E5" s="42"/>
      <c r="F5" s="42"/>
      <c r="G5" s="42"/>
      <c r="H5" s="42"/>
      <c r="I5" s="42"/>
      <c r="J5" s="36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  <c r="Z5" s="39" t="s">
        <v>26</v>
      </c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</row>
    <row r="6" customHeight="1" spans="1:41">
      <c r="A6" s="43"/>
      <c r="B6" s="43"/>
      <c r="C6" s="43"/>
      <c r="D6" s="43"/>
      <c r="E6" s="43"/>
      <c r="F6" s="43"/>
      <c r="G6" s="43"/>
      <c r="H6" s="43"/>
      <c r="I6" s="43"/>
      <c r="J6" s="44" t="s">
        <v>71</v>
      </c>
      <c r="K6" s="45"/>
      <c r="L6" s="45"/>
      <c r="M6" s="45"/>
      <c r="N6" s="45"/>
      <c r="O6" s="46"/>
      <c r="P6" s="47" t="s">
        <v>72</v>
      </c>
      <c r="Q6" s="48"/>
      <c r="R6" s="48"/>
      <c r="S6" s="48"/>
      <c r="T6" s="48"/>
      <c r="U6" s="49"/>
      <c r="V6" s="50"/>
      <c r="W6" s="50"/>
      <c r="X6" s="50"/>
      <c r="Y6" s="50"/>
      <c r="Z6" s="51" t="str">
        <f>J6</f>
        <v>cav11</v>
      </c>
      <c r="AA6" s="52"/>
      <c r="AB6" s="52"/>
      <c r="AC6" s="52"/>
      <c r="AD6" s="52"/>
      <c r="AE6" s="53"/>
      <c r="AF6" s="54" t="str">
        <f>P6</f>
        <v>cav12</v>
      </c>
      <c r="AG6" s="55"/>
      <c r="AH6" s="55"/>
      <c r="AI6" s="55"/>
      <c r="AJ6" s="55"/>
      <c r="AK6" s="56"/>
      <c r="AL6" s="57">
        <f t="shared" ref="AL6:AO6" si="0">V6</f>
        <v>0</v>
      </c>
      <c r="AM6" s="57">
        <f t="shared" si="0"/>
        <v>0</v>
      </c>
      <c r="AN6" s="57">
        <f t="shared" si="0"/>
        <v>0</v>
      </c>
      <c r="AO6" s="57">
        <f t="shared" si="0"/>
        <v>0</v>
      </c>
    </row>
    <row r="7" customHeight="1" spans="1:41">
      <c r="A7" s="43"/>
      <c r="B7" s="43"/>
      <c r="C7" s="43"/>
      <c r="D7" s="43"/>
      <c r="E7" s="43"/>
      <c r="F7" s="43"/>
      <c r="G7" s="43"/>
      <c r="H7" s="43"/>
      <c r="I7" s="43"/>
      <c r="J7" s="50">
        <v>1</v>
      </c>
      <c r="K7" s="50">
        <v>2</v>
      </c>
      <c r="L7" s="50">
        <v>3</v>
      </c>
      <c r="M7" s="50">
        <v>4</v>
      </c>
      <c r="N7" s="50">
        <v>5</v>
      </c>
      <c r="O7" s="50">
        <v>6</v>
      </c>
      <c r="P7" s="50">
        <v>1</v>
      </c>
      <c r="Q7" s="50">
        <v>2</v>
      </c>
      <c r="R7" s="50">
        <v>3</v>
      </c>
      <c r="S7" s="50">
        <v>4</v>
      </c>
      <c r="T7" s="50">
        <v>5</v>
      </c>
      <c r="U7" s="50">
        <v>6</v>
      </c>
      <c r="V7" s="50"/>
      <c r="W7" s="50"/>
      <c r="X7" s="50"/>
      <c r="Y7" s="50"/>
      <c r="Z7" s="57">
        <f t="shared" ref="Z7:AO7" si="1">J7</f>
        <v>1</v>
      </c>
      <c r="AA7" s="57">
        <f t="shared" si="1"/>
        <v>2</v>
      </c>
      <c r="AB7" s="57">
        <f t="shared" si="1"/>
        <v>3</v>
      </c>
      <c r="AC7" s="57">
        <f t="shared" si="1"/>
        <v>4</v>
      </c>
      <c r="AD7" s="57">
        <f t="shared" si="1"/>
        <v>5</v>
      </c>
      <c r="AE7" s="57">
        <f t="shared" si="1"/>
        <v>6</v>
      </c>
      <c r="AF7" s="57">
        <f t="shared" si="1"/>
        <v>1</v>
      </c>
      <c r="AG7" s="57">
        <f t="shared" si="1"/>
        <v>2</v>
      </c>
      <c r="AH7" s="57">
        <f t="shared" si="1"/>
        <v>3</v>
      </c>
      <c r="AI7" s="57">
        <f t="shared" si="1"/>
        <v>4</v>
      </c>
      <c r="AJ7" s="57">
        <f t="shared" si="1"/>
        <v>5</v>
      </c>
      <c r="AK7" s="57">
        <f t="shared" si="1"/>
        <v>6</v>
      </c>
      <c r="AL7" s="57">
        <f t="shared" si="1"/>
        <v>0</v>
      </c>
      <c r="AM7" s="57">
        <f t="shared" si="1"/>
        <v>0</v>
      </c>
      <c r="AN7" s="57">
        <f t="shared" si="1"/>
        <v>0</v>
      </c>
      <c r="AO7" s="57">
        <f t="shared" si="1"/>
        <v>0</v>
      </c>
    </row>
    <row r="8" spans="1:41">
      <c r="A8" s="58">
        <v>46201</v>
      </c>
      <c r="B8" s="59" t="s">
        <v>30</v>
      </c>
      <c r="C8" s="60"/>
      <c r="D8" s="60">
        <v>0.995</v>
      </c>
      <c r="E8" s="60">
        <v>0.03</v>
      </c>
      <c r="F8" s="60">
        <v>-0.03</v>
      </c>
      <c r="G8" s="60">
        <f t="shared" ref="G8:G14" si="2">D8+E8</f>
        <v>1.025</v>
      </c>
      <c r="H8" s="60">
        <f t="shared" ref="H8:H14" si="3">D8+F8</f>
        <v>0.965</v>
      </c>
      <c r="I8" s="60" t="s">
        <v>31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2" t="str">
        <f t="shared" ref="Z8:AO8" si="4">IF(J8="","",IF(J8&gt;($D8+$E8),(J8-$D8-$E8),IF(J8&lt;($D8+$F8),(J8-$D8-$F8),"√")))</f>
        <v/>
      </c>
      <c r="AA8" s="62" t="str">
        <f t="shared" si="4"/>
        <v/>
      </c>
      <c r="AB8" s="62" t="str">
        <f t="shared" si="4"/>
        <v/>
      </c>
      <c r="AC8" s="62" t="str">
        <f t="shared" si="4"/>
        <v/>
      </c>
      <c r="AD8" s="62" t="str">
        <f t="shared" si="4"/>
        <v/>
      </c>
      <c r="AE8" s="62" t="str">
        <f t="shared" si="4"/>
        <v/>
      </c>
      <c r="AF8" s="62" t="str">
        <f t="shared" si="4"/>
        <v/>
      </c>
      <c r="AG8" s="62" t="str">
        <f t="shared" si="4"/>
        <v/>
      </c>
      <c r="AH8" s="62" t="str">
        <f t="shared" si="4"/>
        <v/>
      </c>
      <c r="AI8" s="62" t="str">
        <f t="shared" si="4"/>
        <v/>
      </c>
      <c r="AJ8" s="62" t="str">
        <f t="shared" si="4"/>
        <v/>
      </c>
      <c r="AK8" s="62" t="str">
        <f t="shared" si="4"/>
        <v/>
      </c>
      <c r="AL8" s="62" t="str">
        <f t="shared" si="4"/>
        <v/>
      </c>
      <c r="AM8" s="62" t="str">
        <f t="shared" si="4"/>
        <v/>
      </c>
      <c r="AN8" s="62" t="str">
        <f t="shared" si="4"/>
        <v/>
      </c>
      <c r="AO8" s="62" t="str">
        <f t="shared" si="4"/>
        <v/>
      </c>
    </row>
    <row r="9" spans="1:41">
      <c r="A9" s="63"/>
      <c r="B9" s="59" t="s">
        <v>32</v>
      </c>
      <c r="C9" s="60"/>
      <c r="D9" s="60">
        <v>0</v>
      </c>
      <c r="E9" s="60">
        <v>0.08</v>
      </c>
      <c r="F9" s="60">
        <v>0</v>
      </c>
      <c r="G9" s="60">
        <f t="shared" si="2"/>
        <v>0.08</v>
      </c>
      <c r="H9" s="60">
        <f t="shared" si="3"/>
        <v>0</v>
      </c>
      <c r="I9" s="60" t="s">
        <v>31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2" t="str">
        <f t="shared" ref="Z9:AO9" si="5">IF(J9="","",IF(J9&gt;($D9+$E9),(J9-$D9-$E9),IF(J9&lt;($D9+$F9),(J9-$D9-$F9),"√")))</f>
        <v/>
      </c>
      <c r="AA9" s="62" t="str">
        <f t="shared" si="5"/>
        <v/>
      </c>
      <c r="AB9" s="62" t="str">
        <f t="shared" si="5"/>
        <v/>
      </c>
      <c r="AC9" s="62" t="str">
        <f t="shared" si="5"/>
        <v/>
      </c>
      <c r="AD9" s="62" t="str">
        <f t="shared" si="5"/>
        <v/>
      </c>
      <c r="AE9" s="62" t="str">
        <f t="shared" si="5"/>
        <v/>
      </c>
      <c r="AF9" s="62" t="str">
        <f t="shared" si="5"/>
        <v/>
      </c>
      <c r="AG9" s="62" t="str">
        <f t="shared" si="5"/>
        <v/>
      </c>
      <c r="AH9" s="62" t="str">
        <f t="shared" si="5"/>
        <v/>
      </c>
      <c r="AI9" s="62" t="str">
        <f t="shared" si="5"/>
        <v/>
      </c>
      <c r="AJ9" s="62" t="str">
        <f t="shared" si="5"/>
        <v/>
      </c>
      <c r="AK9" s="62" t="str">
        <f t="shared" si="5"/>
        <v/>
      </c>
      <c r="AL9" s="62" t="str">
        <f t="shared" si="5"/>
        <v/>
      </c>
      <c r="AM9" s="62" t="str">
        <f t="shared" si="5"/>
        <v/>
      </c>
      <c r="AN9" s="62" t="str">
        <f t="shared" si="5"/>
        <v/>
      </c>
      <c r="AO9" s="62" t="str">
        <f t="shared" si="5"/>
        <v/>
      </c>
    </row>
    <row r="10" spans="1:41">
      <c r="A10" s="63"/>
      <c r="B10" s="59" t="s">
        <v>33</v>
      </c>
      <c r="C10" s="60"/>
      <c r="D10" s="60"/>
      <c r="E10" s="60"/>
      <c r="F10" s="60"/>
      <c r="G10" s="60"/>
      <c r="H10" s="60"/>
      <c r="I10" s="60" t="s">
        <v>31</v>
      </c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>
      <c r="A11" s="63"/>
      <c r="B11" s="59" t="s">
        <v>34</v>
      </c>
      <c r="C11" s="60"/>
      <c r="D11" s="60"/>
      <c r="E11" s="60"/>
      <c r="F11" s="60"/>
      <c r="G11" s="60"/>
      <c r="H11" s="60"/>
      <c r="I11" s="60" t="s">
        <v>31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>
      <c r="A12" s="63"/>
      <c r="B12" s="59" t="s">
        <v>35</v>
      </c>
      <c r="C12" s="60"/>
      <c r="D12" s="60">
        <v>0.35</v>
      </c>
      <c r="E12" s="60">
        <v>0.03</v>
      </c>
      <c r="F12" s="60">
        <v>-0.03</v>
      </c>
      <c r="G12" s="60">
        <f t="shared" si="2"/>
        <v>0.38</v>
      </c>
      <c r="H12" s="60">
        <f t="shared" si="3"/>
        <v>0.32</v>
      </c>
      <c r="I12" s="60" t="s">
        <v>31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2" t="str">
        <f t="shared" ref="Z12:AO12" si="6">IF(J12="","",IF(J12&gt;($D12+$E12),(J12-$D12-$E12),IF(J12&lt;($D12+$F12),(J12-$D12-$F12),"√")))</f>
        <v/>
      </c>
      <c r="AA12" s="62" t="str">
        <f t="shared" si="6"/>
        <v/>
      </c>
      <c r="AB12" s="62" t="str">
        <f t="shared" si="6"/>
        <v/>
      </c>
      <c r="AC12" s="62" t="str">
        <f t="shared" si="6"/>
        <v/>
      </c>
      <c r="AD12" s="62" t="str">
        <f t="shared" si="6"/>
        <v/>
      </c>
      <c r="AE12" s="62" t="str">
        <f t="shared" si="6"/>
        <v/>
      </c>
      <c r="AF12" s="62" t="str">
        <f t="shared" si="6"/>
        <v/>
      </c>
      <c r="AG12" s="62" t="str">
        <f t="shared" si="6"/>
        <v/>
      </c>
      <c r="AH12" s="62" t="str">
        <f t="shared" si="6"/>
        <v/>
      </c>
      <c r="AI12" s="62" t="str">
        <f t="shared" si="6"/>
        <v/>
      </c>
      <c r="AJ12" s="62" t="str">
        <f t="shared" si="6"/>
        <v/>
      </c>
      <c r="AK12" s="62" t="str">
        <f t="shared" si="6"/>
        <v/>
      </c>
      <c r="AL12" s="62" t="str">
        <f t="shared" si="6"/>
        <v/>
      </c>
      <c r="AM12" s="62" t="str">
        <f t="shared" si="6"/>
        <v/>
      </c>
      <c r="AN12" s="62" t="str">
        <f t="shared" si="6"/>
        <v/>
      </c>
      <c r="AO12" s="62" t="str">
        <f t="shared" si="6"/>
        <v/>
      </c>
    </row>
    <row r="13" spans="1:41">
      <c r="A13" s="63"/>
      <c r="B13" s="59" t="s">
        <v>36</v>
      </c>
      <c r="C13" s="60"/>
      <c r="D13" s="60">
        <v>0.35</v>
      </c>
      <c r="E13" s="60">
        <v>0.03</v>
      </c>
      <c r="F13" s="60">
        <v>-0.03</v>
      </c>
      <c r="G13" s="60">
        <f t="shared" si="2"/>
        <v>0.38</v>
      </c>
      <c r="H13" s="60">
        <f t="shared" si="3"/>
        <v>0.32</v>
      </c>
      <c r="I13" s="60" t="s">
        <v>31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2" t="str">
        <f t="shared" ref="Z13:AO13" si="7">IF(J13="","",IF(J13&gt;($D13+$E13),(J13-$D13-$E13),IF(J13&lt;($D13+$F13),(J13-$D13-$F13),"√")))</f>
        <v/>
      </c>
      <c r="AA13" s="62" t="str">
        <f t="shared" si="7"/>
        <v/>
      </c>
      <c r="AB13" s="62" t="str">
        <f t="shared" si="7"/>
        <v/>
      </c>
      <c r="AC13" s="62" t="str">
        <f t="shared" si="7"/>
        <v/>
      </c>
      <c r="AD13" s="62" t="str">
        <f t="shared" si="7"/>
        <v/>
      </c>
      <c r="AE13" s="62" t="str">
        <f t="shared" si="7"/>
        <v/>
      </c>
      <c r="AF13" s="62" t="str">
        <f t="shared" si="7"/>
        <v/>
      </c>
      <c r="AG13" s="62" t="str">
        <f t="shared" si="7"/>
        <v/>
      </c>
      <c r="AH13" s="62" t="str">
        <f t="shared" si="7"/>
        <v/>
      </c>
      <c r="AI13" s="62" t="str">
        <f t="shared" si="7"/>
        <v/>
      </c>
      <c r="AJ13" s="62" t="str">
        <f t="shared" si="7"/>
        <v/>
      </c>
      <c r="AK13" s="62" t="str">
        <f t="shared" si="7"/>
        <v/>
      </c>
      <c r="AL13" s="62" t="str">
        <f t="shared" si="7"/>
        <v/>
      </c>
      <c r="AM13" s="62" t="str">
        <f t="shared" si="7"/>
        <v/>
      </c>
      <c r="AN13" s="62" t="str">
        <f t="shared" si="7"/>
        <v/>
      </c>
      <c r="AO13" s="62" t="str">
        <f t="shared" si="7"/>
        <v/>
      </c>
    </row>
    <row r="14" spans="1:41">
      <c r="A14" s="63"/>
      <c r="B14" s="59" t="s">
        <v>37</v>
      </c>
      <c r="C14" s="60" t="s">
        <v>38</v>
      </c>
      <c r="D14" s="60">
        <v>0</v>
      </c>
      <c r="E14" s="60">
        <v>0.06</v>
      </c>
      <c r="F14" s="60">
        <v>0</v>
      </c>
      <c r="G14" s="60">
        <f t="shared" si="2"/>
        <v>0.06</v>
      </c>
      <c r="H14" s="60">
        <f t="shared" si="3"/>
        <v>0</v>
      </c>
      <c r="I14" s="60" t="s">
        <v>31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2" t="str">
        <f t="shared" ref="Z14:AO14" si="8">IF(J14="","",IF(J14&gt;($D14+$E14),(J14-$D14-$E14),IF(J14&lt;($D14+$F14),(J14-$D14-$F14),"√")))</f>
        <v/>
      </c>
      <c r="AA14" s="62" t="str">
        <f t="shared" si="8"/>
        <v/>
      </c>
      <c r="AB14" s="62" t="str">
        <f t="shared" si="8"/>
        <v/>
      </c>
      <c r="AC14" s="62" t="str">
        <f t="shared" si="8"/>
        <v/>
      </c>
      <c r="AD14" s="62" t="str">
        <f t="shared" si="8"/>
        <v/>
      </c>
      <c r="AE14" s="62" t="str">
        <f t="shared" si="8"/>
        <v/>
      </c>
      <c r="AF14" s="62" t="str">
        <f t="shared" si="8"/>
        <v/>
      </c>
      <c r="AG14" s="62" t="str">
        <f t="shared" si="8"/>
        <v/>
      </c>
      <c r="AH14" s="62" t="str">
        <f t="shared" si="8"/>
        <v/>
      </c>
      <c r="AI14" s="62" t="str">
        <f t="shared" si="8"/>
        <v/>
      </c>
      <c r="AJ14" s="62" t="str">
        <f t="shared" si="8"/>
        <v/>
      </c>
      <c r="AK14" s="62" t="str">
        <f t="shared" si="8"/>
        <v/>
      </c>
      <c r="AL14" s="62" t="str">
        <f t="shared" si="8"/>
        <v/>
      </c>
      <c r="AM14" s="62" t="str">
        <f t="shared" si="8"/>
        <v/>
      </c>
      <c r="AN14" s="62" t="str">
        <f t="shared" si="8"/>
        <v/>
      </c>
      <c r="AO14" s="62" t="str">
        <f t="shared" si="8"/>
        <v/>
      </c>
    </row>
    <row r="15" spans="1:41">
      <c r="A15" s="63"/>
      <c r="B15" s="59">
        <v>1</v>
      </c>
      <c r="C15" s="60"/>
      <c r="D15" s="60"/>
      <c r="E15" s="60"/>
      <c r="F15" s="60"/>
      <c r="G15" s="60"/>
      <c r="H15" s="60"/>
      <c r="I15" s="60" t="s">
        <v>31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>
      <c r="A16" s="63"/>
      <c r="B16" s="59">
        <v>2</v>
      </c>
      <c r="C16" s="60"/>
      <c r="D16" s="60"/>
      <c r="E16" s="60"/>
      <c r="F16" s="60"/>
      <c r="G16" s="60"/>
      <c r="H16" s="60"/>
      <c r="I16" s="60" t="s">
        <v>31</v>
      </c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>
      <c r="A17" s="63"/>
      <c r="B17" s="59">
        <v>3</v>
      </c>
      <c r="C17" s="60"/>
      <c r="D17" s="60"/>
      <c r="E17" s="60"/>
      <c r="F17" s="60"/>
      <c r="G17" s="60"/>
      <c r="H17" s="60"/>
      <c r="I17" s="60" t="s">
        <v>31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>
      <c r="A18" s="63"/>
      <c r="B18" s="59">
        <v>4</v>
      </c>
      <c r="C18" s="60"/>
      <c r="D18" s="60"/>
      <c r="E18" s="60"/>
      <c r="F18" s="60"/>
      <c r="G18" s="60"/>
      <c r="H18" s="60"/>
      <c r="I18" s="60" t="s">
        <v>31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>
      <c r="A19" s="63"/>
      <c r="B19" s="59">
        <v>5</v>
      </c>
      <c r="C19" s="60"/>
      <c r="D19" s="60"/>
      <c r="E19" s="60"/>
      <c r="F19" s="60"/>
      <c r="G19" s="60"/>
      <c r="H19" s="60"/>
      <c r="I19" s="60" t="s">
        <v>31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>
      <c r="A20" s="63"/>
      <c r="B20" s="59">
        <v>6</v>
      </c>
      <c r="C20" s="60"/>
      <c r="D20" s="60"/>
      <c r="E20" s="60"/>
      <c r="F20" s="60"/>
      <c r="G20" s="60"/>
      <c r="H20" s="60"/>
      <c r="I20" s="60" t="s">
        <v>31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>
      <c r="A21" s="63"/>
      <c r="B21" s="59">
        <v>7</v>
      </c>
      <c r="C21" s="60"/>
      <c r="D21" s="60"/>
      <c r="E21" s="60"/>
      <c r="F21" s="60"/>
      <c r="G21" s="60"/>
      <c r="H21" s="60"/>
      <c r="I21" s="60" t="s">
        <v>31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>
      <c r="A22" s="63"/>
      <c r="B22" s="59">
        <v>8</v>
      </c>
      <c r="C22" s="60"/>
      <c r="D22" s="60"/>
      <c r="E22" s="60"/>
      <c r="F22" s="60"/>
      <c r="G22" s="60"/>
      <c r="H22" s="60"/>
      <c r="I22" s="60" t="s">
        <v>31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>
      <c r="A23" s="63"/>
      <c r="B23" s="59">
        <v>9</v>
      </c>
      <c r="C23" s="60"/>
      <c r="D23" s="60"/>
      <c r="E23" s="60"/>
      <c r="F23" s="60"/>
      <c r="G23" s="60"/>
      <c r="H23" s="60"/>
      <c r="I23" s="60" t="s">
        <v>31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>
      <c r="A24" s="63"/>
      <c r="B24" s="59">
        <v>10</v>
      </c>
      <c r="C24" s="60"/>
      <c r="D24" s="60"/>
      <c r="E24" s="60"/>
      <c r="F24" s="60"/>
      <c r="G24" s="60"/>
      <c r="H24" s="60"/>
      <c r="I24" s="60" t="s">
        <v>31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>
      <c r="A25" s="63"/>
      <c r="B25" s="59">
        <v>11</v>
      </c>
      <c r="C25" s="60"/>
      <c r="D25" s="60"/>
      <c r="E25" s="60"/>
      <c r="F25" s="60"/>
      <c r="G25" s="60"/>
      <c r="H25" s="60"/>
      <c r="I25" s="60" t="s">
        <v>31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>
      <c r="A26" s="63"/>
      <c r="B26" s="59">
        <v>12</v>
      </c>
      <c r="C26" s="60"/>
      <c r="D26" s="60"/>
      <c r="E26" s="60"/>
      <c r="F26" s="60"/>
      <c r="G26" s="60"/>
      <c r="H26" s="60"/>
      <c r="I26" s="60" t="s">
        <v>31</v>
      </c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>
      <c r="A27" s="63"/>
      <c r="B27" s="59">
        <v>13</v>
      </c>
      <c r="C27" s="60"/>
      <c r="D27" s="60"/>
      <c r="E27" s="60"/>
      <c r="F27" s="60"/>
      <c r="G27" s="60"/>
      <c r="H27" s="60"/>
      <c r="I27" s="60" t="s">
        <v>31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>
      <c r="A28" s="63"/>
      <c r="B28" s="59">
        <v>14</v>
      </c>
      <c r="C28" s="60"/>
      <c r="D28" s="60"/>
      <c r="E28" s="60"/>
      <c r="F28" s="60"/>
      <c r="G28" s="60"/>
      <c r="H28" s="60"/>
      <c r="I28" s="60" t="s">
        <v>31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>
      <c r="A29" s="63"/>
      <c r="B29" s="59">
        <v>15</v>
      </c>
      <c r="C29" s="60"/>
      <c r="D29" s="60"/>
      <c r="E29" s="60"/>
      <c r="F29" s="60"/>
      <c r="G29" s="60"/>
      <c r="H29" s="60"/>
      <c r="I29" s="60" t="s">
        <v>31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>
      <c r="A30" s="63"/>
      <c r="B30" s="59">
        <v>16</v>
      </c>
      <c r="C30" s="60"/>
      <c r="D30" s="60"/>
      <c r="E30" s="60"/>
      <c r="F30" s="60"/>
      <c r="G30" s="60"/>
      <c r="H30" s="60"/>
      <c r="I30" s="60" t="s">
        <v>31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>
      <c r="A31" s="63"/>
      <c r="B31" s="59">
        <v>17</v>
      </c>
      <c r="C31" s="60"/>
      <c r="D31" s="60"/>
      <c r="E31" s="60"/>
      <c r="F31" s="60"/>
      <c r="G31" s="60"/>
      <c r="H31" s="60"/>
      <c r="I31" s="60" t="s">
        <v>31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>
      <c r="A32" s="63"/>
      <c r="B32" s="59">
        <v>18</v>
      </c>
      <c r="C32" s="60"/>
      <c r="D32" s="60"/>
      <c r="E32" s="60"/>
      <c r="F32" s="60"/>
      <c r="G32" s="60"/>
      <c r="H32" s="60"/>
      <c r="I32" s="60" t="s">
        <v>31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>
      <c r="A33" s="63"/>
      <c r="B33" s="59">
        <v>19</v>
      </c>
      <c r="C33" s="60"/>
      <c r="D33" s="60"/>
      <c r="E33" s="60"/>
      <c r="F33" s="60"/>
      <c r="G33" s="60"/>
      <c r="H33" s="60"/>
      <c r="I33" s="60" t="s">
        <v>31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>
      <c r="A34" s="63"/>
      <c r="B34" s="59">
        <v>20</v>
      </c>
      <c r="C34" s="60"/>
      <c r="D34" s="60"/>
      <c r="E34" s="60"/>
      <c r="F34" s="60"/>
      <c r="G34" s="60"/>
      <c r="H34" s="60"/>
      <c r="I34" s="60" t="s">
        <v>31</v>
      </c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>
      <c r="A35" s="63"/>
      <c r="B35" s="59">
        <v>21</v>
      </c>
      <c r="C35" s="60"/>
      <c r="D35" s="60"/>
      <c r="E35" s="60"/>
      <c r="F35" s="60"/>
      <c r="G35" s="60"/>
      <c r="H35" s="60"/>
      <c r="I35" s="60" t="s">
        <v>31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>
      <c r="A36" s="63"/>
      <c r="B36" s="59" t="s">
        <v>39</v>
      </c>
      <c r="C36" s="60" t="s">
        <v>40</v>
      </c>
      <c r="D36" s="60">
        <v>0</v>
      </c>
      <c r="E36" s="60">
        <v>0.04</v>
      </c>
      <c r="F36" s="60">
        <v>0</v>
      </c>
      <c r="G36" s="60">
        <f>D36+E36</f>
        <v>0.04</v>
      </c>
      <c r="H36" s="60">
        <f>D36+F36</f>
        <v>0</v>
      </c>
      <c r="I36" s="60" t="s">
        <v>31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2" t="str">
        <f t="shared" ref="Z36:AO36" si="9">IF(J36="","",IF(J36&gt;($D36+$E36),(J36-$D36-$E36),IF(J36&lt;($D36+$F36),(J36-$D36-$F36),"√")))</f>
        <v/>
      </c>
      <c r="AA36" s="62" t="str">
        <f t="shared" si="9"/>
        <v/>
      </c>
      <c r="AB36" s="62" t="str">
        <f t="shared" si="9"/>
        <v/>
      </c>
      <c r="AC36" s="62" t="str">
        <f t="shared" si="9"/>
        <v/>
      </c>
      <c r="AD36" s="62" t="str">
        <f t="shared" si="9"/>
        <v/>
      </c>
      <c r="AE36" s="62" t="str">
        <f t="shared" si="9"/>
        <v/>
      </c>
      <c r="AF36" s="62" t="str">
        <f t="shared" si="9"/>
        <v/>
      </c>
      <c r="AG36" s="62" t="str">
        <f t="shared" si="9"/>
        <v/>
      </c>
      <c r="AH36" s="62" t="str">
        <f t="shared" si="9"/>
        <v/>
      </c>
      <c r="AI36" s="62" t="str">
        <f t="shared" si="9"/>
        <v/>
      </c>
      <c r="AJ36" s="62" t="str">
        <f t="shared" si="9"/>
        <v/>
      </c>
      <c r="AK36" s="62" t="str">
        <f t="shared" si="9"/>
        <v/>
      </c>
      <c r="AL36" s="62" t="str">
        <f t="shared" si="9"/>
        <v/>
      </c>
      <c r="AM36" s="62" t="str">
        <f t="shared" si="9"/>
        <v/>
      </c>
      <c r="AN36" s="62" t="str">
        <f t="shared" si="9"/>
        <v/>
      </c>
      <c r="AO36" s="62" t="str">
        <f t="shared" si="9"/>
        <v/>
      </c>
    </row>
    <row r="37" spans="1:41">
      <c r="A37" s="63"/>
      <c r="B37" s="59">
        <v>1</v>
      </c>
      <c r="C37" s="60"/>
      <c r="D37" s="60"/>
      <c r="E37" s="60"/>
      <c r="F37" s="60"/>
      <c r="G37" s="60"/>
      <c r="H37" s="60"/>
      <c r="I37" s="60" t="s">
        <v>31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>
      <c r="A38" s="63"/>
      <c r="B38" s="59">
        <v>2</v>
      </c>
      <c r="C38" s="60"/>
      <c r="D38" s="60"/>
      <c r="E38" s="60"/>
      <c r="F38" s="60"/>
      <c r="G38" s="60"/>
      <c r="H38" s="60"/>
      <c r="I38" s="60" t="s">
        <v>31</v>
      </c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>
      <c r="A39" s="63"/>
      <c r="B39" s="59">
        <v>3</v>
      </c>
      <c r="C39" s="60"/>
      <c r="D39" s="60"/>
      <c r="E39" s="60"/>
      <c r="F39" s="60"/>
      <c r="G39" s="60"/>
      <c r="H39" s="60"/>
      <c r="I39" s="60" t="s">
        <v>31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>
      <c r="A40" s="63"/>
      <c r="B40" s="59">
        <v>4</v>
      </c>
      <c r="C40" s="60"/>
      <c r="D40" s="60"/>
      <c r="E40" s="60"/>
      <c r="F40" s="60"/>
      <c r="G40" s="60"/>
      <c r="H40" s="60"/>
      <c r="I40" s="60" t="s">
        <v>31</v>
      </c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>
      <c r="A41" s="63"/>
      <c r="B41" s="59" t="s">
        <v>41</v>
      </c>
      <c r="C41" s="60" t="s">
        <v>40</v>
      </c>
      <c r="D41" s="60">
        <v>0</v>
      </c>
      <c r="E41" s="60">
        <v>0.04</v>
      </c>
      <c r="F41" s="60">
        <v>0</v>
      </c>
      <c r="G41" s="60">
        <f>D41+E41</f>
        <v>0.04</v>
      </c>
      <c r="H41" s="60">
        <f>D41+F41</f>
        <v>0</v>
      </c>
      <c r="I41" s="60" t="s">
        <v>31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2" t="str">
        <f t="shared" ref="Z41:AO41" si="10">IF(J41="","",IF(J41&gt;($D41+$E41),(J41-$D41-$E41),IF(J41&lt;($D41+$F41),(J41-$D41-$F41),"√")))</f>
        <v/>
      </c>
      <c r="AA41" s="62" t="str">
        <f t="shared" si="10"/>
        <v/>
      </c>
      <c r="AB41" s="62" t="str">
        <f t="shared" si="10"/>
        <v/>
      </c>
      <c r="AC41" s="62" t="str">
        <f t="shared" si="10"/>
        <v/>
      </c>
      <c r="AD41" s="62" t="str">
        <f t="shared" si="10"/>
        <v/>
      </c>
      <c r="AE41" s="62" t="str">
        <f t="shared" si="10"/>
        <v/>
      </c>
      <c r="AF41" s="62" t="str">
        <f t="shared" si="10"/>
        <v/>
      </c>
      <c r="AG41" s="62" t="str">
        <f t="shared" si="10"/>
        <v/>
      </c>
      <c r="AH41" s="62" t="str">
        <f t="shared" si="10"/>
        <v/>
      </c>
      <c r="AI41" s="62" t="str">
        <f t="shared" si="10"/>
        <v/>
      </c>
      <c r="AJ41" s="62" t="str">
        <f t="shared" si="10"/>
        <v/>
      </c>
      <c r="AK41" s="62" t="str">
        <f t="shared" si="10"/>
        <v/>
      </c>
      <c r="AL41" s="62" t="str">
        <f t="shared" si="10"/>
        <v/>
      </c>
      <c r="AM41" s="62" t="str">
        <f t="shared" si="10"/>
        <v/>
      </c>
      <c r="AN41" s="62" t="str">
        <f t="shared" si="10"/>
        <v/>
      </c>
      <c r="AO41" s="62" t="str">
        <f t="shared" si="10"/>
        <v/>
      </c>
    </row>
    <row r="42" spans="1:41">
      <c r="A42" s="63"/>
      <c r="B42" s="59">
        <v>1</v>
      </c>
      <c r="C42" s="60"/>
      <c r="D42" s="60"/>
      <c r="E42" s="60"/>
      <c r="F42" s="60"/>
      <c r="G42" s="60"/>
      <c r="H42" s="60"/>
      <c r="I42" s="60" t="s">
        <v>31</v>
      </c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>
      <c r="A43" s="63"/>
      <c r="B43" s="59">
        <v>2</v>
      </c>
      <c r="C43" s="60"/>
      <c r="D43" s="60"/>
      <c r="E43" s="60"/>
      <c r="F43" s="60"/>
      <c r="G43" s="60"/>
      <c r="H43" s="60"/>
      <c r="I43" s="60" t="s">
        <v>31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>
      <c r="A44" s="63"/>
      <c r="B44" s="59">
        <v>3</v>
      </c>
      <c r="C44" s="60"/>
      <c r="D44" s="60"/>
      <c r="E44" s="60"/>
      <c r="F44" s="60"/>
      <c r="G44" s="60"/>
      <c r="H44" s="60"/>
      <c r="I44" s="60" t="s">
        <v>31</v>
      </c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>
      <c r="A45" s="63"/>
      <c r="B45" s="59">
        <v>4</v>
      </c>
      <c r="C45" s="60"/>
      <c r="D45" s="60"/>
      <c r="E45" s="60"/>
      <c r="F45" s="60"/>
      <c r="G45" s="60"/>
      <c r="H45" s="60"/>
      <c r="I45" s="60" t="s">
        <v>31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>
      <c r="A46" s="63"/>
      <c r="B46" s="59" t="s">
        <v>42</v>
      </c>
      <c r="C46" s="60"/>
      <c r="D46" s="60">
        <v>0.7</v>
      </c>
      <c r="E46" s="60">
        <v>0.05</v>
      </c>
      <c r="F46" s="60">
        <v>-0.05</v>
      </c>
      <c r="G46" s="60">
        <f t="shared" ref="G46:G50" si="11">D46+E46</f>
        <v>0.75</v>
      </c>
      <c r="H46" s="60">
        <f t="shared" ref="H46:H50" si="12">D46+F46</f>
        <v>0.65</v>
      </c>
      <c r="I46" s="60" t="s">
        <v>31</v>
      </c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2" t="str">
        <f t="shared" ref="Z46:AO46" si="13">IF(J46="","",IF(J46&gt;($D46+$E46),(J46-$D46-$E46),IF(J46&lt;($D46+$F46),(J46-$D46-$F46),"√")))</f>
        <v/>
      </c>
      <c r="AA46" s="62" t="str">
        <f t="shared" si="13"/>
        <v/>
      </c>
      <c r="AB46" s="62" t="str">
        <f t="shared" si="13"/>
        <v/>
      </c>
      <c r="AC46" s="62" t="str">
        <f t="shared" si="13"/>
        <v/>
      </c>
      <c r="AD46" s="62" t="str">
        <f t="shared" si="13"/>
        <v/>
      </c>
      <c r="AE46" s="62" t="str">
        <f t="shared" si="13"/>
        <v/>
      </c>
      <c r="AF46" s="62" t="str">
        <f t="shared" si="13"/>
        <v/>
      </c>
      <c r="AG46" s="62" t="str">
        <f t="shared" si="13"/>
        <v/>
      </c>
      <c r="AH46" s="62" t="str">
        <f t="shared" si="13"/>
        <v/>
      </c>
      <c r="AI46" s="62" t="str">
        <f t="shared" si="13"/>
        <v/>
      </c>
      <c r="AJ46" s="62" t="str">
        <f t="shared" si="13"/>
        <v/>
      </c>
      <c r="AK46" s="62" t="str">
        <f t="shared" si="13"/>
        <v/>
      </c>
      <c r="AL46" s="62" t="str">
        <f t="shared" si="13"/>
        <v/>
      </c>
      <c r="AM46" s="62" t="str">
        <f t="shared" si="13"/>
        <v/>
      </c>
      <c r="AN46" s="62" t="str">
        <f t="shared" si="13"/>
        <v/>
      </c>
      <c r="AO46" s="62" t="str">
        <f t="shared" si="13"/>
        <v/>
      </c>
    </row>
    <row r="47" spans="1:41">
      <c r="A47" s="63"/>
      <c r="B47" s="59" t="s">
        <v>43</v>
      </c>
      <c r="C47" s="60"/>
      <c r="D47" s="60">
        <v>0.7</v>
      </c>
      <c r="E47" s="60">
        <v>0.05</v>
      </c>
      <c r="F47" s="60">
        <v>-0.05</v>
      </c>
      <c r="G47" s="60">
        <f t="shared" si="11"/>
        <v>0.75</v>
      </c>
      <c r="H47" s="60">
        <f t="shared" si="12"/>
        <v>0.65</v>
      </c>
      <c r="I47" s="60" t="s">
        <v>31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2" t="str">
        <f t="shared" ref="Z47:AO47" si="14">IF(J47="","",IF(J47&gt;($D47+$E47),(J47-$D47-$E47),IF(J47&lt;($D47+$F47),(J47-$D47-$F47),"√")))</f>
        <v/>
      </c>
      <c r="AA47" s="62" t="str">
        <f t="shared" si="14"/>
        <v/>
      </c>
      <c r="AB47" s="62" t="str">
        <f t="shared" si="14"/>
        <v/>
      </c>
      <c r="AC47" s="62" t="str">
        <f t="shared" si="14"/>
        <v/>
      </c>
      <c r="AD47" s="62" t="str">
        <f t="shared" si="14"/>
        <v/>
      </c>
      <c r="AE47" s="62" t="str">
        <f t="shared" si="14"/>
        <v/>
      </c>
      <c r="AF47" s="62" t="str">
        <f t="shared" si="14"/>
        <v/>
      </c>
      <c r="AG47" s="62" t="str">
        <f t="shared" si="14"/>
        <v/>
      </c>
      <c r="AH47" s="62" t="str">
        <f t="shared" si="14"/>
        <v/>
      </c>
      <c r="AI47" s="62" t="str">
        <f t="shared" si="14"/>
        <v/>
      </c>
      <c r="AJ47" s="62" t="str">
        <f t="shared" si="14"/>
        <v/>
      </c>
      <c r="AK47" s="62" t="str">
        <f t="shared" si="14"/>
        <v/>
      </c>
      <c r="AL47" s="62" t="str">
        <f t="shared" si="14"/>
        <v/>
      </c>
      <c r="AM47" s="62" t="str">
        <f t="shared" si="14"/>
        <v/>
      </c>
      <c r="AN47" s="62" t="str">
        <f t="shared" si="14"/>
        <v/>
      </c>
      <c r="AO47" s="62" t="str">
        <f t="shared" si="14"/>
        <v/>
      </c>
    </row>
    <row r="48" spans="1:41">
      <c r="A48" s="63"/>
      <c r="B48" s="59" t="s">
        <v>44</v>
      </c>
      <c r="C48" s="60"/>
      <c r="D48" s="60">
        <v>0.7</v>
      </c>
      <c r="E48" s="60">
        <v>0.05</v>
      </c>
      <c r="F48" s="60">
        <v>-0.05</v>
      </c>
      <c r="G48" s="60">
        <f t="shared" si="11"/>
        <v>0.75</v>
      </c>
      <c r="H48" s="60">
        <f t="shared" si="12"/>
        <v>0.65</v>
      </c>
      <c r="I48" s="60" t="s">
        <v>31</v>
      </c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2" t="str">
        <f t="shared" ref="Z48:AO48" si="15">IF(J48="","",IF(J48&gt;($D48+$E48),(J48-$D48-$E48),IF(J48&lt;($D48+$F48),(J48-$D48-$F48),"√")))</f>
        <v/>
      </c>
      <c r="AA48" s="62" t="str">
        <f t="shared" si="15"/>
        <v/>
      </c>
      <c r="AB48" s="62" t="str">
        <f t="shared" si="15"/>
        <v/>
      </c>
      <c r="AC48" s="62" t="str">
        <f t="shared" si="15"/>
        <v/>
      </c>
      <c r="AD48" s="62" t="str">
        <f t="shared" si="15"/>
        <v/>
      </c>
      <c r="AE48" s="62" t="str">
        <f t="shared" si="15"/>
        <v/>
      </c>
      <c r="AF48" s="62" t="str">
        <f t="shared" si="15"/>
        <v/>
      </c>
      <c r="AG48" s="62" t="str">
        <f t="shared" si="15"/>
        <v/>
      </c>
      <c r="AH48" s="62" t="str">
        <f t="shared" si="15"/>
        <v/>
      </c>
      <c r="AI48" s="62" t="str">
        <f t="shared" si="15"/>
        <v/>
      </c>
      <c r="AJ48" s="62" t="str">
        <f t="shared" si="15"/>
        <v/>
      </c>
      <c r="AK48" s="62" t="str">
        <f t="shared" si="15"/>
        <v/>
      </c>
      <c r="AL48" s="62" t="str">
        <f t="shared" si="15"/>
        <v/>
      </c>
      <c r="AM48" s="62" t="str">
        <f t="shared" si="15"/>
        <v/>
      </c>
      <c r="AN48" s="62" t="str">
        <f t="shared" si="15"/>
        <v/>
      </c>
      <c r="AO48" s="62" t="str">
        <f t="shared" si="15"/>
        <v/>
      </c>
    </row>
    <row r="49" spans="1:41">
      <c r="A49" s="63"/>
      <c r="B49" s="59" t="s">
        <v>45</v>
      </c>
      <c r="C49" s="60"/>
      <c r="D49" s="60">
        <v>0.965</v>
      </c>
      <c r="E49" s="60">
        <v>0.015</v>
      </c>
      <c r="F49" s="60">
        <v>-0.015</v>
      </c>
      <c r="G49" s="60">
        <f t="shared" si="11"/>
        <v>0.98</v>
      </c>
      <c r="H49" s="60">
        <f t="shared" si="12"/>
        <v>0.95</v>
      </c>
      <c r="I49" s="60" t="s">
        <v>31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2" t="str">
        <f t="shared" ref="Z49:AO49" si="16">IF(J49="","",IF(J49&gt;($D49+$E49),(J49-$D49-$E49),IF(J49&lt;($D49+$F49),(J49-$D49-$F49),"√")))</f>
        <v/>
      </c>
      <c r="AA49" s="62" t="str">
        <f t="shared" si="16"/>
        <v/>
      </c>
      <c r="AB49" s="62" t="str">
        <f t="shared" si="16"/>
        <v/>
      </c>
      <c r="AC49" s="62" t="str">
        <f t="shared" si="16"/>
        <v/>
      </c>
      <c r="AD49" s="62" t="str">
        <f t="shared" si="16"/>
        <v/>
      </c>
      <c r="AE49" s="62" t="str">
        <f t="shared" si="16"/>
        <v/>
      </c>
      <c r="AF49" s="62" t="str">
        <f t="shared" si="16"/>
        <v/>
      </c>
      <c r="AG49" s="62" t="str">
        <f t="shared" si="16"/>
        <v/>
      </c>
      <c r="AH49" s="62" t="str">
        <f t="shared" si="16"/>
        <v/>
      </c>
      <c r="AI49" s="62" t="str">
        <f t="shared" si="16"/>
        <v/>
      </c>
      <c r="AJ49" s="62" t="str">
        <f t="shared" si="16"/>
        <v/>
      </c>
      <c r="AK49" s="62" t="str">
        <f t="shared" si="16"/>
        <v/>
      </c>
      <c r="AL49" s="62" t="str">
        <f t="shared" si="16"/>
        <v/>
      </c>
      <c r="AM49" s="62" t="str">
        <f t="shared" si="16"/>
        <v/>
      </c>
      <c r="AN49" s="62" t="str">
        <f t="shared" si="16"/>
        <v/>
      </c>
      <c r="AO49" s="62" t="str">
        <f t="shared" si="16"/>
        <v/>
      </c>
    </row>
    <row r="50" spans="1:41">
      <c r="A50" s="63"/>
      <c r="B50" s="59" t="s">
        <v>46</v>
      </c>
      <c r="C50" s="60" t="s">
        <v>47</v>
      </c>
      <c r="D50" s="60">
        <v>0</v>
      </c>
      <c r="E50" s="60">
        <v>0.03</v>
      </c>
      <c r="F50" s="60">
        <v>0</v>
      </c>
      <c r="G50" s="60">
        <f t="shared" si="11"/>
        <v>0.03</v>
      </c>
      <c r="H50" s="60">
        <f t="shared" si="12"/>
        <v>0</v>
      </c>
      <c r="I50" s="60" t="s">
        <v>31</v>
      </c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2" t="str">
        <f t="shared" ref="Z50:AO50" si="17">IF(J50="","",IF(J50&gt;($D50+$E50),(J50-$D50-$E50),IF(J50&lt;($D50+$F50),(J50-$D50-$F50),"√")))</f>
        <v/>
      </c>
      <c r="AA50" s="62" t="str">
        <f t="shared" si="17"/>
        <v/>
      </c>
      <c r="AB50" s="62" t="str">
        <f t="shared" si="17"/>
        <v/>
      </c>
      <c r="AC50" s="62" t="str">
        <f t="shared" si="17"/>
        <v/>
      </c>
      <c r="AD50" s="62" t="str">
        <f t="shared" si="17"/>
        <v/>
      </c>
      <c r="AE50" s="62" t="str">
        <f t="shared" si="17"/>
        <v/>
      </c>
      <c r="AF50" s="62" t="str">
        <f t="shared" si="17"/>
        <v/>
      </c>
      <c r="AG50" s="62" t="str">
        <f t="shared" si="17"/>
        <v/>
      </c>
      <c r="AH50" s="62" t="str">
        <f t="shared" si="17"/>
        <v/>
      </c>
      <c r="AI50" s="62" t="str">
        <f t="shared" si="17"/>
        <v/>
      </c>
      <c r="AJ50" s="62" t="str">
        <f t="shared" si="17"/>
        <v/>
      </c>
      <c r="AK50" s="62" t="str">
        <f t="shared" si="17"/>
        <v/>
      </c>
      <c r="AL50" s="62" t="str">
        <f t="shared" si="17"/>
        <v/>
      </c>
      <c r="AM50" s="62" t="str">
        <f t="shared" si="17"/>
        <v/>
      </c>
      <c r="AN50" s="62" t="str">
        <f t="shared" si="17"/>
        <v/>
      </c>
      <c r="AO50" s="62" t="str">
        <f t="shared" si="17"/>
        <v/>
      </c>
    </row>
    <row r="51" spans="1:41">
      <c r="A51" s="63"/>
      <c r="B51" s="59">
        <v>1</v>
      </c>
      <c r="C51" s="60"/>
      <c r="D51" s="60"/>
      <c r="E51" s="60"/>
      <c r="F51" s="60"/>
      <c r="G51" s="60"/>
      <c r="H51" s="60"/>
      <c r="I51" s="60" t="s">
        <v>31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>
      <c r="A52" s="63"/>
      <c r="B52" s="59">
        <v>2</v>
      </c>
      <c r="C52" s="60"/>
      <c r="D52" s="60"/>
      <c r="E52" s="60"/>
      <c r="F52" s="60"/>
      <c r="G52" s="60"/>
      <c r="H52" s="60"/>
      <c r="I52" s="60" t="s">
        <v>31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>
      <c r="A53" s="63"/>
      <c r="B53" s="59">
        <v>3</v>
      </c>
      <c r="C53" s="60"/>
      <c r="D53" s="60"/>
      <c r="E53" s="60"/>
      <c r="F53" s="60"/>
      <c r="G53" s="60"/>
      <c r="H53" s="60"/>
      <c r="I53" s="60" t="s">
        <v>31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>
      <c r="A54" s="63"/>
      <c r="B54" s="59">
        <v>4</v>
      </c>
      <c r="C54" s="60"/>
      <c r="D54" s="60"/>
      <c r="E54" s="60"/>
      <c r="F54" s="60"/>
      <c r="G54" s="60"/>
      <c r="H54" s="60"/>
      <c r="I54" s="60" t="s">
        <v>31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>
      <c r="A55" s="63"/>
      <c r="B55" s="59" t="s">
        <v>48</v>
      </c>
      <c r="C55" s="60"/>
      <c r="D55" s="60">
        <v>0</v>
      </c>
      <c r="E55" s="60">
        <v>0.08</v>
      </c>
      <c r="F55" s="60">
        <v>0</v>
      </c>
      <c r="G55" s="60">
        <f>D55+E55</f>
        <v>0.08</v>
      </c>
      <c r="H55" s="60">
        <f>D55+F55</f>
        <v>0</v>
      </c>
      <c r="I55" s="60" t="s">
        <v>31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2" t="str">
        <f t="shared" ref="Z55:AO55" si="18">IF(J55="","",IF(J55&gt;($D55+$E55),(J55-$D55-$E55),IF(J55&lt;($D55+$F55),(J55-$D55-$F55),"√")))</f>
        <v/>
      </c>
      <c r="AA55" s="62" t="str">
        <f t="shared" si="18"/>
        <v/>
      </c>
      <c r="AB55" s="62" t="str">
        <f t="shared" si="18"/>
        <v/>
      </c>
      <c r="AC55" s="62" t="str">
        <f t="shared" si="18"/>
        <v/>
      </c>
      <c r="AD55" s="62" t="str">
        <f t="shared" si="18"/>
        <v/>
      </c>
      <c r="AE55" s="62" t="str">
        <f t="shared" si="18"/>
        <v/>
      </c>
      <c r="AF55" s="62" t="str">
        <f t="shared" si="18"/>
        <v/>
      </c>
      <c r="AG55" s="62" t="str">
        <f t="shared" si="18"/>
        <v/>
      </c>
      <c r="AH55" s="62" t="str">
        <f t="shared" si="18"/>
        <v/>
      </c>
      <c r="AI55" s="62" t="str">
        <f t="shared" si="18"/>
        <v/>
      </c>
      <c r="AJ55" s="62" t="str">
        <f t="shared" si="18"/>
        <v/>
      </c>
      <c r="AK55" s="62" t="str">
        <f t="shared" si="18"/>
        <v/>
      </c>
      <c r="AL55" s="62" t="str">
        <f t="shared" si="18"/>
        <v/>
      </c>
      <c r="AM55" s="62" t="str">
        <f t="shared" si="18"/>
        <v/>
      </c>
      <c r="AN55" s="62" t="str">
        <f t="shared" si="18"/>
        <v/>
      </c>
      <c r="AO55" s="62" t="str">
        <f t="shared" si="18"/>
        <v/>
      </c>
    </row>
    <row r="56" spans="1:41">
      <c r="A56" s="63"/>
      <c r="B56" s="59">
        <v>1</v>
      </c>
      <c r="C56" s="60"/>
      <c r="D56" s="60"/>
      <c r="E56" s="60"/>
      <c r="F56" s="60"/>
      <c r="G56" s="60"/>
      <c r="H56" s="60"/>
      <c r="I56" s="60" t="s">
        <v>31</v>
      </c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>
      <c r="A57" s="63"/>
      <c r="B57" s="59">
        <v>2</v>
      </c>
      <c r="C57" s="60"/>
      <c r="D57" s="60"/>
      <c r="E57" s="60"/>
      <c r="F57" s="60"/>
      <c r="G57" s="60"/>
      <c r="H57" s="60"/>
      <c r="I57" s="60" t="s">
        <v>31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>
      <c r="A58" s="63"/>
      <c r="B58" s="59">
        <v>3</v>
      </c>
      <c r="C58" s="60"/>
      <c r="D58" s="60"/>
      <c r="E58" s="60"/>
      <c r="F58" s="60"/>
      <c r="G58" s="60"/>
      <c r="H58" s="60"/>
      <c r="I58" s="60" t="s">
        <v>31</v>
      </c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>
      <c r="A59" s="63"/>
      <c r="B59" s="59">
        <v>4</v>
      </c>
      <c r="C59" s="60"/>
      <c r="D59" s="60"/>
      <c r="E59" s="60"/>
      <c r="F59" s="60"/>
      <c r="G59" s="60"/>
      <c r="H59" s="60"/>
      <c r="I59" s="60" t="s">
        <v>31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>
      <c r="A60" s="63"/>
      <c r="B60" s="59">
        <v>5</v>
      </c>
      <c r="C60" s="60"/>
      <c r="D60" s="60"/>
      <c r="E60" s="60"/>
      <c r="F60" s="60"/>
      <c r="G60" s="60"/>
      <c r="H60" s="60"/>
      <c r="I60" s="60" t="s">
        <v>31</v>
      </c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>
      <c r="A61" s="63"/>
      <c r="B61" s="59">
        <v>6</v>
      </c>
      <c r="C61" s="60"/>
      <c r="D61" s="60"/>
      <c r="E61" s="60"/>
      <c r="F61" s="60"/>
      <c r="G61" s="60"/>
      <c r="H61" s="60"/>
      <c r="I61" s="60" t="s">
        <v>31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>
      <c r="A62" s="63"/>
      <c r="B62" s="59">
        <v>7</v>
      </c>
      <c r="C62" s="60"/>
      <c r="D62" s="60"/>
      <c r="E62" s="60"/>
      <c r="F62" s="60"/>
      <c r="G62" s="60"/>
      <c r="H62" s="60"/>
      <c r="I62" s="60" t="s">
        <v>31</v>
      </c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>
      <c r="A63" s="63"/>
      <c r="B63" s="59">
        <v>8</v>
      </c>
      <c r="C63" s="60"/>
      <c r="D63" s="60"/>
      <c r="E63" s="60"/>
      <c r="F63" s="60"/>
      <c r="G63" s="60"/>
      <c r="H63" s="60"/>
      <c r="I63" s="60" t="s">
        <v>31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>
      <c r="A64" s="63"/>
      <c r="B64" s="59" t="s">
        <v>49</v>
      </c>
      <c r="C64" s="60"/>
      <c r="D64" s="60">
        <v>2</v>
      </c>
      <c r="E64" s="60">
        <v>0.05</v>
      </c>
      <c r="F64" s="60">
        <v>-0.05</v>
      </c>
      <c r="G64" s="60">
        <f t="shared" ref="G64:G71" si="19">D64+E64</f>
        <v>2.05</v>
      </c>
      <c r="H64" s="60">
        <f t="shared" ref="H64:H71" si="20">D64+F64</f>
        <v>1.95</v>
      </c>
      <c r="I64" s="60" t="s">
        <v>50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2" t="str">
        <f t="shared" ref="Z64:AO64" si="21">IF(J64="","",IF(J64&gt;($D64+$E64),(J64-$D64-$E64),IF(J64&lt;($D64+$F64),(J64-$D64-$F64),"√")))</f>
        <v/>
      </c>
      <c r="AA64" s="62" t="str">
        <f t="shared" si="21"/>
        <v/>
      </c>
      <c r="AB64" s="62" t="str">
        <f t="shared" si="21"/>
        <v/>
      </c>
      <c r="AC64" s="62" t="str">
        <f t="shared" si="21"/>
        <v/>
      </c>
      <c r="AD64" s="62" t="str">
        <f t="shared" si="21"/>
        <v/>
      </c>
      <c r="AE64" s="62" t="str">
        <f t="shared" si="21"/>
        <v/>
      </c>
      <c r="AF64" s="62" t="str">
        <f t="shared" si="21"/>
        <v/>
      </c>
      <c r="AG64" s="62" t="str">
        <f t="shared" si="21"/>
        <v/>
      </c>
      <c r="AH64" s="62" t="str">
        <f t="shared" si="21"/>
        <v/>
      </c>
      <c r="AI64" s="62" t="str">
        <f t="shared" si="21"/>
        <v/>
      </c>
      <c r="AJ64" s="62" t="str">
        <f t="shared" si="21"/>
        <v/>
      </c>
      <c r="AK64" s="62" t="str">
        <f t="shared" si="21"/>
        <v/>
      </c>
      <c r="AL64" s="62" t="str">
        <f t="shared" si="21"/>
        <v/>
      </c>
      <c r="AM64" s="62" t="str">
        <f t="shared" si="21"/>
        <v/>
      </c>
      <c r="AN64" s="62" t="str">
        <f t="shared" si="21"/>
        <v/>
      </c>
      <c r="AO64" s="62" t="str">
        <f t="shared" si="21"/>
        <v/>
      </c>
    </row>
    <row r="65" spans="1:41">
      <c r="A65" s="63"/>
      <c r="B65" s="59" t="s">
        <v>51</v>
      </c>
      <c r="C65" s="60"/>
      <c r="D65" s="60">
        <v>2</v>
      </c>
      <c r="E65" s="60">
        <v>0.05</v>
      </c>
      <c r="F65" s="60">
        <v>-0.05</v>
      </c>
      <c r="G65" s="60">
        <f t="shared" si="19"/>
        <v>2.05</v>
      </c>
      <c r="H65" s="60">
        <f t="shared" si="20"/>
        <v>1.95</v>
      </c>
      <c r="I65" s="60" t="s">
        <v>50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2" t="str">
        <f t="shared" ref="Z65:AO65" si="22">IF(J65="","",IF(J65&gt;($D65+$E65),(J65-$D65-$E65),IF(J65&lt;($D65+$F65),(J65-$D65-$F65),"√")))</f>
        <v/>
      </c>
      <c r="AA65" s="62" t="str">
        <f t="shared" si="22"/>
        <v/>
      </c>
      <c r="AB65" s="62" t="str">
        <f t="shared" si="22"/>
        <v/>
      </c>
      <c r="AC65" s="62" t="str">
        <f t="shared" si="22"/>
        <v/>
      </c>
      <c r="AD65" s="62" t="str">
        <f t="shared" si="22"/>
        <v/>
      </c>
      <c r="AE65" s="62" t="str">
        <f t="shared" si="22"/>
        <v/>
      </c>
      <c r="AF65" s="62" t="str">
        <f t="shared" si="22"/>
        <v/>
      </c>
      <c r="AG65" s="62" t="str">
        <f t="shared" si="22"/>
        <v/>
      </c>
      <c r="AH65" s="62" t="str">
        <f t="shared" si="22"/>
        <v/>
      </c>
      <c r="AI65" s="62" t="str">
        <f t="shared" si="22"/>
        <v/>
      </c>
      <c r="AJ65" s="62" t="str">
        <f t="shared" si="22"/>
        <v/>
      </c>
      <c r="AK65" s="62" t="str">
        <f t="shared" si="22"/>
        <v/>
      </c>
      <c r="AL65" s="62" t="str">
        <f t="shared" si="22"/>
        <v/>
      </c>
      <c r="AM65" s="62" t="str">
        <f t="shared" si="22"/>
        <v/>
      </c>
      <c r="AN65" s="62" t="str">
        <f t="shared" si="22"/>
        <v/>
      </c>
      <c r="AO65" s="62" t="str">
        <f t="shared" si="22"/>
        <v/>
      </c>
    </row>
    <row r="66" spans="1:41">
      <c r="A66" s="63"/>
      <c r="B66" s="59" t="s">
        <v>52</v>
      </c>
      <c r="C66" s="60" t="s">
        <v>53</v>
      </c>
      <c r="D66" s="60">
        <v>0.935</v>
      </c>
      <c r="E66" s="60">
        <v>0.015</v>
      </c>
      <c r="F66" s="60">
        <v>-0.015</v>
      </c>
      <c r="G66" s="60">
        <f t="shared" si="19"/>
        <v>0.95</v>
      </c>
      <c r="H66" s="60">
        <f t="shared" si="20"/>
        <v>0.92</v>
      </c>
      <c r="I66" s="60" t="s">
        <v>54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2" t="str">
        <f t="shared" ref="Z66:AO66" si="23">IF(J66="","",IF(J66&gt;($D66+$E66),(J66-$D66-$E66),IF(J66&lt;($D66+$F66),(J66-$D66-$F66),"√")))</f>
        <v/>
      </c>
      <c r="AA66" s="62" t="str">
        <f t="shared" si="23"/>
        <v/>
      </c>
      <c r="AB66" s="62" t="str">
        <f t="shared" si="23"/>
        <v/>
      </c>
      <c r="AC66" s="62" t="str">
        <f t="shared" si="23"/>
        <v/>
      </c>
      <c r="AD66" s="62" t="str">
        <f t="shared" si="23"/>
        <v/>
      </c>
      <c r="AE66" s="62" t="str">
        <f t="shared" si="23"/>
        <v/>
      </c>
      <c r="AF66" s="62" t="str">
        <f t="shared" si="23"/>
        <v/>
      </c>
      <c r="AG66" s="62" t="str">
        <f t="shared" si="23"/>
        <v/>
      </c>
      <c r="AH66" s="62" t="str">
        <f t="shared" si="23"/>
        <v/>
      </c>
      <c r="AI66" s="62" t="str">
        <f t="shared" si="23"/>
        <v/>
      </c>
      <c r="AJ66" s="62" t="str">
        <f t="shared" si="23"/>
        <v/>
      </c>
      <c r="AK66" s="62" t="str">
        <f t="shared" si="23"/>
        <v/>
      </c>
      <c r="AL66" s="62" t="str">
        <f t="shared" si="23"/>
        <v/>
      </c>
      <c r="AM66" s="62" t="str">
        <f t="shared" si="23"/>
        <v/>
      </c>
      <c r="AN66" s="62" t="str">
        <f t="shared" si="23"/>
        <v/>
      </c>
      <c r="AO66" s="62" t="str">
        <f t="shared" si="23"/>
        <v/>
      </c>
    </row>
    <row r="67" spans="1:41">
      <c r="A67" s="63"/>
      <c r="B67" s="59" t="s">
        <v>55</v>
      </c>
      <c r="C67" s="60"/>
      <c r="D67" s="60">
        <v>2.1</v>
      </c>
      <c r="E67" s="60">
        <v>0.03</v>
      </c>
      <c r="F67" s="60">
        <v>-0.03</v>
      </c>
      <c r="G67" s="60">
        <f t="shared" si="19"/>
        <v>2.13</v>
      </c>
      <c r="H67" s="60">
        <f t="shared" si="20"/>
        <v>2.07</v>
      </c>
      <c r="I67" s="60" t="s">
        <v>50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2" t="str">
        <f t="shared" ref="Z67:AO67" si="24">IF(J67="","",IF(J67&gt;($D67+$E67),(J67-$D67-$E67),IF(J67&lt;($D67+$F67),(J67-$D67-$F67),"√")))</f>
        <v/>
      </c>
      <c r="AA67" s="62" t="str">
        <f t="shared" si="24"/>
        <v/>
      </c>
      <c r="AB67" s="62" t="str">
        <f t="shared" si="24"/>
        <v/>
      </c>
      <c r="AC67" s="62" t="str">
        <f t="shared" si="24"/>
        <v/>
      </c>
      <c r="AD67" s="62" t="str">
        <f t="shared" si="24"/>
        <v/>
      </c>
      <c r="AE67" s="62" t="str">
        <f t="shared" si="24"/>
        <v/>
      </c>
      <c r="AF67" s="62" t="str">
        <f t="shared" si="24"/>
        <v/>
      </c>
      <c r="AG67" s="62" t="str">
        <f t="shared" si="24"/>
        <v/>
      </c>
      <c r="AH67" s="62" t="str">
        <f t="shared" si="24"/>
        <v/>
      </c>
      <c r="AI67" s="62" t="str">
        <f t="shared" si="24"/>
        <v/>
      </c>
      <c r="AJ67" s="62" t="str">
        <f t="shared" si="24"/>
        <v/>
      </c>
      <c r="AK67" s="62" t="str">
        <f t="shared" si="24"/>
        <v/>
      </c>
      <c r="AL67" s="62" t="str">
        <f t="shared" si="24"/>
        <v/>
      </c>
      <c r="AM67" s="62" t="str">
        <f t="shared" si="24"/>
        <v/>
      </c>
      <c r="AN67" s="62" t="str">
        <f t="shared" si="24"/>
        <v/>
      </c>
      <c r="AO67" s="62" t="str">
        <f t="shared" si="24"/>
        <v/>
      </c>
    </row>
    <row r="68" spans="1:41">
      <c r="A68" s="63"/>
      <c r="B68" s="59" t="s">
        <v>56</v>
      </c>
      <c r="C68" s="60"/>
      <c r="D68" s="60">
        <v>2.1</v>
      </c>
      <c r="E68" s="60">
        <v>0.03</v>
      </c>
      <c r="F68" s="60">
        <v>-0.03</v>
      </c>
      <c r="G68" s="60">
        <f t="shared" si="19"/>
        <v>2.13</v>
      </c>
      <c r="H68" s="60">
        <f t="shared" si="20"/>
        <v>2.07</v>
      </c>
      <c r="I68" s="60" t="s">
        <v>50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2" t="str">
        <f t="shared" ref="Z68:AO68" si="25">IF(J68="","",IF(J68&gt;($D68+$E68),(J68-$D68-$E68),IF(J68&lt;($D68+$F68),(J68-$D68-$F68),"√")))</f>
        <v/>
      </c>
      <c r="AA68" s="62" t="str">
        <f t="shared" si="25"/>
        <v/>
      </c>
      <c r="AB68" s="62" t="str">
        <f t="shared" si="25"/>
        <v/>
      </c>
      <c r="AC68" s="62" t="str">
        <f t="shared" si="25"/>
        <v/>
      </c>
      <c r="AD68" s="62" t="str">
        <f t="shared" si="25"/>
        <v/>
      </c>
      <c r="AE68" s="62" t="str">
        <f t="shared" si="25"/>
        <v/>
      </c>
      <c r="AF68" s="62" t="str">
        <f t="shared" si="25"/>
        <v/>
      </c>
      <c r="AG68" s="62" t="str">
        <f t="shared" si="25"/>
        <v/>
      </c>
      <c r="AH68" s="62" t="str">
        <f t="shared" si="25"/>
        <v/>
      </c>
      <c r="AI68" s="62" t="str">
        <f t="shared" si="25"/>
        <v/>
      </c>
      <c r="AJ68" s="62" t="str">
        <f t="shared" si="25"/>
        <v/>
      </c>
      <c r="AK68" s="62" t="str">
        <f t="shared" si="25"/>
        <v/>
      </c>
      <c r="AL68" s="62" t="str">
        <f t="shared" si="25"/>
        <v/>
      </c>
      <c r="AM68" s="62" t="str">
        <f t="shared" si="25"/>
        <v/>
      </c>
      <c r="AN68" s="62" t="str">
        <f t="shared" si="25"/>
        <v/>
      </c>
      <c r="AO68" s="62" t="str">
        <f t="shared" si="25"/>
        <v/>
      </c>
    </row>
    <row r="69" spans="1:41">
      <c r="A69" s="63"/>
      <c r="B69" s="59" t="s">
        <v>57</v>
      </c>
      <c r="C69" s="60"/>
      <c r="D69" s="60">
        <v>0.98</v>
      </c>
      <c r="E69" s="60">
        <v>0.03</v>
      </c>
      <c r="F69" s="60">
        <v>-0.03</v>
      </c>
      <c r="G69" s="60">
        <f t="shared" si="19"/>
        <v>1.01</v>
      </c>
      <c r="H69" s="60">
        <f t="shared" si="20"/>
        <v>0.95</v>
      </c>
      <c r="I69" s="60" t="s">
        <v>58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2" t="str">
        <f t="shared" ref="Z69:AO69" si="26">IF(J69="","",IF(J69&gt;($D69+$E69),(J69-$D69-$E69),IF(J69&lt;($D69+$F69),(J69-$D69-$F69),"√")))</f>
        <v/>
      </c>
      <c r="AA69" s="62" t="str">
        <f t="shared" si="26"/>
        <v/>
      </c>
      <c r="AB69" s="62" t="str">
        <f t="shared" si="26"/>
        <v/>
      </c>
      <c r="AC69" s="62" t="str">
        <f t="shared" si="26"/>
        <v/>
      </c>
      <c r="AD69" s="62" t="str">
        <f t="shared" si="26"/>
        <v/>
      </c>
      <c r="AE69" s="62" t="str">
        <f t="shared" si="26"/>
        <v/>
      </c>
      <c r="AF69" s="62" t="str">
        <f t="shared" si="26"/>
        <v/>
      </c>
      <c r="AG69" s="62" t="str">
        <f t="shared" si="26"/>
        <v/>
      </c>
      <c r="AH69" s="62" t="str">
        <f t="shared" si="26"/>
        <v/>
      </c>
      <c r="AI69" s="62" t="str">
        <f t="shared" si="26"/>
        <v/>
      </c>
      <c r="AJ69" s="62" t="str">
        <f t="shared" si="26"/>
        <v/>
      </c>
      <c r="AK69" s="62" t="str">
        <f t="shared" si="26"/>
        <v/>
      </c>
      <c r="AL69" s="62" t="str">
        <f t="shared" si="26"/>
        <v/>
      </c>
      <c r="AM69" s="62" t="str">
        <f t="shared" si="26"/>
        <v/>
      </c>
      <c r="AN69" s="62" t="str">
        <f t="shared" si="26"/>
        <v/>
      </c>
      <c r="AO69" s="62" t="str">
        <f t="shared" si="26"/>
        <v/>
      </c>
    </row>
    <row r="70" spans="1:41">
      <c r="A70" s="63"/>
      <c r="B70" s="59" t="s">
        <v>59</v>
      </c>
      <c r="C70" s="60"/>
      <c r="D70" s="60">
        <v>0.98</v>
      </c>
      <c r="E70" s="60">
        <v>0.03</v>
      </c>
      <c r="F70" s="60">
        <v>-0.03</v>
      </c>
      <c r="G70" s="60">
        <f t="shared" si="19"/>
        <v>1.01</v>
      </c>
      <c r="H70" s="60">
        <f t="shared" si="20"/>
        <v>0.95</v>
      </c>
      <c r="I70" s="60" t="s">
        <v>58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2" t="str">
        <f t="shared" ref="Z70:AO70" si="27">IF(J70="","",IF(J70&gt;($D70+$E70),(J70-$D70-$E70),IF(J70&lt;($D70+$F70),(J70-$D70-$F70),"√")))</f>
        <v/>
      </c>
      <c r="AA70" s="62" t="str">
        <f t="shared" si="27"/>
        <v/>
      </c>
      <c r="AB70" s="62" t="str">
        <f t="shared" si="27"/>
        <v/>
      </c>
      <c r="AC70" s="62" t="str">
        <f t="shared" si="27"/>
        <v/>
      </c>
      <c r="AD70" s="62" t="str">
        <f t="shared" si="27"/>
        <v/>
      </c>
      <c r="AE70" s="62" t="str">
        <f t="shared" si="27"/>
        <v/>
      </c>
      <c r="AF70" s="62" t="str">
        <f t="shared" si="27"/>
        <v/>
      </c>
      <c r="AG70" s="62" t="str">
        <f t="shared" si="27"/>
        <v/>
      </c>
      <c r="AH70" s="62" t="str">
        <f t="shared" si="27"/>
        <v/>
      </c>
      <c r="AI70" s="62" t="str">
        <f t="shared" si="27"/>
        <v/>
      </c>
      <c r="AJ70" s="62" t="str">
        <f t="shared" si="27"/>
        <v/>
      </c>
      <c r="AK70" s="62" t="str">
        <f t="shared" si="27"/>
        <v/>
      </c>
      <c r="AL70" s="62" t="str">
        <f t="shared" si="27"/>
        <v/>
      </c>
      <c r="AM70" s="62" t="str">
        <f t="shared" si="27"/>
        <v/>
      </c>
      <c r="AN70" s="62" t="str">
        <f t="shared" si="27"/>
        <v/>
      </c>
      <c r="AO70" s="62" t="str">
        <f t="shared" si="27"/>
        <v/>
      </c>
    </row>
    <row r="71" spans="1:41">
      <c r="A71" s="64"/>
      <c r="B71" s="59" t="s">
        <v>60</v>
      </c>
      <c r="C71" s="60"/>
      <c r="D71" s="60">
        <v>0.98</v>
      </c>
      <c r="E71" s="60">
        <v>0.03</v>
      </c>
      <c r="F71" s="60">
        <v>-0.03</v>
      </c>
      <c r="G71" s="60">
        <f t="shared" si="19"/>
        <v>1.01</v>
      </c>
      <c r="H71" s="60">
        <f t="shared" si="20"/>
        <v>0.95</v>
      </c>
      <c r="I71" s="60" t="s">
        <v>58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2" t="str">
        <f t="shared" ref="Z71:AO71" si="28">IF(J71="","",IF(J71&gt;($D71+$E71),(J71-$D71-$E71),IF(J71&lt;($D71+$F71),(J71-$D71-$F71),"√")))</f>
        <v/>
      </c>
      <c r="AA71" s="62" t="str">
        <f t="shared" si="28"/>
        <v/>
      </c>
      <c r="AB71" s="62" t="str">
        <f t="shared" si="28"/>
        <v/>
      </c>
      <c r="AC71" s="62" t="str">
        <f t="shared" si="28"/>
        <v/>
      </c>
      <c r="AD71" s="62" t="str">
        <f t="shared" si="28"/>
        <v/>
      </c>
      <c r="AE71" s="62" t="str">
        <f t="shared" si="28"/>
        <v/>
      </c>
      <c r="AF71" s="62" t="str">
        <f t="shared" si="28"/>
        <v/>
      </c>
      <c r="AG71" s="62" t="str">
        <f t="shared" si="28"/>
        <v/>
      </c>
      <c r="AH71" s="62" t="str">
        <f t="shared" si="28"/>
        <v/>
      </c>
      <c r="AI71" s="62" t="str">
        <f t="shared" si="28"/>
        <v/>
      </c>
      <c r="AJ71" s="62" t="str">
        <f t="shared" si="28"/>
        <v/>
      </c>
      <c r="AK71" s="62" t="str">
        <f t="shared" si="28"/>
        <v/>
      </c>
      <c r="AL71" s="62" t="str">
        <f t="shared" si="28"/>
        <v/>
      </c>
      <c r="AM71" s="62" t="str">
        <f t="shared" si="28"/>
        <v/>
      </c>
      <c r="AN71" s="62" t="str">
        <f t="shared" si="28"/>
        <v/>
      </c>
      <c r="AO71" s="62" t="str">
        <f t="shared" si="28"/>
        <v/>
      </c>
    </row>
    <row r="72" s="1" customFormat="1" ht="13.5" spans="1:4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7"/>
      <c r="AL72" s="68"/>
      <c r="AM72" s="69"/>
      <c r="AN72" s="70"/>
      <c r="AO72" s="71"/>
    </row>
    <row r="73" spans="1:41">
      <c r="D73"/>
      <c r="E73"/>
      <c r="F73"/>
      <c r="G73"/>
      <c r="H73"/>
      <c r="I73"/>
    </row>
    <row r="74" spans="1:41">
      <c r="D74"/>
      <c r="E74"/>
      <c r="F74"/>
      <c r="G74"/>
      <c r="H74"/>
      <c r="I74"/>
    </row>
    <row r="75" spans="1:41">
      <c r="D75"/>
      <c r="E75"/>
      <c r="F75"/>
      <c r="G75"/>
      <c r="H75"/>
      <c r="I75"/>
    </row>
    <row r="76" spans="1:41">
      <c r="D76"/>
      <c r="E76"/>
      <c r="F76"/>
      <c r="G76"/>
      <c r="H76"/>
      <c r="I76"/>
    </row>
    <row r="77" spans="1:41">
      <c r="D77"/>
      <c r="E77"/>
      <c r="F77"/>
      <c r="G77"/>
      <c r="H77"/>
      <c r="I77"/>
    </row>
    <row r="78" spans="1:41">
      <c r="D78"/>
      <c r="E78"/>
      <c r="F78"/>
      <c r="G78"/>
      <c r="H78"/>
      <c r="I78"/>
    </row>
    <row r="79" spans="1:41">
      <c r="D79"/>
      <c r="E79"/>
      <c r="F79"/>
      <c r="G79"/>
      <c r="H79"/>
      <c r="I79"/>
    </row>
    <row r="80" spans="1:41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</sheetData>
  <mergeCells count="36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6:O6"/>
    <mergeCell ref="P6:U6"/>
    <mergeCell ref="Z6:AE6"/>
    <mergeCell ref="AF6:AK6"/>
    <mergeCell ref="A72:AK72"/>
    <mergeCell ref="AL72:AM72"/>
    <mergeCell ref="AN72:AO72"/>
    <mergeCell ref="A2:A3"/>
    <mergeCell ref="A4:A7"/>
    <mergeCell ref="A8:A71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8:Y8">
    <cfRule type="cellIs" dxfId="0" priority="12" stopIfTrue="1" operator="notBetween">
      <formula>$G8</formula>
      <formula>$H8</formula>
    </cfRule>
  </conditionalFormatting>
  <conditionalFormatting sqref="J9:Y9">
    <cfRule type="cellIs" dxfId="0" priority="11" stopIfTrue="1" operator="notBetween">
      <formula>$G9</formula>
      <formula>$H9</formula>
    </cfRule>
  </conditionalFormatting>
  <conditionalFormatting sqref="J49:Y49">
    <cfRule type="cellIs" dxfId="0" priority="9" stopIfTrue="1" operator="notBetween">
      <formula>$G49</formula>
      <formula>$H49</formula>
    </cfRule>
  </conditionalFormatting>
  <conditionalFormatting sqref="J64:Y64">
    <cfRule type="cellIs" dxfId="0" priority="8" stopIfTrue="1" operator="notBetween">
      <formula>$G64</formula>
      <formula>$H64</formula>
    </cfRule>
  </conditionalFormatting>
  <conditionalFormatting sqref="J65:Y65">
    <cfRule type="cellIs" dxfId="0" priority="4" stopIfTrue="1" operator="notBetween">
      <formula>$G65</formula>
      <formula>$H65</formula>
    </cfRule>
  </conditionalFormatting>
  <conditionalFormatting sqref="J66:Y66">
    <cfRule type="cellIs" dxfId="0" priority="7" stopIfTrue="1" operator="notBetween">
      <formula>$G66</formula>
      <formula>$H66</formula>
    </cfRule>
  </conditionalFormatting>
  <conditionalFormatting sqref="J67:Y67">
    <cfRule type="cellIs" dxfId="0" priority="6" stopIfTrue="1" operator="notBetween">
      <formula>$G67</formula>
      <formula>$H67</formula>
    </cfRule>
  </conditionalFormatting>
  <conditionalFormatting sqref="J68:Y68">
    <cfRule type="cellIs" dxfId="0" priority="3" stopIfTrue="1" operator="notBetween">
      <formula>$G68</formula>
      <formula>$H68</formula>
    </cfRule>
  </conditionalFormatting>
  <conditionalFormatting sqref="J69:Y69">
    <cfRule type="cellIs" dxfId="0" priority="5" stopIfTrue="1" operator="notBetween">
      <formula>$G69</formula>
      <formula>$H69</formula>
    </cfRule>
  </conditionalFormatting>
  <conditionalFormatting sqref="J70:Y70">
    <cfRule type="cellIs" dxfId="0" priority="2" stopIfTrue="1" operator="notBetween">
      <formula>$G70</formula>
      <formula>$H70</formula>
    </cfRule>
  </conditionalFormatting>
  <conditionalFormatting sqref="J71:Y71">
    <cfRule type="cellIs" dxfId="0" priority="1" stopIfTrue="1" operator="notBetween">
      <formula>$G71</formula>
      <formula>$H71</formula>
    </cfRule>
  </conditionalFormatting>
  <conditionalFormatting sqref="J12:Y14 J36:Y36 J41:Y41 J50:Y50 J55:Y55">
    <cfRule type="cellIs" dxfId="0" priority="13" stopIfTrue="1" operator="notBetween">
      <formula>$G12</formula>
      <formula>$H12</formula>
    </cfRule>
  </conditionalFormatting>
  <conditionalFormatting sqref="J46:Y48">
    <cfRule type="cellIs" dxfId="0" priority="10" stopIfTrue="1" operator="notBetween">
      <formula>$G46</formula>
      <formula>$H46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"/>
  <sheetViews>
    <sheetView workbookViewId="0">
      <selection activeCell="AJ3" sqref="AJ3:AO3"/>
    </sheetView>
  </sheetViews>
  <sheetFormatPr defaultColWidth="9" defaultRowHeight="14.25"/>
  <cols>
    <col min="1" max="3" width="9.25" customWidth="1"/>
    <col min="4" max="9" width="9.25" style="2" customWidth="1"/>
    <col min="10" max="41" width="9.25" customWidth="1"/>
  </cols>
  <sheetData>
    <row r="1" ht="70.5" customHeight="1" spans="1:4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ht="15" customHeight="1" spans="1:41">
      <c r="A2" s="6" t="s">
        <v>1</v>
      </c>
      <c r="B2" s="7" t="s">
        <v>2</v>
      </c>
      <c r="C2" s="8"/>
      <c r="D2" s="8"/>
      <c r="E2" s="8"/>
      <c r="F2" s="8"/>
      <c r="G2" s="9"/>
      <c r="H2" s="10" t="s">
        <v>3</v>
      </c>
      <c r="I2" s="11"/>
      <c r="J2" s="11"/>
      <c r="K2" s="12"/>
      <c r="L2" s="13"/>
      <c r="M2" s="13"/>
      <c r="N2" s="13"/>
      <c r="O2" s="13"/>
      <c r="P2" s="13"/>
      <c r="Q2" s="13"/>
      <c r="R2" s="13"/>
      <c r="S2" s="14" t="s">
        <v>4</v>
      </c>
      <c r="T2" s="15"/>
      <c r="U2" s="15"/>
      <c r="V2" s="15"/>
      <c r="W2" s="15"/>
      <c r="X2" s="16"/>
      <c r="Y2" s="17" t="s">
        <v>5</v>
      </c>
      <c r="Z2" s="18"/>
      <c r="AA2" s="18"/>
      <c r="AB2" s="18"/>
      <c r="AC2" s="18"/>
      <c r="AD2" s="19"/>
      <c r="AE2" s="17" t="s">
        <v>6</v>
      </c>
      <c r="AF2" s="18"/>
      <c r="AG2" s="18"/>
      <c r="AH2" s="18"/>
      <c r="AI2" s="19"/>
      <c r="AJ2" s="20" t="s">
        <v>7</v>
      </c>
      <c r="AK2" s="21"/>
      <c r="AL2" s="21"/>
      <c r="AM2" s="22"/>
      <c r="AN2" s="20" t="s">
        <v>8</v>
      </c>
      <c r="AO2" s="22"/>
    </row>
    <row r="3" ht="15" customHeight="1" spans="1:41">
      <c r="A3" s="6"/>
      <c r="B3" s="23"/>
      <c r="C3" s="24"/>
      <c r="D3" s="24"/>
      <c r="E3" s="24"/>
      <c r="F3" s="24"/>
      <c r="G3" s="25"/>
      <c r="H3" s="26"/>
      <c r="I3" s="27"/>
      <c r="J3" s="27"/>
      <c r="K3" s="28"/>
      <c r="L3" s="13"/>
      <c r="M3" s="13"/>
      <c r="N3" s="13"/>
      <c r="O3" s="13"/>
      <c r="P3" s="13"/>
      <c r="Q3" s="13"/>
      <c r="R3" s="13"/>
      <c r="S3" s="29" t="s">
        <v>9</v>
      </c>
      <c r="T3" s="30"/>
      <c r="U3" s="30"/>
      <c r="V3" s="30"/>
      <c r="W3" s="30"/>
      <c r="X3" s="31"/>
      <c r="Y3" s="29" t="s">
        <v>10</v>
      </c>
      <c r="Z3" s="30"/>
      <c r="AA3" s="30"/>
      <c r="AB3" s="30"/>
      <c r="AC3" s="30"/>
      <c r="AD3" s="31"/>
      <c r="AE3" s="32" t="s">
        <v>11</v>
      </c>
      <c r="AF3" s="33"/>
      <c r="AG3" s="33"/>
      <c r="AH3" s="33"/>
      <c r="AI3" s="34"/>
      <c r="AJ3" s="32" t="s">
        <v>63</v>
      </c>
      <c r="AK3" s="33"/>
      <c r="AL3" s="33"/>
      <c r="AM3" s="34"/>
      <c r="AN3" s="32" t="s">
        <v>64</v>
      </c>
      <c r="AO3" s="34"/>
    </row>
    <row r="4" customHeight="1" spans="1:41">
      <c r="A4" s="35" t="s">
        <v>14</v>
      </c>
      <c r="B4" s="35" t="s">
        <v>15</v>
      </c>
      <c r="C4" s="35" t="s">
        <v>16</v>
      </c>
      <c r="D4" s="35" t="s">
        <v>17</v>
      </c>
      <c r="E4" s="35" t="s">
        <v>18</v>
      </c>
      <c r="F4" s="35" t="s">
        <v>19</v>
      </c>
      <c r="G4" s="35" t="s">
        <v>20</v>
      </c>
      <c r="H4" s="35" t="s">
        <v>21</v>
      </c>
      <c r="I4" s="35" t="s">
        <v>22</v>
      </c>
      <c r="J4" s="36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2"/>
      <c r="C5" s="42"/>
      <c r="D5" s="42"/>
      <c r="E5" s="42"/>
      <c r="F5" s="42"/>
      <c r="G5" s="42"/>
      <c r="H5" s="42"/>
      <c r="I5" s="42"/>
      <c r="J5" s="36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  <c r="Z5" s="39" t="s">
        <v>26</v>
      </c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</row>
    <row r="6" customHeight="1" spans="1:41">
      <c r="A6" s="43"/>
      <c r="B6" s="43"/>
      <c r="C6" s="43"/>
      <c r="D6" s="43"/>
      <c r="E6" s="43"/>
      <c r="F6" s="43"/>
      <c r="G6" s="43"/>
      <c r="H6" s="43"/>
      <c r="I6" s="43"/>
      <c r="J6" s="44" t="s">
        <v>73</v>
      </c>
      <c r="K6" s="45"/>
      <c r="L6" s="45"/>
      <c r="M6" s="45"/>
      <c r="N6" s="45"/>
      <c r="O6" s="46"/>
      <c r="P6" s="47" t="s">
        <v>74</v>
      </c>
      <c r="Q6" s="48"/>
      <c r="R6" s="48"/>
      <c r="S6" s="48"/>
      <c r="T6" s="48"/>
      <c r="U6" s="49"/>
      <c r="V6" s="50"/>
      <c r="W6" s="50"/>
      <c r="X6" s="50"/>
      <c r="Y6" s="50"/>
      <c r="Z6" s="51" t="str">
        <f>J6</f>
        <v>cav13</v>
      </c>
      <c r="AA6" s="52"/>
      <c r="AB6" s="52"/>
      <c r="AC6" s="52"/>
      <c r="AD6" s="52"/>
      <c r="AE6" s="53"/>
      <c r="AF6" s="54" t="str">
        <f>P6</f>
        <v>cav14</v>
      </c>
      <c r="AG6" s="55"/>
      <c r="AH6" s="55"/>
      <c r="AI6" s="55"/>
      <c r="AJ6" s="55"/>
      <c r="AK6" s="56"/>
      <c r="AL6" s="57">
        <f t="shared" ref="AL6:AO6" si="0">V6</f>
        <v>0</v>
      </c>
      <c r="AM6" s="57">
        <f t="shared" si="0"/>
        <v>0</v>
      </c>
      <c r="AN6" s="57">
        <f t="shared" si="0"/>
        <v>0</v>
      </c>
      <c r="AO6" s="57">
        <f t="shared" si="0"/>
        <v>0</v>
      </c>
    </row>
    <row r="7" customHeight="1" spans="1:41">
      <c r="A7" s="43"/>
      <c r="B7" s="43"/>
      <c r="C7" s="43"/>
      <c r="D7" s="43"/>
      <c r="E7" s="43"/>
      <c r="F7" s="43"/>
      <c r="G7" s="43"/>
      <c r="H7" s="43"/>
      <c r="I7" s="43"/>
      <c r="J7" s="50">
        <v>1</v>
      </c>
      <c r="K7" s="50">
        <v>2</v>
      </c>
      <c r="L7" s="50">
        <v>3</v>
      </c>
      <c r="M7" s="50">
        <v>4</v>
      </c>
      <c r="N7" s="50">
        <v>5</v>
      </c>
      <c r="O7" s="50">
        <v>6</v>
      </c>
      <c r="P7" s="50">
        <v>1</v>
      </c>
      <c r="Q7" s="50">
        <v>2</v>
      </c>
      <c r="R7" s="50">
        <v>3</v>
      </c>
      <c r="S7" s="50">
        <v>4</v>
      </c>
      <c r="T7" s="50">
        <v>5</v>
      </c>
      <c r="U7" s="50">
        <v>6</v>
      </c>
      <c r="V7" s="50"/>
      <c r="W7" s="50"/>
      <c r="X7" s="50"/>
      <c r="Y7" s="50"/>
      <c r="Z7" s="57">
        <f t="shared" ref="Z7:AO7" si="1">J7</f>
        <v>1</v>
      </c>
      <c r="AA7" s="57">
        <f t="shared" si="1"/>
        <v>2</v>
      </c>
      <c r="AB7" s="57">
        <f t="shared" si="1"/>
        <v>3</v>
      </c>
      <c r="AC7" s="57">
        <f t="shared" si="1"/>
        <v>4</v>
      </c>
      <c r="AD7" s="57">
        <f t="shared" si="1"/>
        <v>5</v>
      </c>
      <c r="AE7" s="57">
        <f t="shared" si="1"/>
        <v>6</v>
      </c>
      <c r="AF7" s="57">
        <f t="shared" si="1"/>
        <v>1</v>
      </c>
      <c r="AG7" s="57">
        <f t="shared" si="1"/>
        <v>2</v>
      </c>
      <c r="AH7" s="57">
        <f t="shared" si="1"/>
        <v>3</v>
      </c>
      <c r="AI7" s="57">
        <f t="shared" si="1"/>
        <v>4</v>
      </c>
      <c r="AJ7" s="57">
        <f t="shared" si="1"/>
        <v>5</v>
      </c>
      <c r="AK7" s="57">
        <f t="shared" si="1"/>
        <v>6</v>
      </c>
      <c r="AL7" s="57">
        <f t="shared" si="1"/>
        <v>0</v>
      </c>
      <c r="AM7" s="57">
        <f t="shared" si="1"/>
        <v>0</v>
      </c>
      <c r="AN7" s="57">
        <f t="shared" si="1"/>
        <v>0</v>
      </c>
      <c r="AO7" s="57">
        <f t="shared" si="1"/>
        <v>0</v>
      </c>
    </row>
    <row r="8" spans="1:41">
      <c r="A8" s="58">
        <v>46201</v>
      </c>
      <c r="B8" s="59" t="s">
        <v>30</v>
      </c>
      <c r="C8" s="60"/>
      <c r="D8" s="60">
        <v>0.995</v>
      </c>
      <c r="E8" s="60">
        <v>0.03</v>
      </c>
      <c r="F8" s="60">
        <v>-0.03</v>
      </c>
      <c r="G8" s="60">
        <f t="shared" ref="G8:G14" si="2">D8+E8</f>
        <v>1.025</v>
      </c>
      <c r="H8" s="60">
        <f t="shared" ref="H8:H14" si="3">D8+F8</f>
        <v>0.965</v>
      </c>
      <c r="I8" s="60" t="s">
        <v>31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2" t="str">
        <f t="shared" ref="Z8:AO8" si="4">IF(J8="","",IF(J8&gt;($D8+$E8),(J8-$D8-$E8),IF(J8&lt;($D8+$F8),(J8-$D8-$F8),"√")))</f>
        <v/>
      </c>
      <c r="AA8" s="62" t="str">
        <f t="shared" si="4"/>
        <v/>
      </c>
      <c r="AB8" s="62" t="str">
        <f t="shared" si="4"/>
        <v/>
      </c>
      <c r="AC8" s="62" t="str">
        <f t="shared" si="4"/>
        <v/>
      </c>
      <c r="AD8" s="62" t="str">
        <f t="shared" si="4"/>
        <v/>
      </c>
      <c r="AE8" s="62" t="str">
        <f t="shared" si="4"/>
        <v/>
      </c>
      <c r="AF8" s="62" t="str">
        <f t="shared" si="4"/>
        <v/>
      </c>
      <c r="AG8" s="62" t="str">
        <f t="shared" si="4"/>
        <v/>
      </c>
      <c r="AH8" s="62" t="str">
        <f t="shared" si="4"/>
        <v/>
      </c>
      <c r="AI8" s="62" t="str">
        <f t="shared" si="4"/>
        <v/>
      </c>
      <c r="AJ8" s="62" t="str">
        <f t="shared" si="4"/>
        <v/>
      </c>
      <c r="AK8" s="62" t="str">
        <f t="shared" si="4"/>
        <v/>
      </c>
      <c r="AL8" s="62" t="str">
        <f t="shared" si="4"/>
        <v/>
      </c>
      <c r="AM8" s="62" t="str">
        <f t="shared" si="4"/>
        <v/>
      </c>
      <c r="AN8" s="62" t="str">
        <f t="shared" si="4"/>
        <v/>
      </c>
      <c r="AO8" s="62" t="str">
        <f t="shared" si="4"/>
        <v/>
      </c>
    </row>
    <row r="9" spans="1:41">
      <c r="A9" s="63"/>
      <c r="B9" s="59" t="s">
        <v>32</v>
      </c>
      <c r="C9" s="60"/>
      <c r="D9" s="60">
        <v>0</v>
      </c>
      <c r="E9" s="60">
        <v>0.08</v>
      </c>
      <c r="F9" s="60">
        <v>0</v>
      </c>
      <c r="G9" s="60">
        <f t="shared" si="2"/>
        <v>0.08</v>
      </c>
      <c r="H9" s="60">
        <f t="shared" si="3"/>
        <v>0</v>
      </c>
      <c r="I9" s="60" t="s">
        <v>31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2" t="str">
        <f t="shared" ref="Z9:AO9" si="5">IF(J9="","",IF(J9&gt;($D9+$E9),(J9-$D9-$E9),IF(J9&lt;($D9+$F9),(J9-$D9-$F9),"√")))</f>
        <v/>
      </c>
      <c r="AA9" s="62" t="str">
        <f t="shared" si="5"/>
        <v/>
      </c>
      <c r="AB9" s="62" t="str">
        <f t="shared" si="5"/>
        <v/>
      </c>
      <c r="AC9" s="62" t="str">
        <f t="shared" si="5"/>
        <v/>
      </c>
      <c r="AD9" s="62" t="str">
        <f t="shared" si="5"/>
        <v/>
      </c>
      <c r="AE9" s="62" t="str">
        <f t="shared" si="5"/>
        <v/>
      </c>
      <c r="AF9" s="62" t="str">
        <f t="shared" si="5"/>
        <v/>
      </c>
      <c r="AG9" s="62" t="str">
        <f t="shared" si="5"/>
        <v/>
      </c>
      <c r="AH9" s="62" t="str">
        <f t="shared" si="5"/>
        <v/>
      </c>
      <c r="AI9" s="62" t="str">
        <f t="shared" si="5"/>
        <v/>
      </c>
      <c r="AJ9" s="62" t="str">
        <f t="shared" si="5"/>
        <v/>
      </c>
      <c r="AK9" s="62" t="str">
        <f t="shared" si="5"/>
        <v/>
      </c>
      <c r="AL9" s="62" t="str">
        <f t="shared" si="5"/>
        <v/>
      </c>
      <c r="AM9" s="62" t="str">
        <f t="shared" si="5"/>
        <v/>
      </c>
      <c r="AN9" s="62" t="str">
        <f t="shared" si="5"/>
        <v/>
      </c>
      <c r="AO9" s="62" t="str">
        <f t="shared" si="5"/>
        <v/>
      </c>
    </row>
    <row r="10" spans="1:41">
      <c r="A10" s="63"/>
      <c r="B10" s="59" t="s">
        <v>33</v>
      </c>
      <c r="C10" s="60"/>
      <c r="D10" s="60"/>
      <c r="E10" s="60"/>
      <c r="F10" s="60"/>
      <c r="G10" s="60"/>
      <c r="H10" s="60"/>
      <c r="I10" s="60" t="s">
        <v>31</v>
      </c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>
      <c r="A11" s="63"/>
      <c r="B11" s="59" t="s">
        <v>34</v>
      </c>
      <c r="C11" s="60"/>
      <c r="D11" s="60"/>
      <c r="E11" s="60"/>
      <c r="F11" s="60"/>
      <c r="G11" s="60"/>
      <c r="H11" s="60"/>
      <c r="I11" s="60" t="s">
        <v>31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>
      <c r="A12" s="63"/>
      <c r="B12" s="59" t="s">
        <v>35</v>
      </c>
      <c r="C12" s="60"/>
      <c r="D12" s="60">
        <v>0.35</v>
      </c>
      <c r="E12" s="60">
        <v>0.03</v>
      </c>
      <c r="F12" s="60">
        <v>-0.03</v>
      </c>
      <c r="G12" s="60">
        <f t="shared" si="2"/>
        <v>0.38</v>
      </c>
      <c r="H12" s="60">
        <f t="shared" si="3"/>
        <v>0.32</v>
      </c>
      <c r="I12" s="60" t="s">
        <v>31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2" t="str">
        <f t="shared" ref="Z12:AO12" si="6">IF(J12="","",IF(J12&gt;($D12+$E12),(J12-$D12-$E12),IF(J12&lt;($D12+$F12),(J12-$D12-$F12),"√")))</f>
        <v/>
      </c>
      <c r="AA12" s="62" t="str">
        <f t="shared" si="6"/>
        <v/>
      </c>
      <c r="AB12" s="62" t="str">
        <f t="shared" si="6"/>
        <v/>
      </c>
      <c r="AC12" s="62" t="str">
        <f t="shared" si="6"/>
        <v/>
      </c>
      <c r="AD12" s="62" t="str">
        <f t="shared" si="6"/>
        <v/>
      </c>
      <c r="AE12" s="62" t="str">
        <f t="shared" si="6"/>
        <v/>
      </c>
      <c r="AF12" s="62" t="str">
        <f t="shared" si="6"/>
        <v/>
      </c>
      <c r="AG12" s="62" t="str">
        <f t="shared" si="6"/>
        <v/>
      </c>
      <c r="AH12" s="62" t="str">
        <f t="shared" si="6"/>
        <v/>
      </c>
      <c r="AI12" s="62" t="str">
        <f t="shared" si="6"/>
        <v/>
      </c>
      <c r="AJ12" s="62" t="str">
        <f t="shared" si="6"/>
        <v/>
      </c>
      <c r="AK12" s="62" t="str">
        <f t="shared" si="6"/>
        <v/>
      </c>
      <c r="AL12" s="62" t="str">
        <f t="shared" si="6"/>
        <v/>
      </c>
      <c r="AM12" s="62" t="str">
        <f t="shared" si="6"/>
        <v/>
      </c>
      <c r="AN12" s="62" t="str">
        <f t="shared" si="6"/>
        <v/>
      </c>
      <c r="AO12" s="62" t="str">
        <f t="shared" si="6"/>
        <v/>
      </c>
    </row>
    <row r="13" spans="1:41">
      <c r="A13" s="63"/>
      <c r="B13" s="59" t="s">
        <v>36</v>
      </c>
      <c r="C13" s="60"/>
      <c r="D13" s="60">
        <v>0.35</v>
      </c>
      <c r="E13" s="60">
        <v>0.03</v>
      </c>
      <c r="F13" s="60">
        <v>-0.03</v>
      </c>
      <c r="G13" s="60">
        <f t="shared" si="2"/>
        <v>0.38</v>
      </c>
      <c r="H13" s="60">
        <f t="shared" si="3"/>
        <v>0.32</v>
      </c>
      <c r="I13" s="60" t="s">
        <v>31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2" t="str">
        <f t="shared" ref="Z13:AO13" si="7">IF(J13="","",IF(J13&gt;($D13+$E13),(J13-$D13-$E13),IF(J13&lt;($D13+$F13),(J13-$D13-$F13),"√")))</f>
        <v/>
      </c>
      <c r="AA13" s="62" t="str">
        <f t="shared" si="7"/>
        <v/>
      </c>
      <c r="AB13" s="62" t="str">
        <f t="shared" si="7"/>
        <v/>
      </c>
      <c r="AC13" s="62" t="str">
        <f t="shared" si="7"/>
        <v/>
      </c>
      <c r="AD13" s="62" t="str">
        <f t="shared" si="7"/>
        <v/>
      </c>
      <c r="AE13" s="62" t="str">
        <f t="shared" si="7"/>
        <v/>
      </c>
      <c r="AF13" s="62" t="str">
        <f t="shared" si="7"/>
        <v/>
      </c>
      <c r="AG13" s="62" t="str">
        <f t="shared" si="7"/>
        <v/>
      </c>
      <c r="AH13" s="62" t="str">
        <f t="shared" si="7"/>
        <v/>
      </c>
      <c r="AI13" s="62" t="str">
        <f t="shared" si="7"/>
        <v/>
      </c>
      <c r="AJ13" s="62" t="str">
        <f t="shared" si="7"/>
        <v/>
      </c>
      <c r="AK13" s="62" t="str">
        <f t="shared" si="7"/>
        <v/>
      </c>
      <c r="AL13" s="62" t="str">
        <f t="shared" si="7"/>
        <v/>
      </c>
      <c r="AM13" s="62" t="str">
        <f t="shared" si="7"/>
        <v/>
      </c>
      <c r="AN13" s="62" t="str">
        <f t="shared" si="7"/>
        <v/>
      </c>
      <c r="AO13" s="62" t="str">
        <f t="shared" si="7"/>
        <v/>
      </c>
    </row>
    <row r="14" spans="1:41">
      <c r="A14" s="63"/>
      <c r="B14" s="59" t="s">
        <v>37</v>
      </c>
      <c r="C14" s="60" t="s">
        <v>38</v>
      </c>
      <c r="D14" s="60">
        <v>0</v>
      </c>
      <c r="E14" s="60">
        <v>0.06</v>
      </c>
      <c r="F14" s="60">
        <v>0</v>
      </c>
      <c r="G14" s="60">
        <f t="shared" si="2"/>
        <v>0.06</v>
      </c>
      <c r="H14" s="60">
        <f t="shared" si="3"/>
        <v>0</v>
      </c>
      <c r="I14" s="60" t="s">
        <v>31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2" t="str">
        <f t="shared" ref="Z14:AO14" si="8">IF(J14="","",IF(J14&gt;($D14+$E14),(J14-$D14-$E14),IF(J14&lt;($D14+$F14),(J14-$D14-$F14),"√")))</f>
        <v/>
      </c>
      <c r="AA14" s="62" t="str">
        <f t="shared" si="8"/>
        <v/>
      </c>
      <c r="AB14" s="62" t="str">
        <f t="shared" si="8"/>
        <v/>
      </c>
      <c r="AC14" s="62" t="str">
        <f t="shared" si="8"/>
        <v/>
      </c>
      <c r="AD14" s="62" t="str">
        <f t="shared" si="8"/>
        <v/>
      </c>
      <c r="AE14" s="62" t="str">
        <f t="shared" si="8"/>
        <v/>
      </c>
      <c r="AF14" s="62" t="str">
        <f t="shared" si="8"/>
        <v/>
      </c>
      <c r="AG14" s="62" t="str">
        <f t="shared" si="8"/>
        <v/>
      </c>
      <c r="AH14" s="62" t="str">
        <f t="shared" si="8"/>
        <v/>
      </c>
      <c r="AI14" s="62" t="str">
        <f t="shared" si="8"/>
        <v/>
      </c>
      <c r="AJ14" s="62" t="str">
        <f t="shared" si="8"/>
        <v/>
      </c>
      <c r="AK14" s="62" t="str">
        <f t="shared" si="8"/>
        <v/>
      </c>
      <c r="AL14" s="62" t="str">
        <f t="shared" si="8"/>
        <v/>
      </c>
      <c r="AM14" s="62" t="str">
        <f t="shared" si="8"/>
        <v/>
      </c>
      <c r="AN14" s="62" t="str">
        <f t="shared" si="8"/>
        <v/>
      </c>
      <c r="AO14" s="62" t="str">
        <f t="shared" si="8"/>
        <v/>
      </c>
    </row>
    <row r="15" spans="1:41">
      <c r="A15" s="63"/>
      <c r="B15" s="59">
        <v>1</v>
      </c>
      <c r="C15" s="60"/>
      <c r="D15" s="60"/>
      <c r="E15" s="60"/>
      <c r="F15" s="60"/>
      <c r="G15" s="60"/>
      <c r="H15" s="60"/>
      <c r="I15" s="60" t="s">
        <v>31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>
      <c r="A16" s="63"/>
      <c r="B16" s="59">
        <v>2</v>
      </c>
      <c r="C16" s="60"/>
      <c r="D16" s="60"/>
      <c r="E16" s="60"/>
      <c r="F16" s="60"/>
      <c r="G16" s="60"/>
      <c r="H16" s="60"/>
      <c r="I16" s="60" t="s">
        <v>31</v>
      </c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>
      <c r="A17" s="63"/>
      <c r="B17" s="59">
        <v>3</v>
      </c>
      <c r="C17" s="60"/>
      <c r="D17" s="60"/>
      <c r="E17" s="60"/>
      <c r="F17" s="60"/>
      <c r="G17" s="60"/>
      <c r="H17" s="60"/>
      <c r="I17" s="60" t="s">
        <v>31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>
      <c r="A18" s="63"/>
      <c r="B18" s="59">
        <v>4</v>
      </c>
      <c r="C18" s="60"/>
      <c r="D18" s="60"/>
      <c r="E18" s="60"/>
      <c r="F18" s="60"/>
      <c r="G18" s="60"/>
      <c r="H18" s="60"/>
      <c r="I18" s="60" t="s">
        <v>31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>
      <c r="A19" s="63"/>
      <c r="B19" s="59">
        <v>5</v>
      </c>
      <c r="C19" s="60"/>
      <c r="D19" s="60"/>
      <c r="E19" s="60"/>
      <c r="F19" s="60"/>
      <c r="G19" s="60"/>
      <c r="H19" s="60"/>
      <c r="I19" s="60" t="s">
        <v>31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>
      <c r="A20" s="63"/>
      <c r="B20" s="59">
        <v>6</v>
      </c>
      <c r="C20" s="60"/>
      <c r="D20" s="60"/>
      <c r="E20" s="60"/>
      <c r="F20" s="60"/>
      <c r="G20" s="60"/>
      <c r="H20" s="60"/>
      <c r="I20" s="60" t="s">
        <v>31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>
      <c r="A21" s="63"/>
      <c r="B21" s="59">
        <v>7</v>
      </c>
      <c r="C21" s="60"/>
      <c r="D21" s="60"/>
      <c r="E21" s="60"/>
      <c r="F21" s="60"/>
      <c r="G21" s="60"/>
      <c r="H21" s="60"/>
      <c r="I21" s="60" t="s">
        <v>31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>
      <c r="A22" s="63"/>
      <c r="B22" s="59">
        <v>8</v>
      </c>
      <c r="C22" s="60"/>
      <c r="D22" s="60"/>
      <c r="E22" s="60"/>
      <c r="F22" s="60"/>
      <c r="G22" s="60"/>
      <c r="H22" s="60"/>
      <c r="I22" s="60" t="s">
        <v>31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>
      <c r="A23" s="63"/>
      <c r="B23" s="59">
        <v>9</v>
      </c>
      <c r="C23" s="60"/>
      <c r="D23" s="60"/>
      <c r="E23" s="60"/>
      <c r="F23" s="60"/>
      <c r="G23" s="60"/>
      <c r="H23" s="60"/>
      <c r="I23" s="60" t="s">
        <v>31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>
      <c r="A24" s="63"/>
      <c r="B24" s="59">
        <v>10</v>
      </c>
      <c r="C24" s="60"/>
      <c r="D24" s="60"/>
      <c r="E24" s="60"/>
      <c r="F24" s="60"/>
      <c r="G24" s="60"/>
      <c r="H24" s="60"/>
      <c r="I24" s="60" t="s">
        <v>31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>
      <c r="A25" s="63"/>
      <c r="B25" s="59">
        <v>11</v>
      </c>
      <c r="C25" s="60"/>
      <c r="D25" s="60"/>
      <c r="E25" s="60"/>
      <c r="F25" s="60"/>
      <c r="G25" s="60"/>
      <c r="H25" s="60"/>
      <c r="I25" s="60" t="s">
        <v>31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>
      <c r="A26" s="63"/>
      <c r="B26" s="59">
        <v>12</v>
      </c>
      <c r="C26" s="60"/>
      <c r="D26" s="60"/>
      <c r="E26" s="60"/>
      <c r="F26" s="60"/>
      <c r="G26" s="60"/>
      <c r="H26" s="60"/>
      <c r="I26" s="60" t="s">
        <v>31</v>
      </c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>
      <c r="A27" s="63"/>
      <c r="B27" s="59">
        <v>13</v>
      </c>
      <c r="C27" s="60"/>
      <c r="D27" s="60"/>
      <c r="E27" s="60"/>
      <c r="F27" s="60"/>
      <c r="G27" s="60"/>
      <c r="H27" s="60"/>
      <c r="I27" s="60" t="s">
        <v>31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>
      <c r="A28" s="63"/>
      <c r="B28" s="59">
        <v>14</v>
      </c>
      <c r="C28" s="60"/>
      <c r="D28" s="60"/>
      <c r="E28" s="60"/>
      <c r="F28" s="60"/>
      <c r="G28" s="60"/>
      <c r="H28" s="60"/>
      <c r="I28" s="60" t="s">
        <v>31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>
      <c r="A29" s="63"/>
      <c r="B29" s="59">
        <v>15</v>
      </c>
      <c r="C29" s="60"/>
      <c r="D29" s="60"/>
      <c r="E29" s="60"/>
      <c r="F29" s="60"/>
      <c r="G29" s="60"/>
      <c r="H29" s="60"/>
      <c r="I29" s="60" t="s">
        <v>31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>
      <c r="A30" s="63"/>
      <c r="B30" s="59">
        <v>16</v>
      </c>
      <c r="C30" s="60"/>
      <c r="D30" s="60"/>
      <c r="E30" s="60"/>
      <c r="F30" s="60"/>
      <c r="G30" s="60"/>
      <c r="H30" s="60"/>
      <c r="I30" s="60" t="s">
        <v>31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>
      <c r="A31" s="63"/>
      <c r="B31" s="59">
        <v>17</v>
      </c>
      <c r="C31" s="60"/>
      <c r="D31" s="60"/>
      <c r="E31" s="60"/>
      <c r="F31" s="60"/>
      <c r="G31" s="60"/>
      <c r="H31" s="60"/>
      <c r="I31" s="60" t="s">
        <v>31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>
      <c r="A32" s="63"/>
      <c r="B32" s="59">
        <v>18</v>
      </c>
      <c r="C32" s="60"/>
      <c r="D32" s="60"/>
      <c r="E32" s="60"/>
      <c r="F32" s="60"/>
      <c r="G32" s="60"/>
      <c r="H32" s="60"/>
      <c r="I32" s="60" t="s">
        <v>31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>
      <c r="A33" s="63"/>
      <c r="B33" s="59">
        <v>19</v>
      </c>
      <c r="C33" s="60"/>
      <c r="D33" s="60"/>
      <c r="E33" s="60"/>
      <c r="F33" s="60"/>
      <c r="G33" s="60"/>
      <c r="H33" s="60"/>
      <c r="I33" s="60" t="s">
        <v>31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>
      <c r="A34" s="63"/>
      <c r="B34" s="59">
        <v>20</v>
      </c>
      <c r="C34" s="60"/>
      <c r="D34" s="60"/>
      <c r="E34" s="60"/>
      <c r="F34" s="60"/>
      <c r="G34" s="60"/>
      <c r="H34" s="60"/>
      <c r="I34" s="60" t="s">
        <v>31</v>
      </c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>
      <c r="A35" s="63"/>
      <c r="B35" s="59">
        <v>21</v>
      </c>
      <c r="C35" s="60"/>
      <c r="D35" s="60"/>
      <c r="E35" s="60"/>
      <c r="F35" s="60"/>
      <c r="G35" s="60"/>
      <c r="H35" s="60"/>
      <c r="I35" s="60" t="s">
        <v>31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>
      <c r="A36" s="63"/>
      <c r="B36" s="59" t="s">
        <v>39</v>
      </c>
      <c r="C36" s="60" t="s">
        <v>40</v>
      </c>
      <c r="D36" s="60">
        <v>0</v>
      </c>
      <c r="E36" s="60">
        <v>0.04</v>
      </c>
      <c r="F36" s="60">
        <v>0</v>
      </c>
      <c r="G36" s="60">
        <f>D36+E36</f>
        <v>0.04</v>
      </c>
      <c r="H36" s="60">
        <f>D36+F36</f>
        <v>0</v>
      </c>
      <c r="I36" s="60" t="s">
        <v>31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2" t="str">
        <f t="shared" ref="Z36:AO36" si="9">IF(J36="","",IF(J36&gt;($D36+$E36),(J36-$D36-$E36),IF(J36&lt;($D36+$F36),(J36-$D36-$F36),"√")))</f>
        <v/>
      </c>
      <c r="AA36" s="62" t="str">
        <f t="shared" si="9"/>
        <v/>
      </c>
      <c r="AB36" s="62" t="str">
        <f t="shared" si="9"/>
        <v/>
      </c>
      <c r="AC36" s="62" t="str">
        <f t="shared" si="9"/>
        <v/>
      </c>
      <c r="AD36" s="62" t="str">
        <f t="shared" si="9"/>
        <v/>
      </c>
      <c r="AE36" s="62" t="str">
        <f t="shared" si="9"/>
        <v/>
      </c>
      <c r="AF36" s="62" t="str">
        <f t="shared" si="9"/>
        <v/>
      </c>
      <c r="AG36" s="62" t="str">
        <f t="shared" si="9"/>
        <v/>
      </c>
      <c r="AH36" s="62" t="str">
        <f t="shared" si="9"/>
        <v/>
      </c>
      <c r="AI36" s="62" t="str">
        <f t="shared" si="9"/>
        <v/>
      </c>
      <c r="AJ36" s="62" t="str">
        <f t="shared" si="9"/>
        <v/>
      </c>
      <c r="AK36" s="62" t="str">
        <f t="shared" si="9"/>
        <v/>
      </c>
      <c r="AL36" s="62" t="str">
        <f t="shared" si="9"/>
        <v/>
      </c>
      <c r="AM36" s="62" t="str">
        <f t="shared" si="9"/>
        <v/>
      </c>
      <c r="AN36" s="62" t="str">
        <f t="shared" si="9"/>
        <v/>
      </c>
      <c r="AO36" s="62" t="str">
        <f t="shared" si="9"/>
        <v/>
      </c>
    </row>
    <row r="37" spans="1:41">
      <c r="A37" s="63"/>
      <c r="B37" s="59">
        <v>1</v>
      </c>
      <c r="C37" s="60"/>
      <c r="D37" s="60"/>
      <c r="E37" s="60"/>
      <c r="F37" s="60"/>
      <c r="G37" s="60"/>
      <c r="H37" s="60"/>
      <c r="I37" s="60" t="s">
        <v>31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>
      <c r="A38" s="63"/>
      <c r="B38" s="59">
        <v>2</v>
      </c>
      <c r="C38" s="60"/>
      <c r="D38" s="60"/>
      <c r="E38" s="60"/>
      <c r="F38" s="60"/>
      <c r="G38" s="60"/>
      <c r="H38" s="60"/>
      <c r="I38" s="60" t="s">
        <v>31</v>
      </c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>
      <c r="A39" s="63"/>
      <c r="B39" s="59">
        <v>3</v>
      </c>
      <c r="C39" s="60"/>
      <c r="D39" s="60"/>
      <c r="E39" s="60"/>
      <c r="F39" s="60"/>
      <c r="G39" s="60"/>
      <c r="H39" s="60"/>
      <c r="I39" s="60" t="s">
        <v>31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>
      <c r="A40" s="63"/>
      <c r="B40" s="59">
        <v>4</v>
      </c>
      <c r="C40" s="60"/>
      <c r="D40" s="60"/>
      <c r="E40" s="60"/>
      <c r="F40" s="60"/>
      <c r="G40" s="60"/>
      <c r="H40" s="60"/>
      <c r="I40" s="60" t="s">
        <v>31</v>
      </c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>
      <c r="A41" s="63"/>
      <c r="B41" s="59" t="s">
        <v>41</v>
      </c>
      <c r="C41" s="60" t="s">
        <v>40</v>
      </c>
      <c r="D41" s="60">
        <v>0</v>
      </c>
      <c r="E41" s="60">
        <v>0.04</v>
      </c>
      <c r="F41" s="60">
        <v>0</v>
      </c>
      <c r="G41" s="60">
        <f>D41+E41</f>
        <v>0.04</v>
      </c>
      <c r="H41" s="60">
        <f>D41+F41</f>
        <v>0</v>
      </c>
      <c r="I41" s="60" t="s">
        <v>31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2" t="str">
        <f t="shared" ref="Z41:AO41" si="10">IF(J41="","",IF(J41&gt;($D41+$E41),(J41-$D41-$E41),IF(J41&lt;($D41+$F41),(J41-$D41-$F41),"√")))</f>
        <v/>
      </c>
      <c r="AA41" s="62" t="str">
        <f t="shared" si="10"/>
        <v/>
      </c>
      <c r="AB41" s="62" t="str">
        <f t="shared" si="10"/>
        <v/>
      </c>
      <c r="AC41" s="62" t="str">
        <f t="shared" si="10"/>
        <v/>
      </c>
      <c r="AD41" s="62" t="str">
        <f t="shared" si="10"/>
        <v/>
      </c>
      <c r="AE41" s="62" t="str">
        <f t="shared" si="10"/>
        <v/>
      </c>
      <c r="AF41" s="62" t="str">
        <f t="shared" si="10"/>
        <v/>
      </c>
      <c r="AG41" s="62" t="str">
        <f t="shared" si="10"/>
        <v/>
      </c>
      <c r="AH41" s="62" t="str">
        <f t="shared" si="10"/>
        <v/>
      </c>
      <c r="AI41" s="62" t="str">
        <f t="shared" si="10"/>
        <v/>
      </c>
      <c r="AJ41" s="62" t="str">
        <f t="shared" si="10"/>
        <v/>
      </c>
      <c r="AK41" s="62" t="str">
        <f t="shared" si="10"/>
        <v/>
      </c>
      <c r="AL41" s="62" t="str">
        <f t="shared" si="10"/>
        <v/>
      </c>
      <c r="AM41" s="62" t="str">
        <f t="shared" si="10"/>
        <v/>
      </c>
      <c r="AN41" s="62" t="str">
        <f t="shared" si="10"/>
        <v/>
      </c>
      <c r="AO41" s="62" t="str">
        <f t="shared" si="10"/>
        <v/>
      </c>
    </row>
    <row r="42" spans="1:41">
      <c r="A42" s="63"/>
      <c r="B42" s="59">
        <v>1</v>
      </c>
      <c r="C42" s="60"/>
      <c r="D42" s="60"/>
      <c r="E42" s="60"/>
      <c r="F42" s="60"/>
      <c r="G42" s="60"/>
      <c r="H42" s="60"/>
      <c r="I42" s="60" t="s">
        <v>31</v>
      </c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>
      <c r="A43" s="63"/>
      <c r="B43" s="59">
        <v>2</v>
      </c>
      <c r="C43" s="60"/>
      <c r="D43" s="60"/>
      <c r="E43" s="60"/>
      <c r="F43" s="60"/>
      <c r="G43" s="60"/>
      <c r="H43" s="60"/>
      <c r="I43" s="60" t="s">
        <v>31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>
      <c r="A44" s="63"/>
      <c r="B44" s="59">
        <v>3</v>
      </c>
      <c r="C44" s="60"/>
      <c r="D44" s="60"/>
      <c r="E44" s="60"/>
      <c r="F44" s="60"/>
      <c r="G44" s="60"/>
      <c r="H44" s="60"/>
      <c r="I44" s="60" t="s">
        <v>31</v>
      </c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>
      <c r="A45" s="63"/>
      <c r="B45" s="59">
        <v>4</v>
      </c>
      <c r="C45" s="60"/>
      <c r="D45" s="60"/>
      <c r="E45" s="60"/>
      <c r="F45" s="60"/>
      <c r="G45" s="60"/>
      <c r="H45" s="60"/>
      <c r="I45" s="60" t="s">
        <v>31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>
      <c r="A46" s="63"/>
      <c r="B46" s="59" t="s">
        <v>42</v>
      </c>
      <c r="C46" s="60"/>
      <c r="D46" s="60">
        <v>0.7</v>
      </c>
      <c r="E46" s="60">
        <v>0.05</v>
      </c>
      <c r="F46" s="60">
        <v>-0.05</v>
      </c>
      <c r="G46" s="60">
        <f t="shared" ref="G46:G50" si="11">D46+E46</f>
        <v>0.75</v>
      </c>
      <c r="H46" s="60">
        <f t="shared" ref="H46:H50" si="12">D46+F46</f>
        <v>0.65</v>
      </c>
      <c r="I46" s="60" t="s">
        <v>31</v>
      </c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2" t="str">
        <f t="shared" ref="Z46:AO46" si="13">IF(J46="","",IF(J46&gt;($D46+$E46),(J46-$D46-$E46),IF(J46&lt;($D46+$F46),(J46-$D46-$F46),"√")))</f>
        <v/>
      </c>
      <c r="AA46" s="62" t="str">
        <f t="shared" si="13"/>
        <v/>
      </c>
      <c r="AB46" s="62" t="str">
        <f t="shared" si="13"/>
        <v/>
      </c>
      <c r="AC46" s="62" t="str">
        <f t="shared" si="13"/>
        <v/>
      </c>
      <c r="AD46" s="62" t="str">
        <f t="shared" si="13"/>
        <v/>
      </c>
      <c r="AE46" s="62" t="str">
        <f t="shared" si="13"/>
        <v/>
      </c>
      <c r="AF46" s="62" t="str">
        <f t="shared" si="13"/>
        <v/>
      </c>
      <c r="AG46" s="62" t="str">
        <f t="shared" si="13"/>
        <v/>
      </c>
      <c r="AH46" s="62" t="str">
        <f t="shared" si="13"/>
        <v/>
      </c>
      <c r="AI46" s="62" t="str">
        <f t="shared" si="13"/>
        <v/>
      </c>
      <c r="AJ46" s="62" t="str">
        <f t="shared" si="13"/>
        <v/>
      </c>
      <c r="AK46" s="62" t="str">
        <f t="shared" si="13"/>
        <v/>
      </c>
      <c r="AL46" s="62" t="str">
        <f t="shared" si="13"/>
        <v/>
      </c>
      <c r="AM46" s="62" t="str">
        <f t="shared" si="13"/>
        <v/>
      </c>
      <c r="AN46" s="62" t="str">
        <f t="shared" si="13"/>
        <v/>
      </c>
      <c r="AO46" s="62" t="str">
        <f t="shared" si="13"/>
        <v/>
      </c>
    </row>
    <row r="47" spans="1:41">
      <c r="A47" s="63"/>
      <c r="B47" s="59" t="s">
        <v>43</v>
      </c>
      <c r="C47" s="60"/>
      <c r="D47" s="60">
        <v>0.7</v>
      </c>
      <c r="E47" s="60">
        <v>0.05</v>
      </c>
      <c r="F47" s="60">
        <v>-0.05</v>
      </c>
      <c r="G47" s="60">
        <f t="shared" si="11"/>
        <v>0.75</v>
      </c>
      <c r="H47" s="60">
        <f t="shared" si="12"/>
        <v>0.65</v>
      </c>
      <c r="I47" s="60" t="s">
        <v>31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2" t="str">
        <f t="shared" ref="Z47:AO47" si="14">IF(J47="","",IF(J47&gt;($D47+$E47),(J47-$D47-$E47),IF(J47&lt;($D47+$F47),(J47-$D47-$F47),"√")))</f>
        <v/>
      </c>
      <c r="AA47" s="62" t="str">
        <f t="shared" si="14"/>
        <v/>
      </c>
      <c r="AB47" s="62" t="str">
        <f t="shared" si="14"/>
        <v/>
      </c>
      <c r="AC47" s="62" t="str">
        <f t="shared" si="14"/>
        <v/>
      </c>
      <c r="AD47" s="62" t="str">
        <f t="shared" si="14"/>
        <v/>
      </c>
      <c r="AE47" s="62" t="str">
        <f t="shared" si="14"/>
        <v/>
      </c>
      <c r="AF47" s="62" t="str">
        <f t="shared" si="14"/>
        <v/>
      </c>
      <c r="AG47" s="62" t="str">
        <f t="shared" si="14"/>
        <v/>
      </c>
      <c r="AH47" s="62" t="str">
        <f t="shared" si="14"/>
        <v/>
      </c>
      <c r="AI47" s="62" t="str">
        <f t="shared" si="14"/>
        <v/>
      </c>
      <c r="AJ47" s="62" t="str">
        <f t="shared" si="14"/>
        <v/>
      </c>
      <c r="AK47" s="62" t="str">
        <f t="shared" si="14"/>
        <v/>
      </c>
      <c r="AL47" s="62" t="str">
        <f t="shared" si="14"/>
        <v/>
      </c>
      <c r="AM47" s="62" t="str">
        <f t="shared" si="14"/>
        <v/>
      </c>
      <c r="AN47" s="62" t="str">
        <f t="shared" si="14"/>
        <v/>
      </c>
      <c r="AO47" s="62" t="str">
        <f t="shared" si="14"/>
        <v/>
      </c>
    </row>
    <row r="48" spans="1:41">
      <c r="A48" s="63"/>
      <c r="B48" s="59" t="s">
        <v>44</v>
      </c>
      <c r="C48" s="60"/>
      <c r="D48" s="60">
        <v>0.7</v>
      </c>
      <c r="E48" s="60">
        <v>0.05</v>
      </c>
      <c r="F48" s="60">
        <v>-0.05</v>
      </c>
      <c r="G48" s="60">
        <f t="shared" si="11"/>
        <v>0.75</v>
      </c>
      <c r="H48" s="60">
        <f t="shared" si="12"/>
        <v>0.65</v>
      </c>
      <c r="I48" s="60" t="s">
        <v>31</v>
      </c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2" t="str">
        <f t="shared" ref="Z48:AO48" si="15">IF(J48="","",IF(J48&gt;($D48+$E48),(J48-$D48-$E48),IF(J48&lt;($D48+$F48),(J48-$D48-$F48),"√")))</f>
        <v/>
      </c>
      <c r="AA48" s="62" t="str">
        <f t="shared" si="15"/>
        <v/>
      </c>
      <c r="AB48" s="62" t="str">
        <f t="shared" si="15"/>
        <v/>
      </c>
      <c r="AC48" s="62" t="str">
        <f t="shared" si="15"/>
        <v/>
      </c>
      <c r="AD48" s="62" t="str">
        <f t="shared" si="15"/>
        <v/>
      </c>
      <c r="AE48" s="62" t="str">
        <f t="shared" si="15"/>
        <v/>
      </c>
      <c r="AF48" s="62" t="str">
        <f t="shared" si="15"/>
        <v/>
      </c>
      <c r="AG48" s="62" t="str">
        <f t="shared" si="15"/>
        <v/>
      </c>
      <c r="AH48" s="62" t="str">
        <f t="shared" si="15"/>
        <v/>
      </c>
      <c r="AI48" s="62" t="str">
        <f t="shared" si="15"/>
        <v/>
      </c>
      <c r="AJ48" s="62" t="str">
        <f t="shared" si="15"/>
        <v/>
      </c>
      <c r="AK48" s="62" t="str">
        <f t="shared" si="15"/>
        <v/>
      </c>
      <c r="AL48" s="62" t="str">
        <f t="shared" si="15"/>
        <v/>
      </c>
      <c r="AM48" s="62" t="str">
        <f t="shared" si="15"/>
        <v/>
      </c>
      <c r="AN48" s="62" t="str">
        <f t="shared" si="15"/>
        <v/>
      </c>
      <c r="AO48" s="62" t="str">
        <f t="shared" si="15"/>
        <v/>
      </c>
    </row>
    <row r="49" spans="1:41">
      <c r="A49" s="63"/>
      <c r="B49" s="59" t="s">
        <v>45</v>
      </c>
      <c r="C49" s="60"/>
      <c r="D49" s="60">
        <v>0.965</v>
      </c>
      <c r="E49" s="60">
        <v>0.015</v>
      </c>
      <c r="F49" s="60">
        <v>-0.015</v>
      </c>
      <c r="G49" s="60">
        <f t="shared" si="11"/>
        <v>0.98</v>
      </c>
      <c r="H49" s="60">
        <f t="shared" si="12"/>
        <v>0.95</v>
      </c>
      <c r="I49" s="60" t="s">
        <v>31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2" t="str">
        <f t="shared" ref="Z49:AO49" si="16">IF(J49="","",IF(J49&gt;($D49+$E49),(J49-$D49-$E49),IF(J49&lt;($D49+$F49),(J49-$D49-$F49),"√")))</f>
        <v/>
      </c>
      <c r="AA49" s="62" t="str">
        <f t="shared" si="16"/>
        <v/>
      </c>
      <c r="AB49" s="62" t="str">
        <f t="shared" si="16"/>
        <v/>
      </c>
      <c r="AC49" s="62" t="str">
        <f t="shared" si="16"/>
        <v/>
      </c>
      <c r="AD49" s="62" t="str">
        <f t="shared" si="16"/>
        <v/>
      </c>
      <c r="AE49" s="62" t="str">
        <f t="shared" si="16"/>
        <v/>
      </c>
      <c r="AF49" s="62" t="str">
        <f t="shared" si="16"/>
        <v/>
      </c>
      <c r="AG49" s="62" t="str">
        <f t="shared" si="16"/>
        <v/>
      </c>
      <c r="AH49" s="62" t="str">
        <f t="shared" si="16"/>
        <v/>
      </c>
      <c r="AI49" s="62" t="str">
        <f t="shared" si="16"/>
        <v/>
      </c>
      <c r="AJ49" s="62" t="str">
        <f t="shared" si="16"/>
        <v/>
      </c>
      <c r="AK49" s="62" t="str">
        <f t="shared" si="16"/>
        <v/>
      </c>
      <c r="AL49" s="62" t="str">
        <f t="shared" si="16"/>
        <v/>
      </c>
      <c r="AM49" s="62" t="str">
        <f t="shared" si="16"/>
        <v/>
      </c>
      <c r="AN49" s="62" t="str">
        <f t="shared" si="16"/>
        <v/>
      </c>
      <c r="AO49" s="62" t="str">
        <f t="shared" si="16"/>
        <v/>
      </c>
    </row>
    <row r="50" spans="1:41">
      <c r="A50" s="63"/>
      <c r="B50" s="59" t="s">
        <v>46</v>
      </c>
      <c r="C50" s="60" t="s">
        <v>47</v>
      </c>
      <c r="D50" s="60">
        <v>0</v>
      </c>
      <c r="E50" s="60">
        <v>0.03</v>
      </c>
      <c r="F50" s="60">
        <v>0</v>
      </c>
      <c r="G50" s="60">
        <f t="shared" si="11"/>
        <v>0.03</v>
      </c>
      <c r="H50" s="60">
        <f t="shared" si="12"/>
        <v>0</v>
      </c>
      <c r="I50" s="60" t="s">
        <v>31</v>
      </c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2" t="str">
        <f t="shared" ref="Z50:AO50" si="17">IF(J50="","",IF(J50&gt;($D50+$E50),(J50-$D50-$E50),IF(J50&lt;($D50+$F50),(J50-$D50-$F50),"√")))</f>
        <v/>
      </c>
      <c r="AA50" s="62" t="str">
        <f t="shared" si="17"/>
        <v/>
      </c>
      <c r="AB50" s="62" t="str">
        <f t="shared" si="17"/>
        <v/>
      </c>
      <c r="AC50" s="62" t="str">
        <f t="shared" si="17"/>
        <v/>
      </c>
      <c r="AD50" s="62" t="str">
        <f t="shared" si="17"/>
        <v/>
      </c>
      <c r="AE50" s="62" t="str">
        <f t="shared" si="17"/>
        <v/>
      </c>
      <c r="AF50" s="62" t="str">
        <f t="shared" si="17"/>
        <v/>
      </c>
      <c r="AG50" s="62" t="str">
        <f t="shared" si="17"/>
        <v/>
      </c>
      <c r="AH50" s="62" t="str">
        <f t="shared" si="17"/>
        <v/>
      </c>
      <c r="AI50" s="62" t="str">
        <f t="shared" si="17"/>
        <v/>
      </c>
      <c r="AJ50" s="62" t="str">
        <f t="shared" si="17"/>
        <v/>
      </c>
      <c r="AK50" s="62" t="str">
        <f t="shared" si="17"/>
        <v/>
      </c>
      <c r="AL50" s="62" t="str">
        <f t="shared" si="17"/>
        <v/>
      </c>
      <c r="AM50" s="62" t="str">
        <f t="shared" si="17"/>
        <v/>
      </c>
      <c r="AN50" s="62" t="str">
        <f t="shared" si="17"/>
        <v/>
      </c>
      <c r="AO50" s="62" t="str">
        <f t="shared" si="17"/>
        <v/>
      </c>
    </row>
    <row r="51" spans="1:41">
      <c r="A51" s="63"/>
      <c r="B51" s="59">
        <v>1</v>
      </c>
      <c r="C51" s="60"/>
      <c r="D51" s="60"/>
      <c r="E51" s="60"/>
      <c r="F51" s="60"/>
      <c r="G51" s="60"/>
      <c r="H51" s="60"/>
      <c r="I51" s="60" t="s">
        <v>31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>
      <c r="A52" s="63"/>
      <c r="B52" s="59">
        <v>2</v>
      </c>
      <c r="C52" s="60"/>
      <c r="D52" s="60"/>
      <c r="E52" s="60"/>
      <c r="F52" s="60"/>
      <c r="G52" s="60"/>
      <c r="H52" s="60"/>
      <c r="I52" s="60" t="s">
        <v>31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>
      <c r="A53" s="63"/>
      <c r="B53" s="59">
        <v>3</v>
      </c>
      <c r="C53" s="60"/>
      <c r="D53" s="60"/>
      <c r="E53" s="60"/>
      <c r="F53" s="60"/>
      <c r="G53" s="60"/>
      <c r="H53" s="60"/>
      <c r="I53" s="60" t="s">
        <v>31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>
      <c r="A54" s="63"/>
      <c r="B54" s="59">
        <v>4</v>
      </c>
      <c r="C54" s="60"/>
      <c r="D54" s="60"/>
      <c r="E54" s="60"/>
      <c r="F54" s="60"/>
      <c r="G54" s="60"/>
      <c r="H54" s="60"/>
      <c r="I54" s="60" t="s">
        <v>31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>
      <c r="A55" s="63"/>
      <c r="B55" s="59" t="s">
        <v>48</v>
      </c>
      <c r="C55" s="60"/>
      <c r="D55" s="60">
        <v>0</v>
      </c>
      <c r="E55" s="60">
        <v>0.08</v>
      </c>
      <c r="F55" s="60">
        <v>0</v>
      </c>
      <c r="G55" s="60">
        <f>D55+E55</f>
        <v>0.08</v>
      </c>
      <c r="H55" s="60">
        <f>D55+F55</f>
        <v>0</v>
      </c>
      <c r="I55" s="60" t="s">
        <v>31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2" t="str">
        <f t="shared" ref="Z55:AO55" si="18">IF(J55="","",IF(J55&gt;($D55+$E55),(J55-$D55-$E55),IF(J55&lt;($D55+$F55),(J55-$D55-$F55),"√")))</f>
        <v/>
      </c>
      <c r="AA55" s="62" t="str">
        <f t="shared" si="18"/>
        <v/>
      </c>
      <c r="AB55" s="62" t="str">
        <f t="shared" si="18"/>
        <v/>
      </c>
      <c r="AC55" s="62" t="str">
        <f t="shared" si="18"/>
        <v/>
      </c>
      <c r="AD55" s="62" t="str">
        <f t="shared" si="18"/>
        <v/>
      </c>
      <c r="AE55" s="62" t="str">
        <f t="shared" si="18"/>
        <v/>
      </c>
      <c r="AF55" s="62" t="str">
        <f t="shared" si="18"/>
        <v/>
      </c>
      <c r="AG55" s="62" t="str">
        <f t="shared" si="18"/>
        <v/>
      </c>
      <c r="AH55" s="62" t="str">
        <f t="shared" si="18"/>
        <v/>
      </c>
      <c r="AI55" s="62" t="str">
        <f t="shared" si="18"/>
        <v/>
      </c>
      <c r="AJ55" s="62" t="str">
        <f t="shared" si="18"/>
        <v/>
      </c>
      <c r="AK55" s="62" t="str">
        <f t="shared" si="18"/>
        <v/>
      </c>
      <c r="AL55" s="62" t="str">
        <f t="shared" si="18"/>
        <v/>
      </c>
      <c r="AM55" s="62" t="str">
        <f t="shared" si="18"/>
        <v/>
      </c>
      <c r="AN55" s="62" t="str">
        <f t="shared" si="18"/>
        <v/>
      </c>
      <c r="AO55" s="62" t="str">
        <f t="shared" si="18"/>
        <v/>
      </c>
    </row>
    <row r="56" spans="1:41">
      <c r="A56" s="63"/>
      <c r="B56" s="59">
        <v>1</v>
      </c>
      <c r="C56" s="60"/>
      <c r="D56" s="60"/>
      <c r="E56" s="60"/>
      <c r="F56" s="60"/>
      <c r="G56" s="60"/>
      <c r="H56" s="60"/>
      <c r="I56" s="60" t="s">
        <v>31</v>
      </c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>
      <c r="A57" s="63"/>
      <c r="B57" s="59">
        <v>2</v>
      </c>
      <c r="C57" s="60"/>
      <c r="D57" s="60"/>
      <c r="E57" s="60"/>
      <c r="F57" s="60"/>
      <c r="G57" s="60"/>
      <c r="H57" s="60"/>
      <c r="I57" s="60" t="s">
        <v>31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>
      <c r="A58" s="63"/>
      <c r="B58" s="59">
        <v>3</v>
      </c>
      <c r="C58" s="60"/>
      <c r="D58" s="60"/>
      <c r="E58" s="60"/>
      <c r="F58" s="60"/>
      <c r="G58" s="60"/>
      <c r="H58" s="60"/>
      <c r="I58" s="60" t="s">
        <v>31</v>
      </c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>
      <c r="A59" s="63"/>
      <c r="B59" s="59">
        <v>4</v>
      </c>
      <c r="C59" s="60"/>
      <c r="D59" s="60"/>
      <c r="E59" s="60"/>
      <c r="F59" s="60"/>
      <c r="G59" s="60"/>
      <c r="H59" s="60"/>
      <c r="I59" s="60" t="s">
        <v>31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>
      <c r="A60" s="63"/>
      <c r="B60" s="59">
        <v>5</v>
      </c>
      <c r="C60" s="60"/>
      <c r="D60" s="60"/>
      <c r="E60" s="60"/>
      <c r="F60" s="60"/>
      <c r="G60" s="60"/>
      <c r="H60" s="60"/>
      <c r="I60" s="60" t="s">
        <v>31</v>
      </c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>
      <c r="A61" s="63"/>
      <c r="B61" s="59">
        <v>6</v>
      </c>
      <c r="C61" s="60"/>
      <c r="D61" s="60"/>
      <c r="E61" s="60"/>
      <c r="F61" s="60"/>
      <c r="G61" s="60"/>
      <c r="H61" s="60"/>
      <c r="I61" s="60" t="s">
        <v>31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>
      <c r="A62" s="63"/>
      <c r="B62" s="59">
        <v>7</v>
      </c>
      <c r="C62" s="60"/>
      <c r="D62" s="60"/>
      <c r="E62" s="60"/>
      <c r="F62" s="60"/>
      <c r="G62" s="60"/>
      <c r="H62" s="60"/>
      <c r="I62" s="60" t="s">
        <v>31</v>
      </c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>
      <c r="A63" s="63"/>
      <c r="B63" s="59">
        <v>8</v>
      </c>
      <c r="C63" s="60"/>
      <c r="D63" s="60"/>
      <c r="E63" s="60"/>
      <c r="F63" s="60"/>
      <c r="G63" s="60"/>
      <c r="H63" s="60"/>
      <c r="I63" s="60" t="s">
        <v>31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>
      <c r="A64" s="63"/>
      <c r="B64" s="59" t="s">
        <v>49</v>
      </c>
      <c r="C64" s="60"/>
      <c r="D64" s="60">
        <v>2</v>
      </c>
      <c r="E64" s="60">
        <v>0.05</v>
      </c>
      <c r="F64" s="60">
        <v>-0.05</v>
      </c>
      <c r="G64" s="60">
        <f t="shared" ref="G64:G71" si="19">D64+E64</f>
        <v>2.05</v>
      </c>
      <c r="H64" s="60">
        <f t="shared" ref="H64:H71" si="20">D64+F64</f>
        <v>1.95</v>
      </c>
      <c r="I64" s="60" t="s">
        <v>50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2" t="str">
        <f t="shared" ref="Z64:AO64" si="21">IF(J64="","",IF(J64&gt;($D64+$E64),(J64-$D64-$E64),IF(J64&lt;($D64+$F64),(J64-$D64-$F64),"√")))</f>
        <v/>
      </c>
      <c r="AA64" s="62" t="str">
        <f t="shared" si="21"/>
        <v/>
      </c>
      <c r="AB64" s="62" t="str">
        <f t="shared" si="21"/>
        <v/>
      </c>
      <c r="AC64" s="62" t="str">
        <f t="shared" si="21"/>
        <v/>
      </c>
      <c r="AD64" s="62" t="str">
        <f t="shared" si="21"/>
        <v/>
      </c>
      <c r="AE64" s="62" t="str">
        <f t="shared" si="21"/>
        <v/>
      </c>
      <c r="AF64" s="62" t="str">
        <f t="shared" si="21"/>
        <v/>
      </c>
      <c r="AG64" s="62" t="str">
        <f t="shared" si="21"/>
        <v/>
      </c>
      <c r="AH64" s="62" t="str">
        <f t="shared" si="21"/>
        <v/>
      </c>
      <c r="AI64" s="62" t="str">
        <f t="shared" si="21"/>
        <v/>
      </c>
      <c r="AJ64" s="62" t="str">
        <f t="shared" si="21"/>
        <v/>
      </c>
      <c r="AK64" s="62" t="str">
        <f t="shared" si="21"/>
        <v/>
      </c>
      <c r="AL64" s="62" t="str">
        <f t="shared" si="21"/>
        <v/>
      </c>
      <c r="AM64" s="62" t="str">
        <f t="shared" si="21"/>
        <v/>
      </c>
      <c r="AN64" s="62" t="str">
        <f t="shared" si="21"/>
        <v/>
      </c>
      <c r="AO64" s="62" t="str">
        <f t="shared" si="21"/>
        <v/>
      </c>
    </row>
    <row r="65" spans="1:41">
      <c r="A65" s="63"/>
      <c r="B65" s="59" t="s">
        <v>51</v>
      </c>
      <c r="C65" s="60"/>
      <c r="D65" s="60">
        <v>2</v>
      </c>
      <c r="E65" s="60">
        <v>0.05</v>
      </c>
      <c r="F65" s="60">
        <v>-0.05</v>
      </c>
      <c r="G65" s="60">
        <f t="shared" si="19"/>
        <v>2.05</v>
      </c>
      <c r="H65" s="60">
        <f t="shared" si="20"/>
        <v>1.95</v>
      </c>
      <c r="I65" s="60" t="s">
        <v>50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2" t="str">
        <f t="shared" ref="Z65:AO65" si="22">IF(J65="","",IF(J65&gt;($D65+$E65),(J65-$D65-$E65),IF(J65&lt;($D65+$F65),(J65-$D65-$F65),"√")))</f>
        <v/>
      </c>
      <c r="AA65" s="62" t="str">
        <f t="shared" si="22"/>
        <v/>
      </c>
      <c r="AB65" s="62" t="str">
        <f t="shared" si="22"/>
        <v/>
      </c>
      <c r="AC65" s="62" t="str">
        <f t="shared" si="22"/>
        <v/>
      </c>
      <c r="AD65" s="62" t="str">
        <f t="shared" si="22"/>
        <v/>
      </c>
      <c r="AE65" s="62" t="str">
        <f t="shared" si="22"/>
        <v/>
      </c>
      <c r="AF65" s="62" t="str">
        <f t="shared" si="22"/>
        <v/>
      </c>
      <c r="AG65" s="62" t="str">
        <f t="shared" si="22"/>
        <v/>
      </c>
      <c r="AH65" s="62" t="str">
        <f t="shared" si="22"/>
        <v/>
      </c>
      <c r="AI65" s="62" t="str">
        <f t="shared" si="22"/>
        <v/>
      </c>
      <c r="AJ65" s="62" t="str">
        <f t="shared" si="22"/>
        <v/>
      </c>
      <c r="AK65" s="62" t="str">
        <f t="shared" si="22"/>
        <v/>
      </c>
      <c r="AL65" s="62" t="str">
        <f t="shared" si="22"/>
        <v/>
      </c>
      <c r="AM65" s="62" t="str">
        <f t="shared" si="22"/>
        <v/>
      </c>
      <c r="AN65" s="62" t="str">
        <f t="shared" si="22"/>
        <v/>
      </c>
      <c r="AO65" s="62" t="str">
        <f t="shared" si="22"/>
        <v/>
      </c>
    </row>
    <row r="66" spans="1:41">
      <c r="A66" s="63"/>
      <c r="B66" s="59" t="s">
        <v>52</v>
      </c>
      <c r="C66" s="60" t="s">
        <v>53</v>
      </c>
      <c r="D66" s="60">
        <v>0.935</v>
      </c>
      <c r="E66" s="60">
        <v>0.015</v>
      </c>
      <c r="F66" s="60">
        <v>-0.015</v>
      </c>
      <c r="G66" s="60">
        <f t="shared" si="19"/>
        <v>0.95</v>
      </c>
      <c r="H66" s="60">
        <f t="shared" si="20"/>
        <v>0.92</v>
      </c>
      <c r="I66" s="60" t="s">
        <v>54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2" t="str">
        <f t="shared" ref="Z66:AO66" si="23">IF(J66="","",IF(J66&gt;($D66+$E66),(J66-$D66-$E66),IF(J66&lt;($D66+$F66),(J66-$D66-$F66),"√")))</f>
        <v/>
      </c>
      <c r="AA66" s="62" t="str">
        <f t="shared" si="23"/>
        <v/>
      </c>
      <c r="AB66" s="62" t="str">
        <f t="shared" si="23"/>
        <v/>
      </c>
      <c r="AC66" s="62" t="str">
        <f t="shared" si="23"/>
        <v/>
      </c>
      <c r="AD66" s="62" t="str">
        <f t="shared" si="23"/>
        <v/>
      </c>
      <c r="AE66" s="62" t="str">
        <f t="shared" si="23"/>
        <v/>
      </c>
      <c r="AF66" s="62" t="str">
        <f t="shared" si="23"/>
        <v/>
      </c>
      <c r="AG66" s="62" t="str">
        <f t="shared" si="23"/>
        <v/>
      </c>
      <c r="AH66" s="62" t="str">
        <f t="shared" si="23"/>
        <v/>
      </c>
      <c r="AI66" s="62" t="str">
        <f t="shared" si="23"/>
        <v/>
      </c>
      <c r="AJ66" s="62" t="str">
        <f t="shared" si="23"/>
        <v/>
      </c>
      <c r="AK66" s="62" t="str">
        <f t="shared" si="23"/>
        <v/>
      </c>
      <c r="AL66" s="62" t="str">
        <f t="shared" si="23"/>
        <v/>
      </c>
      <c r="AM66" s="62" t="str">
        <f t="shared" si="23"/>
        <v/>
      </c>
      <c r="AN66" s="62" t="str">
        <f t="shared" si="23"/>
        <v/>
      </c>
      <c r="AO66" s="62" t="str">
        <f t="shared" si="23"/>
        <v/>
      </c>
    </row>
    <row r="67" spans="1:41">
      <c r="A67" s="63"/>
      <c r="B67" s="59" t="s">
        <v>55</v>
      </c>
      <c r="C67" s="60"/>
      <c r="D67" s="60">
        <v>2.1</v>
      </c>
      <c r="E67" s="60">
        <v>0.03</v>
      </c>
      <c r="F67" s="60">
        <v>-0.03</v>
      </c>
      <c r="G67" s="60">
        <f t="shared" si="19"/>
        <v>2.13</v>
      </c>
      <c r="H67" s="60">
        <f t="shared" si="20"/>
        <v>2.07</v>
      </c>
      <c r="I67" s="60" t="s">
        <v>50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2" t="str">
        <f t="shared" ref="Z67:AO67" si="24">IF(J67="","",IF(J67&gt;($D67+$E67),(J67-$D67-$E67),IF(J67&lt;($D67+$F67),(J67-$D67-$F67),"√")))</f>
        <v/>
      </c>
      <c r="AA67" s="62" t="str">
        <f t="shared" si="24"/>
        <v/>
      </c>
      <c r="AB67" s="62" t="str">
        <f t="shared" si="24"/>
        <v/>
      </c>
      <c r="AC67" s="62" t="str">
        <f t="shared" si="24"/>
        <v/>
      </c>
      <c r="AD67" s="62" t="str">
        <f t="shared" si="24"/>
        <v/>
      </c>
      <c r="AE67" s="62" t="str">
        <f t="shared" si="24"/>
        <v/>
      </c>
      <c r="AF67" s="62" t="str">
        <f t="shared" si="24"/>
        <v/>
      </c>
      <c r="AG67" s="62" t="str">
        <f t="shared" si="24"/>
        <v/>
      </c>
      <c r="AH67" s="62" t="str">
        <f t="shared" si="24"/>
        <v/>
      </c>
      <c r="AI67" s="62" t="str">
        <f t="shared" si="24"/>
        <v/>
      </c>
      <c r="AJ67" s="62" t="str">
        <f t="shared" si="24"/>
        <v/>
      </c>
      <c r="AK67" s="62" t="str">
        <f t="shared" si="24"/>
        <v/>
      </c>
      <c r="AL67" s="62" t="str">
        <f t="shared" si="24"/>
        <v/>
      </c>
      <c r="AM67" s="62" t="str">
        <f t="shared" si="24"/>
        <v/>
      </c>
      <c r="AN67" s="62" t="str">
        <f t="shared" si="24"/>
        <v/>
      </c>
      <c r="AO67" s="62" t="str">
        <f t="shared" si="24"/>
        <v/>
      </c>
    </row>
    <row r="68" spans="1:41">
      <c r="A68" s="63"/>
      <c r="B68" s="59" t="s">
        <v>56</v>
      </c>
      <c r="C68" s="60"/>
      <c r="D68" s="60">
        <v>2.1</v>
      </c>
      <c r="E68" s="60">
        <v>0.03</v>
      </c>
      <c r="F68" s="60">
        <v>-0.03</v>
      </c>
      <c r="G68" s="60">
        <f t="shared" si="19"/>
        <v>2.13</v>
      </c>
      <c r="H68" s="60">
        <f t="shared" si="20"/>
        <v>2.07</v>
      </c>
      <c r="I68" s="60" t="s">
        <v>50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2" t="str">
        <f t="shared" ref="Z68:AO68" si="25">IF(J68="","",IF(J68&gt;($D68+$E68),(J68-$D68-$E68),IF(J68&lt;($D68+$F68),(J68-$D68-$F68),"√")))</f>
        <v/>
      </c>
      <c r="AA68" s="62" t="str">
        <f t="shared" si="25"/>
        <v/>
      </c>
      <c r="AB68" s="62" t="str">
        <f t="shared" si="25"/>
        <v/>
      </c>
      <c r="AC68" s="62" t="str">
        <f t="shared" si="25"/>
        <v/>
      </c>
      <c r="AD68" s="62" t="str">
        <f t="shared" si="25"/>
        <v/>
      </c>
      <c r="AE68" s="62" t="str">
        <f t="shared" si="25"/>
        <v/>
      </c>
      <c r="AF68" s="62" t="str">
        <f t="shared" si="25"/>
        <v/>
      </c>
      <c r="AG68" s="62" t="str">
        <f t="shared" si="25"/>
        <v/>
      </c>
      <c r="AH68" s="62" t="str">
        <f t="shared" si="25"/>
        <v/>
      </c>
      <c r="AI68" s="62" t="str">
        <f t="shared" si="25"/>
        <v/>
      </c>
      <c r="AJ68" s="62" t="str">
        <f t="shared" si="25"/>
        <v/>
      </c>
      <c r="AK68" s="62" t="str">
        <f t="shared" si="25"/>
        <v/>
      </c>
      <c r="AL68" s="62" t="str">
        <f t="shared" si="25"/>
        <v/>
      </c>
      <c r="AM68" s="62" t="str">
        <f t="shared" si="25"/>
        <v/>
      </c>
      <c r="AN68" s="62" t="str">
        <f t="shared" si="25"/>
        <v/>
      </c>
      <c r="AO68" s="62" t="str">
        <f t="shared" si="25"/>
        <v/>
      </c>
    </row>
    <row r="69" spans="1:41">
      <c r="A69" s="63"/>
      <c r="B69" s="59" t="s">
        <v>57</v>
      </c>
      <c r="C69" s="60"/>
      <c r="D69" s="60">
        <v>0.98</v>
      </c>
      <c r="E69" s="60">
        <v>0.03</v>
      </c>
      <c r="F69" s="60">
        <v>-0.03</v>
      </c>
      <c r="G69" s="60">
        <f t="shared" si="19"/>
        <v>1.01</v>
      </c>
      <c r="H69" s="60">
        <f t="shared" si="20"/>
        <v>0.95</v>
      </c>
      <c r="I69" s="60" t="s">
        <v>58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2" t="str">
        <f t="shared" ref="Z69:AO69" si="26">IF(J69="","",IF(J69&gt;($D69+$E69),(J69-$D69-$E69),IF(J69&lt;($D69+$F69),(J69-$D69-$F69),"√")))</f>
        <v/>
      </c>
      <c r="AA69" s="62" t="str">
        <f t="shared" si="26"/>
        <v/>
      </c>
      <c r="AB69" s="62" t="str">
        <f t="shared" si="26"/>
        <v/>
      </c>
      <c r="AC69" s="62" t="str">
        <f t="shared" si="26"/>
        <v/>
      </c>
      <c r="AD69" s="62" t="str">
        <f t="shared" si="26"/>
        <v/>
      </c>
      <c r="AE69" s="62" t="str">
        <f t="shared" si="26"/>
        <v/>
      </c>
      <c r="AF69" s="62" t="str">
        <f t="shared" si="26"/>
        <v/>
      </c>
      <c r="AG69" s="62" t="str">
        <f t="shared" si="26"/>
        <v/>
      </c>
      <c r="AH69" s="62" t="str">
        <f t="shared" si="26"/>
        <v/>
      </c>
      <c r="AI69" s="62" t="str">
        <f t="shared" si="26"/>
        <v/>
      </c>
      <c r="AJ69" s="62" t="str">
        <f t="shared" si="26"/>
        <v/>
      </c>
      <c r="AK69" s="62" t="str">
        <f t="shared" si="26"/>
        <v/>
      </c>
      <c r="AL69" s="62" t="str">
        <f t="shared" si="26"/>
        <v/>
      </c>
      <c r="AM69" s="62" t="str">
        <f t="shared" si="26"/>
        <v/>
      </c>
      <c r="AN69" s="62" t="str">
        <f t="shared" si="26"/>
        <v/>
      </c>
      <c r="AO69" s="62" t="str">
        <f t="shared" si="26"/>
        <v/>
      </c>
    </row>
    <row r="70" spans="1:41">
      <c r="A70" s="63"/>
      <c r="B70" s="59" t="s">
        <v>59</v>
      </c>
      <c r="C70" s="60"/>
      <c r="D70" s="60">
        <v>0.98</v>
      </c>
      <c r="E70" s="60">
        <v>0.03</v>
      </c>
      <c r="F70" s="60">
        <v>-0.03</v>
      </c>
      <c r="G70" s="60">
        <f t="shared" si="19"/>
        <v>1.01</v>
      </c>
      <c r="H70" s="60">
        <f t="shared" si="20"/>
        <v>0.95</v>
      </c>
      <c r="I70" s="60" t="s">
        <v>58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2" t="str">
        <f t="shared" ref="Z70:AO70" si="27">IF(J70="","",IF(J70&gt;($D70+$E70),(J70-$D70-$E70),IF(J70&lt;($D70+$F70),(J70-$D70-$F70),"√")))</f>
        <v/>
      </c>
      <c r="AA70" s="62" t="str">
        <f t="shared" si="27"/>
        <v/>
      </c>
      <c r="AB70" s="62" t="str">
        <f t="shared" si="27"/>
        <v/>
      </c>
      <c r="AC70" s="62" t="str">
        <f t="shared" si="27"/>
        <v/>
      </c>
      <c r="AD70" s="62" t="str">
        <f t="shared" si="27"/>
        <v/>
      </c>
      <c r="AE70" s="62" t="str">
        <f t="shared" si="27"/>
        <v/>
      </c>
      <c r="AF70" s="62" t="str">
        <f t="shared" si="27"/>
        <v/>
      </c>
      <c r="AG70" s="62" t="str">
        <f t="shared" si="27"/>
        <v/>
      </c>
      <c r="AH70" s="62" t="str">
        <f t="shared" si="27"/>
        <v/>
      </c>
      <c r="AI70" s="62" t="str">
        <f t="shared" si="27"/>
        <v/>
      </c>
      <c r="AJ70" s="62" t="str">
        <f t="shared" si="27"/>
        <v/>
      </c>
      <c r="AK70" s="62" t="str">
        <f t="shared" si="27"/>
        <v/>
      </c>
      <c r="AL70" s="62" t="str">
        <f t="shared" si="27"/>
        <v/>
      </c>
      <c r="AM70" s="62" t="str">
        <f t="shared" si="27"/>
        <v/>
      </c>
      <c r="AN70" s="62" t="str">
        <f t="shared" si="27"/>
        <v/>
      </c>
      <c r="AO70" s="62" t="str">
        <f t="shared" si="27"/>
        <v/>
      </c>
    </row>
    <row r="71" spans="1:41">
      <c r="A71" s="64"/>
      <c r="B71" s="59" t="s">
        <v>60</v>
      </c>
      <c r="C71" s="60"/>
      <c r="D71" s="60">
        <v>0.98</v>
      </c>
      <c r="E71" s="60">
        <v>0.03</v>
      </c>
      <c r="F71" s="60">
        <v>-0.03</v>
      </c>
      <c r="G71" s="60">
        <f t="shared" si="19"/>
        <v>1.01</v>
      </c>
      <c r="H71" s="60">
        <f t="shared" si="20"/>
        <v>0.95</v>
      </c>
      <c r="I71" s="60" t="s">
        <v>58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2" t="str">
        <f t="shared" ref="Z71:AO71" si="28">IF(J71="","",IF(J71&gt;($D71+$E71),(J71-$D71-$E71),IF(J71&lt;($D71+$F71),(J71-$D71-$F71),"√")))</f>
        <v/>
      </c>
      <c r="AA71" s="62" t="str">
        <f t="shared" si="28"/>
        <v/>
      </c>
      <c r="AB71" s="62" t="str">
        <f t="shared" si="28"/>
        <v/>
      </c>
      <c r="AC71" s="62" t="str">
        <f t="shared" si="28"/>
        <v/>
      </c>
      <c r="AD71" s="62" t="str">
        <f t="shared" si="28"/>
        <v/>
      </c>
      <c r="AE71" s="62" t="str">
        <f t="shared" si="28"/>
        <v/>
      </c>
      <c r="AF71" s="62" t="str">
        <f t="shared" si="28"/>
        <v/>
      </c>
      <c r="AG71" s="62" t="str">
        <f t="shared" si="28"/>
        <v/>
      </c>
      <c r="AH71" s="62" t="str">
        <f t="shared" si="28"/>
        <v/>
      </c>
      <c r="AI71" s="62" t="str">
        <f t="shared" si="28"/>
        <v/>
      </c>
      <c r="AJ71" s="62" t="str">
        <f t="shared" si="28"/>
        <v/>
      </c>
      <c r="AK71" s="62" t="str">
        <f t="shared" si="28"/>
        <v/>
      </c>
      <c r="AL71" s="62" t="str">
        <f t="shared" si="28"/>
        <v/>
      </c>
      <c r="AM71" s="62" t="str">
        <f t="shared" si="28"/>
        <v/>
      </c>
      <c r="AN71" s="62" t="str">
        <f t="shared" si="28"/>
        <v/>
      </c>
      <c r="AO71" s="62" t="str">
        <f t="shared" si="28"/>
        <v/>
      </c>
    </row>
    <row r="72" s="1" customFormat="1" ht="13.5" spans="1:4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7"/>
      <c r="AL72" s="68"/>
      <c r="AM72" s="69"/>
      <c r="AN72" s="70"/>
      <c r="AO72" s="71"/>
    </row>
    <row r="73" spans="1:41">
      <c r="D73"/>
      <c r="E73"/>
      <c r="F73"/>
      <c r="G73"/>
      <c r="H73"/>
      <c r="I73"/>
    </row>
    <row r="74" spans="1:41">
      <c r="D74"/>
      <c r="E74"/>
      <c r="F74"/>
      <c r="G74"/>
      <c r="H74"/>
      <c r="I74"/>
    </row>
    <row r="75" spans="1:41">
      <c r="D75"/>
      <c r="E75"/>
      <c r="F75"/>
      <c r="G75"/>
      <c r="H75"/>
      <c r="I75"/>
    </row>
    <row r="76" spans="1:41">
      <c r="D76"/>
      <c r="E76"/>
      <c r="F76"/>
      <c r="G76"/>
      <c r="H76"/>
      <c r="I76"/>
    </row>
    <row r="77" spans="1:41">
      <c r="D77"/>
      <c r="E77"/>
      <c r="F77"/>
      <c r="G77"/>
      <c r="H77"/>
      <c r="I77"/>
    </row>
    <row r="78" spans="1:41">
      <c r="D78"/>
      <c r="E78"/>
      <c r="F78"/>
      <c r="G78"/>
      <c r="H78"/>
      <c r="I78"/>
    </row>
    <row r="79" spans="1:41">
      <c r="D79"/>
      <c r="E79"/>
      <c r="F79"/>
      <c r="G79"/>
      <c r="H79"/>
      <c r="I79"/>
    </row>
    <row r="80" spans="1:41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</sheetData>
  <mergeCells count="36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6:O6"/>
    <mergeCell ref="P6:U6"/>
    <mergeCell ref="Z6:AE6"/>
    <mergeCell ref="AF6:AK6"/>
    <mergeCell ref="A72:AK72"/>
    <mergeCell ref="AL72:AM72"/>
    <mergeCell ref="AN72:AO72"/>
    <mergeCell ref="A2:A3"/>
    <mergeCell ref="A4:A7"/>
    <mergeCell ref="A8:A71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8:Y8">
    <cfRule type="cellIs" dxfId="0" priority="12" stopIfTrue="1" operator="notBetween">
      <formula>$G8</formula>
      <formula>$H8</formula>
    </cfRule>
  </conditionalFormatting>
  <conditionalFormatting sqref="J9:Y9">
    <cfRule type="cellIs" dxfId="0" priority="11" stopIfTrue="1" operator="notBetween">
      <formula>$G9</formula>
      <formula>$H9</formula>
    </cfRule>
  </conditionalFormatting>
  <conditionalFormatting sqref="J49:Y49">
    <cfRule type="cellIs" dxfId="0" priority="9" stopIfTrue="1" operator="notBetween">
      <formula>$G49</formula>
      <formula>$H49</formula>
    </cfRule>
  </conditionalFormatting>
  <conditionalFormatting sqref="J64:Y64">
    <cfRule type="cellIs" dxfId="0" priority="8" stopIfTrue="1" operator="notBetween">
      <formula>$G64</formula>
      <formula>$H64</formula>
    </cfRule>
  </conditionalFormatting>
  <conditionalFormatting sqref="J65:Y65">
    <cfRule type="cellIs" dxfId="0" priority="4" stopIfTrue="1" operator="notBetween">
      <formula>$G65</formula>
      <formula>$H65</formula>
    </cfRule>
  </conditionalFormatting>
  <conditionalFormatting sqref="J66:Y66">
    <cfRule type="cellIs" dxfId="0" priority="7" stopIfTrue="1" operator="notBetween">
      <formula>$G66</formula>
      <formula>$H66</formula>
    </cfRule>
  </conditionalFormatting>
  <conditionalFormatting sqref="J67:Y67">
    <cfRule type="cellIs" dxfId="0" priority="6" stopIfTrue="1" operator="notBetween">
      <formula>$G67</formula>
      <formula>$H67</formula>
    </cfRule>
  </conditionalFormatting>
  <conditionalFormatting sqref="J68:Y68">
    <cfRule type="cellIs" dxfId="0" priority="3" stopIfTrue="1" operator="notBetween">
      <formula>$G68</formula>
      <formula>$H68</formula>
    </cfRule>
  </conditionalFormatting>
  <conditionalFormatting sqref="J69:Y69">
    <cfRule type="cellIs" dxfId="0" priority="5" stopIfTrue="1" operator="notBetween">
      <formula>$G69</formula>
      <formula>$H69</formula>
    </cfRule>
  </conditionalFormatting>
  <conditionalFormatting sqref="J70:Y70">
    <cfRule type="cellIs" dxfId="0" priority="2" stopIfTrue="1" operator="notBetween">
      <formula>$G70</formula>
      <formula>$H70</formula>
    </cfRule>
  </conditionalFormatting>
  <conditionalFormatting sqref="J71:Y71">
    <cfRule type="cellIs" dxfId="0" priority="1" stopIfTrue="1" operator="notBetween">
      <formula>$G71</formula>
      <formula>$H71</formula>
    </cfRule>
  </conditionalFormatting>
  <conditionalFormatting sqref="J12:Y14 J36:Y36 J41:Y41 J50:Y50 J55:Y55">
    <cfRule type="cellIs" dxfId="0" priority="13" stopIfTrue="1" operator="notBetween">
      <formula>$G12</formula>
      <formula>$H12</formula>
    </cfRule>
  </conditionalFormatting>
  <conditionalFormatting sqref="J46:Y48">
    <cfRule type="cellIs" dxfId="0" priority="10" stopIfTrue="1" operator="notBetween">
      <formula>$G46</formula>
      <formula>$H46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"/>
  <sheetViews>
    <sheetView topLeftCell="A15" workbookViewId="0">
      <selection activeCell="AJ3" sqref="AJ3:AO3"/>
    </sheetView>
  </sheetViews>
  <sheetFormatPr defaultColWidth="9" defaultRowHeight="14.25"/>
  <cols>
    <col min="1" max="3" width="9.25" customWidth="1"/>
    <col min="4" max="9" width="9.25" style="2" customWidth="1"/>
    <col min="10" max="41" width="9.25" customWidth="1"/>
  </cols>
  <sheetData>
    <row r="1" ht="70.5" customHeight="1" spans="1:4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ht="15" customHeight="1" spans="1:41">
      <c r="A2" s="6" t="s">
        <v>1</v>
      </c>
      <c r="B2" s="7" t="s">
        <v>2</v>
      </c>
      <c r="C2" s="8"/>
      <c r="D2" s="8"/>
      <c r="E2" s="8"/>
      <c r="F2" s="8"/>
      <c r="G2" s="9"/>
      <c r="H2" s="10" t="s">
        <v>3</v>
      </c>
      <c r="I2" s="11"/>
      <c r="J2" s="11"/>
      <c r="K2" s="12"/>
      <c r="L2" s="13"/>
      <c r="M2" s="13"/>
      <c r="N2" s="13"/>
      <c r="O2" s="13"/>
      <c r="P2" s="13"/>
      <c r="Q2" s="13"/>
      <c r="R2" s="13"/>
      <c r="S2" s="14" t="s">
        <v>4</v>
      </c>
      <c r="T2" s="15"/>
      <c r="U2" s="15"/>
      <c r="V2" s="15"/>
      <c r="W2" s="15"/>
      <c r="X2" s="16"/>
      <c r="Y2" s="17" t="s">
        <v>5</v>
      </c>
      <c r="Z2" s="18"/>
      <c r="AA2" s="18"/>
      <c r="AB2" s="18"/>
      <c r="AC2" s="18"/>
      <c r="AD2" s="19"/>
      <c r="AE2" s="17" t="s">
        <v>6</v>
      </c>
      <c r="AF2" s="18"/>
      <c r="AG2" s="18"/>
      <c r="AH2" s="18"/>
      <c r="AI2" s="19"/>
      <c r="AJ2" s="20" t="s">
        <v>7</v>
      </c>
      <c r="AK2" s="21"/>
      <c r="AL2" s="21"/>
      <c r="AM2" s="22"/>
      <c r="AN2" s="20" t="s">
        <v>8</v>
      </c>
      <c r="AO2" s="22"/>
    </row>
    <row r="3" ht="15" customHeight="1" spans="1:41">
      <c r="A3" s="6"/>
      <c r="B3" s="23"/>
      <c r="C3" s="24"/>
      <c r="D3" s="24"/>
      <c r="E3" s="24"/>
      <c r="F3" s="24"/>
      <c r="G3" s="25"/>
      <c r="H3" s="26"/>
      <c r="I3" s="27"/>
      <c r="J3" s="27"/>
      <c r="K3" s="28"/>
      <c r="L3" s="13"/>
      <c r="M3" s="13"/>
      <c r="N3" s="13"/>
      <c r="O3" s="13"/>
      <c r="P3" s="13"/>
      <c r="Q3" s="13"/>
      <c r="R3" s="13"/>
      <c r="S3" s="29" t="s">
        <v>9</v>
      </c>
      <c r="T3" s="30"/>
      <c r="U3" s="30"/>
      <c r="V3" s="30"/>
      <c r="W3" s="30"/>
      <c r="X3" s="31"/>
      <c r="Y3" s="29" t="s">
        <v>10</v>
      </c>
      <c r="Z3" s="30"/>
      <c r="AA3" s="30"/>
      <c r="AB3" s="30"/>
      <c r="AC3" s="30"/>
      <c r="AD3" s="31"/>
      <c r="AE3" s="32" t="s">
        <v>11</v>
      </c>
      <c r="AF3" s="33"/>
      <c r="AG3" s="33"/>
      <c r="AH3" s="33"/>
      <c r="AI3" s="34"/>
      <c r="AJ3" s="32" t="s">
        <v>63</v>
      </c>
      <c r="AK3" s="33"/>
      <c r="AL3" s="33"/>
      <c r="AM3" s="34"/>
      <c r="AN3" s="32" t="s">
        <v>64</v>
      </c>
      <c r="AO3" s="34"/>
    </row>
    <row r="4" customHeight="1" spans="1:41">
      <c r="A4" s="35" t="s">
        <v>14</v>
      </c>
      <c r="B4" s="35" t="s">
        <v>15</v>
      </c>
      <c r="C4" s="35" t="s">
        <v>16</v>
      </c>
      <c r="D4" s="35" t="s">
        <v>17</v>
      </c>
      <c r="E4" s="35" t="s">
        <v>18</v>
      </c>
      <c r="F4" s="35" t="s">
        <v>19</v>
      </c>
      <c r="G4" s="35" t="s">
        <v>20</v>
      </c>
      <c r="H4" s="35" t="s">
        <v>21</v>
      </c>
      <c r="I4" s="35" t="s">
        <v>22</v>
      </c>
      <c r="J4" s="36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2"/>
      <c r="C5" s="42"/>
      <c r="D5" s="42"/>
      <c r="E5" s="42"/>
      <c r="F5" s="42"/>
      <c r="G5" s="42"/>
      <c r="H5" s="42"/>
      <c r="I5" s="42"/>
      <c r="J5" s="36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  <c r="Z5" s="39" t="s">
        <v>26</v>
      </c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</row>
    <row r="6" customHeight="1" spans="1:41">
      <c r="A6" s="43"/>
      <c r="B6" s="43"/>
      <c r="C6" s="43"/>
      <c r="D6" s="43"/>
      <c r="E6" s="43"/>
      <c r="F6" s="43"/>
      <c r="G6" s="43"/>
      <c r="H6" s="43"/>
      <c r="I6" s="43"/>
      <c r="J6" s="44" t="s">
        <v>75</v>
      </c>
      <c r="K6" s="45"/>
      <c r="L6" s="45"/>
      <c r="M6" s="45"/>
      <c r="N6" s="45"/>
      <c r="O6" s="46"/>
      <c r="P6" s="47" t="s">
        <v>76</v>
      </c>
      <c r="Q6" s="48"/>
      <c r="R6" s="48"/>
      <c r="S6" s="48"/>
      <c r="T6" s="48"/>
      <c r="U6" s="49"/>
      <c r="V6" s="50"/>
      <c r="W6" s="50"/>
      <c r="X6" s="50"/>
      <c r="Y6" s="50"/>
      <c r="Z6" s="51" t="str">
        <f>J6</f>
        <v>cav15</v>
      </c>
      <c r="AA6" s="52"/>
      <c r="AB6" s="52"/>
      <c r="AC6" s="52"/>
      <c r="AD6" s="52"/>
      <c r="AE6" s="53"/>
      <c r="AF6" s="54" t="str">
        <f>P6</f>
        <v>cav16</v>
      </c>
      <c r="AG6" s="55"/>
      <c r="AH6" s="55"/>
      <c r="AI6" s="55"/>
      <c r="AJ6" s="55"/>
      <c r="AK6" s="56"/>
      <c r="AL6" s="57">
        <f t="shared" ref="AL6:AO6" si="0">V6</f>
        <v>0</v>
      </c>
      <c r="AM6" s="57">
        <f t="shared" si="0"/>
        <v>0</v>
      </c>
      <c r="AN6" s="57">
        <f t="shared" si="0"/>
        <v>0</v>
      </c>
      <c r="AO6" s="57">
        <f t="shared" si="0"/>
        <v>0</v>
      </c>
    </row>
    <row r="7" customHeight="1" spans="1:41">
      <c r="A7" s="43"/>
      <c r="B7" s="43"/>
      <c r="C7" s="43"/>
      <c r="D7" s="43"/>
      <c r="E7" s="43"/>
      <c r="F7" s="43"/>
      <c r="G7" s="43"/>
      <c r="H7" s="43"/>
      <c r="I7" s="43"/>
      <c r="J7" s="50">
        <v>1</v>
      </c>
      <c r="K7" s="50">
        <v>2</v>
      </c>
      <c r="L7" s="50">
        <v>3</v>
      </c>
      <c r="M7" s="50">
        <v>4</v>
      </c>
      <c r="N7" s="50">
        <v>5</v>
      </c>
      <c r="O7" s="50">
        <v>6</v>
      </c>
      <c r="P7" s="50">
        <v>1</v>
      </c>
      <c r="Q7" s="50">
        <v>2</v>
      </c>
      <c r="R7" s="50">
        <v>3</v>
      </c>
      <c r="S7" s="50">
        <v>4</v>
      </c>
      <c r="T7" s="50">
        <v>5</v>
      </c>
      <c r="U7" s="50">
        <v>6</v>
      </c>
      <c r="V7" s="50"/>
      <c r="W7" s="50"/>
      <c r="X7" s="50"/>
      <c r="Y7" s="50"/>
      <c r="Z7" s="57">
        <f t="shared" ref="Z7:AO7" si="1">J7</f>
        <v>1</v>
      </c>
      <c r="AA7" s="57">
        <f t="shared" si="1"/>
        <v>2</v>
      </c>
      <c r="AB7" s="57">
        <f t="shared" si="1"/>
        <v>3</v>
      </c>
      <c r="AC7" s="57">
        <f t="shared" si="1"/>
        <v>4</v>
      </c>
      <c r="AD7" s="57">
        <f t="shared" si="1"/>
        <v>5</v>
      </c>
      <c r="AE7" s="57">
        <f t="shared" si="1"/>
        <v>6</v>
      </c>
      <c r="AF7" s="57">
        <f t="shared" si="1"/>
        <v>1</v>
      </c>
      <c r="AG7" s="57">
        <f t="shared" si="1"/>
        <v>2</v>
      </c>
      <c r="AH7" s="57">
        <f t="shared" si="1"/>
        <v>3</v>
      </c>
      <c r="AI7" s="57">
        <f t="shared" si="1"/>
        <v>4</v>
      </c>
      <c r="AJ7" s="57">
        <f t="shared" si="1"/>
        <v>5</v>
      </c>
      <c r="AK7" s="57">
        <f t="shared" si="1"/>
        <v>6</v>
      </c>
      <c r="AL7" s="57">
        <f t="shared" si="1"/>
        <v>0</v>
      </c>
      <c r="AM7" s="57">
        <f t="shared" si="1"/>
        <v>0</v>
      </c>
      <c r="AN7" s="57">
        <f t="shared" si="1"/>
        <v>0</v>
      </c>
      <c r="AO7" s="57">
        <f t="shared" si="1"/>
        <v>0</v>
      </c>
    </row>
    <row r="8" spans="1:41">
      <c r="A8" s="58">
        <v>46201</v>
      </c>
      <c r="B8" s="59" t="s">
        <v>30</v>
      </c>
      <c r="C8" s="60"/>
      <c r="D8" s="60">
        <v>0.995</v>
      </c>
      <c r="E8" s="60">
        <v>0.03</v>
      </c>
      <c r="F8" s="60">
        <v>-0.03</v>
      </c>
      <c r="G8" s="60">
        <f t="shared" ref="G8:G14" si="2">D8+E8</f>
        <v>1.025</v>
      </c>
      <c r="H8" s="60">
        <f t="shared" ref="H8:H14" si="3">D8+F8</f>
        <v>0.965</v>
      </c>
      <c r="I8" s="60" t="s">
        <v>31</v>
      </c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2" t="str">
        <f t="shared" ref="Z8:AO8" si="4">IF(J8="","",IF(J8&gt;($D8+$E8),(J8-$D8-$E8),IF(J8&lt;($D8+$F8),(J8-$D8-$F8),"√")))</f>
        <v/>
      </c>
      <c r="AA8" s="62" t="str">
        <f t="shared" si="4"/>
        <v/>
      </c>
      <c r="AB8" s="62" t="str">
        <f t="shared" si="4"/>
        <v/>
      </c>
      <c r="AC8" s="62" t="str">
        <f t="shared" si="4"/>
        <v/>
      </c>
      <c r="AD8" s="62" t="str">
        <f t="shared" si="4"/>
        <v/>
      </c>
      <c r="AE8" s="62" t="str">
        <f t="shared" si="4"/>
        <v/>
      </c>
      <c r="AF8" s="62" t="str">
        <f t="shared" si="4"/>
        <v/>
      </c>
      <c r="AG8" s="62" t="str">
        <f t="shared" si="4"/>
        <v/>
      </c>
      <c r="AH8" s="62" t="str">
        <f t="shared" si="4"/>
        <v/>
      </c>
      <c r="AI8" s="62" t="str">
        <f t="shared" si="4"/>
        <v/>
      </c>
      <c r="AJ8" s="62" t="str">
        <f t="shared" si="4"/>
        <v/>
      </c>
      <c r="AK8" s="62" t="str">
        <f t="shared" si="4"/>
        <v/>
      </c>
      <c r="AL8" s="62" t="str">
        <f t="shared" si="4"/>
        <v/>
      </c>
      <c r="AM8" s="62" t="str">
        <f t="shared" si="4"/>
        <v/>
      </c>
      <c r="AN8" s="62" t="str">
        <f t="shared" si="4"/>
        <v/>
      </c>
      <c r="AO8" s="62" t="str">
        <f t="shared" si="4"/>
        <v/>
      </c>
    </row>
    <row r="9" spans="1:41">
      <c r="A9" s="63"/>
      <c r="B9" s="59" t="s">
        <v>32</v>
      </c>
      <c r="C9" s="60"/>
      <c r="D9" s="60">
        <v>0</v>
      </c>
      <c r="E9" s="60">
        <v>0.08</v>
      </c>
      <c r="F9" s="60">
        <v>0</v>
      </c>
      <c r="G9" s="60">
        <f t="shared" si="2"/>
        <v>0.08</v>
      </c>
      <c r="H9" s="60">
        <f t="shared" si="3"/>
        <v>0</v>
      </c>
      <c r="I9" s="60" t="s">
        <v>31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2" t="str">
        <f t="shared" ref="Z9:AO9" si="5">IF(J9="","",IF(J9&gt;($D9+$E9),(J9-$D9-$E9),IF(J9&lt;($D9+$F9),(J9-$D9-$F9),"√")))</f>
        <v/>
      </c>
      <c r="AA9" s="62" t="str">
        <f t="shared" si="5"/>
        <v/>
      </c>
      <c r="AB9" s="62" t="str">
        <f t="shared" si="5"/>
        <v/>
      </c>
      <c r="AC9" s="62" t="str">
        <f t="shared" si="5"/>
        <v/>
      </c>
      <c r="AD9" s="62" t="str">
        <f t="shared" si="5"/>
        <v/>
      </c>
      <c r="AE9" s="62" t="str">
        <f t="shared" si="5"/>
        <v/>
      </c>
      <c r="AF9" s="62" t="str">
        <f t="shared" si="5"/>
        <v/>
      </c>
      <c r="AG9" s="62" t="str">
        <f t="shared" si="5"/>
        <v/>
      </c>
      <c r="AH9" s="62" t="str">
        <f t="shared" si="5"/>
        <v/>
      </c>
      <c r="AI9" s="62" t="str">
        <f t="shared" si="5"/>
        <v/>
      </c>
      <c r="AJ9" s="62" t="str">
        <f t="shared" si="5"/>
        <v/>
      </c>
      <c r="AK9" s="62" t="str">
        <f t="shared" si="5"/>
        <v/>
      </c>
      <c r="AL9" s="62" t="str">
        <f t="shared" si="5"/>
        <v/>
      </c>
      <c r="AM9" s="62" t="str">
        <f t="shared" si="5"/>
        <v/>
      </c>
      <c r="AN9" s="62" t="str">
        <f t="shared" si="5"/>
        <v/>
      </c>
      <c r="AO9" s="62" t="str">
        <f t="shared" si="5"/>
        <v/>
      </c>
    </row>
    <row r="10" spans="1:41">
      <c r="A10" s="63"/>
      <c r="B10" s="59" t="s">
        <v>33</v>
      </c>
      <c r="C10" s="60"/>
      <c r="D10" s="60"/>
      <c r="E10" s="60"/>
      <c r="F10" s="60"/>
      <c r="G10" s="60"/>
      <c r="H10" s="60"/>
      <c r="I10" s="60" t="s">
        <v>31</v>
      </c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>
      <c r="A11" s="63"/>
      <c r="B11" s="59" t="s">
        <v>34</v>
      </c>
      <c r="C11" s="60"/>
      <c r="D11" s="60"/>
      <c r="E11" s="60"/>
      <c r="F11" s="60"/>
      <c r="G11" s="60"/>
      <c r="H11" s="60"/>
      <c r="I11" s="60" t="s">
        <v>31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>
      <c r="A12" s="63"/>
      <c r="B12" s="59" t="s">
        <v>35</v>
      </c>
      <c r="C12" s="60"/>
      <c r="D12" s="60">
        <v>0.35</v>
      </c>
      <c r="E12" s="60">
        <v>0.03</v>
      </c>
      <c r="F12" s="60">
        <v>-0.03</v>
      </c>
      <c r="G12" s="60">
        <f t="shared" si="2"/>
        <v>0.38</v>
      </c>
      <c r="H12" s="60">
        <f t="shared" si="3"/>
        <v>0.32</v>
      </c>
      <c r="I12" s="60" t="s">
        <v>31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2" t="str">
        <f t="shared" ref="Z12:AO12" si="6">IF(J12="","",IF(J12&gt;($D12+$E12),(J12-$D12-$E12),IF(J12&lt;($D12+$F12),(J12-$D12-$F12),"√")))</f>
        <v/>
      </c>
      <c r="AA12" s="62" t="str">
        <f t="shared" si="6"/>
        <v/>
      </c>
      <c r="AB12" s="62" t="str">
        <f t="shared" si="6"/>
        <v/>
      </c>
      <c r="AC12" s="62" t="str">
        <f t="shared" si="6"/>
        <v/>
      </c>
      <c r="AD12" s="62" t="str">
        <f t="shared" si="6"/>
        <v/>
      </c>
      <c r="AE12" s="62" t="str">
        <f t="shared" si="6"/>
        <v/>
      </c>
      <c r="AF12" s="62" t="str">
        <f t="shared" si="6"/>
        <v/>
      </c>
      <c r="AG12" s="62" t="str">
        <f t="shared" si="6"/>
        <v/>
      </c>
      <c r="AH12" s="62" t="str">
        <f t="shared" si="6"/>
        <v/>
      </c>
      <c r="AI12" s="62" t="str">
        <f t="shared" si="6"/>
        <v/>
      </c>
      <c r="AJ12" s="62" t="str">
        <f t="shared" si="6"/>
        <v/>
      </c>
      <c r="AK12" s="62" t="str">
        <f t="shared" si="6"/>
        <v/>
      </c>
      <c r="AL12" s="62" t="str">
        <f t="shared" si="6"/>
        <v/>
      </c>
      <c r="AM12" s="62" t="str">
        <f t="shared" si="6"/>
        <v/>
      </c>
      <c r="AN12" s="62" t="str">
        <f t="shared" si="6"/>
        <v/>
      </c>
      <c r="AO12" s="62" t="str">
        <f t="shared" si="6"/>
        <v/>
      </c>
    </row>
    <row r="13" spans="1:41">
      <c r="A13" s="63"/>
      <c r="B13" s="59" t="s">
        <v>36</v>
      </c>
      <c r="C13" s="60"/>
      <c r="D13" s="60">
        <v>0.35</v>
      </c>
      <c r="E13" s="60">
        <v>0.03</v>
      </c>
      <c r="F13" s="60">
        <v>-0.03</v>
      </c>
      <c r="G13" s="60">
        <f t="shared" si="2"/>
        <v>0.38</v>
      </c>
      <c r="H13" s="60">
        <f t="shared" si="3"/>
        <v>0.32</v>
      </c>
      <c r="I13" s="60" t="s">
        <v>31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2" t="str">
        <f t="shared" ref="Z13:AO13" si="7">IF(J13="","",IF(J13&gt;($D13+$E13),(J13-$D13-$E13),IF(J13&lt;($D13+$F13),(J13-$D13-$F13),"√")))</f>
        <v/>
      </c>
      <c r="AA13" s="62" t="str">
        <f t="shared" si="7"/>
        <v/>
      </c>
      <c r="AB13" s="62" t="str">
        <f t="shared" si="7"/>
        <v/>
      </c>
      <c r="AC13" s="62" t="str">
        <f t="shared" si="7"/>
        <v/>
      </c>
      <c r="AD13" s="62" t="str">
        <f t="shared" si="7"/>
        <v/>
      </c>
      <c r="AE13" s="62" t="str">
        <f t="shared" si="7"/>
        <v/>
      </c>
      <c r="AF13" s="62" t="str">
        <f t="shared" si="7"/>
        <v/>
      </c>
      <c r="AG13" s="62" t="str">
        <f t="shared" si="7"/>
        <v/>
      </c>
      <c r="AH13" s="62" t="str">
        <f t="shared" si="7"/>
        <v/>
      </c>
      <c r="AI13" s="62" t="str">
        <f t="shared" si="7"/>
        <v/>
      </c>
      <c r="AJ13" s="62" t="str">
        <f t="shared" si="7"/>
        <v/>
      </c>
      <c r="AK13" s="62" t="str">
        <f t="shared" si="7"/>
        <v/>
      </c>
      <c r="AL13" s="62" t="str">
        <f t="shared" si="7"/>
        <v/>
      </c>
      <c r="AM13" s="62" t="str">
        <f t="shared" si="7"/>
        <v/>
      </c>
      <c r="AN13" s="62" t="str">
        <f t="shared" si="7"/>
        <v/>
      </c>
      <c r="AO13" s="62" t="str">
        <f t="shared" si="7"/>
        <v/>
      </c>
    </row>
    <row r="14" spans="1:41">
      <c r="A14" s="63"/>
      <c r="B14" s="59" t="s">
        <v>37</v>
      </c>
      <c r="C14" s="60" t="s">
        <v>38</v>
      </c>
      <c r="D14" s="60">
        <v>0</v>
      </c>
      <c r="E14" s="60">
        <v>0.06</v>
      </c>
      <c r="F14" s="60">
        <v>0</v>
      </c>
      <c r="G14" s="60">
        <f t="shared" si="2"/>
        <v>0.06</v>
      </c>
      <c r="H14" s="60">
        <f t="shared" si="3"/>
        <v>0</v>
      </c>
      <c r="I14" s="60" t="s">
        <v>31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2" t="str">
        <f t="shared" ref="Z14:AO14" si="8">IF(J14="","",IF(J14&gt;($D14+$E14),(J14-$D14-$E14),IF(J14&lt;($D14+$F14),(J14-$D14-$F14),"√")))</f>
        <v/>
      </c>
      <c r="AA14" s="62" t="str">
        <f t="shared" si="8"/>
        <v/>
      </c>
      <c r="AB14" s="62" t="str">
        <f t="shared" si="8"/>
        <v/>
      </c>
      <c r="AC14" s="62" t="str">
        <f t="shared" si="8"/>
        <v/>
      </c>
      <c r="AD14" s="62" t="str">
        <f t="shared" si="8"/>
        <v/>
      </c>
      <c r="AE14" s="62" t="str">
        <f t="shared" si="8"/>
        <v/>
      </c>
      <c r="AF14" s="62" t="str">
        <f t="shared" si="8"/>
        <v/>
      </c>
      <c r="AG14" s="62" t="str">
        <f t="shared" si="8"/>
        <v/>
      </c>
      <c r="AH14" s="62" t="str">
        <f t="shared" si="8"/>
        <v/>
      </c>
      <c r="AI14" s="62" t="str">
        <f t="shared" si="8"/>
        <v/>
      </c>
      <c r="AJ14" s="62" t="str">
        <f t="shared" si="8"/>
        <v/>
      </c>
      <c r="AK14" s="62" t="str">
        <f t="shared" si="8"/>
        <v/>
      </c>
      <c r="AL14" s="62" t="str">
        <f t="shared" si="8"/>
        <v/>
      </c>
      <c r="AM14" s="62" t="str">
        <f t="shared" si="8"/>
        <v/>
      </c>
      <c r="AN14" s="62" t="str">
        <f t="shared" si="8"/>
        <v/>
      </c>
      <c r="AO14" s="62" t="str">
        <f t="shared" si="8"/>
        <v/>
      </c>
    </row>
    <row r="15" spans="1:41">
      <c r="A15" s="63"/>
      <c r="B15" s="59">
        <v>1</v>
      </c>
      <c r="C15" s="60"/>
      <c r="D15" s="60"/>
      <c r="E15" s="60"/>
      <c r="F15" s="60"/>
      <c r="G15" s="60"/>
      <c r="H15" s="60"/>
      <c r="I15" s="60" t="s">
        <v>31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>
      <c r="A16" s="63"/>
      <c r="B16" s="59">
        <v>2</v>
      </c>
      <c r="C16" s="60"/>
      <c r="D16" s="60"/>
      <c r="E16" s="60"/>
      <c r="F16" s="60"/>
      <c r="G16" s="60"/>
      <c r="H16" s="60"/>
      <c r="I16" s="60" t="s">
        <v>31</v>
      </c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>
      <c r="A17" s="63"/>
      <c r="B17" s="59">
        <v>3</v>
      </c>
      <c r="C17" s="60"/>
      <c r="D17" s="60"/>
      <c r="E17" s="60"/>
      <c r="F17" s="60"/>
      <c r="G17" s="60"/>
      <c r="H17" s="60"/>
      <c r="I17" s="60" t="s">
        <v>31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>
      <c r="A18" s="63"/>
      <c r="B18" s="59">
        <v>4</v>
      </c>
      <c r="C18" s="60"/>
      <c r="D18" s="60"/>
      <c r="E18" s="60"/>
      <c r="F18" s="60"/>
      <c r="G18" s="60"/>
      <c r="H18" s="60"/>
      <c r="I18" s="60" t="s">
        <v>31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>
      <c r="A19" s="63"/>
      <c r="B19" s="59">
        <v>5</v>
      </c>
      <c r="C19" s="60"/>
      <c r="D19" s="60"/>
      <c r="E19" s="60"/>
      <c r="F19" s="60"/>
      <c r="G19" s="60"/>
      <c r="H19" s="60"/>
      <c r="I19" s="60" t="s">
        <v>31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>
      <c r="A20" s="63"/>
      <c r="B20" s="59">
        <v>6</v>
      </c>
      <c r="C20" s="60"/>
      <c r="D20" s="60"/>
      <c r="E20" s="60"/>
      <c r="F20" s="60"/>
      <c r="G20" s="60"/>
      <c r="H20" s="60"/>
      <c r="I20" s="60" t="s">
        <v>31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>
      <c r="A21" s="63"/>
      <c r="B21" s="59">
        <v>7</v>
      </c>
      <c r="C21" s="60"/>
      <c r="D21" s="60"/>
      <c r="E21" s="60"/>
      <c r="F21" s="60"/>
      <c r="G21" s="60"/>
      <c r="H21" s="60"/>
      <c r="I21" s="60" t="s">
        <v>31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>
      <c r="A22" s="63"/>
      <c r="B22" s="59">
        <v>8</v>
      </c>
      <c r="C22" s="60"/>
      <c r="D22" s="60"/>
      <c r="E22" s="60"/>
      <c r="F22" s="60"/>
      <c r="G22" s="60"/>
      <c r="H22" s="60"/>
      <c r="I22" s="60" t="s">
        <v>31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>
      <c r="A23" s="63"/>
      <c r="B23" s="59">
        <v>9</v>
      </c>
      <c r="C23" s="60"/>
      <c r="D23" s="60"/>
      <c r="E23" s="60"/>
      <c r="F23" s="60"/>
      <c r="G23" s="60"/>
      <c r="H23" s="60"/>
      <c r="I23" s="60" t="s">
        <v>31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>
      <c r="A24" s="63"/>
      <c r="B24" s="59">
        <v>10</v>
      </c>
      <c r="C24" s="60"/>
      <c r="D24" s="60"/>
      <c r="E24" s="60"/>
      <c r="F24" s="60"/>
      <c r="G24" s="60"/>
      <c r="H24" s="60"/>
      <c r="I24" s="60" t="s">
        <v>31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>
      <c r="A25" s="63"/>
      <c r="B25" s="59">
        <v>11</v>
      </c>
      <c r="C25" s="60"/>
      <c r="D25" s="60"/>
      <c r="E25" s="60"/>
      <c r="F25" s="60"/>
      <c r="G25" s="60"/>
      <c r="H25" s="60"/>
      <c r="I25" s="60" t="s">
        <v>31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>
      <c r="A26" s="63"/>
      <c r="B26" s="59">
        <v>12</v>
      </c>
      <c r="C26" s="60"/>
      <c r="D26" s="60"/>
      <c r="E26" s="60"/>
      <c r="F26" s="60"/>
      <c r="G26" s="60"/>
      <c r="H26" s="60"/>
      <c r="I26" s="60" t="s">
        <v>31</v>
      </c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>
      <c r="A27" s="63"/>
      <c r="B27" s="59">
        <v>13</v>
      </c>
      <c r="C27" s="60"/>
      <c r="D27" s="60"/>
      <c r="E27" s="60"/>
      <c r="F27" s="60"/>
      <c r="G27" s="60"/>
      <c r="H27" s="60"/>
      <c r="I27" s="60" t="s">
        <v>31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>
      <c r="A28" s="63"/>
      <c r="B28" s="59">
        <v>14</v>
      </c>
      <c r="C28" s="60"/>
      <c r="D28" s="60"/>
      <c r="E28" s="60"/>
      <c r="F28" s="60"/>
      <c r="G28" s="60"/>
      <c r="H28" s="60"/>
      <c r="I28" s="60" t="s">
        <v>31</v>
      </c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>
      <c r="A29" s="63"/>
      <c r="B29" s="59">
        <v>15</v>
      </c>
      <c r="C29" s="60"/>
      <c r="D29" s="60"/>
      <c r="E29" s="60"/>
      <c r="F29" s="60"/>
      <c r="G29" s="60"/>
      <c r="H29" s="60"/>
      <c r="I29" s="60" t="s">
        <v>31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>
      <c r="A30" s="63"/>
      <c r="B30" s="59">
        <v>16</v>
      </c>
      <c r="C30" s="60"/>
      <c r="D30" s="60"/>
      <c r="E30" s="60"/>
      <c r="F30" s="60"/>
      <c r="G30" s="60"/>
      <c r="H30" s="60"/>
      <c r="I30" s="60" t="s">
        <v>31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>
      <c r="A31" s="63"/>
      <c r="B31" s="59">
        <v>17</v>
      </c>
      <c r="C31" s="60"/>
      <c r="D31" s="60"/>
      <c r="E31" s="60"/>
      <c r="F31" s="60"/>
      <c r="G31" s="60"/>
      <c r="H31" s="60"/>
      <c r="I31" s="60" t="s">
        <v>31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>
      <c r="A32" s="63"/>
      <c r="B32" s="59">
        <v>18</v>
      </c>
      <c r="C32" s="60"/>
      <c r="D32" s="60"/>
      <c r="E32" s="60"/>
      <c r="F32" s="60"/>
      <c r="G32" s="60"/>
      <c r="H32" s="60"/>
      <c r="I32" s="60" t="s">
        <v>31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>
      <c r="A33" s="63"/>
      <c r="B33" s="59">
        <v>19</v>
      </c>
      <c r="C33" s="60"/>
      <c r="D33" s="60"/>
      <c r="E33" s="60"/>
      <c r="F33" s="60"/>
      <c r="G33" s="60"/>
      <c r="H33" s="60"/>
      <c r="I33" s="60" t="s">
        <v>31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>
      <c r="A34" s="63"/>
      <c r="B34" s="59">
        <v>20</v>
      </c>
      <c r="C34" s="60"/>
      <c r="D34" s="60"/>
      <c r="E34" s="60"/>
      <c r="F34" s="60"/>
      <c r="G34" s="60"/>
      <c r="H34" s="60"/>
      <c r="I34" s="60" t="s">
        <v>31</v>
      </c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>
      <c r="A35" s="63"/>
      <c r="B35" s="59">
        <v>21</v>
      </c>
      <c r="C35" s="60"/>
      <c r="D35" s="60"/>
      <c r="E35" s="60"/>
      <c r="F35" s="60"/>
      <c r="G35" s="60"/>
      <c r="H35" s="60"/>
      <c r="I35" s="60" t="s">
        <v>31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>
      <c r="A36" s="63"/>
      <c r="B36" s="59" t="s">
        <v>39</v>
      </c>
      <c r="C36" s="60" t="s">
        <v>40</v>
      </c>
      <c r="D36" s="60">
        <v>0</v>
      </c>
      <c r="E36" s="60">
        <v>0.04</v>
      </c>
      <c r="F36" s="60">
        <v>0</v>
      </c>
      <c r="G36" s="60">
        <f>D36+E36</f>
        <v>0.04</v>
      </c>
      <c r="H36" s="60">
        <f>D36+F36</f>
        <v>0</v>
      </c>
      <c r="I36" s="60" t="s">
        <v>31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2" t="str">
        <f t="shared" ref="Z36:AO36" si="9">IF(J36="","",IF(J36&gt;($D36+$E36),(J36-$D36-$E36),IF(J36&lt;($D36+$F36),(J36-$D36-$F36),"√")))</f>
        <v/>
      </c>
      <c r="AA36" s="62" t="str">
        <f t="shared" si="9"/>
        <v/>
      </c>
      <c r="AB36" s="62" t="str">
        <f t="shared" si="9"/>
        <v/>
      </c>
      <c r="AC36" s="62" t="str">
        <f t="shared" si="9"/>
        <v/>
      </c>
      <c r="AD36" s="62" t="str">
        <f t="shared" si="9"/>
        <v/>
      </c>
      <c r="AE36" s="62" t="str">
        <f t="shared" si="9"/>
        <v/>
      </c>
      <c r="AF36" s="62" t="str">
        <f t="shared" si="9"/>
        <v/>
      </c>
      <c r="AG36" s="62" t="str">
        <f t="shared" si="9"/>
        <v/>
      </c>
      <c r="AH36" s="62" t="str">
        <f t="shared" si="9"/>
        <v/>
      </c>
      <c r="AI36" s="62" t="str">
        <f t="shared" si="9"/>
        <v/>
      </c>
      <c r="AJ36" s="62" t="str">
        <f t="shared" si="9"/>
        <v/>
      </c>
      <c r="AK36" s="62" t="str">
        <f t="shared" si="9"/>
        <v/>
      </c>
      <c r="AL36" s="62" t="str">
        <f t="shared" si="9"/>
        <v/>
      </c>
      <c r="AM36" s="62" t="str">
        <f t="shared" si="9"/>
        <v/>
      </c>
      <c r="AN36" s="62" t="str">
        <f t="shared" si="9"/>
        <v/>
      </c>
      <c r="AO36" s="62" t="str">
        <f t="shared" si="9"/>
        <v/>
      </c>
    </row>
    <row r="37" spans="1:41">
      <c r="A37" s="63"/>
      <c r="B37" s="59">
        <v>1</v>
      </c>
      <c r="C37" s="60"/>
      <c r="D37" s="60"/>
      <c r="E37" s="60"/>
      <c r="F37" s="60"/>
      <c r="G37" s="60"/>
      <c r="H37" s="60"/>
      <c r="I37" s="60" t="s">
        <v>31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>
      <c r="A38" s="63"/>
      <c r="B38" s="59">
        <v>2</v>
      </c>
      <c r="C38" s="60"/>
      <c r="D38" s="60"/>
      <c r="E38" s="60"/>
      <c r="F38" s="60"/>
      <c r="G38" s="60"/>
      <c r="H38" s="60"/>
      <c r="I38" s="60" t="s">
        <v>31</v>
      </c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>
      <c r="A39" s="63"/>
      <c r="B39" s="59">
        <v>3</v>
      </c>
      <c r="C39" s="60"/>
      <c r="D39" s="60"/>
      <c r="E39" s="60"/>
      <c r="F39" s="60"/>
      <c r="G39" s="60"/>
      <c r="H39" s="60"/>
      <c r="I39" s="60" t="s">
        <v>31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>
      <c r="A40" s="63"/>
      <c r="B40" s="59">
        <v>4</v>
      </c>
      <c r="C40" s="60"/>
      <c r="D40" s="60"/>
      <c r="E40" s="60"/>
      <c r="F40" s="60"/>
      <c r="G40" s="60"/>
      <c r="H40" s="60"/>
      <c r="I40" s="60" t="s">
        <v>31</v>
      </c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>
      <c r="A41" s="63"/>
      <c r="B41" s="59" t="s">
        <v>41</v>
      </c>
      <c r="C41" s="60" t="s">
        <v>40</v>
      </c>
      <c r="D41" s="60">
        <v>0</v>
      </c>
      <c r="E41" s="60">
        <v>0.04</v>
      </c>
      <c r="F41" s="60">
        <v>0</v>
      </c>
      <c r="G41" s="60">
        <f>D41+E41</f>
        <v>0.04</v>
      </c>
      <c r="H41" s="60">
        <f>D41+F41</f>
        <v>0</v>
      </c>
      <c r="I41" s="60" t="s">
        <v>31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2" t="str">
        <f t="shared" ref="Z41:AO41" si="10">IF(J41="","",IF(J41&gt;($D41+$E41),(J41-$D41-$E41),IF(J41&lt;($D41+$F41),(J41-$D41-$F41),"√")))</f>
        <v/>
      </c>
      <c r="AA41" s="62" t="str">
        <f t="shared" si="10"/>
        <v/>
      </c>
      <c r="AB41" s="62" t="str">
        <f t="shared" si="10"/>
        <v/>
      </c>
      <c r="AC41" s="62" t="str">
        <f t="shared" si="10"/>
        <v/>
      </c>
      <c r="AD41" s="62" t="str">
        <f t="shared" si="10"/>
        <v/>
      </c>
      <c r="AE41" s="62" t="str">
        <f t="shared" si="10"/>
        <v/>
      </c>
      <c r="AF41" s="62" t="str">
        <f t="shared" si="10"/>
        <v/>
      </c>
      <c r="AG41" s="62" t="str">
        <f t="shared" si="10"/>
        <v/>
      </c>
      <c r="AH41" s="62" t="str">
        <f t="shared" si="10"/>
        <v/>
      </c>
      <c r="AI41" s="62" t="str">
        <f t="shared" si="10"/>
        <v/>
      </c>
      <c r="AJ41" s="62" t="str">
        <f t="shared" si="10"/>
        <v/>
      </c>
      <c r="AK41" s="62" t="str">
        <f t="shared" si="10"/>
        <v/>
      </c>
      <c r="AL41" s="62" t="str">
        <f t="shared" si="10"/>
        <v/>
      </c>
      <c r="AM41" s="62" t="str">
        <f t="shared" si="10"/>
        <v/>
      </c>
      <c r="AN41" s="62" t="str">
        <f t="shared" si="10"/>
        <v/>
      </c>
      <c r="AO41" s="62" t="str">
        <f t="shared" si="10"/>
        <v/>
      </c>
    </row>
    <row r="42" spans="1:41">
      <c r="A42" s="63"/>
      <c r="B42" s="59">
        <v>1</v>
      </c>
      <c r="C42" s="60"/>
      <c r="D42" s="60"/>
      <c r="E42" s="60"/>
      <c r="F42" s="60"/>
      <c r="G42" s="60"/>
      <c r="H42" s="60"/>
      <c r="I42" s="60" t="s">
        <v>31</v>
      </c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>
      <c r="A43" s="63"/>
      <c r="B43" s="59">
        <v>2</v>
      </c>
      <c r="C43" s="60"/>
      <c r="D43" s="60"/>
      <c r="E43" s="60"/>
      <c r="F43" s="60"/>
      <c r="G43" s="60"/>
      <c r="H43" s="60"/>
      <c r="I43" s="60" t="s">
        <v>31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>
      <c r="A44" s="63"/>
      <c r="B44" s="59">
        <v>3</v>
      </c>
      <c r="C44" s="60"/>
      <c r="D44" s="60"/>
      <c r="E44" s="60"/>
      <c r="F44" s="60"/>
      <c r="G44" s="60"/>
      <c r="H44" s="60"/>
      <c r="I44" s="60" t="s">
        <v>31</v>
      </c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>
      <c r="A45" s="63"/>
      <c r="B45" s="59">
        <v>4</v>
      </c>
      <c r="C45" s="60"/>
      <c r="D45" s="60"/>
      <c r="E45" s="60"/>
      <c r="F45" s="60"/>
      <c r="G45" s="60"/>
      <c r="H45" s="60"/>
      <c r="I45" s="60" t="s">
        <v>31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>
      <c r="A46" s="63"/>
      <c r="B46" s="59" t="s">
        <v>42</v>
      </c>
      <c r="C46" s="60"/>
      <c r="D46" s="60">
        <v>0.7</v>
      </c>
      <c r="E46" s="60">
        <v>0.05</v>
      </c>
      <c r="F46" s="60">
        <v>-0.05</v>
      </c>
      <c r="G46" s="60">
        <f t="shared" ref="G46:G50" si="11">D46+E46</f>
        <v>0.75</v>
      </c>
      <c r="H46" s="60">
        <f t="shared" ref="H46:H50" si="12">D46+F46</f>
        <v>0.65</v>
      </c>
      <c r="I46" s="60" t="s">
        <v>31</v>
      </c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2" t="str">
        <f t="shared" ref="Z46:AO46" si="13">IF(J46="","",IF(J46&gt;($D46+$E46),(J46-$D46-$E46),IF(J46&lt;($D46+$F46),(J46-$D46-$F46),"√")))</f>
        <v/>
      </c>
      <c r="AA46" s="62" t="str">
        <f t="shared" si="13"/>
        <v/>
      </c>
      <c r="AB46" s="62" t="str">
        <f t="shared" si="13"/>
        <v/>
      </c>
      <c r="AC46" s="62" t="str">
        <f t="shared" si="13"/>
        <v/>
      </c>
      <c r="AD46" s="62" t="str">
        <f t="shared" si="13"/>
        <v/>
      </c>
      <c r="AE46" s="62" t="str">
        <f t="shared" si="13"/>
        <v/>
      </c>
      <c r="AF46" s="62" t="str">
        <f t="shared" si="13"/>
        <v/>
      </c>
      <c r="AG46" s="62" t="str">
        <f t="shared" si="13"/>
        <v/>
      </c>
      <c r="AH46" s="62" t="str">
        <f t="shared" si="13"/>
        <v/>
      </c>
      <c r="AI46" s="62" t="str">
        <f t="shared" si="13"/>
        <v/>
      </c>
      <c r="AJ46" s="62" t="str">
        <f t="shared" si="13"/>
        <v/>
      </c>
      <c r="AK46" s="62" t="str">
        <f t="shared" si="13"/>
        <v/>
      </c>
      <c r="AL46" s="62" t="str">
        <f t="shared" si="13"/>
        <v/>
      </c>
      <c r="AM46" s="62" t="str">
        <f t="shared" si="13"/>
        <v/>
      </c>
      <c r="AN46" s="62" t="str">
        <f t="shared" si="13"/>
        <v/>
      </c>
      <c r="AO46" s="62" t="str">
        <f t="shared" si="13"/>
        <v/>
      </c>
    </row>
    <row r="47" spans="1:41">
      <c r="A47" s="63"/>
      <c r="B47" s="59" t="s">
        <v>43</v>
      </c>
      <c r="C47" s="60"/>
      <c r="D47" s="60">
        <v>0.7</v>
      </c>
      <c r="E47" s="60">
        <v>0.05</v>
      </c>
      <c r="F47" s="60">
        <v>-0.05</v>
      </c>
      <c r="G47" s="60">
        <f t="shared" si="11"/>
        <v>0.75</v>
      </c>
      <c r="H47" s="60">
        <f t="shared" si="12"/>
        <v>0.65</v>
      </c>
      <c r="I47" s="60" t="s">
        <v>31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2" t="str">
        <f t="shared" ref="Z47:AO47" si="14">IF(J47="","",IF(J47&gt;($D47+$E47),(J47-$D47-$E47),IF(J47&lt;($D47+$F47),(J47-$D47-$F47),"√")))</f>
        <v/>
      </c>
      <c r="AA47" s="62" t="str">
        <f t="shared" si="14"/>
        <v/>
      </c>
      <c r="AB47" s="62" t="str">
        <f t="shared" si="14"/>
        <v/>
      </c>
      <c r="AC47" s="62" t="str">
        <f t="shared" si="14"/>
        <v/>
      </c>
      <c r="AD47" s="62" t="str">
        <f t="shared" si="14"/>
        <v/>
      </c>
      <c r="AE47" s="62" t="str">
        <f t="shared" si="14"/>
        <v/>
      </c>
      <c r="AF47" s="62" t="str">
        <f t="shared" si="14"/>
        <v/>
      </c>
      <c r="AG47" s="62" t="str">
        <f t="shared" si="14"/>
        <v/>
      </c>
      <c r="AH47" s="62" t="str">
        <f t="shared" si="14"/>
        <v/>
      </c>
      <c r="AI47" s="62" t="str">
        <f t="shared" si="14"/>
        <v/>
      </c>
      <c r="AJ47" s="62" t="str">
        <f t="shared" si="14"/>
        <v/>
      </c>
      <c r="AK47" s="62" t="str">
        <f t="shared" si="14"/>
        <v/>
      </c>
      <c r="AL47" s="62" t="str">
        <f t="shared" si="14"/>
        <v/>
      </c>
      <c r="AM47" s="62" t="str">
        <f t="shared" si="14"/>
        <v/>
      </c>
      <c r="AN47" s="62" t="str">
        <f t="shared" si="14"/>
        <v/>
      </c>
      <c r="AO47" s="62" t="str">
        <f t="shared" si="14"/>
        <v/>
      </c>
    </row>
    <row r="48" spans="1:41">
      <c r="A48" s="63"/>
      <c r="B48" s="59" t="s">
        <v>44</v>
      </c>
      <c r="C48" s="60"/>
      <c r="D48" s="60">
        <v>0.7</v>
      </c>
      <c r="E48" s="60">
        <v>0.05</v>
      </c>
      <c r="F48" s="60">
        <v>-0.05</v>
      </c>
      <c r="G48" s="60">
        <f t="shared" si="11"/>
        <v>0.75</v>
      </c>
      <c r="H48" s="60">
        <f t="shared" si="12"/>
        <v>0.65</v>
      </c>
      <c r="I48" s="60" t="s">
        <v>31</v>
      </c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2" t="str">
        <f t="shared" ref="Z48:AO48" si="15">IF(J48="","",IF(J48&gt;($D48+$E48),(J48-$D48-$E48),IF(J48&lt;($D48+$F48),(J48-$D48-$F48),"√")))</f>
        <v/>
      </c>
      <c r="AA48" s="62" t="str">
        <f t="shared" si="15"/>
        <v/>
      </c>
      <c r="AB48" s="62" t="str">
        <f t="shared" si="15"/>
        <v/>
      </c>
      <c r="AC48" s="62" t="str">
        <f t="shared" si="15"/>
        <v/>
      </c>
      <c r="AD48" s="62" t="str">
        <f t="shared" si="15"/>
        <v/>
      </c>
      <c r="AE48" s="62" t="str">
        <f t="shared" si="15"/>
        <v/>
      </c>
      <c r="AF48" s="62" t="str">
        <f t="shared" si="15"/>
        <v/>
      </c>
      <c r="AG48" s="62" t="str">
        <f t="shared" si="15"/>
        <v/>
      </c>
      <c r="AH48" s="62" t="str">
        <f t="shared" si="15"/>
        <v/>
      </c>
      <c r="AI48" s="62" t="str">
        <f t="shared" si="15"/>
        <v/>
      </c>
      <c r="AJ48" s="62" t="str">
        <f t="shared" si="15"/>
        <v/>
      </c>
      <c r="AK48" s="62" t="str">
        <f t="shared" si="15"/>
        <v/>
      </c>
      <c r="AL48" s="62" t="str">
        <f t="shared" si="15"/>
        <v/>
      </c>
      <c r="AM48" s="62" t="str">
        <f t="shared" si="15"/>
        <v/>
      </c>
      <c r="AN48" s="62" t="str">
        <f t="shared" si="15"/>
        <v/>
      </c>
      <c r="AO48" s="62" t="str">
        <f t="shared" si="15"/>
        <v/>
      </c>
    </row>
    <row r="49" spans="1:41">
      <c r="A49" s="63"/>
      <c r="B49" s="59" t="s">
        <v>45</v>
      </c>
      <c r="C49" s="60"/>
      <c r="D49" s="60">
        <v>0.965</v>
      </c>
      <c r="E49" s="60">
        <v>0.015</v>
      </c>
      <c r="F49" s="60">
        <v>-0.015</v>
      </c>
      <c r="G49" s="60">
        <f t="shared" si="11"/>
        <v>0.98</v>
      </c>
      <c r="H49" s="60">
        <f t="shared" si="12"/>
        <v>0.95</v>
      </c>
      <c r="I49" s="60" t="s">
        <v>31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2" t="str">
        <f t="shared" ref="Z49:AO49" si="16">IF(J49="","",IF(J49&gt;($D49+$E49),(J49-$D49-$E49),IF(J49&lt;($D49+$F49),(J49-$D49-$F49),"√")))</f>
        <v/>
      </c>
      <c r="AA49" s="62" t="str">
        <f t="shared" si="16"/>
        <v/>
      </c>
      <c r="AB49" s="62" t="str">
        <f t="shared" si="16"/>
        <v/>
      </c>
      <c r="AC49" s="62" t="str">
        <f t="shared" si="16"/>
        <v/>
      </c>
      <c r="AD49" s="62" t="str">
        <f t="shared" si="16"/>
        <v/>
      </c>
      <c r="AE49" s="62" t="str">
        <f t="shared" si="16"/>
        <v/>
      </c>
      <c r="AF49" s="62" t="str">
        <f t="shared" si="16"/>
        <v/>
      </c>
      <c r="AG49" s="62" t="str">
        <f t="shared" si="16"/>
        <v/>
      </c>
      <c r="AH49" s="62" t="str">
        <f t="shared" si="16"/>
        <v/>
      </c>
      <c r="AI49" s="62" t="str">
        <f t="shared" si="16"/>
        <v/>
      </c>
      <c r="AJ49" s="62" t="str">
        <f t="shared" si="16"/>
        <v/>
      </c>
      <c r="AK49" s="62" t="str">
        <f t="shared" si="16"/>
        <v/>
      </c>
      <c r="AL49" s="62" t="str">
        <f t="shared" si="16"/>
        <v/>
      </c>
      <c r="AM49" s="62" t="str">
        <f t="shared" si="16"/>
        <v/>
      </c>
      <c r="AN49" s="62" t="str">
        <f t="shared" si="16"/>
        <v/>
      </c>
      <c r="AO49" s="62" t="str">
        <f t="shared" si="16"/>
        <v/>
      </c>
    </row>
    <row r="50" spans="1:41">
      <c r="A50" s="63"/>
      <c r="B50" s="59" t="s">
        <v>46</v>
      </c>
      <c r="C50" s="60" t="s">
        <v>47</v>
      </c>
      <c r="D50" s="60">
        <v>0</v>
      </c>
      <c r="E50" s="60">
        <v>0.03</v>
      </c>
      <c r="F50" s="60">
        <v>0</v>
      </c>
      <c r="G50" s="60">
        <f t="shared" si="11"/>
        <v>0.03</v>
      </c>
      <c r="H50" s="60">
        <f t="shared" si="12"/>
        <v>0</v>
      </c>
      <c r="I50" s="60" t="s">
        <v>31</v>
      </c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2" t="str">
        <f t="shared" ref="Z50:AO50" si="17">IF(J50="","",IF(J50&gt;($D50+$E50),(J50-$D50-$E50),IF(J50&lt;($D50+$F50),(J50-$D50-$F50),"√")))</f>
        <v/>
      </c>
      <c r="AA50" s="62" t="str">
        <f t="shared" si="17"/>
        <v/>
      </c>
      <c r="AB50" s="62" t="str">
        <f t="shared" si="17"/>
        <v/>
      </c>
      <c r="AC50" s="62" t="str">
        <f t="shared" si="17"/>
        <v/>
      </c>
      <c r="AD50" s="62" t="str">
        <f t="shared" si="17"/>
        <v/>
      </c>
      <c r="AE50" s="62" t="str">
        <f t="shared" si="17"/>
        <v/>
      </c>
      <c r="AF50" s="62" t="str">
        <f t="shared" si="17"/>
        <v/>
      </c>
      <c r="AG50" s="62" t="str">
        <f t="shared" si="17"/>
        <v/>
      </c>
      <c r="AH50" s="62" t="str">
        <f t="shared" si="17"/>
        <v/>
      </c>
      <c r="AI50" s="62" t="str">
        <f t="shared" si="17"/>
        <v/>
      </c>
      <c r="AJ50" s="62" t="str">
        <f t="shared" si="17"/>
        <v/>
      </c>
      <c r="AK50" s="62" t="str">
        <f t="shared" si="17"/>
        <v/>
      </c>
      <c r="AL50" s="62" t="str">
        <f t="shared" si="17"/>
        <v/>
      </c>
      <c r="AM50" s="62" t="str">
        <f t="shared" si="17"/>
        <v/>
      </c>
      <c r="AN50" s="62" t="str">
        <f t="shared" si="17"/>
        <v/>
      </c>
      <c r="AO50" s="62" t="str">
        <f t="shared" si="17"/>
        <v/>
      </c>
    </row>
    <row r="51" spans="1:41">
      <c r="A51" s="63"/>
      <c r="B51" s="59">
        <v>1</v>
      </c>
      <c r="C51" s="60"/>
      <c r="D51" s="60"/>
      <c r="E51" s="60"/>
      <c r="F51" s="60"/>
      <c r="G51" s="60"/>
      <c r="H51" s="60"/>
      <c r="I51" s="60" t="s">
        <v>31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>
      <c r="A52" s="63"/>
      <c r="B52" s="59">
        <v>2</v>
      </c>
      <c r="C52" s="60"/>
      <c r="D52" s="60"/>
      <c r="E52" s="60"/>
      <c r="F52" s="60"/>
      <c r="G52" s="60"/>
      <c r="H52" s="60"/>
      <c r="I52" s="60" t="s">
        <v>31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>
      <c r="A53" s="63"/>
      <c r="B53" s="59">
        <v>3</v>
      </c>
      <c r="C53" s="60"/>
      <c r="D53" s="60"/>
      <c r="E53" s="60"/>
      <c r="F53" s="60"/>
      <c r="G53" s="60"/>
      <c r="H53" s="60"/>
      <c r="I53" s="60" t="s">
        <v>31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>
      <c r="A54" s="63"/>
      <c r="B54" s="59">
        <v>4</v>
      </c>
      <c r="C54" s="60"/>
      <c r="D54" s="60"/>
      <c r="E54" s="60"/>
      <c r="F54" s="60"/>
      <c r="G54" s="60"/>
      <c r="H54" s="60"/>
      <c r="I54" s="60" t="s">
        <v>31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>
      <c r="A55" s="63"/>
      <c r="B55" s="59" t="s">
        <v>48</v>
      </c>
      <c r="C55" s="60"/>
      <c r="D55" s="60">
        <v>0</v>
      </c>
      <c r="E55" s="60">
        <v>0.08</v>
      </c>
      <c r="F55" s="60">
        <v>0</v>
      </c>
      <c r="G55" s="60">
        <f>D55+E55</f>
        <v>0.08</v>
      </c>
      <c r="H55" s="60">
        <f>D55+F55</f>
        <v>0</v>
      </c>
      <c r="I55" s="60" t="s">
        <v>31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2" t="str">
        <f t="shared" ref="Z55:AO55" si="18">IF(J55="","",IF(J55&gt;($D55+$E55),(J55-$D55-$E55),IF(J55&lt;($D55+$F55),(J55-$D55-$F55),"√")))</f>
        <v/>
      </c>
      <c r="AA55" s="62" t="str">
        <f t="shared" si="18"/>
        <v/>
      </c>
      <c r="AB55" s="62" t="str">
        <f t="shared" si="18"/>
        <v/>
      </c>
      <c r="AC55" s="62" t="str">
        <f t="shared" si="18"/>
        <v/>
      </c>
      <c r="AD55" s="62" t="str">
        <f t="shared" si="18"/>
        <v/>
      </c>
      <c r="AE55" s="62" t="str">
        <f t="shared" si="18"/>
        <v/>
      </c>
      <c r="AF55" s="62" t="str">
        <f t="shared" si="18"/>
        <v/>
      </c>
      <c r="AG55" s="62" t="str">
        <f t="shared" si="18"/>
        <v/>
      </c>
      <c r="AH55" s="62" t="str">
        <f t="shared" si="18"/>
        <v/>
      </c>
      <c r="AI55" s="62" t="str">
        <f t="shared" si="18"/>
        <v/>
      </c>
      <c r="AJ55" s="62" t="str">
        <f t="shared" si="18"/>
        <v/>
      </c>
      <c r="AK55" s="62" t="str">
        <f t="shared" si="18"/>
        <v/>
      </c>
      <c r="AL55" s="62" t="str">
        <f t="shared" si="18"/>
        <v/>
      </c>
      <c r="AM55" s="62" t="str">
        <f t="shared" si="18"/>
        <v/>
      </c>
      <c r="AN55" s="62" t="str">
        <f t="shared" si="18"/>
        <v/>
      </c>
      <c r="AO55" s="62" t="str">
        <f t="shared" si="18"/>
        <v/>
      </c>
    </row>
    <row r="56" spans="1:41">
      <c r="A56" s="63"/>
      <c r="B56" s="59">
        <v>1</v>
      </c>
      <c r="C56" s="60"/>
      <c r="D56" s="60"/>
      <c r="E56" s="60"/>
      <c r="F56" s="60"/>
      <c r="G56" s="60"/>
      <c r="H56" s="60"/>
      <c r="I56" s="60" t="s">
        <v>31</v>
      </c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>
      <c r="A57" s="63"/>
      <c r="B57" s="59">
        <v>2</v>
      </c>
      <c r="C57" s="60"/>
      <c r="D57" s="60"/>
      <c r="E57" s="60"/>
      <c r="F57" s="60"/>
      <c r="G57" s="60"/>
      <c r="H57" s="60"/>
      <c r="I57" s="60" t="s">
        <v>31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>
      <c r="A58" s="63"/>
      <c r="B58" s="59">
        <v>3</v>
      </c>
      <c r="C58" s="60"/>
      <c r="D58" s="60"/>
      <c r="E58" s="60"/>
      <c r="F58" s="60"/>
      <c r="G58" s="60"/>
      <c r="H58" s="60"/>
      <c r="I58" s="60" t="s">
        <v>31</v>
      </c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>
      <c r="A59" s="63"/>
      <c r="B59" s="59">
        <v>4</v>
      </c>
      <c r="C59" s="60"/>
      <c r="D59" s="60"/>
      <c r="E59" s="60"/>
      <c r="F59" s="60"/>
      <c r="G59" s="60"/>
      <c r="H59" s="60"/>
      <c r="I59" s="60" t="s">
        <v>31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>
      <c r="A60" s="63"/>
      <c r="B60" s="59">
        <v>5</v>
      </c>
      <c r="C60" s="60"/>
      <c r="D60" s="60"/>
      <c r="E60" s="60"/>
      <c r="F60" s="60"/>
      <c r="G60" s="60"/>
      <c r="H60" s="60"/>
      <c r="I60" s="60" t="s">
        <v>31</v>
      </c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>
      <c r="A61" s="63"/>
      <c r="B61" s="59">
        <v>6</v>
      </c>
      <c r="C61" s="60"/>
      <c r="D61" s="60"/>
      <c r="E61" s="60"/>
      <c r="F61" s="60"/>
      <c r="G61" s="60"/>
      <c r="H61" s="60"/>
      <c r="I61" s="60" t="s">
        <v>31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>
      <c r="A62" s="63"/>
      <c r="B62" s="59">
        <v>7</v>
      </c>
      <c r="C62" s="60"/>
      <c r="D62" s="60"/>
      <c r="E62" s="60"/>
      <c r="F62" s="60"/>
      <c r="G62" s="60"/>
      <c r="H62" s="60"/>
      <c r="I62" s="60" t="s">
        <v>31</v>
      </c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>
      <c r="A63" s="63"/>
      <c r="B63" s="59">
        <v>8</v>
      </c>
      <c r="C63" s="60"/>
      <c r="D63" s="60"/>
      <c r="E63" s="60"/>
      <c r="F63" s="60"/>
      <c r="G63" s="60"/>
      <c r="H63" s="60"/>
      <c r="I63" s="60" t="s">
        <v>31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>
      <c r="A64" s="63"/>
      <c r="B64" s="59" t="s">
        <v>49</v>
      </c>
      <c r="C64" s="60"/>
      <c r="D64" s="60">
        <v>2</v>
      </c>
      <c r="E64" s="60">
        <v>0.05</v>
      </c>
      <c r="F64" s="60">
        <v>-0.05</v>
      </c>
      <c r="G64" s="60">
        <f t="shared" ref="G64:G71" si="19">D64+E64</f>
        <v>2.05</v>
      </c>
      <c r="H64" s="60">
        <f t="shared" ref="H64:H71" si="20">D64+F64</f>
        <v>1.95</v>
      </c>
      <c r="I64" s="60" t="s">
        <v>50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2" t="str">
        <f t="shared" ref="Z64:AO64" si="21">IF(J64="","",IF(J64&gt;($D64+$E64),(J64-$D64-$E64),IF(J64&lt;($D64+$F64),(J64-$D64-$F64),"√")))</f>
        <v/>
      </c>
      <c r="AA64" s="62" t="str">
        <f t="shared" si="21"/>
        <v/>
      </c>
      <c r="AB64" s="62" t="str">
        <f t="shared" si="21"/>
        <v/>
      </c>
      <c r="AC64" s="62" t="str">
        <f t="shared" si="21"/>
        <v/>
      </c>
      <c r="AD64" s="62" t="str">
        <f t="shared" si="21"/>
        <v/>
      </c>
      <c r="AE64" s="62" t="str">
        <f t="shared" si="21"/>
        <v/>
      </c>
      <c r="AF64" s="62" t="str">
        <f t="shared" si="21"/>
        <v/>
      </c>
      <c r="AG64" s="62" t="str">
        <f t="shared" si="21"/>
        <v/>
      </c>
      <c r="AH64" s="62" t="str">
        <f t="shared" si="21"/>
        <v/>
      </c>
      <c r="AI64" s="62" t="str">
        <f t="shared" si="21"/>
        <v/>
      </c>
      <c r="AJ64" s="62" t="str">
        <f t="shared" si="21"/>
        <v/>
      </c>
      <c r="AK64" s="62" t="str">
        <f t="shared" si="21"/>
        <v/>
      </c>
      <c r="AL64" s="62" t="str">
        <f t="shared" si="21"/>
        <v/>
      </c>
      <c r="AM64" s="62" t="str">
        <f t="shared" si="21"/>
        <v/>
      </c>
      <c r="AN64" s="62" t="str">
        <f t="shared" si="21"/>
        <v/>
      </c>
      <c r="AO64" s="62" t="str">
        <f t="shared" si="21"/>
        <v/>
      </c>
    </row>
    <row r="65" spans="1:41">
      <c r="A65" s="63"/>
      <c r="B65" s="59" t="s">
        <v>51</v>
      </c>
      <c r="C65" s="60"/>
      <c r="D65" s="60">
        <v>2</v>
      </c>
      <c r="E65" s="60">
        <v>0.05</v>
      </c>
      <c r="F65" s="60">
        <v>-0.05</v>
      </c>
      <c r="G65" s="60">
        <f t="shared" si="19"/>
        <v>2.05</v>
      </c>
      <c r="H65" s="60">
        <f t="shared" si="20"/>
        <v>1.95</v>
      </c>
      <c r="I65" s="60" t="s">
        <v>50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2" t="str">
        <f t="shared" ref="Z65:AO65" si="22">IF(J65="","",IF(J65&gt;($D65+$E65),(J65-$D65-$E65),IF(J65&lt;($D65+$F65),(J65-$D65-$F65),"√")))</f>
        <v/>
      </c>
      <c r="AA65" s="62" t="str">
        <f t="shared" si="22"/>
        <v/>
      </c>
      <c r="AB65" s="62" t="str">
        <f t="shared" si="22"/>
        <v/>
      </c>
      <c r="AC65" s="62" t="str">
        <f t="shared" si="22"/>
        <v/>
      </c>
      <c r="AD65" s="62" t="str">
        <f t="shared" si="22"/>
        <v/>
      </c>
      <c r="AE65" s="62" t="str">
        <f t="shared" si="22"/>
        <v/>
      </c>
      <c r="AF65" s="62" t="str">
        <f t="shared" si="22"/>
        <v/>
      </c>
      <c r="AG65" s="62" t="str">
        <f t="shared" si="22"/>
        <v/>
      </c>
      <c r="AH65" s="62" t="str">
        <f t="shared" si="22"/>
        <v/>
      </c>
      <c r="AI65" s="62" t="str">
        <f t="shared" si="22"/>
        <v/>
      </c>
      <c r="AJ65" s="62" t="str">
        <f t="shared" si="22"/>
        <v/>
      </c>
      <c r="AK65" s="62" t="str">
        <f t="shared" si="22"/>
        <v/>
      </c>
      <c r="AL65" s="62" t="str">
        <f t="shared" si="22"/>
        <v/>
      </c>
      <c r="AM65" s="62" t="str">
        <f t="shared" si="22"/>
        <v/>
      </c>
      <c r="AN65" s="62" t="str">
        <f t="shared" si="22"/>
        <v/>
      </c>
      <c r="AO65" s="62" t="str">
        <f t="shared" si="22"/>
        <v/>
      </c>
    </row>
    <row r="66" spans="1:41">
      <c r="A66" s="63"/>
      <c r="B66" s="59" t="s">
        <v>52</v>
      </c>
      <c r="C66" s="60" t="s">
        <v>53</v>
      </c>
      <c r="D66" s="60">
        <v>0.935</v>
      </c>
      <c r="E66" s="60">
        <v>0.015</v>
      </c>
      <c r="F66" s="60">
        <v>-0.015</v>
      </c>
      <c r="G66" s="60">
        <f t="shared" si="19"/>
        <v>0.95</v>
      </c>
      <c r="H66" s="60">
        <f t="shared" si="20"/>
        <v>0.92</v>
      </c>
      <c r="I66" s="60" t="s">
        <v>54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2" t="str">
        <f t="shared" ref="Z66:AO66" si="23">IF(J66="","",IF(J66&gt;($D66+$E66),(J66-$D66-$E66),IF(J66&lt;($D66+$F66),(J66-$D66-$F66),"√")))</f>
        <v/>
      </c>
      <c r="AA66" s="62" t="str">
        <f t="shared" si="23"/>
        <v/>
      </c>
      <c r="AB66" s="62" t="str">
        <f t="shared" si="23"/>
        <v/>
      </c>
      <c r="AC66" s="62" t="str">
        <f t="shared" si="23"/>
        <v/>
      </c>
      <c r="AD66" s="62" t="str">
        <f t="shared" si="23"/>
        <v/>
      </c>
      <c r="AE66" s="62" t="str">
        <f t="shared" si="23"/>
        <v/>
      </c>
      <c r="AF66" s="62" t="str">
        <f t="shared" si="23"/>
        <v/>
      </c>
      <c r="AG66" s="62" t="str">
        <f t="shared" si="23"/>
        <v/>
      </c>
      <c r="AH66" s="62" t="str">
        <f t="shared" si="23"/>
        <v/>
      </c>
      <c r="AI66" s="62" t="str">
        <f t="shared" si="23"/>
        <v/>
      </c>
      <c r="AJ66" s="62" t="str">
        <f t="shared" si="23"/>
        <v/>
      </c>
      <c r="AK66" s="62" t="str">
        <f t="shared" si="23"/>
        <v/>
      </c>
      <c r="AL66" s="62" t="str">
        <f t="shared" si="23"/>
        <v/>
      </c>
      <c r="AM66" s="62" t="str">
        <f t="shared" si="23"/>
        <v/>
      </c>
      <c r="AN66" s="62" t="str">
        <f t="shared" si="23"/>
        <v/>
      </c>
      <c r="AO66" s="62" t="str">
        <f t="shared" si="23"/>
        <v/>
      </c>
    </row>
    <row r="67" spans="1:41">
      <c r="A67" s="63"/>
      <c r="B67" s="59" t="s">
        <v>55</v>
      </c>
      <c r="C67" s="60"/>
      <c r="D67" s="60">
        <v>2.1</v>
      </c>
      <c r="E67" s="60">
        <v>0.03</v>
      </c>
      <c r="F67" s="60">
        <v>-0.03</v>
      </c>
      <c r="G67" s="60">
        <f t="shared" si="19"/>
        <v>2.13</v>
      </c>
      <c r="H67" s="60">
        <f t="shared" si="20"/>
        <v>2.07</v>
      </c>
      <c r="I67" s="60" t="s">
        <v>50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2" t="str">
        <f t="shared" ref="Z67:AO67" si="24">IF(J67="","",IF(J67&gt;($D67+$E67),(J67-$D67-$E67),IF(J67&lt;($D67+$F67),(J67-$D67-$F67),"√")))</f>
        <v/>
      </c>
      <c r="AA67" s="62" t="str">
        <f t="shared" si="24"/>
        <v/>
      </c>
      <c r="AB67" s="62" t="str">
        <f t="shared" si="24"/>
        <v/>
      </c>
      <c r="AC67" s="62" t="str">
        <f t="shared" si="24"/>
        <v/>
      </c>
      <c r="AD67" s="62" t="str">
        <f t="shared" si="24"/>
        <v/>
      </c>
      <c r="AE67" s="62" t="str">
        <f t="shared" si="24"/>
        <v/>
      </c>
      <c r="AF67" s="62" t="str">
        <f t="shared" si="24"/>
        <v/>
      </c>
      <c r="AG67" s="62" t="str">
        <f t="shared" si="24"/>
        <v/>
      </c>
      <c r="AH67" s="62" t="str">
        <f t="shared" si="24"/>
        <v/>
      </c>
      <c r="AI67" s="62" t="str">
        <f t="shared" si="24"/>
        <v/>
      </c>
      <c r="AJ67" s="62" t="str">
        <f t="shared" si="24"/>
        <v/>
      </c>
      <c r="AK67" s="62" t="str">
        <f t="shared" si="24"/>
        <v/>
      </c>
      <c r="AL67" s="62" t="str">
        <f t="shared" si="24"/>
        <v/>
      </c>
      <c r="AM67" s="62" t="str">
        <f t="shared" si="24"/>
        <v/>
      </c>
      <c r="AN67" s="62" t="str">
        <f t="shared" si="24"/>
        <v/>
      </c>
      <c r="AO67" s="62" t="str">
        <f t="shared" si="24"/>
        <v/>
      </c>
    </row>
    <row r="68" spans="1:41">
      <c r="A68" s="63"/>
      <c r="B68" s="59" t="s">
        <v>56</v>
      </c>
      <c r="C68" s="60"/>
      <c r="D68" s="60">
        <v>2.1</v>
      </c>
      <c r="E68" s="60">
        <v>0.03</v>
      </c>
      <c r="F68" s="60">
        <v>-0.03</v>
      </c>
      <c r="G68" s="60">
        <f t="shared" si="19"/>
        <v>2.13</v>
      </c>
      <c r="H68" s="60">
        <f t="shared" si="20"/>
        <v>2.07</v>
      </c>
      <c r="I68" s="60" t="s">
        <v>50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2" t="str">
        <f t="shared" ref="Z68:AO68" si="25">IF(J68="","",IF(J68&gt;($D68+$E68),(J68-$D68-$E68),IF(J68&lt;($D68+$F68),(J68-$D68-$F68),"√")))</f>
        <v/>
      </c>
      <c r="AA68" s="62" t="str">
        <f t="shared" si="25"/>
        <v/>
      </c>
      <c r="AB68" s="62" t="str">
        <f t="shared" si="25"/>
        <v/>
      </c>
      <c r="AC68" s="62" t="str">
        <f t="shared" si="25"/>
        <v/>
      </c>
      <c r="AD68" s="62" t="str">
        <f t="shared" si="25"/>
        <v/>
      </c>
      <c r="AE68" s="62" t="str">
        <f t="shared" si="25"/>
        <v/>
      </c>
      <c r="AF68" s="62" t="str">
        <f t="shared" si="25"/>
        <v/>
      </c>
      <c r="AG68" s="62" t="str">
        <f t="shared" si="25"/>
        <v/>
      </c>
      <c r="AH68" s="62" t="str">
        <f t="shared" si="25"/>
        <v/>
      </c>
      <c r="AI68" s="62" t="str">
        <f t="shared" si="25"/>
        <v/>
      </c>
      <c r="AJ68" s="62" t="str">
        <f t="shared" si="25"/>
        <v/>
      </c>
      <c r="AK68" s="62" t="str">
        <f t="shared" si="25"/>
        <v/>
      </c>
      <c r="AL68" s="62" t="str">
        <f t="shared" si="25"/>
        <v/>
      </c>
      <c r="AM68" s="62" t="str">
        <f t="shared" si="25"/>
        <v/>
      </c>
      <c r="AN68" s="62" t="str">
        <f t="shared" si="25"/>
        <v/>
      </c>
      <c r="AO68" s="62" t="str">
        <f t="shared" si="25"/>
        <v/>
      </c>
    </row>
    <row r="69" spans="1:41">
      <c r="A69" s="63"/>
      <c r="B69" s="59" t="s">
        <v>57</v>
      </c>
      <c r="C69" s="60"/>
      <c r="D69" s="60">
        <v>0.98</v>
      </c>
      <c r="E69" s="60">
        <v>0.03</v>
      </c>
      <c r="F69" s="60">
        <v>-0.03</v>
      </c>
      <c r="G69" s="60">
        <f t="shared" si="19"/>
        <v>1.01</v>
      </c>
      <c r="H69" s="60">
        <f t="shared" si="20"/>
        <v>0.95</v>
      </c>
      <c r="I69" s="60" t="s">
        <v>58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2" t="str">
        <f t="shared" ref="Z69:AO69" si="26">IF(J69="","",IF(J69&gt;($D69+$E69),(J69-$D69-$E69),IF(J69&lt;($D69+$F69),(J69-$D69-$F69),"√")))</f>
        <v/>
      </c>
      <c r="AA69" s="62" t="str">
        <f t="shared" si="26"/>
        <v/>
      </c>
      <c r="AB69" s="62" t="str">
        <f t="shared" si="26"/>
        <v/>
      </c>
      <c r="AC69" s="62" t="str">
        <f t="shared" si="26"/>
        <v/>
      </c>
      <c r="AD69" s="62" t="str">
        <f t="shared" si="26"/>
        <v/>
      </c>
      <c r="AE69" s="62" t="str">
        <f t="shared" si="26"/>
        <v/>
      </c>
      <c r="AF69" s="62" t="str">
        <f t="shared" si="26"/>
        <v/>
      </c>
      <c r="AG69" s="62" t="str">
        <f t="shared" si="26"/>
        <v/>
      </c>
      <c r="AH69" s="62" t="str">
        <f t="shared" si="26"/>
        <v/>
      </c>
      <c r="AI69" s="62" t="str">
        <f t="shared" si="26"/>
        <v/>
      </c>
      <c r="AJ69" s="62" t="str">
        <f t="shared" si="26"/>
        <v/>
      </c>
      <c r="AK69" s="62" t="str">
        <f t="shared" si="26"/>
        <v/>
      </c>
      <c r="AL69" s="62" t="str">
        <f t="shared" si="26"/>
        <v/>
      </c>
      <c r="AM69" s="62" t="str">
        <f t="shared" si="26"/>
        <v/>
      </c>
      <c r="AN69" s="62" t="str">
        <f t="shared" si="26"/>
        <v/>
      </c>
      <c r="AO69" s="62" t="str">
        <f t="shared" si="26"/>
        <v/>
      </c>
    </row>
    <row r="70" spans="1:41">
      <c r="A70" s="63"/>
      <c r="B70" s="59" t="s">
        <v>59</v>
      </c>
      <c r="C70" s="60"/>
      <c r="D70" s="60">
        <v>0.98</v>
      </c>
      <c r="E70" s="60">
        <v>0.03</v>
      </c>
      <c r="F70" s="60">
        <v>-0.03</v>
      </c>
      <c r="G70" s="60">
        <f t="shared" si="19"/>
        <v>1.01</v>
      </c>
      <c r="H70" s="60">
        <f t="shared" si="20"/>
        <v>0.95</v>
      </c>
      <c r="I70" s="60" t="s">
        <v>58</v>
      </c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2" t="str">
        <f t="shared" ref="Z70:AO70" si="27">IF(J70="","",IF(J70&gt;($D70+$E70),(J70-$D70-$E70),IF(J70&lt;($D70+$F70),(J70-$D70-$F70),"√")))</f>
        <v/>
      </c>
      <c r="AA70" s="62" t="str">
        <f t="shared" si="27"/>
        <v/>
      </c>
      <c r="AB70" s="62" t="str">
        <f t="shared" si="27"/>
        <v/>
      </c>
      <c r="AC70" s="62" t="str">
        <f t="shared" si="27"/>
        <v/>
      </c>
      <c r="AD70" s="62" t="str">
        <f t="shared" si="27"/>
        <v/>
      </c>
      <c r="AE70" s="62" t="str">
        <f t="shared" si="27"/>
        <v/>
      </c>
      <c r="AF70" s="62" t="str">
        <f t="shared" si="27"/>
        <v/>
      </c>
      <c r="AG70" s="62" t="str">
        <f t="shared" si="27"/>
        <v/>
      </c>
      <c r="AH70" s="62" t="str">
        <f t="shared" si="27"/>
        <v/>
      </c>
      <c r="AI70" s="62" t="str">
        <f t="shared" si="27"/>
        <v/>
      </c>
      <c r="AJ70" s="62" t="str">
        <f t="shared" si="27"/>
        <v/>
      </c>
      <c r="AK70" s="62" t="str">
        <f t="shared" si="27"/>
        <v/>
      </c>
      <c r="AL70" s="62" t="str">
        <f t="shared" si="27"/>
        <v/>
      </c>
      <c r="AM70" s="62" t="str">
        <f t="shared" si="27"/>
        <v/>
      </c>
      <c r="AN70" s="62" t="str">
        <f t="shared" si="27"/>
        <v/>
      </c>
      <c r="AO70" s="62" t="str">
        <f t="shared" si="27"/>
        <v/>
      </c>
    </row>
    <row r="71" spans="1:41">
      <c r="A71" s="64"/>
      <c r="B71" s="59" t="s">
        <v>60</v>
      </c>
      <c r="C71" s="60"/>
      <c r="D71" s="60">
        <v>0.98</v>
      </c>
      <c r="E71" s="60">
        <v>0.03</v>
      </c>
      <c r="F71" s="60">
        <v>-0.03</v>
      </c>
      <c r="G71" s="60">
        <f t="shared" si="19"/>
        <v>1.01</v>
      </c>
      <c r="H71" s="60">
        <f t="shared" si="20"/>
        <v>0.95</v>
      </c>
      <c r="I71" s="60" t="s">
        <v>58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2" t="str">
        <f t="shared" ref="Z71:AO71" si="28">IF(J71="","",IF(J71&gt;($D71+$E71),(J71-$D71-$E71),IF(J71&lt;($D71+$F71),(J71-$D71-$F71),"√")))</f>
        <v/>
      </c>
      <c r="AA71" s="62" t="str">
        <f t="shared" si="28"/>
        <v/>
      </c>
      <c r="AB71" s="62" t="str">
        <f t="shared" si="28"/>
        <v/>
      </c>
      <c r="AC71" s="62" t="str">
        <f t="shared" si="28"/>
        <v/>
      </c>
      <c r="AD71" s="62" t="str">
        <f t="shared" si="28"/>
        <v/>
      </c>
      <c r="AE71" s="62" t="str">
        <f t="shared" si="28"/>
        <v/>
      </c>
      <c r="AF71" s="62" t="str">
        <f t="shared" si="28"/>
        <v/>
      </c>
      <c r="AG71" s="62" t="str">
        <f t="shared" si="28"/>
        <v/>
      </c>
      <c r="AH71" s="62" t="str">
        <f t="shared" si="28"/>
        <v/>
      </c>
      <c r="AI71" s="62" t="str">
        <f t="shared" si="28"/>
        <v/>
      </c>
      <c r="AJ71" s="62" t="str">
        <f t="shared" si="28"/>
        <v/>
      </c>
      <c r="AK71" s="62" t="str">
        <f t="shared" si="28"/>
        <v/>
      </c>
      <c r="AL71" s="62" t="str">
        <f t="shared" si="28"/>
        <v/>
      </c>
      <c r="AM71" s="62" t="str">
        <f t="shared" si="28"/>
        <v/>
      </c>
      <c r="AN71" s="62" t="str">
        <f t="shared" si="28"/>
        <v/>
      </c>
      <c r="AO71" s="62" t="str">
        <f t="shared" si="28"/>
        <v/>
      </c>
    </row>
    <row r="72" s="1" customFormat="1" ht="13.5" spans="1:4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7"/>
      <c r="AL72" s="68"/>
      <c r="AM72" s="69"/>
      <c r="AN72" s="70"/>
      <c r="AO72" s="71"/>
    </row>
    <row r="73" spans="1:41">
      <c r="D73"/>
      <c r="E73"/>
      <c r="F73"/>
      <c r="G73"/>
      <c r="H73"/>
      <c r="I73"/>
    </row>
    <row r="74" spans="1:41">
      <c r="D74"/>
      <c r="E74"/>
      <c r="F74"/>
      <c r="G74"/>
      <c r="H74"/>
      <c r="I74"/>
    </row>
    <row r="75" spans="1:41">
      <c r="D75"/>
      <c r="E75"/>
      <c r="F75"/>
      <c r="G75"/>
      <c r="H75"/>
      <c r="I75"/>
    </row>
    <row r="76" spans="1:41">
      <c r="D76"/>
      <c r="E76"/>
      <c r="F76"/>
      <c r="G76"/>
      <c r="H76"/>
      <c r="I76"/>
    </row>
    <row r="77" spans="1:41">
      <c r="D77"/>
      <c r="E77"/>
      <c r="F77"/>
      <c r="G77"/>
      <c r="H77"/>
      <c r="I77"/>
    </row>
    <row r="78" spans="1:41">
      <c r="D78"/>
      <c r="E78"/>
      <c r="F78"/>
      <c r="G78"/>
      <c r="H78"/>
      <c r="I78"/>
    </row>
    <row r="79" spans="1:41">
      <c r="D79"/>
      <c r="E79"/>
      <c r="F79"/>
      <c r="G79"/>
      <c r="H79"/>
      <c r="I79"/>
    </row>
    <row r="80" spans="1:41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</sheetData>
  <mergeCells count="36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6:O6"/>
    <mergeCell ref="P6:U6"/>
    <mergeCell ref="Z6:AE6"/>
    <mergeCell ref="AF6:AK6"/>
    <mergeCell ref="A72:AK72"/>
    <mergeCell ref="AL72:AM72"/>
    <mergeCell ref="AN72:AO72"/>
    <mergeCell ref="A2:A3"/>
    <mergeCell ref="A4:A7"/>
    <mergeCell ref="A8:A71"/>
    <mergeCell ref="B4:B7"/>
    <mergeCell ref="C4:C7"/>
    <mergeCell ref="D4:D7"/>
    <mergeCell ref="E4:E7"/>
    <mergeCell ref="F4:F7"/>
    <mergeCell ref="G4:G7"/>
    <mergeCell ref="H4:H7"/>
    <mergeCell ref="I4:I7"/>
    <mergeCell ref="B2:G3"/>
    <mergeCell ref="H2:K3"/>
    <mergeCell ref="L2:R3"/>
  </mergeCells>
  <conditionalFormatting sqref="J8:Y8">
    <cfRule type="cellIs" dxfId="0" priority="12" stopIfTrue="1" operator="notBetween">
      <formula>$G8</formula>
      <formula>$H8</formula>
    </cfRule>
  </conditionalFormatting>
  <conditionalFormatting sqref="J9:Y9">
    <cfRule type="cellIs" dxfId="0" priority="11" stopIfTrue="1" operator="notBetween">
      <formula>$G9</formula>
      <formula>$H9</formula>
    </cfRule>
  </conditionalFormatting>
  <conditionalFormatting sqref="J49:Y49">
    <cfRule type="cellIs" dxfId="0" priority="9" stopIfTrue="1" operator="notBetween">
      <formula>$G49</formula>
      <formula>$H49</formula>
    </cfRule>
  </conditionalFormatting>
  <conditionalFormatting sqref="J64:Y64">
    <cfRule type="cellIs" dxfId="0" priority="8" stopIfTrue="1" operator="notBetween">
      <formula>$G64</formula>
      <formula>$H64</formula>
    </cfRule>
  </conditionalFormatting>
  <conditionalFormatting sqref="J65:Y65">
    <cfRule type="cellIs" dxfId="0" priority="4" stopIfTrue="1" operator="notBetween">
      <formula>$G65</formula>
      <formula>$H65</formula>
    </cfRule>
  </conditionalFormatting>
  <conditionalFormatting sqref="J66:Y66">
    <cfRule type="cellIs" dxfId="0" priority="7" stopIfTrue="1" operator="notBetween">
      <formula>$G66</formula>
      <formula>$H66</formula>
    </cfRule>
  </conditionalFormatting>
  <conditionalFormatting sqref="J67:Y67">
    <cfRule type="cellIs" dxfId="0" priority="6" stopIfTrue="1" operator="notBetween">
      <formula>$G67</formula>
      <formula>$H67</formula>
    </cfRule>
  </conditionalFormatting>
  <conditionalFormatting sqref="J68:Y68">
    <cfRule type="cellIs" dxfId="0" priority="3" stopIfTrue="1" operator="notBetween">
      <formula>$G68</formula>
      <formula>$H68</formula>
    </cfRule>
  </conditionalFormatting>
  <conditionalFormatting sqref="J69:Y69">
    <cfRule type="cellIs" dxfId="0" priority="5" stopIfTrue="1" operator="notBetween">
      <formula>$G69</formula>
      <formula>$H69</formula>
    </cfRule>
  </conditionalFormatting>
  <conditionalFormatting sqref="J70:Y70">
    <cfRule type="cellIs" dxfId="0" priority="2" stopIfTrue="1" operator="notBetween">
      <formula>$G70</formula>
      <formula>$H70</formula>
    </cfRule>
  </conditionalFormatting>
  <conditionalFormatting sqref="J71:Y71">
    <cfRule type="cellIs" dxfId="0" priority="1" stopIfTrue="1" operator="notBetween">
      <formula>$G71</formula>
      <formula>$H71</formula>
    </cfRule>
  </conditionalFormatting>
  <conditionalFormatting sqref="J12:Y14 J36:Y36 J41:Y41 J50:Y50 J55:Y55">
    <cfRule type="cellIs" dxfId="0" priority="13" stopIfTrue="1" operator="notBetween">
      <formula>$G12</formula>
      <formula>$H12</formula>
    </cfRule>
  </conditionalFormatting>
  <conditionalFormatting sqref="J46:Y48">
    <cfRule type="cellIs" dxfId="0" priority="10" stopIfTrue="1" operator="notBetween">
      <formula>$G46</formula>
      <formula>$H46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cav1~2</vt:lpstr>
      <vt:lpstr>cav3~4</vt:lpstr>
      <vt:lpstr>cav5~6</vt:lpstr>
      <vt:lpstr>cav7~8</vt:lpstr>
      <vt:lpstr>cav9~10</vt:lpstr>
      <vt:lpstr>cav11~12</vt:lpstr>
      <vt:lpstr>cav13~14</vt:lpstr>
      <vt:lpstr>cav15~16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HMI08</cp:lastModifiedBy>
  <dcterms:created xsi:type="dcterms:W3CDTF">2020-05-08T02:47:00Z</dcterms:created>
  <dcterms:modified xsi:type="dcterms:W3CDTF">2026-06-28T18:30:40Z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