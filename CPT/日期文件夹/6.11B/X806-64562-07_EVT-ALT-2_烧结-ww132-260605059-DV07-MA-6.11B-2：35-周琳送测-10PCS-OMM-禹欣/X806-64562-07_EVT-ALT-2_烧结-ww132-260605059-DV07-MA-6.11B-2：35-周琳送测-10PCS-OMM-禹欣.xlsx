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<sst xmlns="http://schemas.openxmlformats.org/spreadsheetml/2006/main" count="190" uniqueCount="77">
  <si>
    <t>安徽中耀智能科技有限公司首件尺寸报告</t>
  </si>
  <si>
    <t>料号</t>
  </si>
  <si>
    <t>X806-64562</t>
  </si>
  <si>
    <t>工单号</t>
  </si>
  <si>
    <t>ww132-260605059</t>
  </si>
  <si>
    <t>工站</t>
  </si>
  <si>
    <t>送测机台号</t>
  </si>
  <si>
    <t>测量机台号</t>
  </si>
  <si>
    <t>测量人员</t>
  </si>
  <si>
    <t>审核</t>
  </si>
  <si>
    <t>烧结</t>
  </si>
  <si>
    <t>DV07</t>
  </si>
  <si>
    <t>OMM4#</t>
  </si>
  <si>
    <t>禹欣</t>
  </si>
  <si>
    <t>陈跃进</t>
  </si>
  <si>
    <t>日期</t>
  </si>
  <si>
    <t>尺寸编号</t>
  </si>
  <si>
    <t>PSC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</si>
  <si>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</si>
  <si>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</si>
  <si>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</si>
  <si>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</si>
  <si>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</si>
  <si>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</si>
  <si>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</si>
  <si>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</si>
  <si>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</si>
  <si>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</si>
  <si>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FAI12_1</t>
  </si>
  <si>
    <t>OMM</t>
  </si>
  <si>
    <t>FAI12_2</t>
  </si>
  <si>
    <t>FAI15_1</t>
  </si>
  <si>
    <t>AD</t>
  </si>
  <si>
    <t>FAI15_2</t>
  </si>
  <si>
    <t>FAI30</t>
  </si>
  <si>
    <t>FAI5_1</t>
  </si>
  <si>
    <t>CMM</t>
  </si>
  <si>
    <t>FAI5_2</t>
  </si>
  <si>
    <t>FAI6</t>
  </si>
  <si>
    <t>FAI17</t>
  </si>
  <si>
    <t>Q</t>
  </si>
  <si>
    <t>FAI22_1</t>
  </si>
  <si>
    <t>FAI22_2</t>
  </si>
  <si>
    <t>FAI35_1</t>
  </si>
  <si>
    <t>FAI35_2</t>
  </si>
  <si>
    <t>FAI42_1</t>
  </si>
  <si>
    <t>FAI42_2</t>
  </si>
  <si>
    <t>FAI47</t>
  </si>
  <si>
    <t>AF</t>
  </si>
  <si>
    <t>FAI48</t>
  </si>
  <si>
    <t>AG</t>
  </si>
  <si>
    <t>FAI45</t>
  </si>
  <si>
    <t>FAI3_1X</t>
  </si>
  <si>
    <t>FAI3_1Z</t>
  </si>
  <si>
    <t>FAI3_1</t>
  </si>
  <si>
    <t>AB</t>
  </si>
  <si>
    <t>FAI3_2X</t>
  </si>
  <si>
    <t>FAI3_2Z</t>
  </si>
  <si>
    <t>FAI3_2</t>
  </si>
  <si>
    <t>FAI11_1X</t>
  </si>
  <si>
    <t>FAI11_1Z</t>
  </si>
  <si>
    <t>FAI11_1</t>
  </si>
  <si>
    <t>J</t>
  </si>
  <si>
    <t>FAI11_2X</t>
  </si>
  <si>
    <t>FAI11_2Z</t>
  </si>
  <si>
    <t>FAI11_2</t>
  </si>
  <si>
    <t>FAI23</t>
  </si>
  <si>
    <t>W</t>
  </si>
  <si>
    <t>FAI24</t>
  </si>
  <si>
    <t>X</t>
  </si>
  <si>
    <t>FAI25</t>
  </si>
  <si>
    <t>Y</t>
  </si>
  <si>
    <t>FAI36_1</t>
  </si>
  <si>
    <t>AC</t>
  </si>
  <si>
    <t>FAI36_2</t>
  </si>
  <si>
    <t>FAI43</t>
  </si>
  <si>
    <t>FAI44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</si>
</sst>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一般 2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258445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abSelected="1" topLeftCell="R1" workbookViewId="0">
      <selection activeCell="AN3" sqref="AN3:AO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6" t="s">
        <v>7</v>
      </c>
      <c r="AF2" s="16"/>
      <c r="AG2" s="16"/>
      <c r="AH2" s="16"/>
      <c r="AI2" s="16"/>
      <c r="AJ2" s="16"/>
      <c r="AK2" s="17" t="s">
        <v>8</v>
      </c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4"/>
      <c r="K3" s="25"/>
      <c r="L3" s="9"/>
      <c r="M3" s="9"/>
      <c r="N3" s="9"/>
      <c r="O3" s="9"/>
      <c r="P3" s="9"/>
      <c r="Q3" s="9"/>
      <c r="R3" s="9"/>
      <c r="S3" s="26" t="s">
        <v>10</v>
      </c>
      <c r="T3" s="27"/>
      <c r="U3" s="27"/>
      <c r="V3" s="27"/>
      <c r="W3" s="27"/>
      <c r="X3" s="28"/>
      <c r="Y3" s="29" t="s">
        <v>11</v>
      </c>
      <c r="Z3" s="30"/>
      <c r="AA3" s="30"/>
      <c r="AB3" s="30"/>
      <c r="AC3" s="30"/>
      <c r="AD3" s="31"/>
      <c r="AE3" s="32" t="s">
        <v>12</v>
      </c>
      <c r="AF3" s="32"/>
      <c r="AG3" s="32"/>
      <c r="AH3" s="32"/>
      <c r="AI3" s="32"/>
      <c r="AJ3" s="32"/>
      <c r="AK3" s="33" t="s">
        <v>13</v>
      </c>
      <c r="AL3" s="34"/>
      <c r="AM3" s="35"/>
      <c r="AN3" s="33" t="s">
        <v>14</v>
      </c>
      <c r="AO3" s="35"/>
    </row>
    <row r="4" customHeight="1" spans="1:41">
      <c r="A4" s="36" t="s">
        <v>15</v>
      </c>
      <c r="B4" s="36" t="s">
        <v>16</v>
      </c>
      <c r="C4" s="37" t="s">
        <v>17</v>
      </c>
      <c r="D4" s="38" t="s">
        <v>18</v>
      </c>
      <c r="E4" s="39" t="s">
        <v>19</v>
      </c>
      <c r="F4" s="40" t="s">
        <v>20</v>
      </c>
      <c r="G4" s="40" t="s">
        <v>21</v>
      </c>
      <c r="H4" s="40" t="s">
        <v>22</v>
      </c>
      <c r="I4" s="41" t="s">
        <v>23</v>
      </c>
      <c r="J4" s="42" t="s">
        <v>24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 t="s">
        <v>25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</row>
    <row r="5" ht="13.5" customHeight="1" spans="1:41">
      <c r="A5" s="46"/>
      <c r="B5" s="47"/>
      <c r="C5" s="48"/>
      <c r="D5" s="38"/>
      <c r="E5" s="39"/>
      <c r="F5" s="40"/>
      <c r="G5" s="40"/>
      <c r="H5" s="40"/>
      <c r="I5" s="38"/>
      <c r="J5" s="42" t="s">
        <v>26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9" t="s">
        <v>27</v>
      </c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</row>
    <row r="6" customHeight="1" spans="1:41">
      <c r="A6" s="46"/>
      <c r="B6" s="47"/>
      <c r="C6" s="50"/>
      <c r="D6" s="38"/>
      <c r="E6" s="39"/>
      <c r="F6" s="40"/>
      <c r="G6" s="40"/>
      <c r="H6" s="40"/>
      <c r="I6" s="38"/>
      <c r="J6" s="51">
        <v>1</v>
      </c>
      <c r="K6" s="51">
        <v>2</v>
      </c>
      <c r="L6" s="51">
        <v>3</v>
      </c>
      <c r="M6" s="51">
        <v>4</v>
      </c>
      <c r="N6" s="51">
        <v>5</v>
      </c>
      <c r="O6" s="51">
        <v>6</v>
      </c>
      <c r="P6" s="51">
        <v>7</v>
      </c>
      <c r="Q6" s="51">
        <v>8</v>
      </c>
      <c r="R6" s="51">
        <v>9</v>
      </c>
      <c r="S6" s="51">
        <v>10</v>
      </c>
      <c r="T6" s="51">
        <v>11</v>
      </c>
      <c r="U6" s="51">
        <v>12</v>
      </c>
      <c r="V6" s="51">
        <v>13</v>
      </c>
      <c r="W6" s="51">
        <v>14</v>
      </c>
      <c r="X6" s="51">
        <v>15</v>
      </c>
      <c r="Y6" s="51">
        <v>16</v>
      </c>
      <c r="Z6" s="52">
        <f t="shared" ref="Z6:AO6" si="0">J6</f>
        <v>1</v>
      </c>
      <c r="AA6" s="52">
        <f t="shared" si="0"/>
        <v>2</v>
      </c>
      <c r="AB6" s="52">
        <f t="shared" si="0"/>
        <v>3</v>
      </c>
      <c r="AC6" s="52">
        <f t="shared" si="0"/>
        <v>4</v>
      </c>
      <c r="AD6" s="52">
        <f t="shared" si="0"/>
        <v>5</v>
      </c>
      <c r="AE6" s="52">
        <f t="shared" si="0"/>
        <v>6</v>
      </c>
      <c r="AF6" s="52">
        <f t="shared" si="0"/>
        <v>7</v>
      </c>
      <c r="AG6" s="52">
        <f t="shared" si="0"/>
        <v>8</v>
      </c>
      <c r="AH6" s="52">
        <f t="shared" si="0"/>
        <v>9</v>
      </c>
      <c r="AI6" s="52">
        <f t="shared" si="0"/>
        <v>10</v>
      </c>
      <c r="AJ6" s="52">
        <f t="shared" si="0"/>
        <v>11</v>
      </c>
      <c r="AK6" s="52">
        <f t="shared" si="0"/>
        <v>12</v>
      </c>
      <c r="AL6" s="52">
        <f t="shared" si="0"/>
        <v>13</v>
      </c>
      <c r="AM6" s="52">
        <f t="shared" si="0"/>
        <v>14</v>
      </c>
      <c r="AN6" s="52">
        <f t="shared" si="0"/>
        <v>15</v>
      </c>
      <c r="AO6" s="52">
        <f t="shared" si="0"/>
        <v>16</v>
      </c>
    </row>
    <row r="7" ht="15" customHeight="1" spans="1:41">
      <c r="A7" s="53">
        <v>46184</v>
      </c>
      <c r="B7" s="54" t="s">
        <v>28</v>
      </c>
      <c r="C7" s="55"/>
      <c r="D7" s="56">
        <v>0.82</v>
      </c>
      <c r="E7" s="56">
        <v>0.06</v>
      </c>
      <c r="F7" s="56">
        <v>-0.06</v>
      </c>
      <c r="G7" s="57">
        <f t="shared" ref="G7:G15" si="1">D7+E7</f>
        <v>0.88</v>
      </c>
      <c r="H7" s="57">
        <f t="shared" ref="H7:H15" si="2">D7+F7</f>
        <v>0.76</v>
      </c>
      <c r="I7" s="56" t="s">
        <v>29</v>
      </c>
      <c r="J7" s="58">
        <v>0.8222</v>
      </c>
      <c r="K7" s="58">
        <v>0.8125</v>
      </c>
      <c r="L7" s="58">
        <v>0.8254</v>
      </c>
      <c r="M7" s="58">
        <v>0.8418</v>
      </c>
      <c r="N7" s="58">
        <v>0.8463</v>
      </c>
      <c r="O7" s="58">
        <v>0.8281</v>
      </c>
      <c r="P7" s="58">
        <v>0.8114</v>
      </c>
      <c r="Q7" s="58">
        <v>0.8098</v>
      </c>
      <c r="R7" s="58">
        <v>0.8204</v>
      </c>
      <c r="S7" s="58">
        <v>0.8122</v>
      </c>
      <c r="T7" s="58"/>
      <c r="U7" s="58"/>
      <c r="V7" s="58"/>
      <c r="W7" s="58"/>
      <c r="X7" s="58"/>
      <c r="Y7" s="58"/>
      <c r="Z7" s="59" t="str">
        <f>IF(J7="","",IF(J7&gt;($D7+$E7),(J7-$D7-$E7),IF(J7&lt;($D7+$F7),(J7-$D7-$F7),"√")))</f>
        <v>√</v>
      </c>
      <c r="AA7" s="59" t="str">
        <f>IF(K7="","",IF(K7&gt;($D7+$E7),(K7-$D7-$E7),IF(K7&lt;($D7+$F7),(K7-$D7-$F7),"√")))</f>
        <v>√</v>
      </c>
      <c r="AB7" s="59" t="str">
        <f t="shared" ref="AB7:AO7" si="3">IF(L7="","",IF(L7&gt;($D7+$E7),(L7-$D7-$E7),IF(L7&lt;($D7+$F7),(L7-$D7-$F7),"√")))</f>
        <v>√</v>
      </c>
      <c r="AC7" s="59" t="str">
        <f t="shared" si="3"/>
        <v>√</v>
      </c>
      <c r="AD7" s="59" t="str">
        <f t="shared" si="3"/>
        <v>√</v>
      </c>
      <c r="AE7" s="59" t="str">
        <f t="shared" si="3"/>
        <v>√</v>
      </c>
      <c r="AF7" s="59" t="str">
        <f t="shared" si="3"/>
        <v>√</v>
      </c>
      <c r="AG7" s="59" t="str">
        <f t="shared" si="3"/>
        <v>√</v>
      </c>
      <c r="AH7" s="59" t="str">
        <f t="shared" si="3"/>
        <v>√</v>
      </c>
      <c r="AI7" s="59" t="str">
        <f t="shared" si="3"/>
        <v>√</v>
      </c>
      <c r="AJ7" s="59" t="str">
        <f t="shared" si="3"/>
        <v/>
      </c>
      <c r="AK7" s="59" t="str">
        <f t="shared" si="3"/>
        <v/>
      </c>
      <c r="AL7" s="59" t="str">
        <f t="shared" si="3"/>
        <v/>
      </c>
      <c r="AM7" s="59" t="str">
        <f t="shared" si="3"/>
        <v/>
      </c>
      <c r="AN7" s="59" t="str">
        <f t="shared" si="3"/>
        <v/>
      </c>
      <c r="AO7" s="59" t="str">
        <f t="shared" si="3"/>
        <v/>
      </c>
    </row>
    <row r="8" ht="15" customHeight="1" spans="1:41">
      <c r="A8" s="53"/>
      <c r="B8" s="54" t="s">
        <v>30</v>
      </c>
      <c r="C8" s="55"/>
      <c r="D8" s="56">
        <v>0.82</v>
      </c>
      <c r="E8" s="56">
        <v>0.06</v>
      </c>
      <c r="F8" s="56">
        <v>-0.06</v>
      </c>
      <c r="G8" s="57">
        <f t="shared" si="1"/>
        <v>0.88</v>
      </c>
      <c r="H8" s="57">
        <f t="shared" si="2"/>
        <v>0.76</v>
      </c>
      <c r="I8" s="56" t="s">
        <v>29</v>
      </c>
      <c r="J8" s="58">
        <v>0.8258</v>
      </c>
      <c r="K8" s="58">
        <v>0.817</v>
      </c>
      <c r="L8" s="58">
        <v>0.8179</v>
      </c>
      <c r="M8" s="58">
        <v>0.8424</v>
      </c>
      <c r="N8" s="58">
        <v>0.8447</v>
      </c>
      <c r="O8" s="58">
        <v>0.83</v>
      </c>
      <c r="P8" s="58">
        <v>0.8099</v>
      </c>
      <c r="Q8" s="58">
        <v>0.8083</v>
      </c>
      <c r="R8" s="58">
        <v>0.8218</v>
      </c>
      <c r="S8" s="58">
        <v>0.8426</v>
      </c>
      <c r="T8" s="58"/>
      <c r="U8" s="58"/>
      <c r="V8" s="58"/>
      <c r="W8" s="58"/>
      <c r="X8" s="58"/>
      <c r="Y8" s="58"/>
      <c r="Z8" s="59" t="str">
        <f t="shared" ref="Z8:AO8" si="4">IF(J8="","",IF(J8&gt;($D8+$E8),(J8-$D8-$E8),IF(J8&lt;($D8+$F8),(J8-$D8-$F8),"√")))</f>
        <v>√</v>
      </c>
      <c r="AA8" s="59" t="str">
        <f t="shared" si="4"/>
        <v>√</v>
      </c>
      <c r="AB8" s="59" t="str">
        <f t="shared" si="4"/>
        <v>√</v>
      </c>
      <c r="AC8" s="59" t="str">
        <f t="shared" si="4"/>
        <v>√</v>
      </c>
      <c r="AD8" s="59" t="str">
        <f t="shared" si="4"/>
        <v>√</v>
      </c>
      <c r="AE8" s="59" t="str">
        <f t="shared" si="4"/>
        <v>√</v>
      </c>
      <c r="AF8" s="59" t="str">
        <f t="shared" si="4"/>
        <v>√</v>
      </c>
      <c r="AG8" s="59" t="str">
        <f t="shared" si="4"/>
        <v>√</v>
      </c>
      <c r="AH8" s="59" t="str">
        <f t="shared" si="4"/>
        <v>√</v>
      </c>
      <c r="AI8" s="59" t="str">
        <f t="shared" si="4"/>
        <v>√</v>
      </c>
      <c r="AJ8" s="59" t="str">
        <f t="shared" si="4"/>
        <v/>
      </c>
      <c r="AK8" s="59" t="str">
        <f t="shared" si="4"/>
        <v/>
      </c>
      <c r="AL8" s="59" t="str">
        <f t="shared" si="4"/>
        <v/>
      </c>
      <c r="AM8" s="59" t="str">
        <f t="shared" si="4"/>
        <v/>
      </c>
      <c r="AN8" s="59" t="str">
        <f t="shared" si="4"/>
        <v/>
      </c>
      <c r="AO8" s="59" t="str">
        <f t="shared" si="4"/>
        <v/>
      </c>
    </row>
    <row r="9" ht="15" customHeight="1" spans="1:41">
      <c r="A9" s="53"/>
      <c r="B9" s="54" t="s">
        <v>31</v>
      </c>
      <c r="C9" s="55" t="s">
        <v>32</v>
      </c>
      <c r="D9" s="56">
        <v>2.1</v>
      </c>
      <c r="E9" s="56">
        <v>0.03</v>
      </c>
      <c r="F9" s="56">
        <v>-0.03</v>
      </c>
      <c r="G9" s="57">
        <f t="shared" si="1"/>
        <v>2.13</v>
      </c>
      <c r="H9" s="57">
        <f t="shared" si="2"/>
        <v>2.07</v>
      </c>
      <c r="I9" s="56" t="s">
        <v>29</v>
      </c>
      <c r="J9" s="58">
        <v>2.1004</v>
      </c>
      <c r="K9" s="58">
        <v>2.0986</v>
      </c>
      <c r="L9" s="58">
        <v>2.1035</v>
      </c>
      <c r="M9" s="58">
        <v>2.1072</v>
      </c>
      <c r="N9" s="58">
        <v>2.1071</v>
      </c>
      <c r="O9" s="58">
        <v>2.1004</v>
      </c>
      <c r="P9" s="58">
        <v>2.0978</v>
      </c>
      <c r="Q9" s="58">
        <v>2.0877</v>
      </c>
      <c r="R9" s="58">
        <v>2.1081</v>
      </c>
      <c r="S9" s="58">
        <v>2.1061</v>
      </c>
      <c r="T9" s="58"/>
      <c r="U9" s="58"/>
      <c r="V9" s="58"/>
      <c r="W9" s="58"/>
      <c r="X9" s="58"/>
      <c r="Y9" s="58"/>
      <c r="Z9" s="59" t="str">
        <f t="shared" ref="Z9:AO9" si="5">IF(J9="","",IF(J9&gt;($D9+$E9),(J9-$D9-$E9),IF(J9&lt;($D9+$F9),(J9-$D9-$F9),"√")))</f>
        <v>√</v>
      </c>
      <c r="AA9" s="59" t="str">
        <f t="shared" si="5"/>
        <v>√</v>
      </c>
      <c r="AB9" s="59" t="str">
        <f t="shared" si="5"/>
        <v>√</v>
      </c>
      <c r="AC9" s="59" t="str">
        <f t="shared" si="5"/>
        <v>√</v>
      </c>
      <c r="AD9" s="59" t="str">
        <f t="shared" si="5"/>
        <v>√</v>
      </c>
      <c r="AE9" s="59" t="str">
        <f t="shared" si="5"/>
        <v>√</v>
      </c>
      <c r="AF9" s="59" t="str">
        <f t="shared" si="5"/>
        <v>√</v>
      </c>
      <c r="AG9" s="59" t="str">
        <f t="shared" si="5"/>
        <v>√</v>
      </c>
      <c r="AH9" s="59" t="str">
        <f t="shared" si="5"/>
        <v>√</v>
      </c>
      <c r="AI9" s="59" t="str">
        <f t="shared" si="5"/>
        <v>√</v>
      </c>
      <c r="AJ9" s="59" t="str">
        <f t="shared" si="5"/>
        <v/>
      </c>
      <c r="AK9" s="59" t="str">
        <f t="shared" si="5"/>
        <v/>
      </c>
      <c r="AL9" s="59" t="str">
        <f t="shared" si="5"/>
        <v/>
      </c>
      <c r="AM9" s="59" t="str">
        <f t="shared" si="5"/>
        <v/>
      </c>
      <c r="AN9" s="59" t="str">
        <f t="shared" si="5"/>
        <v/>
      </c>
      <c r="AO9" s="59" t="str">
        <f t="shared" si="5"/>
        <v/>
      </c>
    </row>
    <row r="10" ht="15" customHeight="1" spans="1:41">
      <c r="A10" s="53"/>
      <c r="B10" s="54" t="s">
        <v>33</v>
      </c>
      <c r="C10" s="55" t="s">
        <v>32</v>
      </c>
      <c r="D10" s="56">
        <v>2.1</v>
      </c>
      <c r="E10" s="56">
        <v>0.03</v>
      </c>
      <c r="F10" s="56">
        <v>-0.03</v>
      </c>
      <c r="G10" s="57">
        <f t="shared" si="1"/>
        <v>2.13</v>
      </c>
      <c r="H10" s="57">
        <f t="shared" si="2"/>
        <v>2.07</v>
      </c>
      <c r="I10" s="56" t="s">
        <v>29</v>
      </c>
      <c r="J10" s="58">
        <v>2.1026</v>
      </c>
      <c r="K10" s="58">
        <v>2.0985</v>
      </c>
      <c r="L10" s="58">
        <v>2.1001</v>
      </c>
      <c r="M10" s="58">
        <v>2.1041</v>
      </c>
      <c r="N10" s="58">
        <v>2.1059</v>
      </c>
      <c r="O10" s="58">
        <v>2.1041</v>
      </c>
      <c r="P10" s="58">
        <v>2.0933</v>
      </c>
      <c r="Q10" s="58">
        <v>2.0952</v>
      </c>
      <c r="R10" s="58">
        <v>2.108</v>
      </c>
      <c r="S10" s="58">
        <v>2.0934</v>
      </c>
      <c r="T10" s="58"/>
      <c r="U10" s="58"/>
      <c r="V10" s="58"/>
      <c r="W10" s="58"/>
      <c r="X10" s="58"/>
      <c r="Y10" s="58"/>
      <c r="Z10" s="59" t="str">
        <f t="shared" ref="Z10:AO10" si="6">IF(J10="","",IF(J10&gt;($D10+$E10),(J10-$D10-$E10),IF(J10&lt;($D10+$F10),(J10-$D10-$F10),"√")))</f>
        <v>√</v>
      </c>
      <c r="AA10" s="59" t="str">
        <f t="shared" si="6"/>
        <v>√</v>
      </c>
      <c r="AB10" s="59" t="str">
        <f t="shared" si="6"/>
        <v>√</v>
      </c>
      <c r="AC10" s="59" t="str">
        <f t="shared" si="6"/>
        <v>√</v>
      </c>
      <c r="AD10" s="59" t="str">
        <f t="shared" si="6"/>
        <v>√</v>
      </c>
      <c r="AE10" s="59" t="str">
        <f t="shared" si="6"/>
        <v>√</v>
      </c>
      <c r="AF10" s="59" t="str">
        <f t="shared" si="6"/>
        <v>√</v>
      </c>
      <c r="AG10" s="59" t="str">
        <f t="shared" si="6"/>
        <v>√</v>
      </c>
      <c r="AH10" s="59" t="str">
        <f t="shared" si="6"/>
        <v>√</v>
      </c>
      <c r="AI10" s="59" t="str">
        <f t="shared" si="6"/>
        <v>√</v>
      </c>
      <c r="AJ10" s="59" t="str">
        <f t="shared" si="6"/>
        <v/>
      </c>
      <c r="AK10" s="59" t="str">
        <f t="shared" si="6"/>
        <v/>
      </c>
      <c r="AL10" s="59" t="str">
        <f t="shared" si="6"/>
        <v/>
      </c>
      <c r="AM10" s="59" t="str">
        <f t="shared" si="6"/>
        <v/>
      </c>
      <c r="AN10" s="59" t="str">
        <f t="shared" si="6"/>
        <v/>
      </c>
      <c r="AO10" s="59" t="str">
        <f t="shared" si="6"/>
        <v/>
      </c>
    </row>
    <row r="11" ht="15" customHeight="1" spans="1:41">
      <c r="A11" s="53"/>
      <c r="B11" s="54" t="s">
        <v>34</v>
      </c>
      <c r="C11" s="55"/>
      <c r="D11" s="56">
        <v>0.42</v>
      </c>
      <c r="E11" s="56">
        <v>0.07</v>
      </c>
      <c r="F11" s="56">
        <v>-0.07</v>
      </c>
      <c r="G11" s="57">
        <f t="shared" si="1"/>
        <v>0.49</v>
      </c>
      <c r="H11" s="57">
        <f t="shared" si="2"/>
        <v>0.35</v>
      </c>
      <c r="I11" s="56" t="s">
        <v>29</v>
      </c>
      <c r="J11" s="58">
        <v>0.3746</v>
      </c>
      <c r="K11" s="58">
        <v>0.3894</v>
      </c>
      <c r="L11" s="58">
        <v>0.3809</v>
      </c>
      <c r="M11" s="58">
        <v>0.3732</v>
      </c>
      <c r="N11" s="58">
        <v>0.3745</v>
      </c>
      <c r="O11" s="58">
        <v>0.3803</v>
      </c>
      <c r="P11" s="58">
        <v>0.3729</v>
      </c>
      <c r="Q11" s="58">
        <v>0.3766</v>
      </c>
      <c r="R11" s="58">
        <v>0.381</v>
      </c>
      <c r="S11" s="58">
        <v>0.3804</v>
      </c>
      <c r="T11" s="58"/>
      <c r="U11" s="58"/>
      <c r="V11" s="58"/>
      <c r="W11" s="58"/>
      <c r="X11" s="60"/>
      <c r="Y11" s="58"/>
      <c r="Z11" s="59" t="str">
        <f t="shared" ref="Z11:AO11" si="7">IF(J11="","",IF(J11&gt;($D11+$E11),(J11-$D11-$E11),IF(J11&lt;($D11+$F11),(J11-$D11-$F11),"√")))</f>
        <v>√</v>
      </c>
      <c r="AA11" s="59" t="str">
        <f t="shared" si="7"/>
        <v>√</v>
      </c>
      <c r="AB11" s="59" t="str">
        <f t="shared" si="7"/>
        <v>√</v>
      </c>
      <c r="AC11" s="59" t="str">
        <f t="shared" si="7"/>
        <v>√</v>
      </c>
      <c r="AD11" s="59" t="str">
        <f t="shared" si="7"/>
        <v>√</v>
      </c>
      <c r="AE11" s="59" t="str">
        <f t="shared" si="7"/>
        <v>√</v>
      </c>
      <c r="AF11" s="59" t="str">
        <f t="shared" si="7"/>
        <v>√</v>
      </c>
      <c r="AG11" s="59" t="str">
        <f t="shared" si="7"/>
        <v>√</v>
      </c>
      <c r="AH11" s="59" t="str">
        <f t="shared" si="7"/>
        <v>√</v>
      </c>
      <c r="AI11" s="59" t="str">
        <f t="shared" si="7"/>
        <v>√</v>
      </c>
      <c r="AJ11" s="59" t="str">
        <f t="shared" si="7"/>
        <v/>
      </c>
      <c r="AK11" s="59" t="str">
        <f t="shared" si="7"/>
        <v/>
      </c>
      <c r="AL11" s="59" t="str">
        <f t="shared" si="7"/>
        <v/>
      </c>
      <c r="AM11" s="59" t="str">
        <f t="shared" si="7"/>
        <v/>
      </c>
      <c r="AN11" s="59" t="str">
        <f t="shared" si="7"/>
        <v/>
      </c>
      <c r="AO11" s="59" t="str">
        <f t="shared" si="7"/>
        <v/>
      </c>
    </row>
    <row r="12" ht="15" customHeight="1" spans="1:41">
      <c r="A12" s="53"/>
      <c r="B12" s="54" t="s">
        <v>35</v>
      </c>
      <c r="C12" s="55"/>
      <c r="D12" s="56">
        <v>1.6</v>
      </c>
      <c r="E12" s="56">
        <v>0.06</v>
      </c>
      <c r="F12" s="56">
        <v>-0.06</v>
      </c>
      <c r="G12" s="57">
        <f t="shared" si="1"/>
        <v>1.66</v>
      </c>
      <c r="H12" s="57">
        <f t="shared" si="2"/>
        <v>1.54</v>
      </c>
      <c r="I12" s="56" t="s">
        <v>36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9" t="str">
        <f t="shared" ref="Z12:AO14" si="8">IF(J12="","",IF(J12&gt;($D12+$E12),(J12-$D12-$E12),IF(J12&lt;($D12+$F12),(J12-$D12-$F12),"√")))</f>
        <v/>
      </c>
      <c r="AA12" s="59" t="str">
        <f t="shared" si="8"/>
        <v/>
      </c>
      <c r="AB12" s="59" t="str">
        <f t="shared" si="8"/>
        <v/>
      </c>
      <c r="AC12" s="59" t="str">
        <f t="shared" si="8"/>
        <v/>
      </c>
      <c r="AD12" s="59" t="str">
        <f t="shared" si="8"/>
        <v/>
      </c>
      <c r="AE12" s="59" t="str">
        <f t="shared" si="8"/>
        <v/>
      </c>
      <c r="AF12" s="59" t="str">
        <f t="shared" si="8"/>
        <v/>
      </c>
      <c r="AG12" s="59" t="str">
        <f t="shared" si="8"/>
        <v/>
      </c>
      <c r="AH12" s="59" t="str">
        <f t="shared" si="8"/>
        <v/>
      </c>
      <c r="AI12" s="59" t="str">
        <f t="shared" si="8"/>
        <v/>
      </c>
      <c r="AJ12" s="59" t="str">
        <f t="shared" si="8"/>
        <v/>
      </c>
      <c r="AK12" s="59" t="str">
        <f t="shared" si="8"/>
        <v/>
      </c>
      <c r="AL12" s="59" t="str">
        <f t="shared" si="8"/>
        <v/>
      </c>
      <c r="AM12" s="59" t="str">
        <f t="shared" si="8"/>
        <v/>
      </c>
      <c r="AN12" s="59" t="str">
        <f t="shared" si="8"/>
        <v/>
      </c>
      <c r="AO12" s="59" t="str">
        <f t="shared" si="8"/>
        <v/>
      </c>
    </row>
    <row r="13" ht="15" customHeight="1" spans="1:41">
      <c r="A13" s="53"/>
      <c r="B13" s="54" t="s">
        <v>37</v>
      </c>
      <c r="C13" s="55"/>
      <c r="D13" s="56">
        <v>1.6</v>
      </c>
      <c r="E13" s="56">
        <v>0.06</v>
      </c>
      <c r="F13" s="56">
        <v>-0.06</v>
      </c>
      <c r="G13" s="57">
        <f t="shared" si="1"/>
        <v>1.66</v>
      </c>
      <c r="H13" s="57">
        <f t="shared" si="2"/>
        <v>1.54</v>
      </c>
      <c r="I13" s="56" t="s">
        <v>36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9" t="str">
        <f t="shared" si="8"/>
        <v/>
      </c>
      <c r="AA13" s="59" t="str">
        <f t="shared" si="8"/>
        <v/>
      </c>
      <c r="AB13" s="59" t="str">
        <f t="shared" si="8"/>
        <v/>
      </c>
      <c r="AC13" s="59" t="str">
        <f t="shared" si="8"/>
        <v/>
      </c>
      <c r="AD13" s="59" t="str">
        <f t="shared" si="8"/>
        <v/>
      </c>
      <c r="AE13" s="59" t="str">
        <f t="shared" si="8"/>
        <v/>
      </c>
      <c r="AF13" s="59" t="str">
        <f t="shared" si="8"/>
        <v/>
      </c>
      <c r="AG13" s="59" t="str">
        <f t="shared" si="8"/>
        <v/>
      </c>
      <c r="AH13" s="59" t="str">
        <f t="shared" si="8"/>
        <v/>
      </c>
      <c r="AI13" s="59" t="str">
        <f t="shared" si="8"/>
        <v/>
      </c>
      <c r="AJ13" s="59" t="str">
        <f t="shared" si="8"/>
        <v/>
      </c>
      <c r="AK13" s="59" t="str">
        <f t="shared" si="8"/>
        <v/>
      </c>
      <c r="AL13" s="59" t="str">
        <f t="shared" si="8"/>
        <v/>
      </c>
      <c r="AM13" s="59" t="str">
        <f t="shared" si="8"/>
        <v/>
      </c>
      <c r="AN13" s="59" t="str">
        <f t="shared" si="8"/>
        <v/>
      </c>
      <c r="AO13" s="59" t="str">
        <f t="shared" si="8"/>
        <v/>
      </c>
    </row>
    <row r="14" ht="15" customHeight="1" spans="1:41">
      <c r="A14" s="53"/>
      <c r="B14" s="54" t="s">
        <v>38</v>
      </c>
      <c r="C14" s="55"/>
      <c r="D14" s="56">
        <v>1.59</v>
      </c>
      <c r="E14" s="56">
        <v>0.06</v>
      </c>
      <c r="F14" s="56">
        <v>-0.06</v>
      </c>
      <c r="G14" s="57">
        <f t="shared" si="1"/>
        <v>1.65</v>
      </c>
      <c r="H14" s="57">
        <f t="shared" si="2"/>
        <v>1.53</v>
      </c>
      <c r="I14" s="56" t="s">
        <v>36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9" t="str">
        <f t="shared" si="8"/>
        <v/>
      </c>
      <c r="AA14" s="59" t="str">
        <f t="shared" si="8"/>
        <v/>
      </c>
      <c r="AB14" s="59" t="str">
        <f t="shared" si="8"/>
        <v/>
      </c>
      <c r="AC14" s="59" t="str">
        <f t="shared" si="8"/>
        <v/>
      </c>
      <c r="AD14" s="59" t="str">
        <f t="shared" si="8"/>
        <v/>
      </c>
      <c r="AE14" s="59" t="str">
        <f t="shared" si="8"/>
        <v/>
      </c>
      <c r="AF14" s="59" t="str">
        <f t="shared" si="8"/>
        <v/>
      </c>
      <c r="AG14" s="59" t="str">
        <f t="shared" si="8"/>
        <v/>
      </c>
      <c r="AH14" s="59" t="str">
        <f t="shared" si="8"/>
        <v/>
      </c>
      <c r="AI14" s="59" t="str">
        <f t="shared" si="8"/>
        <v/>
      </c>
      <c r="AJ14" s="59" t="str">
        <f t="shared" si="8"/>
        <v/>
      </c>
      <c r="AK14" s="59" t="str">
        <f t="shared" si="8"/>
        <v/>
      </c>
      <c r="AL14" s="59" t="str">
        <f t="shared" si="8"/>
        <v/>
      </c>
      <c r="AM14" s="59" t="str">
        <f t="shared" si="8"/>
        <v/>
      </c>
      <c r="AN14" s="59" t="str">
        <f t="shared" si="8"/>
        <v/>
      </c>
      <c r="AO14" s="59" t="str">
        <f t="shared" si="8"/>
        <v/>
      </c>
    </row>
    <row r="15" ht="15" customHeight="1" spans="1:41">
      <c r="A15" s="53"/>
      <c r="B15" s="54" t="s">
        <v>39</v>
      </c>
      <c r="C15" s="55" t="s">
        <v>40</v>
      </c>
      <c r="D15" s="56">
        <v>5.39</v>
      </c>
      <c r="E15" s="56">
        <v>0.025</v>
      </c>
      <c r="F15" s="56">
        <v>-0.025</v>
      </c>
      <c r="G15" s="57">
        <f t="shared" si="1"/>
        <v>5.415</v>
      </c>
      <c r="H15" s="57">
        <f t="shared" si="2"/>
        <v>5.365</v>
      </c>
      <c r="I15" s="56" t="s">
        <v>36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9" t="str">
        <f t="shared" ref="Z15:AO15" si="9">IF(J15="","",IF(J15&gt;($D15+$E15),(J15-$D15-$E15),IF(J15&lt;($D15+$F15),(J15-$D15-$F15),"√")))</f>
        <v/>
      </c>
      <c r="AA15" s="59" t="str">
        <f t="shared" si="9"/>
        <v/>
      </c>
      <c r="AB15" s="59" t="str">
        <f t="shared" si="9"/>
        <v/>
      </c>
      <c r="AC15" s="59" t="str">
        <f t="shared" si="9"/>
        <v/>
      </c>
      <c r="AD15" s="59" t="str">
        <f t="shared" si="9"/>
        <v/>
      </c>
      <c r="AE15" s="59" t="str">
        <f t="shared" si="9"/>
        <v/>
      </c>
      <c r="AF15" s="59" t="str">
        <f t="shared" si="9"/>
        <v/>
      </c>
      <c r="AG15" s="59" t="str">
        <f t="shared" si="9"/>
        <v/>
      </c>
      <c r="AH15" s="59" t="str">
        <f t="shared" si="9"/>
        <v/>
      </c>
      <c r="AI15" s="59" t="str">
        <f t="shared" si="9"/>
        <v/>
      </c>
      <c r="AJ15" s="59" t="str">
        <f t="shared" si="9"/>
        <v/>
      </c>
      <c r="AK15" s="59" t="str">
        <f t="shared" si="9"/>
        <v/>
      </c>
      <c r="AL15" s="59" t="str">
        <f t="shared" si="9"/>
        <v/>
      </c>
      <c r="AM15" s="59" t="str">
        <f t="shared" si="9"/>
        <v/>
      </c>
      <c r="AN15" s="59" t="str">
        <f t="shared" si="9"/>
        <v/>
      </c>
      <c r="AO15" s="59" t="str">
        <f t="shared" si="9"/>
        <v/>
      </c>
    </row>
    <row r="16" ht="15" customHeight="1" spans="1:41">
      <c r="A16" s="53"/>
      <c r="B16" s="54" t="s">
        <v>41</v>
      </c>
      <c r="C16" s="55"/>
      <c r="D16" s="56">
        <v>1.09</v>
      </c>
      <c r="E16" s="56">
        <v>0.03</v>
      </c>
      <c r="F16" s="56">
        <v>-0.03</v>
      </c>
      <c r="G16" s="57">
        <f t="shared" ref="G16:G24" si="10">D16+E16</f>
        <v>1.12</v>
      </c>
      <c r="H16" s="57">
        <f t="shared" ref="H16:H24" si="11">D16+F16</f>
        <v>1.06</v>
      </c>
      <c r="I16" s="56" t="s">
        <v>36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9" t="str">
        <f t="shared" ref="Z16:AO16" si="12">IF(J16="","",IF(J16&gt;($D16+$E16),(J16-$D16-$E16),IF(J16&lt;($D16+$F16),(J16-$D16-$F16),"√")))</f>
        <v/>
      </c>
      <c r="AA16" s="59" t="str">
        <f t="shared" si="12"/>
        <v/>
      </c>
      <c r="AB16" s="59" t="str">
        <f t="shared" si="12"/>
        <v/>
      </c>
      <c r="AC16" s="59" t="str">
        <f t="shared" si="12"/>
        <v/>
      </c>
      <c r="AD16" s="59" t="str">
        <f t="shared" si="12"/>
        <v/>
      </c>
      <c r="AE16" s="59" t="str">
        <f t="shared" si="12"/>
        <v/>
      </c>
      <c r="AF16" s="59" t="str">
        <f t="shared" si="12"/>
        <v/>
      </c>
      <c r="AG16" s="59" t="str">
        <f t="shared" si="12"/>
        <v/>
      </c>
      <c r="AH16" s="59" t="str">
        <f t="shared" si="12"/>
        <v/>
      </c>
      <c r="AI16" s="59" t="str">
        <f t="shared" si="12"/>
        <v/>
      </c>
      <c r="AJ16" s="59" t="str">
        <f t="shared" si="12"/>
        <v/>
      </c>
      <c r="AK16" s="59" t="str">
        <f t="shared" si="12"/>
        <v/>
      </c>
      <c r="AL16" s="59" t="str">
        <f t="shared" si="12"/>
        <v/>
      </c>
      <c r="AM16" s="59" t="str">
        <f t="shared" si="12"/>
        <v/>
      </c>
      <c r="AN16" s="59" t="str">
        <f t="shared" si="12"/>
        <v/>
      </c>
      <c r="AO16" s="59" t="str">
        <f t="shared" si="12"/>
        <v/>
      </c>
    </row>
    <row r="17" ht="15" customHeight="1" spans="1:41">
      <c r="A17" s="53"/>
      <c r="B17" s="54" t="s">
        <v>42</v>
      </c>
      <c r="C17" s="55"/>
      <c r="D17" s="56">
        <v>1.09</v>
      </c>
      <c r="E17" s="56">
        <v>0.03</v>
      </c>
      <c r="F17" s="56">
        <v>-0.03</v>
      </c>
      <c r="G17" s="57">
        <f t="shared" si="10"/>
        <v>1.12</v>
      </c>
      <c r="H17" s="57">
        <f t="shared" si="11"/>
        <v>1.06</v>
      </c>
      <c r="I17" s="56" t="s">
        <v>36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 t="str">
        <f t="shared" ref="Z17:AO17" si="13">IF(J17="","",IF(J17&gt;($D17+$E17),(J17-$D17-$E17),IF(J17&lt;($D17+$F17),(J17-$D17-$F17),"√")))</f>
        <v/>
      </c>
      <c r="AA17" s="59" t="str">
        <f t="shared" si="13"/>
        <v/>
      </c>
      <c r="AB17" s="59" t="str">
        <f t="shared" si="13"/>
        <v/>
      </c>
      <c r="AC17" s="59" t="str">
        <f t="shared" si="13"/>
        <v/>
      </c>
      <c r="AD17" s="59" t="str">
        <f t="shared" si="13"/>
        <v/>
      </c>
      <c r="AE17" s="59" t="str">
        <f t="shared" si="13"/>
        <v/>
      </c>
      <c r="AF17" s="59" t="str">
        <f t="shared" si="13"/>
        <v/>
      </c>
      <c r="AG17" s="59" t="str">
        <f t="shared" si="13"/>
        <v/>
      </c>
      <c r="AH17" s="59" t="str">
        <f t="shared" si="13"/>
        <v/>
      </c>
      <c r="AI17" s="59" t="str">
        <f t="shared" si="13"/>
        <v/>
      </c>
      <c r="AJ17" s="59" t="str">
        <f t="shared" si="13"/>
        <v/>
      </c>
      <c r="AK17" s="59" t="str">
        <f t="shared" si="13"/>
        <v/>
      </c>
      <c r="AL17" s="59" t="str">
        <f t="shared" si="13"/>
        <v/>
      </c>
      <c r="AM17" s="59" t="str">
        <f t="shared" si="13"/>
        <v/>
      </c>
      <c r="AN17" s="59" t="str">
        <f t="shared" si="13"/>
        <v/>
      </c>
      <c r="AO17" s="59" t="str">
        <f t="shared" si="13"/>
        <v/>
      </c>
    </row>
    <row r="18" ht="15" customHeight="1" spans="1:41">
      <c r="A18" s="53"/>
      <c r="B18" s="54" t="s">
        <v>43</v>
      </c>
      <c r="C18" s="55"/>
      <c r="D18" s="56">
        <v>0.69</v>
      </c>
      <c r="E18" s="56">
        <v>0.03</v>
      </c>
      <c r="F18" s="56">
        <v>-0.03</v>
      </c>
      <c r="G18" s="57">
        <f t="shared" si="10"/>
        <v>0.72</v>
      </c>
      <c r="H18" s="57">
        <f t="shared" si="11"/>
        <v>0.66</v>
      </c>
      <c r="I18" s="56" t="s">
        <v>36</v>
      </c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9" t="str">
        <f t="shared" ref="Z18:AO18" si="14">IF(J18="","",IF(J18&gt;($D18+$E18),(J18-$D18-$E18),IF(J18&lt;($D18+$F18),(J18-$D18-$F18),"√")))</f>
        <v/>
      </c>
      <c r="AA18" s="59" t="str">
        <f t="shared" si="14"/>
        <v/>
      </c>
      <c r="AB18" s="59" t="str">
        <f t="shared" si="14"/>
        <v/>
      </c>
      <c r="AC18" s="59" t="str">
        <f t="shared" si="14"/>
        <v/>
      </c>
      <c r="AD18" s="59" t="str">
        <f t="shared" si="14"/>
        <v/>
      </c>
      <c r="AE18" s="59" t="str">
        <f t="shared" si="14"/>
        <v/>
      </c>
      <c r="AF18" s="59" t="str">
        <f t="shared" si="14"/>
        <v/>
      </c>
      <c r="AG18" s="59" t="str">
        <f t="shared" si="14"/>
        <v/>
      </c>
      <c r="AH18" s="59" t="str">
        <f t="shared" si="14"/>
        <v/>
      </c>
      <c r="AI18" s="59" t="str">
        <f t="shared" si="14"/>
        <v/>
      </c>
      <c r="AJ18" s="59" t="str">
        <f t="shared" si="14"/>
        <v/>
      </c>
      <c r="AK18" s="59" t="str">
        <f t="shared" si="14"/>
        <v/>
      </c>
      <c r="AL18" s="59" t="str">
        <f t="shared" si="14"/>
        <v/>
      </c>
      <c r="AM18" s="59" t="str">
        <f t="shared" si="14"/>
        <v/>
      </c>
      <c r="AN18" s="59" t="str">
        <f t="shared" si="14"/>
        <v/>
      </c>
      <c r="AO18" s="59" t="str">
        <f t="shared" si="14"/>
        <v/>
      </c>
    </row>
    <row r="19" ht="15" customHeight="1" spans="1:41">
      <c r="A19" s="53"/>
      <c r="B19" s="54" t="s">
        <v>44</v>
      </c>
      <c r="C19" s="55"/>
      <c r="D19" s="56">
        <v>0.69</v>
      </c>
      <c r="E19" s="56">
        <v>0.03</v>
      </c>
      <c r="F19" s="56">
        <v>-0.03</v>
      </c>
      <c r="G19" s="57">
        <f t="shared" si="10"/>
        <v>0.72</v>
      </c>
      <c r="H19" s="57">
        <f t="shared" si="11"/>
        <v>0.66</v>
      </c>
      <c r="I19" s="56" t="s">
        <v>36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9" t="str">
        <f t="shared" ref="Z19:AO19" si="15">IF(J19="","",IF(J19&gt;($D19+$E19),(J19-$D19-$E19),IF(J19&lt;($D19+$F19),(J19-$D19-$F19),"√")))</f>
        <v/>
      </c>
      <c r="AA19" s="59" t="str">
        <f t="shared" si="15"/>
        <v/>
      </c>
      <c r="AB19" s="59" t="str">
        <f t="shared" si="15"/>
        <v/>
      </c>
      <c r="AC19" s="59" t="str">
        <f t="shared" si="15"/>
        <v/>
      </c>
      <c r="AD19" s="59" t="str">
        <f t="shared" si="15"/>
        <v/>
      </c>
      <c r="AE19" s="59" t="str">
        <f t="shared" si="15"/>
        <v/>
      </c>
      <c r="AF19" s="59" t="str">
        <f t="shared" si="15"/>
        <v/>
      </c>
      <c r="AG19" s="59" t="str">
        <f t="shared" si="15"/>
        <v/>
      </c>
      <c r="AH19" s="59" t="str">
        <f t="shared" si="15"/>
        <v/>
      </c>
      <c r="AI19" s="59" t="str">
        <f t="shared" si="15"/>
        <v/>
      </c>
      <c r="AJ19" s="59" t="str">
        <f t="shared" si="15"/>
        <v/>
      </c>
      <c r="AK19" s="59" t="str">
        <f t="shared" si="15"/>
        <v/>
      </c>
      <c r="AL19" s="59" t="str">
        <f t="shared" si="15"/>
        <v/>
      </c>
      <c r="AM19" s="59" t="str">
        <f t="shared" si="15"/>
        <v/>
      </c>
      <c r="AN19" s="59" t="str">
        <f t="shared" si="15"/>
        <v/>
      </c>
      <c r="AO19" s="59" t="str">
        <f t="shared" si="15"/>
        <v/>
      </c>
    </row>
    <row r="20" ht="15" customHeight="1" spans="1:41">
      <c r="A20" s="53"/>
      <c r="B20" s="54" t="s">
        <v>45</v>
      </c>
      <c r="C20" s="55"/>
      <c r="D20" s="56">
        <v>0.965</v>
      </c>
      <c r="E20" s="56">
        <v>0.01</v>
      </c>
      <c r="F20" s="56">
        <v>-0.01</v>
      </c>
      <c r="G20" s="57">
        <f t="shared" si="10"/>
        <v>0.975</v>
      </c>
      <c r="H20" s="57">
        <f t="shared" si="11"/>
        <v>0.955</v>
      </c>
      <c r="I20" s="56" t="s">
        <v>36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9" t="str">
        <f t="shared" ref="Z20:AO20" si="16">IF(J20="","",IF(J20&gt;($D20+$E20),(J20-$D20-$E20),IF(J20&lt;($D20+$F20),(J20-$D20-$F20),"√")))</f>
        <v/>
      </c>
      <c r="AA20" s="59" t="str">
        <f t="shared" si="16"/>
        <v/>
      </c>
      <c r="AB20" s="59" t="str">
        <f t="shared" si="16"/>
        <v/>
      </c>
      <c r="AC20" s="59" t="str">
        <f t="shared" si="16"/>
        <v/>
      </c>
      <c r="AD20" s="59" t="str">
        <f t="shared" si="16"/>
        <v/>
      </c>
      <c r="AE20" s="59" t="str">
        <f t="shared" si="16"/>
        <v/>
      </c>
      <c r="AF20" s="59" t="str">
        <f t="shared" si="16"/>
        <v/>
      </c>
      <c r="AG20" s="59" t="str">
        <f t="shared" si="16"/>
        <v/>
      </c>
      <c r="AH20" s="59" t="str">
        <f t="shared" si="16"/>
        <v/>
      </c>
      <c r="AI20" s="59" t="str">
        <f t="shared" si="16"/>
        <v/>
      </c>
      <c r="AJ20" s="59" t="str">
        <f t="shared" si="16"/>
        <v/>
      </c>
      <c r="AK20" s="59" t="str">
        <f t="shared" si="16"/>
        <v/>
      </c>
      <c r="AL20" s="59" t="str">
        <f t="shared" si="16"/>
        <v/>
      </c>
      <c r="AM20" s="59" t="str">
        <f t="shared" si="16"/>
        <v/>
      </c>
      <c r="AN20" s="59" t="str">
        <f t="shared" si="16"/>
        <v/>
      </c>
      <c r="AO20" s="59" t="str">
        <f t="shared" si="16"/>
        <v/>
      </c>
    </row>
    <row r="21" ht="15" customHeight="1" spans="1:41">
      <c r="A21" s="53"/>
      <c r="B21" s="54" t="s">
        <v>46</v>
      </c>
      <c r="C21" s="55"/>
      <c r="D21" s="56">
        <v>0.965</v>
      </c>
      <c r="E21" s="56">
        <v>0.01</v>
      </c>
      <c r="F21" s="56">
        <v>-0.01</v>
      </c>
      <c r="G21" s="57">
        <f t="shared" si="10"/>
        <v>0.975</v>
      </c>
      <c r="H21" s="57">
        <f t="shared" si="11"/>
        <v>0.955</v>
      </c>
      <c r="I21" s="56" t="s">
        <v>36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9" t="str">
        <f t="shared" ref="Z21:AO21" si="17">IF(J21="","",IF(J21&gt;($D21+$E21),(J21-$D21-$E21),IF(J21&lt;($D21+$F21),(J21-$D21-$F21),"√")))</f>
        <v/>
      </c>
      <c r="AA21" s="59" t="str">
        <f t="shared" si="17"/>
        <v/>
      </c>
      <c r="AB21" s="59" t="str">
        <f t="shared" si="17"/>
        <v/>
      </c>
      <c r="AC21" s="59" t="str">
        <f t="shared" si="17"/>
        <v/>
      </c>
      <c r="AD21" s="59" t="str">
        <f t="shared" si="17"/>
        <v/>
      </c>
      <c r="AE21" s="59" t="str">
        <f t="shared" si="17"/>
        <v/>
      </c>
      <c r="AF21" s="59" t="str">
        <f t="shared" si="17"/>
        <v/>
      </c>
      <c r="AG21" s="59" t="str">
        <f t="shared" si="17"/>
        <v/>
      </c>
      <c r="AH21" s="59" t="str">
        <f t="shared" si="17"/>
        <v/>
      </c>
      <c r="AI21" s="59" t="str">
        <f t="shared" si="17"/>
        <v/>
      </c>
      <c r="AJ21" s="59" t="str">
        <f t="shared" si="17"/>
        <v/>
      </c>
      <c r="AK21" s="59" t="str">
        <f t="shared" si="17"/>
        <v/>
      </c>
      <c r="AL21" s="59" t="str">
        <f t="shared" si="17"/>
        <v/>
      </c>
      <c r="AM21" s="59" t="str">
        <f t="shared" si="17"/>
        <v/>
      </c>
      <c r="AN21" s="59" t="str">
        <f t="shared" si="17"/>
        <v/>
      </c>
      <c r="AO21" s="59" t="str">
        <f t="shared" si="17"/>
        <v/>
      </c>
    </row>
    <row r="22" ht="15" customHeight="1" spans="1:41">
      <c r="A22" s="53"/>
      <c r="B22" s="54" t="s">
        <v>47</v>
      </c>
      <c r="C22" s="55" t="s">
        <v>48</v>
      </c>
      <c r="D22" s="56">
        <v>0.945</v>
      </c>
      <c r="E22" s="56">
        <v>0.015</v>
      </c>
      <c r="F22" s="56">
        <v>-0.015</v>
      </c>
      <c r="G22" s="57">
        <f t="shared" si="10"/>
        <v>0.96</v>
      </c>
      <c r="H22" s="57">
        <f t="shared" si="11"/>
        <v>0.93</v>
      </c>
      <c r="I22" s="56" t="s">
        <v>36</v>
      </c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9" t="str">
        <f t="shared" ref="Z22:AO22" si="18">IF(J22="","",IF(J22&gt;($D22+$E22),(J22-$D22-$E22),IF(J22&lt;($D22+$F22),(J22-$D22-$F22),"√")))</f>
        <v/>
      </c>
      <c r="AA22" s="59" t="str">
        <f t="shared" si="18"/>
        <v/>
      </c>
      <c r="AB22" s="59" t="str">
        <f t="shared" si="18"/>
        <v/>
      </c>
      <c r="AC22" s="59" t="str">
        <f t="shared" si="18"/>
        <v/>
      </c>
      <c r="AD22" s="59" t="str">
        <f t="shared" si="18"/>
        <v/>
      </c>
      <c r="AE22" s="59" t="str">
        <f t="shared" si="18"/>
        <v/>
      </c>
      <c r="AF22" s="59" t="str">
        <f t="shared" si="18"/>
        <v/>
      </c>
      <c r="AG22" s="59" t="str">
        <f t="shared" si="18"/>
        <v/>
      </c>
      <c r="AH22" s="59" t="str">
        <f t="shared" si="18"/>
        <v/>
      </c>
      <c r="AI22" s="59" t="str">
        <f t="shared" si="18"/>
        <v/>
      </c>
      <c r="AJ22" s="59" t="str">
        <f t="shared" si="18"/>
        <v/>
      </c>
      <c r="AK22" s="59" t="str">
        <f t="shared" si="18"/>
        <v/>
      </c>
      <c r="AL22" s="59" t="str">
        <f t="shared" si="18"/>
        <v/>
      </c>
      <c r="AM22" s="59" t="str">
        <f t="shared" si="18"/>
        <v/>
      </c>
      <c r="AN22" s="59" t="str">
        <f t="shared" si="18"/>
        <v/>
      </c>
      <c r="AO22" s="59" t="str">
        <f t="shared" si="18"/>
        <v/>
      </c>
    </row>
    <row r="23" ht="15" customHeight="1" spans="1:41">
      <c r="A23" s="53"/>
      <c r="B23" s="54" t="s">
        <v>49</v>
      </c>
      <c r="C23" s="55" t="s">
        <v>50</v>
      </c>
      <c r="D23" s="56">
        <v>0.945</v>
      </c>
      <c r="E23" s="56">
        <v>0.015</v>
      </c>
      <c r="F23" s="56">
        <v>-0.015</v>
      </c>
      <c r="G23" s="57">
        <f t="shared" si="10"/>
        <v>0.96</v>
      </c>
      <c r="H23" s="57">
        <f t="shared" si="11"/>
        <v>0.93</v>
      </c>
      <c r="I23" s="56" t="s">
        <v>36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9" t="str">
        <f t="shared" ref="Z23:AO23" si="19">IF(J23="","",IF(J23&gt;($D23+$E23),(J23-$D23-$E23),IF(J23&lt;($D23+$F23),(J23-$D23-$F23),"√")))</f>
        <v/>
      </c>
      <c r="AA23" s="59" t="str">
        <f t="shared" si="19"/>
        <v/>
      </c>
      <c r="AB23" s="59" t="str">
        <f t="shared" si="19"/>
        <v/>
      </c>
      <c r="AC23" s="59" t="str">
        <f t="shared" si="19"/>
        <v/>
      </c>
      <c r="AD23" s="59" t="str">
        <f t="shared" si="19"/>
        <v/>
      </c>
      <c r="AE23" s="59" t="str">
        <f t="shared" si="19"/>
        <v/>
      </c>
      <c r="AF23" s="59" t="str">
        <f t="shared" si="19"/>
        <v/>
      </c>
      <c r="AG23" s="59" t="str">
        <f t="shared" si="19"/>
        <v/>
      </c>
      <c r="AH23" s="59" t="str">
        <f t="shared" si="19"/>
        <v/>
      </c>
      <c r="AI23" s="59" t="str">
        <f t="shared" si="19"/>
        <v/>
      </c>
      <c r="AJ23" s="59" t="str">
        <f t="shared" si="19"/>
        <v/>
      </c>
      <c r="AK23" s="59" t="str">
        <f t="shared" si="19"/>
        <v/>
      </c>
      <c r="AL23" s="59" t="str">
        <f t="shared" si="19"/>
        <v/>
      </c>
      <c r="AM23" s="59" t="str">
        <f t="shared" si="19"/>
        <v/>
      </c>
      <c r="AN23" s="59" t="str">
        <f t="shared" si="19"/>
        <v/>
      </c>
      <c r="AO23" s="59" t="str">
        <f t="shared" si="19"/>
        <v/>
      </c>
    </row>
    <row r="24" ht="15" customHeight="1" spans="1:41">
      <c r="A24" s="53"/>
      <c r="B24" s="54" t="s">
        <v>51</v>
      </c>
      <c r="C24" s="55"/>
      <c r="D24" s="56">
        <v>1.811</v>
      </c>
      <c r="E24" s="56">
        <v>0.01</v>
      </c>
      <c r="F24" s="56">
        <v>-0.01</v>
      </c>
      <c r="G24" s="57">
        <f t="shared" si="10"/>
        <v>1.821</v>
      </c>
      <c r="H24" s="57">
        <f t="shared" si="11"/>
        <v>1.801</v>
      </c>
      <c r="I24" s="56" t="s">
        <v>36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9" t="str">
        <f t="shared" ref="Z24:AO24" si="20">IF(J24="","",IF(J24&gt;($D24+$E24),(J24-$D24-$E24),IF(J24&lt;($D24+$F24),(J24-$D24-$F24),"√")))</f>
        <v/>
      </c>
      <c r="AA24" s="59" t="str">
        <f t="shared" si="20"/>
        <v/>
      </c>
      <c r="AB24" s="59" t="str">
        <f t="shared" si="20"/>
        <v/>
      </c>
      <c r="AC24" s="59" t="str">
        <f t="shared" si="20"/>
        <v/>
      </c>
      <c r="AD24" s="59" t="str">
        <f t="shared" si="20"/>
        <v/>
      </c>
      <c r="AE24" s="59" t="str">
        <f t="shared" si="20"/>
        <v/>
      </c>
      <c r="AF24" s="59" t="str">
        <f t="shared" si="20"/>
        <v/>
      </c>
      <c r="AG24" s="59" t="str">
        <f t="shared" si="20"/>
        <v/>
      </c>
      <c r="AH24" s="59" t="str">
        <f t="shared" si="20"/>
        <v/>
      </c>
      <c r="AI24" s="59" t="str">
        <f t="shared" si="20"/>
        <v/>
      </c>
      <c r="AJ24" s="59" t="str">
        <f t="shared" si="20"/>
        <v/>
      </c>
      <c r="AK24" s="59" t="str">
        <f t="shared" si="20"/>
        <v/>
      </c>
      <c r="AL24" s="59" t="str">
        <f t="shared" si="20"/>
        <v/>
      </c>
      <c r="AM24" s="59" t="str">
        <f t="shared" si="20"/>
        <v/>
      </c>
      <c r="AN24" s="59" t="str">
        <f t="shared" si="20"/>
        <v/>
      </c>
      <c r="AO24" s="59" t="str">
        <f t="shared" si="20"/>
        <v/>
      </c>
    </row>
    <row r="25" ht="15" customHeight="1" spans="1:41">
      <c r="A25" s="53"/>
      <c r="B25" s="54" t="s">
        <v>52</v>
      </c>
      <c r="C25" s="55"/>
      <c r="D25" s="56"/>
      <c r="E25" s="56"/>
      <c r="F25" s="56"/>
      <c r="G25" s="57"/>
      <c r="H25" s="57"/>
      <c r="I25" s="56" t="s">
        <v>36</v>
      </c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</row>
    <row r="26" ht="15" customHeight="1" spans="1:41">
      <c r="A26" s="53"/>
      <c r="B26" s="54" t="s">
        <v>53</v>
      </c>
      <c r="C26" s="55"/>
      <c r="D26" s="56"/>
      <c r="E26" s="56"/>
      <c r="F26" s="56"/>
      <c r="G26" s="57"/>
      <c r="H26" s="57"/>
      <c r="I26" s="56" t="s">
        <v>36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</row>
    <row r="27" ht="15" customHeight="1" spans="1:41">
      <c r="A27" s="53"/>
      <c r="B27" s="54" t="s">
        <v>54</v>
      </c>
      <c r="C27" s="55" t="s">
        <v>55</v>
      </c>
      <c r="D27" s="56">
        <v>0</v>
      </c>
      <c r="E27" s="56">
        <v>0.1</v>
      </c>
      <c r="F27" s="56">
        <v>0</v>
      </c>
      <c r="G27" s="57">
        <f>D27+E27</f>
        <v>0.1</v>
      </c>
      <c r="H27" s="57">
        <f>D27+F27</f>
        <v>0</v>
      </c>
      <c r="I27" s="56" t="s">
        <v>36</v>
      </c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9" t="str">
        <f t="shared" ref="Z27:AO27" si="21">IF(J27="","",IF(J27&gt;($D27+$E27),(J27-$D27-$E27),IF(J27&lt;($D27+$F27),(J27-$D27-$F27),"√")))</f>
        <v/>
      </c>
      <c r="AA27" s="59" t="str">
        <f t="shared" si="21"/>
        <v/>
      </c>
      <c r="AB27" s="59" t="str">
        <f t="shared" si="21"/>
        <v/>
      </c>
      <c r="AC27" s="59" t="str">
        <f t="shared" si="21"/>
        <v/>
      </c>
      <c r="AD27" s="59" t="str">
        <f t="shared" si="21"/>
        <v/>
      </c>
      <c r="AE27" s="59" t="str">
        <f t="shared" si="21"/>
        <v/>
      </c>
      <c r="AF27" s="59" t="str">
        <f t="shared" si="21"/>
        <v/>
      </c>
      <c r="AG27" s="59" t="str">
        <f t="shared" si="21"/>
        <v/>
      </c>
      <c r="AH27" s="59" t="str">
        <f t="shared" si="21"/>
        <v/>
      </c>
      <c r="AI27" s="59" t="str">
        <f t="shared" si="21"/>
        <v/>
      </c>
      <c r="AJ27" s="59" t="str">
        <f t="shared" si="21"/>
        <v/>
      </c>
      <c r="AK27" s="59" t="str">
        <f t="shared" si="21"/>
        <v/>
      </c>
      <c r="AL27" s="59" t="str">
        <f t="shared" si="21"/>
        <v/>
      </c>
      <c r="AM27" s="59" t="str">
        <f t="shared" si="21"/>
        <v/>
      </c>
      <c r="AN27" s="59" t="str">
        <f t="shared" si="21"/>
        <v/>
      </c>
      <c r="AO27" s="59" t="str">
        <f t="shared" si="21"/>
        <v/>
      </c>
    </row>
    <row r="28" ht="15" customHeight="1" spans="1:41">
      <c r="A28" s="53"/>
      <c r="B28" s="54" t="s">
        <v>56</v>
      </c>
      <c r="C28" s="55"/>
      <c r="D28" s="56"/>
      <c r="E28" s="56"/>
      <c r="F28" s="56"/>
      <c r="G28" s="57"/>
      <c r="H28" s="57"/>
      <c r="I28" s="56" t="s">
        <v>36</v>
      </c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</row>
    <row r="29" ht="15" customHeight="1" spans="1:41">
      <c r="A29" s="53"/>
      <c r="B29" s="54" t="s">
        <v>57</v>
      </c>
      <c r="C29" s="55"/>
      <c r="D29" s="56"/>
      <c r="E29" s="56"/>
      <c r="F29" s="56"/>
      <c r="G29" s="57"/>
      <c r="H29" s="57"/>
      <c r="I29" s="56" t="s">
        <v>36</v>
      </c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</row>
    <row r="30" ht="15" customHeight="1" spans="1:41">
      <c r="A30" s="53"/>
      <c r="B30" s="54" t="s">
        <v>58</v>
      </c>
      <c r="C30" s="55" t="s">
        <v>55</v>
      </c>
      <c r="D30" s="56">
        <v>0</v>
      </c>
      <c r="E30" s="56">
        <v>0.1</v>
      </c>
      <c r="F30" s="56">
        <v>0</v>
      </c>
      <c r="G30" s="57">
        <f>D30+E30</f>
        <v>0.1</v>
      </c>
      <c r="H30" s="57">
        <f>D30+F30</f>
        <v>0</v>
      </c>
      <c r="I30" s="56" t="s">
        <v>36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9" t="str">
        <f t="shared" ref="Z30:AO30" si="22">IF(J30="","",IF(J30&gt;($D30+$E30),(J30-$D30-$E30),IF(J30&lt;($D30+$F30),(J30-$D30-$F30),"√")))</f>
        <v/>
      </c>
      <c r="AA30" s="59" t="str">
        <f t="shared" si="22"/>
        <v/>
      </c>
      <c r="AB30" s="59" t="str">
        <f t="shared" si="22"/>
        <v/>
      </c>
      <c r="AC30" s="59" t="str">
        <f t="shared" si="22"/>
        <v/>
      </c>
      <c r="AD30" s="59" t="str">
        <f t="shared" si="22"/>
        <v/>
      </c>
      <c r="AE30" s="59" t="str">
        <f t="shared" si="22"/>
        <v/>
      </c>
      <c r="AF30" s="59" t="str">
        <f t="shared" si="22"/>
        <v/>
      </c>
      <c r="AG30" s="59" t="str">
        <f t="shared" si="22"/>
        <v/>
      </c>
      <c r="AH30" s="59" t="str">
        <f t="shared" si="22"/>
        <v/>
      </c>
      <c r="AI30" s="59" t="str">
        <f t="shared" si="22"/>
        <v/>
      </c>
      <c r="AJ30" s="59" t="str">
        <f t="shared" si="22"/>
        <v/>
      </c>
      <c r="AK30" s="59" t="str">
        <f t="shared" si="22"/>
        <v/>
      </c>
      <c r="AL30" s="59" t="str">
        <f t="shared" si="22"/>
        <v/>
      </c>
      <c r="AM30" s="59" t="str">
        <f t="shared" si="22"/>
        <v/>
      </c>
      <c r="AN30" s="59" t="str">
        <f t="shared" si="22"/>
        <v/>
      </c>
      <c r="AO30" s="59" t="str">
        <f t="shared" si="22"/>
        <v/>
      </c>
    </row>
    <row r="31" ht="15" customHeight="1" spans="1:41">
      <c r="A31" s="53"/>
      <c r="B31" s="54" t="s">
        <v>59</v>
      </c>
      <c r="C31" s="55"/>
      <c r="D31" s="56"/>
      <c r="E31" s="56"/>
      <c r="F31" s="56"/>
      <c r="G31" s="57"/>
      <c r="H31" s="57"/>
      <c r="I31" s="56" t="s">
        <v>36</v>
      </c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</row>
    <row r="32" ht="15" customHeight="1" spans="1:41">
      <c r="A32" s="53"/>
      <c r="B32" s="54" t="s">
        <v>60</v>
      </c>
      <c r="C32" s="55"/>
      <c r="D32" s="56"/>
      <c r="E32" s="56"/>
      <c r="F32" s="56"/>
      <c r="G32" s="57"/>
      <c r="H32" s="57"/>
      <c r="I32" s="56" t="s">
        <v>36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</row>
    <row r="33" ht="15" customHeight="1" spans="1:41">
      <c r="A33" s="53"/>
      <c r="B33" s="54" t="s">
        <v>61</v>
      </c>
      <c r="C33" s="55" t="s">
        <v>62</v>
      </c>
      <c r="D33" s="56">
        <v>0</v>
      </c>
      <c r="E33" s="56">
        <v>0.05</v>
      </c>
      <c r="F33" s="56">
        <v>0</v>
      </c>
      <c r="G33" s="57">
        <f t="shared" ref="G33:G37" si="23">D33+E33</f>
        <v>0.05</v>
      </c>
      <c r="H33" s="57">
        <f t="shared" ref="H33:H37" si="24">D33+F33</f>
        <v>0</v>
      </c>
      <c r="I33" s="56" t="s">
        <v>36</v>
      </c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9" t="str">
        <f t="shared" ref="Z33:AO33" si="25">IF(J33="","",IF(J33&gt;($D33+$E33),(J33-$D33-$E33),IF(J33&lt;($D33+$F33),(J33-$D33-$F33),"√")))</f>
        <v/>
      </c>
      <c r="AA33" s="59" t="str">
        <f t="shared" si="25"/>
        <v/>
      </c>
      <c r="AB33" s="59" t="str">
        <f t="shared" si="25"/>
        <v/>
      </c>
      <c r="AC33" s="59" t="str">
        <f t="shared" si="25"/>
        <v/>
      </c>
      <c r="AD33" s="59" t="str">
        <f t="shared" si="25"/>
        <v/>
      </c>
      <c r="AE33" s="59" t="str">
        <f t="shared" si="25"/>
        <v/>
      </c>
      <c r="AF33" s="59" t="str">
        <f t="shared" si="25"/>
        <v/>
      </c>
      <c r="AG33" s="59" t="str">
        <f t="shared" si="25"/>
        <v/>
      </c>
      <c r="AH33" s="59" t="str">
        <f t="shared" si="25"/>
        <v/>
      </c>
      <c r="AI33" s="59" t="str">
        <f t="shared" si="25"/>
        <v/>
      </c>
      <c r="AJ33" s="59" t="str">
        <f t="shared" si="25"/>
        <v/>
      </c>
      <c r="AK33" s="59" t="str">
        <f t="shared" si="25"/>
        <v/>
      </c>
      <c r="AL33" s="59" t="str">
        <f t="shared" si="25"/>
        <v/>
      </c>
      <c r="AM33" s="59" t="str">
        <f t="shared" si="25"/>
        <v/>
      </c>
      <c r="AN33" s="59" t="str">
        <f t="shared" si="25"/>
        <v/>
      </c>
      <c r="AO33" s="59" t="str">
        <f t="shared" si="25"/>
        <v/>
      </c>
    </row>
    <row r="34" ht="15" customHeight="1" spans="1:41">
      <c r="A34" s="53"/>
      <c r="B34" s="54" t="s">
        <v>63</v>
      </c>
      <c r="C34" s="55"/>
      <c r="D34" s="56"/>
      <c r="E34" s="56"/>
      <c r="F34" s="56"/>
      <c r="G34" s="57"/>
      <c r="H34" s="57"/>
      <c r="I34" s="56" t="s">
        <v>36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</row>
    <row r="35" ht="15" customHeight="1" spans="1:41">
      <c r="A35" s="53"/>
      <c r="B35" s="54" t="s">
        <v>64</v>
      </c>
      <c r="C35" s="55"/>
      <c r="D35" s="56"/>
      <c r="E35" s="56"/>
      <c r="F35" s="56"/>
      <c r="G35" s="57"/>
      <c r="H35" s="57"/>
      <c r="I35" s="56" t="s">
        <v>36</v>
      </c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</row>
    <row r="36" ht="15" customHeight="1" spans="1:41">
      <c r="A36" s="53"/>
      <c r="B36" s="54" t="s">
        <v>65</v>
      </c>
      <c r="C36" s="55" t="s">
        <v>62</v>
      </c>
      <c r="D36" s="56">
        <v>0</v>
      </c>
      <c r="E36" s="56">
        <v>0.05</v>
      </c>
      <c r="F36" s="56">
        <v>0</v>
      </c>
      <c r="G36" s="57">
        <f t="shared" si="23"/>
        <v>0.05</v>
      </c>
      <c r="H36" s="57">
        <f t="shared" si="24"/>
        <v>0</v>
      </c>
      <c r="I36" s="56" t="s">
        <v>36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9" t="str">
        <f t="shared" ref="Z36:AO36" si="26">IF(J36="","",IF(J36&gt;($D36+$E36),(J36-$D36-$E36),IF(J36&lt;($D36+$F36),(J36-$D36-$F36),"√")))</f>
        <v/>
      </c>
      <c r="AA36" s="59" t="str">
        <f t="shared" si="26"/>
        <v/>
      </c>
      <c r="AB36" s="59" t="str">
        <f t="shared" si="26"/>
        <v/>
      </c>
      <c r="AC36" s="59" t="str">
        <f t="shared" si="26"/>
        <v/>
      </c>
      <c r="AD36" s="59" t="str">
        <f t="shared" si="26"/>
        <v/>
      </c>
      <c r="AE36" s="59" t="str">
        <f t="shared" si="26"/>
        <v/>
      </c>
      <c r="AF36" s="59" t="str">
        <f t="shared" si="26"/>
        <v/>
      </c>
      <c r="AG36" s="59" t="str">
        <f t="shared" si="26"/>
        <v/>
      </c>
      <c r="AH36" s="59" t="str">
        <f t="shared" si="26"/>
        <v/>
      </c>
      <c r="AI36" s="59" t="str">
        <f t="shared" si="26"/>
        <v/>
      </c>
      <c r="AJ36" s="59" t="str">
        <f t="shared" si="26"/>
        <v/>
      </c>
      <c r="AK36" s="59" t="str">
        <f t="shared" si="26"/>
        <v/>
      </c>
      <c r="AL36" s="59" t="str">
        <f t="shared" si="26"/>
        <v/>
      </c>
      <c r="AM36" s="59" t="str">
        <f t="shared" si="26"/>
        <v/>
      </c>
      <c r="AN36" s="59" t="str">
        <f t="shared" si="26"/>
        <v/>
      </c>
      <c r="AO36" s="59" t="str">
        <f t="shared" si="26"/>
        <v/>
      </c>
    </row>
    <row r="37" ht="15" customHeight="1" spans="1:41">
      <c r="A37" s="53"/>
      <c r="B37" s="54" t="s">
        <v>66</v>
      </c>
      <c r="C37" s="55" t="s">
        <v>67</v>
      </c>
      <c r="D37" s="56">
        <v>0</v>
      </c>
      <c r="E37" s="56">
        <v>0.03</v>
      </c>
      <c r="F37" s="56">
        <v>0</v>
      </c>
      <c r="G37" s="57">
        <f t="shared" si="23"/>
        <v>0.03</v>
      </c>
      <c r="H37" s="57">
        <f t="shared" si="24"/>
        <v>0</v>
      </c>
      <c r="I37" s="56" t="s">
        <v>36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9" t="str">
        <f t="shared" ref="Z37:AO37" si="27">IF(J37="","",IF(J37&gt;($D37+$E37),(J37-$D37-$E37),IF(J37&lt;($D37+$F37),(J37-$D37-$F37),"√")))</f>
        <v/>
      </c>
      <c r="AA37" s="59" t="str">
        <f t="shared" si="27"/>
        <v/>
      </c>
      <c r="AB37" s="59" t="str">
        <f t="shared" si="27"/>
        <v/>
      </c>
      <c r="AC37" s="59" t="str">
        <f t="shared" si="27"/>
        <v/>
      </c>
      <c r="AD37" s="59" t="str">
        <f t="shared" si="27"/>
        <v/>
      </c>
      <c r="AE37" s="59" t="str">
        <f t="shared" si="27"/>
        <v/>
      </c>
      <c r="AF37" s="59" t="str">
        <f t="shared" si="27"/>
        <v/>
      </c>
      <c r="AG37" s="59" t="str">
        <f t="shared" si="27"/>
        <v/>
      </c>
      <c r="AH37" s="59" t="str">
        <f t="shared" si="27"/>
        <v/>
      </c>
      <c r="AI37" s="59" t="str">
        <f t="shared" si="27"/>
        <v/>
      </c>
      <c r="AJ37" s="59" t="str">
        <f t="shared" si="27"/>
        <v/>
      </c>
      <c r="AK37" s="59" t="str">
        <f t="shared" si="27"/>
        <v/>
      </c>
      <c r="AL37" s="59" t="str">
        <f t="shared" si="27"/>
        <v/>
      </c>
      <c r="AM37" s="59" t="str">
        <f t="shared" si="27"/>
        <v/>
      </c>
      <c r="AN37" s="59" t="str">
        <f t="shared" si="27"/>
        <v/>
      </c>
      <c r="AO37" s="59" t="str">
        <f t="shared" si="27"/>
        <v/>
      </c>
    </row>
    <row r="38" ht="15" customHeight="1" spans="1:41">
      <c r="A38" s="53"/>
      <c r="B38" s="54">
        <v>1</v>
      </c>
      <c r="C38" s="55"/>
      <c r="D38" s="56"/>
      <c r="E38" s="56"/>
      <c r="F38" s="56"/>
      <c r="G38" s="57"/>
      <c r="H38" s="57"/>
      <c r="I38" s="56" t="s">
        <v>36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</row>
    <row r="39" ht="15" customHeight="1" spans="1:41">
      <c r="A39" s="53"/>
      <c r="B39" s="54">
        <v>2</v>
      </c>
      <c r="C39" s="55"/>
      <c r="D39" s="56"/>
      <c r="E39" s="56"/>
      <c r="F39" s="56"/>
      <c r="G39" s="57"/>
      <c r="H39" s="57"/>
      <c r="I39" s="56" t="s">
        <v>36</v>
      </c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</row>
    <row r="40" ht="15" customHeight="1" spans="1:41">
      <c r="A40" s="53"/>
      <c r="B40" s="54">
        <v>3</v>
      </c>
      <c r="C40" s="55"/>
      <c r="D40" s="56"/>
      <c r="E40" s="56"/>
      <c r="F40" s="56"/>
      <c r="G40" s="57"/>
      <c r="H40" s="57"/>
      <c r="I40" s="56" t="s">
        <v>36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</row>
    <row r="41" ht="15" customHeight="1" spans="1:41">
      <c r="A41" s="53"/>
      <c r="B41" s="54">
        <v>4</v>
      </c>
      <c r="C41" s="55"/>
      <c r="D41" s="56"/>
      <c r="E41" s="56"/>
      <c r="F41" s="56"/>
      <c r="G41" s="57"/>
      <c r="H41" s="57"/>
      <c r="I41" s="56" t="s">
        <v>36</v>
      </c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</row>
    <row r="42" ht="15" customHeight="1" spans="1:41">
      <c r="A42" s="53"/>
      <c r="B42" s="54">
        <v>5</v>
      </c>
      <c r="C42" s="55"/>
      <c r="D42" s="56"/>
      <c r="E42" s="56"/>
      <c r="F42" s="56"/>
      <c r="G42" s="57"/>
      <c r="H42" s="57"/>
      <c r="I42" s="56" t="s">
        <v>36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</row>
    <row r="43" ht="15" customHeight="1" spans="1:41">
      <c r="A43" s="53"/>
      <c r="B43" s="54">
        <v>6</v>
      </c>
      <c r="C43" s="55"/>
      <c r="D43" s="56"/>
      <c r="E43" s="56"/>
      <c r="F43" s="56"/>
      <c r="G43" s="57"/>
      <c r="H43" s="57"/>
      <c r="I43" s="56" t="s">
        <v>36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</row>
    <row r="44" ht="15" customHeight="1" spans="1:41">
      <c r="A44" s="53"/>
      <c r="B44" s="54">
        <v>7</v>
      </c>
      <c r="C44" s="55"/>
      <c r="D44" s="56"/>
      <c r="E44" s="56"/>
      <c r="F44" s="56"/>
      <c r="G44" s="57"/>
      <c r="H44" s="57"/>
      <c r="I44" s="56" t="s">
        <v>36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</row>
    <row r="45" ht="15" customHeight="1" spans="1:41">
      <c r="A45" s="53"/>
      <c r="B45" s="54">
        <v>8</v>
      </c>
      <c r="C45" s="55"/>
      <c r="D45" s="56"/>
      <c r="E45" s="56"/>
      <c r="F45" s="56"/>
      <c r="G45" s="57"/>
      <c r="H45" s="57"/>
      <c r="I45" s="56" t="s">
        <v>36</v>
      </c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</row>
    <row r="46" ht="15" customHeight="1" spans="1:41">
      <c r="A46" s="53"/>
      <c r="B46" s="54">
        <v>9</v>
      </c>
      <c r="C46" s="55"/>
      <c r="D46" s="56"/>
      <c r="E46" s="56"/>
      <c r="F46" s="56"/>
      <c r="G46" s="57"/>
      <c r="H46" s="57"/>
      <c r="I46" s="56" t="s">
        <v>36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</row>
    <row r="47" ht="15" customHeight="1" spans="1:41">
      <c r="A47" s="53"/>
      <c r="B47" s="54">
        <v>10</v>
      </c>
      <c r="C47" s="55"/>
      <c r="D47" s="56"/>
      <c r="E47" s="56"/>
      <c r="F47" s="56"/>
      <c r="G47" s="57"/>
      <c r="H47" s="57"/>
      <c r="I47" s="56" t="s">
        <v>36</v>
      </c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</row>
    <row r="48" ht="15" customHeight="1" spans="1:41">
      <c r="A48" s="53"/>
      <c r="B48" s="54" t="s">
        <v>68</v>
      </c>
      <c r="C48" s="55" t="s">
        <v>69</v>
      </c>
      <c r="D48" s="56">
        <v>0</v>
      </c>
      <c r="E48" s="56">
        <v>0.06</v>
      </c>
      <c r="F48" s="56">
        <v>0</v>
      </c>
      <c r="G48" s="57">
        <v>0.06</v>
      </c>
      <c r="H48" s="57">
        <f>D48+F48</f>
        <v>0</v>
      </c>
      <c r="I48" s="56" t="s">
        <v>36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9" t="str">
        <f t="shared" ref="Z48:AO48" si="28">IF(J48="","",IF(J48&gt;($D48+$E48),(J48-$D48-$E48),IF(J48&lt;($D48+$F48),(J48-$D48-$F48),"√")))</f>
        <v/>
      </c>
      <c r="AA48" s="59" t="str">
        <f t="shared" si="28"/>
        <v/>
      </c>
      <c r="AB48" s="59" t="str">
        <f t="shared" si="28"/>
        <v/>
      </c>
      <c r="AC48" s="59" t="str">
        <f t="shared" si="28"/>
        <v/>
      </c>
      <c r="AD48" s="59" t="str">
        <f t="shared" si="28"/>
        <v/>
      </c>
      <c r="AE48" s="59" t="str">
        <f t="shared" si="28"/>
        <v/>
      </c>
      <c r="AF48" s="59" t="str">
        <f t="shared" si="28"/>
        <v/>
      </c>
      <c r="AG48" s="59" t="str">
        <f t="shared" si="28"/>
        <v/>
      </c>
      <c r="AH48" s="59" t="str">
        <f t="shared" si="28"/>
        <v/>
      </c>
      <c r="AI48" s="59" t="str">
        <f t="shared" si="28"/>
        <v/>
      </c>
      <c r="AJ48" s="59" t="str">
        <f t="shared" si="28"/>
        <v/>
      </c>
      <c r="AK48" s="59" t="str">
        <f t="shared" si="28"/>
        <v/>
      </c>
      <c r="AL48" s="59" t="str">
        <f t="shared" si="28"/>
        <v/>
      </c>
      <c r="AM48" s="59" t="str">
        <f t="shared" si="28"/>
        <v/>
      </c>
      <c r="AN48" s="59" t="str">
        <f t="shared" si="28"/>
        <v/>
      </c>
      <c r="AO48" s="59" t="str">
        <f t="shared" si="28"/>
        <v/>
      </c>
    </row>
    <row r="49" ht="15" customHeight="1" spans="1:41">
      <c r="A49" s="53"/>
      <c r="B49" s="54">
        <v>1</v>
      </c>
      <c r="C49" s="55"/>
      <c r="D49" s="56"/>
      <c r="E49" s="56"/>
      <c r="F49" s="56"/>
      <c r="G49" s="57"/>
      <c r="H49" s="57"/>
      <c r="I49" s="56" t="s">
        <v>36</v>
      </c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</row>
    <row r="50" ht="15" customHeight="1" spans="1:41">
      <c r="A50" s="53"/>
      <c r="B50" s="54">
        <v>2</v>
      </c>
      <c r="C50" s="55"/>
      <c r="D50" s="56"/>
      <c r="E50" s="56"/>
      <c r="F50" s="56"/>
      <c r="G50" s="57"/>
      <c r="H50" s="57"/>
      <c r="I50" s="56" t="s">
        <v>36</v>
      </c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</row>
    <row r="51" ht="15" customHeight="1" spans="1:41">
      <c r="A51" s="53"/>
      <c r="B51" s="54">
        <v>3</v>
      </c>
      <c r="C51" s="55"/>
      <c r="D51" s="56"/>
      <c r="E51" s="56"/>
      <c r="F51" s="56"/>
      <c r="G51" s="57"/>
      <c r="H51" s="57"/>
      <c r="I51" s="56" t="s">
        <v>36</v>
      </c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</row>
    <row r="52" ht="15" customHeight="1" spans="1:41">
      <c r="A52" s="53"/>
      <c r="B52" s="54">
        <v>4</v>
      </c>
      <c r="C52" s="55"/>
      <c r="D52" s="56"/>
      <c r="E52" s="56"/>
      <c r="F52" s="56"/>
      <c r="G52" s="57"/>
      <c r="H52" s="57"/>
      <c r="I52" s="56" t="s">
        <v>36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</row>
    <row r="53" ht="15" customHeight="1" spans="1:41">
      <c r="A53" s="53"/>
      <c r="B53" s="54">
        <v>5</v>
      </c>
      <c r="C53" s="55"/>
      <c r="D53" s="56"/>
      <c r="E53" s="56"/>
      <c r="F53" s="56"/>
      <c r="G53" s="57"/>
      <c r="H53" s="57"/>
      <c r="I53" s="56" t="s">
        <v>36</v>
      </c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</row>
    <row r="54" ht="15" customHeight="1" spans="1:41">
      <c r="A54" s="53"/>
      <c r="B54" s="54">
        <v>6</v>
      </c>
      <c r="C54" s="55"/>
      <c r="D54" s="56"/>
      <c r="E54" s="56"/>
      <c r="F54" s="56"/>
      <c r="G54" s="57"/>
      <c r="H54" s="57"/>
      <c r="I54" s="56" t="s">
        <v>36</v>
      </c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</row>
    <row r="55" ht="15" customHeight="1" spans="1:41">
      <c r="A55" s="53"/>
      <c r="B55" s="54">
        <v>7</v>
      </c>
      <c r="C55" s="55"/>
      <c r="D55" s="56"/>
      <c r="E55" s="56"/>
      <c r="F55" s="56"/>
      <c r="G55" s="57"/>
      <c r="H55" s="57"/>
      <c r="I55" s="56" t="s">
        <v>36</v>
      </c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</row>
    <row r="56" ht="15" customHeight="1" spans="1:41">
      <c r="A56" s="53"/>
      <c r="B56" s="54">
        <v>8</v>
      </c>
      <c r="C56" s="55"/>
      <c r="D56" s="56"/>
      <c r="E56" s="56"/>
      <c r="F56" s="56"/>
      <c r="G56" s="57"/>
      <c r="H56" s="57"/>
      <c r="I56" s="56" t="s">
        <v>36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</row>
    <row r="57" ht="15" customHeight="1" spans="1:41">
      <c r="A57" s="53"/>
      <c r="B57" s="54">
        <v>9</v>
      </c>
      <c r="C57" s="55"/>
      <c r="D57" s="56"/>
      <c r="E57" s="56"/>
      <c r="F57" s="56"/>
      <c r="G57" s="57"/>
      <c r="H57" s="57"/>
      <c r="I57" s="56" t="s">
        <v>36</v>
      </c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</row>
    <row r="58" ht="15" customHeight="1" spans="1:41">
      <c r="A58" s="53"/>
      <c r="B58" s="54">
        <v>10</v>
      </c>
      <c r="C58" s="55"/>
      <c r="D58" s="56"/>
      <c r="E58" s="56"/>
      <c r="F58" s="56"/>
      <c r="G58" s="57"/>
      <c r="H58" s="57"/>
      <c r="I58" s="56" t="s">
        <v>36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</row>
    <row r="59" ht="15" customHeight="1" spans="1:41">
      <c r="A59" s="53"/>
      <c r="B59" s="54">
        <v>11</v>
      </c>
      <c r="C59" s="55"/>
      <c r="D59" s="56"/>
      <c r="E59" s="56"/>
      <c r="F59" s="56"/>
      <c r="G59" s="57"/>
      <c r="H59" s="57"/>
      <c r="I59" s="56" t="s">
        <v>36</v>
      </c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</row>
    <row r="60" ht="15" customHeight="1" spans="1:41">
      <c r="A60" s="53"/>
      <c r="B60" s="54">
        <v>12</v>
      </c>
      <c r="C60" s="55"/>
      <c r="D60" s="56"/>
      <c r="E60" s="56"/>
      <c r="F60" s="56"/>
      <c r="G60" s="57"/>
      <c r="H60" s="57"/>
      <c r="I60" s="56" t="s">
        <v>36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</row>
    <row r="61" ht="15" customHeight="1" spans="1:41">
      <c r="A61" s="53"/>
      <c r="B61" s="54">
        <v>13</v>
      </c>
      <c r="C61" s="55"/>
      <c r="D61" s="56"/>
      <c r="E61" s="56"/>
      <c r="F61" s="56"/>
      <c r="G61" s="57"/>
      <c r="H61" s="57"/>
      <c r="I61" s="56" t="s">
        <v>36</v>
      </c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</row>
    <row r="62" ht="15" customHeight="1" spans="1:41">
      <c r="A62" s="53"/>
      <c r="B62" s="54">
        <v>14</v>
      </c>
      <c r="C62" s="55"/>
      <c r="D62" s="56"/>
      <c r="E62" s="56"/>
      <c r="F62" s="56"/>
      <c r="G62" s="57"/>
      <c r="H62" s="57"/>
      <c r="I62" s="56" t="s">
        <v>36</v>
      </c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</row>
    <row r="63" ht="15" customHeight="1" spans="1:41">
      <c r="A63" s="53"/>
      <c r="B63" s="54">
        <v>15</v>
      </c>
      <c r="C63" s="55"/>
      <c r="D63" s="56"/>
      <c r="E63" s="56"/>
      <c r="F63" s="56"/>
      <c r="G63" s="57"/>
      <c r="H63" s="57"/>
      <c r="I63" s="56" t="s">
        <v>36</v>
      </c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</row>
    <row r="64" ht="15" customHeight="1" spans="1:41">
      <c r="A64" s="53"/>
      <c r="B64" s="54">
        <v>16</v>
      </c>
      <c r="C64" s="55"/>
      <c r="D64" s="56"/>
      <c r="E64" s="56"/>
      <c r="F64" s="56"/>
      <c r="G64" s="57"/>
      <c r="H64" s="57"/>
      <c r="I64" s="56" t="s">
        <v>36</v>
      </c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</row>
    <row r="65" ht="15" customHeight="1" spans="1:41">
      <c r="A65" s="53"/>
      <c r="B65" s="54">
        <v>17</v>
      </c>
      <c r="C65" s="55"/>
      <c r="D65" s="56"/>
      <c r="E65" s="56"/>
      <c r="F65" s="56"/>
      <c r="G65" s="57"/>
      <c r="H65" s="57"/>
      <c r="I65" s="56" t="s">
        <v>36</v>
      </c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</row>
    <row r="66" ht="15" customHeight="1" spans="1:41">
      <c r="A66" s="53"/>
      <c r="B66" s="54">
        <v>18</v>
      </c>
      <c r="C66" s="55"/>
      <c r="D66" s="56"/>
      <c r="E66" s="56"/>
      <c r="F66" s="56"/>
      <c r="G66" s="57"/>
      <c r="H66" s="57"/>
      <c r="I66" s="56" t="s">
        <v>36</v>
      </c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</row>
    <row r="67" ht="15" customHeight="1" spans="1:41">
      <c r="A67" s="53"/>
      <c r="B67" s="54">
        <v>19</v>
      </c>
      <c r="C67" s="55"/>
      <c r="D67" s="56"/>
      <c r="E67" s="56"/>
      <c r="F67" s="56"/>
      <c r="G67" s="57"/>
      <c r="H67" s="57"/>
      <c r="I67" s="56" t="s">
        <v>36</v>
      </c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</row>
    <row r="68" ht="15" customHeight="1" spans="1:41">
      <c r="A68" s="53"/>
      <c r="B68" s="54">
        <v>20</v>
      </c>
      <c r="C68" s="55"/>
      <c r="D68" s="56"/>
      <c r="E68" s="56"/>
      <c r="F68" s="56"/>
      <c r="G68" s="57"/>
      <c r="H68" s="57"/>
      <c r="I68" s="56" t="s">
        <v>36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</row>
    <row r="69" ht="15" customHeight="1" spans="1:41">
      <c r="A69" s="53"/>
      <c r="B69" s="54">
        <v>21</v>
      </c>
      <c r="C69" s="55"/>
      <c r="D69" s="56"/>
      <c r="E69" s="56"/>
      <c r="F69" s="56"/>
      <c r="G69" s="57"/>
      <c r="H69" s="57"/>
      <c r="I69" s="56" t="s">
        <v>36</v>
      </c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</row>
    <row r="70" ht="15" customHeight="1" spans="1:41">
      <c r="A70" s="53"/>
      <c r="B70" s="54">
        <v>22</v>
      </c>
      <c r="C70" s="55"/>
      <c r="D70" s="56"/>
      <c r="E70" s="56"/>
      <c r="F70" s="56"/>
      <c r="G70" s="57"/>
      <c r="H70" s="57"/>
      <c r="I70" s="56" t="s">
        <v>36</v>
      </c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</row>
    <row r="71" ht="15" customHeight="1" spans="1:41">
      <c r="A71" s="53"/>
      <c r="B71" s="54">
        <v>23</v>
      </c>
      <c r="C71" s="55"/>
      <c r="D71" s="56"/>
      <c r="E71" s="56"/>
      <c r="F71" s="56"/>
      <c r="G71" s="57"/>
      <c r="H71" s="57"/>
      <c r="I71" s="56" t="s">
        <v>36</v>
      </c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</row>
    <row r="72" ht="15" customHeight="1" spans="1:41">
      <c r="A72" s="53"/>
      <c r="B72" s="54">
        <v>24</v>
      </c>
      <c r="C72" s="55"/>
      <c r="D72" s="56"/>
      <c r="E72" s="56"/>
      <c r="F72" s="56"/>
      <c r="G72" s="57"/>
      <c r="H72" s="57"/>
      <c r="I72" s="56" t="s">
        <v>36</v>
      </c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</row>
    <row r="73" ht="15" customHeight="1" spans="1:41">
      <c r="A73" s="53"/>
      <c r="B73" s="54" t="s">
        <v>70</v>
      </c>
      <c r="C73" s="55" t="s">
        <v>71</v>
      </c>
      <c r="D73" s="56">
        <v>0</v>
      </c>
      <c r="E73" s="56">
        <v>0.06</v>
      </c>
      <c r="F73" s="56">
        <v>0</v>
      </c>
      <c r="G73" s="57">
        <f>D73+E73</f>
        <v>0.06</v>
      </c>
      <c r="H73" s="57">
        <f>D73+F73</f>
        <v>0</v>
      </c>
      <c r="I73" s="56" t="s">
        <v>36</v>
      </c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9" t="str">
        <f t="shared" ref="Z73:AO73" si="29">IF(J73="","",IF(J73&gt;($D73+$E73),(J73-$D73-$E73),IF(J73&lt;($D73+$F73),(J73-$D73-$F73),"√")))</f>
        <v/>
      </c>
      <c r="AA73" s="59" t="str">
        <f t="shared" si="29"/>
        <v/>
      </c>
      <c r="AB73" s="59" t="str">
        <f t="shared" si="29"/>
        <v/>
      </c>
      <c r="AC73" s="59" t="str">
        <f t="shared" si="29"/>
        <v/>
      </c>
      <c r="AD73" s="59" t="str">
        <f t="shared" si="29"/>
        <v/>
      </c>
      <c r="AE73" s="59" t="str">
        <f t="shared" si="29"/>
        <v/>
      </c>
      <c r="AF73" s="59" t="str">
        <f t="shared" si="29"/>
        <v/>
      </c>
      <c r="AG73" s="59" t="str">
        <f t="shared" si="29"/>
        <v/>
      </c>
      <c r="AH73" s="59" t="str">
        <f t="shared" si="29"/>
        <v/>
      </c>
      <c r="AI73" s="59" t="str">
        <f t="shared" si="29"/>
        <v/>
      </c>
      <c r="AJ73" s="59" t="str">
        <f t="shared" si="29"/>
        <v/>
      </c>
      <c r="AK73" s="59" t="str">
        <f t="shared" si="29"/>
        <v/>
      </c>
      <c r="AL73" s="59" t="str">
        <f t="shared" si="29"/>
        <v/>
      </c>
      <c r="AM73" s="59" t="str">
        <f t="shared" si="29"/>
        <v/>
      </c>
      <c r="AN73" s="59" t="str">
        <f t="shared" si="29"/>
        <v/>
      </c>
      <c r="AO73" s="59" t="str">
        <f t="shared" si="29"/>
        <v/>
      </c>
    </row>
    <row r="74" ht="15" customHeight="1" spans="1:41">
      <c r="A74" s="53"/>
      <c r="B74" s="54">
        <v>1</v>
      </c>
      <c r="C74" s="55"/>
      <c r="D74" s="56"/>
      <c r="E74" s="56"/>
      <c r="F74" s="56"/>
      <c r="G74" s="57"/>
      <c r="H74" s="57"/>
      <c r="I74" s="56" t="s">
        <v>36</v>
      </c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</row>
    <row r="75" ht="15" customHeight="1" spans="1:41">
      <c r="A75" s="53"/>
      <c r="B75" s="54">
        <v>2</v>
      </c>
      <c r="C75" s="55"/>
      <c r="D75" s="56"/>
      <c r="E75" s="56"/>
      <c r="F75" s="56"/>
      <c r="G75" s="57"/>
      <c r="H75" s="57"/>
      <c r="I75" s="56" t="s">
        <v>36</v>
      </c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</row>
    <row r="76" ht="15" customHeight="1" spans="1:41">
      <c r="A76" s="53"/>
      <c r="B76" s="54">
        <v>3</v>
      </c>
      <c r="C76" s="55"/>
      <c r="D76" s="56"/>
      <c r="E76" s="56"/>
      <c r="F76" s="56"/>
      <c r="G76" s="57"/>
      <c r="H76" s="57"/>
      <c r="I76" s="56" t="s">
        <v>36</v>
      </c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</row>
    <row r="77" ht="15" customHeight="1" spans="1:41">
      <c r="A77" s="53"/>
      <c r="B77" s="54">
        <v>4</v>
      </c>
      <c r="C77" s="55"/>
      <c r="D77" s="56"/>
      <c r="E77" s="56"/>
      <c r="F77" s="56"/>
      <c r="G77" s="57"/>
      <c r="H77" s="57"/>
      <c r="I77" s="56" t="s">
        <v>36</v>
      </c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</row>
    <row r="78" ht="15" customHeight="1" spans="1:41">
      <c r="A78" s="53"/>
      <c r="B78" s="54">
        <v>5</v>
      </c>
      <c r="C78" s="55"/>
      <c r="D78" s="56"/>
      <c r="E78" s="56"/>
      <c r="F78" s="56"/>
      <c r="G78" s="57"/>
      <c r="H78" s="57"/>
      <c r="I78" s="56" t="s">
        <v>36</v>
      </c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</row>
    <row r="79" ht="15" customHeight="1" spans="1:41">
      <c r="A79" s="53"/>
      <c r="B79" s="54">
        <v>6</v>
      </c>
      <c r="C79" s="55"/>
      <c r="D79" s="56"/>
      <c r="E79" s="56"/>
      <c r="F79" s="56"/>
      <c r="G79" s="57"/>
      <c r="H79" s="57"/>
      <c r="I79" s="56" t="s">
        <v>36</v>
      </c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</row>
    <row r="80" ht="15" customHeight="1" spans="1:41">
      <c r="A80" s="53"/>
      <c r="B80" s="54">
        <v>7</v>
      </c>
      <c r="C80" s="55"/>
      <c r="D80" s="56"/>
      <c r="E80" s="56"/>
      <c r="F80" s="56"/>
      <c r="G80" s="57"/>
      <c r="H80" s="57"/>
      <c r="I80" s="56" t="s">
        <v>36</v>
      </c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</row>
    <row r="81" ht="15" customHeight="1" spans="1:41">
      <c r="A81" s="53"/>
      <c r="B81" s="54">
        <v>8</v>
      </c>
      <c r="C81" s="55"/>
      <c r="D81" s="56"/>
      <c r="E81" s="56"/>
      <c r="F81" s="56"/>
      <c r="G81" s="57"/>
      <c r="H81" s="57"/>
      <c r="I81" s="56" t="s">
        <v>36</v>
      </c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</row>
    <row r="82" ht="15" customHeight="1" spans="1:41">
      <c r="A82" s="53"/>
      <c r="B82" s="54">
        <v>9</v>
      </c>
      <c r="C82" s="55"/>
      <c r="D82" s="56"/>
      <c r="E82" s="56"/>
      <c r="F82" s="56"/>
      <c r="G82" s="57"/>
      <c r="H82" s="57"/>
      <c r="I82" s="56" t="s">
        <v>36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</row>
    <row r="83" ht="15" customHeight="1" spans="1:41">
      <c r="A83" s="53"/>
      <c r="B83" s="54">
        <v>10</v>
      </c>
      <c r="C83" s="55"/>
      <c r="D83" s="56"/>
      <c r="E83" s="56"/>
      <c r="F83" s="56"/>
      <c r="G83" s="57"/>
      <c r="H83" s="57"/>
      <c r="I83" s="56" t="s">
        <v>36</v>
      </c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</row>
    <row r="84" ht="15" customHeight="1" spans="1:41">
      <c r="A84" s="53"/>
      <c r="B84" s="54">
        <v>11</v>
      </c>
      <c r="C84" s="55"/>
      <c r="D84" s="56"/>
      <c r="E84" s="56"/>
      <c r="F84" s="56"/>
      <c r="G84" s="57"/>
      <c r="H84" s="57"/>
      <c r="I84" s="56" t="s">
        <v>36</v>
      </c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</row>
    <row r="85" ht="15" customHeight="1" spans="1:41">
      <c r="A85" s="53"/>
      <c r="B85" s="54">
        <v>12</v>
      </c>
      <c r="C85" s="55"/>
      <c r="D85" s="56"/>
      <c r="E85" s="56"/>
      <c r="F85" s="56"/>
      <c r="G85" s="57"/>
      <c r="H85" s="57"/>
      <c r="I85" s="56" t="s">
        <v>36</v>
      </c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</row>
    <row r="86" ht="15" customHeight="1" spans="1:41">
      <c r="A86" s="53"/>
      <c r="B86" s="54">
        <v>13</v>
      </c>
      <c r="C86" s="55"/>
      <c r="D86" s="56"/>
      <c r="E86" s="56"/>
      <c r="F86" s="56"/>
      <c r="G86" s="57"/>
      <c r="H86" s="57"/>
      <c r="I86" s="56" t="s">
        <v>36</v>
      </c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</row>
    <row r="87" ht="15" customHeight="1" spans="1:41">
      <c r="A87" s="53"/>
      <c r="B87" s="54">
        <v>14</v>
      </c>
      <c r="C87" s="55"/>
      <c r="D87" s="56"/>
      <c r="E87" s="56"/>
      <c r="F87" s="56"/>
      <c r="G87" s="57"/>
      <c r="H87" s="57"/>
      <c r="I87" s="56" t="s">
        <v>36</v>
      </c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</row>
    <row r="88" ht="15" customHeight="1" spans="1:41">
      <c r="A88" s="53"/>
      <c r="B88" s="54">
        <v>15</v>
      </c>
      <c r="C88" s="55"/>
      <c r="D88" s="56"/>
      <c r="E88" s="56"/>
      <c r="F88" s="56"/>
      <c r="G88" s="57"/>
      <c r="H88" s="57"/>
      <c r="I88" s="56" t="s">
        <v>36</v>
      </c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</row>
    <row r="89" ht="15" customHeight="1" spans="1:41">
      <c r="A89" s="53"/>
      <c r="B89" s="54">
        <v>16</v>
      </c>
      <c r="C89" s="55"/>
      <c r="D89" s="56"/>
      <c r="E89" s="56"/>
      <c r="F89" s="56"/>
      <c r="G89" s="57"/>
      <c r="H89" s="57"/>
      <c r="I89" s="56" t="s">
        <v>36</v>
      </c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</row>
    <row r="90" ht="15" customHeight="1" spans="1:41">
      <c r="A90" s="53"/>
      <c r="B90" s="54">
        <v>17</v>
      </c>
      <c r="C90" s="55"/>
      <c r="D90" s="56"/>
      <c r="E90" s="56"/>
      <c r="F90" s="56"/>
      <c r="G90" s="57"/>
      <c r="H90" s="57"/>
      <c r="I90" s="56" t="s">
        <v>36</v>
      </c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</row>
    <row r="91" ht="15" customHeight="1" spans="1:41">
      <c r="A91" s="53"/>
      <c r="B91" s="54">
        <v>18</v>
      </c>
      <c r="C91" s="55"/>
      <c r="D91" s="56"/>
      <c r="E91" s="56"/>
      <c r="F91" s="56"/>
      <c r="G91" s="57"/>
      <c r="H91" s="57"/>
      <c r="I91" s="56" t="s">
        <v>36</v>
      </c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</row>
    <row r="92" ht="15" customHeight="1" spans="1:41">
      <c r="A92" s="53"/>
      <c r="B92" s="54">
        <v>19</v>
      </c>
      <c r="C92" s="55"/>
      <c r="D92" s="56"/>
      <c r="E92" s="56"/>
      <c r="F92" s="56"/>
      <c r="G92" s="57"/>
      <c r="H92" s="57"/>
      <c r="I92" s="56" t="s">
        <v>36</v>
      </c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</row>
    <row r="93" ht="15" customHeight="1" spans="1:41">
      <c r="A93" s="53"/>
      <c r="B93" s="54">
        <v>20</v>
      </c>
      <c r="C93" s="55"/>
      <c r="D93" s="56"/>
      <c r="E93" s="56"/>
      <c r="F93" s="56"/>
      <c r="G93" s="57"/>
      <c r="H93" s="57"/>
      <c r="I93" s="56" t="s">
        <v>36</v>
      </c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</row>
    <row r="94" ht="15" customHeight="1" spans="1:41">
      <c r="A94" s="53"/>
      <c r="B94" s="54">
        <v>21</v>
      </c>
      <c r="C94" s="55"/>
      <c r="D94" s="56"/>
      <c r="E94" s="56"/>
      <c r="F94" s="56"/>
      <c r="G94" s="57"/>
      <c r="H94" s="57"/>
      <c r="I94" s="56" t="s">
        <v>36</v>
      </c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</row>
    <row r="95" ht="15" customHeight="1" spans="1:41">
      <c r="A95" s="53"/>
      <c r="B95" s="54">
        <v>22</v>
      </c>
      <c r="C95" s="55"/>
      <c r="D95" s="56"/>
      <c r="E95" s="56"/>
      <c r="F95" s="56"/>
      <c r="G95" s="57"/>
      <c r="H95" s="57"/>
      <c r="I95" s="56" t="s">
        <v>36</v>
      </c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</row>
    <row r="96" ht="15" customHeight="1" spans="1:41">
      <c r="A96" s="53"/>
      <c r="B96" s="54">
        <v>23</v>
      </c>
      <c r="C96" s="55"/>
      <c r="D96" s="56"/>
      <c r="E96" s="56"/>
      <c r="F96" s="56"/>
      <c r="G96" s="57"/>
      <c r="H96" s="57"/>
      <c r="I96" s="56" t="s">
        <v>36</v>
      </c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</row>
    <row r="97" ht="15" customHeight="1" spans="1:41">
      <c r="A97" s="53"/>
      <c r="B97" s="54">
        <v>24</v>
      </c>
      <c r="C97" s="55"/>
      <c r="D97" s="56"/>
      <c r="E97" s="56"/>
      <c r="F97" s="56"/>
      <c r="G97" s="57"/>
      <c r="H97" s="57"/>
      <c r="I97" s="56" t="s">
        <v>36</v>
      </c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</row>
    <row r="98" ht="15" customHeight="1" spans="1:41">
      <c r="A98" s="53"/>
      <c r="B98" s="54" t="s">
        <v>72</v>
      </c>
      <c r="C98" s="55" t="s">
        <v>73</v>
      </c>
      <c r="D98" s="56">
        <v>0</v>
      </c>
      <c r="E98" s="56">
        <v>0.1</v>
      </c>
      <c r="F98" s="56">
        <v>0</v>
      </c>
      <c r="G98" s="57">
        <f>D98+E98</f>
        <v>0.1</v>
      </c>
      <c r="H98" s="57">
        <f>D98+F98</f>
        <v>0</v>
      </c>
      <c r="I98" s="56" t="s">
        <v>36</v>
      </c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9" t="str">
        <f t="shared" ref="Z98:AO98" si="30">IF(J98="","",IF(J98&gt;($D98+$E98),(J98-$D98-$E98),IF(J98&lt;($D98+$F98),(J98-$D98-$F98),"√")))</f>
        <v/>
      </c>
      <c r="AA98" s="59" t="str">
        <f t="shared" si="30"/>
        <v/>
      </c>
      <c r="AB98" s="59" t="str">
        <f t="shared" si="30"/>
        <v/>
      </c>
      <c r="AC98" s="59" t="str">
        <f t="shared" si="30"/>
        <v/>
      </c>
      <c r="AD98" s="59" t="str">
        <f t="shared" si="30"/>
        <v/>
      </c>
      <c r="AE98" s="59" t="str">
        <f t="shared" si="30"/>
        <v/>
      </c>
      <c r="AF98" s="59" t="str">
        <f t="shared" si="30"/>
        <v/>
      </c>
      <c r="AG98" s="59" t="str">
        <f t="shared" si="30"/>
        <v/>
      </c>
      <c r="AH98" s="59" t="str">
        <f t="shared" si="30"/>
        <v/>
      </c>
      <c r="AI98" s="59" t="str">
        <f t="shared" si="30"/>
        <v/>
      </c>
      <c r="AJ98" s="59" t="str">
        <f t="shared" si="30"/>
        <v/>
      </c>
      <c r="AK98" s="59" t="str">
        <f t="shared" si="30"/>
        <v/>
      </c>
      <c r="AL98" s="59" t="str">
        <f t="shared" si="30"/>
        <v/>
      </c>
      <c r="AM98" s="59" t="str">
        <f t="shared" si="30"/>
        <v/>
      </c>
      <c r="AN98" s="59" t="str">
        <f t="shared" si="30"/>
        <v/>
      </c>
      <c r="AO98" s="59" t="str">
        <f t="shared" si="30"/>
        <v/>
      </c>
    </row>
    <row r="99" ht="15" customHeight="1" spans="1:41">
      <c r="A99" s="53"/>
      <c r="B99" s="54">
        <v>1</v>
      </c>
      <c r="C99" s="55"/>
      <c r="D99" s="56"/>
      <c r="E99" s="56"/>
      <c r="F99" s="56"/>
      <c r="G99" s="57"/>
      <c r="H99" s="57"/>
      <c r="I99" s="56" t="s">
        <v>36</v>
      </c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</row>
    <row r="100" ht="15" customHeight="1" spans="1:41">
      <c r="A100" s="53"/>
      <c r="B100" s="54">
        <v>2</v>
      </c>
      <c r="C100" s="55"/>
      <c r="D100" s="56"/>
      <c r="E100" s="56"/>
      <c r="F100" s="56"/>
      <c r="G100" s="57"/>
      <c r="H100" s="57"/>
      <c r="I100" s="56" t="s">
        <v>36</v>
      </c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</row>
    <row r="101" ht="15" customHeight="1" spans="1:41">
      <c r="A101" s="53"/>
      <c r="B101" s="54">
        <v>3</v>
      </c>
      <c r="C101" s="55"/>
      <c r="D101" s="56"/>
      <c r="E101" s="56"/>
      <c r="F101" s="56"/>
      <c r="G101" s="57"/>
      <c r="H101" s="57"/>
      <c r="I101" s="56" t="s">
        <v>36</v>
      </c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</row>
    <row r="102" ht="15" customHeight="1" spans="1:41">
      <c r="A102" s="53"/>
      <c r="B102" s="54" t="s">
        <v>74</v>
      </c>
      <c r="C102" s="55" t="s">
        <v>73</v>
      </c>
      <c r="D102" s="56">
        <v>0</v>
      </c>
      <c r="E102" s="56">
        <v>0.1</v>
      </c>
      <c r="F102" s="56">
        <v>0</v>
      </c>
      <c r="G102" s="57">
        <f>D102+E102</f>
        <v>0.1</v>
      </c>
      <c r="H102" s="57">
        <f>D102+F102</f>
        <v>0</v>
      </c>
      <c r="I102" s="56" t="s">
        <v>36</v>
      </c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9" t="str">
        <f t="shared" ref="Z102:AO102" si="31">IF(J102="","",IF(J102&gt;($D102+$E102),(J102-$D102-$E102),IF(J102&lt;($D102+$F102),(J102-$D102-$F102),"√")))</f>
        <v/>
      </c>
      <c r="AA102" s="59" t="str">
        <f t="shared" si="31"/>
        <v/>
      </c>
      <c r="AB102" s="59" t="str">
        <f t="shared" si="31"/>
        <v/>
      </c>
      <c r="AC102" s="59" t="str">
        <f t="shared" si="31"/>
        <v/>
      </c>
      <c r="AD102" s="59" t="str">
        <f t="shared" si="31"/>
        <v/>
      </c>
      <c r="AE102" s="59" t="str">
        <f t="shared" si="31"/>
        <v/>
      </c>
      <c r="AF102" s="59" t="str">
        <f t="shared" si="31"/>
        <v/>
      </c>
      <c r="AG102" s="59" t="str">
        <f t="shared" si="31"/>
        <v/>
      </c>
      <c r="AH102" s="59" t="str">
        <f t="shared" si="31"/>
        <v/>
      </c>
      <c r="AI102" s="59" t="str">
        <f t="shared" si="31"/>
        <v/>
      </c>
      <c r="AJ102" s="59" t="str">
        <f t="shared" si="31"/>
        <v/>
      </c>
      <c r="AK102" s="59" t="str">
        <f t="shared" si="31"/>
        <v/>
      </c>
      <c r="AL102" s="59" t="str">
        <f t="shared" si="31"/>
        <v/>
      </c>
      <c r="AM102" s="59" t="str">
        <f t="shared" si="31"/>
        <v/>
      </c>
      <c r="AN102" s="59" t="str">
        <f t="shared" si="31"/>
        <v/>
      </c>
      <c r="AO102" s="59" t="str">
        <f t="shared" si="31"/>
        <v/>
      </c>
    </row>
    <row r="103" ht="15" customHeight="1" spans="1:41">
      <c r="A103" s="53"/>
      <c r="B103" s="54">
        <v>1</v>
      </c>
      <c r="C103" s="55"/>
      <c r="D103" s="56"/>
      <c r="E103" s="56"/>
      <c r="F103" s="56"/>
      <c r="G103" s="57"/>
      <c r="H103" s="57"/>
      <c r="I103" s="56" t="s">
        <v>36</v>
      </c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</row>
    <row r="104" ht="15" customHeight="1" spans="1:41">
      <c r="A104" s="53"/>
      <c r="B104" s="54">
        <v>2</v>
      </c>
      <c r="C104" s="55"/>
      <c r="D104" s="56"/>
      <c r="E104" s="56"/>
      <c r="F104" s="56"/>
      <c r="G104" s="57"/>
      <c r="H104" s="57"/>
      <c r="I104" s="56" t="s">
        <v>36</v>
      </c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</row>
    <row r="105" ht="15" customHeight="1" spans="1:41">
      <c r="A105" s="53"/>
      <c r="B105" s="54">
        <v>3</v>
      </c>
      <c r="C105" s="55"/>
      <c r="D105" s="56"/>
      <c r="E105" s="56"/>
      <c r="F105" s="56"/>
      <c r="G105" s="57"/>
      <c r="H105" s="57"/>
      <c r="I105" s="56" t="s">
        <v>36</v>
      </c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</row>
    <row r="106" ht="15" customHeight="1" spans="1:41">
      <c r="A106" s="53"/>
      <c r="B106" s="54" t="s">
        <v>75</v>
      </c>
      <c r="C106" s="55"/>
      <c r="D106" s="56">
        <v>0</v>
      </c>
      <c r="E106" s="56">
        <v>0.05</v>
      </c>
      <c r="F106" s="56">
        <v>0</v>
      </c>
      <c r="G106" s="57">
        <f>D106+E106</f>
        <v>0.05</v>
      </c>
      <c r="H106" s="57">
        <f>D106+F106</f>
        <v>0</v>
      </c>
      <c r="I106" s="56" t="s">
        <v>36</v>
      </c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9" t="str">
        <f t="shared" ref="Z106:AO106" si="32">IF(J106="","",IF(J106&gt;($D106+$E106),(J106-$D106-$E106),IF(J106&lt;($D106+$F106),(J106-$D106-$F106),"√")))</f>
        <v/>
      </c>
      <c r="AA106" s="59" t="str">
        <f t="shared" si="32"/>
        <v/>
      </c>
      <c r="AB106" s="59" t="str">
        <f t="shared" si="32"/>
        <v/>
      </c>
      <c r="AC106" s="59" t="str">
        <f t="shared" si="32"/>
        <v/>
      </c>
      <c r="AD106" s="59" t="str">
        <f t="shared" si="32"/>
        <v/>
      </c>
      <c r="AE106" s="59" t="str">
        <f t="shared" si="32"/>
        <v/>
      </c>
      <c r="AF106" s="59" t="str">
        <f t="shared" si="32"/>
        <v/>
      </c>
      <c r="AG106" s="59" t="str">
        <f t="shared" si="32"/>
        <v/>
      </c>
      <c r="AH106" s="59" t="str">
        <f t="shared" si="32"/>
        <v/>
      </c>
      <c r="AI106" s="59" t="str">
        <f t="shared" si="32"/>
        <v/>
      </c>
      <c r="AJ106" s="59" t="str">
        <f t="shared" si="32"/>
        <v/>
      </c>
      <c r="AK106" s="59" t="str">
        <f t="shared" si="32"/>
        <v/>
      </c>
      <c r="AL106" s="59" t="str">
        <f t="shared" si="32"/>
        <v/>
      </c>
      <c r="AM106" s="59" t="str">
        <f t="shared" si="32"/>
        <v/>
      </c>
      <c r="AN106" s="59" t="str">
        <f t="shared" si="32"/>
        <v/>
      </c>
      <c r="AO106" s="59" t="str">
        <f t="shared" si="32"/>
        <v/>
      </c>
    </row>
    <row r="107" ht="15" customHeight="1" spans="1:41">
      <c r="A107" s="53"/>
      <c r="B107" s="54">
        <v>1</v>
      </c>
      <c r="C107" s="55"/>
      <c r="D107" s="56"/>
      <c r="E107" s="56"/>
      <c r="F107" s="56"/>
      <c r="G107" s="57"/>
      <c r="H107" s="57"/>
      <c r="I107" s="56" t="s">
        <v>36</v>
      </c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</row>
    <row r="108" ht="15" customHeight="1" spans="1:41">
      <c r="A108" s="53"/>
      <c r="B108" s="54">
        <v>2</v>
      </c>
      <c r="C108" s="55"/>
      <c r="D108" s="56"/>
      <c r="E108" s="56"/>
      <c r="F108" s="56"/>
      <c r="G108" s="57"/>
      <c r="H108" s="57"/>
      <c r="I108" s="56" t="s">
        <v>36</v>
      </c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</row>
    <row r="109" ht="15" customHeight="1" spans="1:41">
      <c r="A109" s="53"/>
      <c r="B109" s="54">
        <v>3</v>
      </c>
      <c r="C109" s="55"/>
      <c r="D109" s="56"/>
      <c r="E109" s="56"/>
      <c r="F109" s="56"/>
      <c r="G109" s="57"/>
      <c r="H109" s="57"/>
      <c r="I109" s="56" t="s">
        <v>36</v>
      </c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</row>
    <row r="110" ht="15" customHeight="1" spans="1:41">
      <c r="A110" s="53"/>
      <c r="B110" s="54">
        <v>4</v>
      </c>
      <c r="C110" s="55"/>
      <c r="D110" s="56"/>
      <c r="E110" s="56"/>
      <c r="F110" s="56"/>
      <c r="G110" s="57"/>
      <c r="H110" s="57"/>
      <c r="I110" s="56" t="s">
        <v>36</v>
      </c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</row>
    <row r="111" ht="15" customHeight="1" spans="1:41">
      <c r="A111" s="53"/>
      <c r="B111" s="54">
        <v>5</v>
      </c>
      <c r="C111" s="55"/>
      <c r="D111" s="56"/>
      <c r="E111" s="56"/>
      <c r="F111" s="56"/>
      <c r="G111" s="57"/>
      <c r="H111" s="57"/>
      <c r="I111" s="56" t="s">
        <v>36</v>
      </c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</row>
    <row r="112" ht="15" customHeight="1" spans="1:41">
      <c r="A112" s="53"/>
      <c r="B112" s="54" t="s">
        <v>76</v>
      </c>
      <c r="C112" s="55"/>
      <c r="D112" s="56">
        <v>0</v>
      </c>
      <c r="E112" s="56">
        <v>0.05</v>
      </c>
      <c r="F112" s="56">
        <v>0</v>
      </c>
      <c r="G112" s="57">
        <f>D112+E112</f>
        <v>0.05</v>
      </c>
      <c r="H112" s="57">
        <f>D112+F112</f>
        <v>0</v>
      </c>
      <c r="I112" s="56" t="s">
        <v>36</v>
      </c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9" t="str">
        <f t="shared" ref="Z112:AO112" si="33">IF(J112="","",IF(J112&gt;($D112+$E112),(J112-$D112-$E112),IF(J112&lt;($D112+$F112),(J112-$D112-$F112),"√")))</f>
        <v/>
      </c>
      <c r="AA112" s="59" t="str">
        <f t="shared" si="33"/>
        <v/>
      </c>
      <c r="AB112" s="59" t="str">
        <f t="shared" si="33"/>
        <v/>
      </c>
      <c r="AC112" s="59" t="str">
        <f t="shared" si="33"/>
        <v/>
      </c>
      <c r="AD112" s="59" t="str">
        <f t="shared" si="33"/>
        <v/>
      </c>
      <c r="AE112" s="59" t="str">
        <f t="shared" si="33"/>
        <v/>
      </c>
      <c r="AF112" s="59" t="str">
        <f t="shared" si="33"/>
        <v/>
      </c>
      <c r="AG112" s="59" t="str">
        <f t="shared" si="33"/>
        <v/>
      </c>
      <c r="AH112" s="59" t="str">
        <f t="shared" si="33"/>
        <v/>
      </c>
      <c r="AI112" s="59" t="str">
        <f t="shared" si="33"/>
        <v/>
      </c>
      <c r="AJ112" s="59" t="str">
        <f t="shared" si="33"/>
        <v/>
      </c>
      <c r="AK112" s="59" t="str">
        <f t="shared" si="33"/>
        <v/>
      </c>
      <c r="AL112" s="59" t="str">
        <f t="shared" si="33"/>
        <v/>
      </c>
      <c r="AM112" s="59" t="str">
        <f t="shared" si="33"/>
        <v/>
      </c>
      <c r="AN112" s="59" t="str">
        <f t="shared" si="33"/>
        <v/>
      </c>
      <c r="AO112" s="59" t="str">
        <f t="shared" si="33"/>
        <v/>
      </c>
    </row>
    <row r="113" ht="15" customHeight="1" spans="1:41">
      <c r="A113" s="53"/>
      <c r="B113" s="54">
        <v>1</v>
      </c>
      <c r="C113" s="55"/>
      <c r="D113" s="56"/>
      <c r="E113" s="56"/>
      <c r="F113" s="56"/>
      <c r="G113" s="57"/>
      <c r="H113" s="57"/>
      <c r="I113" s="56" t="s">
        <v>36</v>
      </c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</row>
    <row r="114" ht="15" customHeight="1" spans="1:41">
      <c r="A114" s="53"/>
      <c r="B114" s="54">
        <v>2</v>
      </c>
      <c r="C114" s="55"/>
      <c r="D114" s="56"/>
      <c r="E114" s="56"/>
      <c r="F114" s="56"/>
      <c r="G114" s="57"/>
      <c r="H114" s="57"/>
      <c r="I114" s="56" t="s">
        <v>36</v>
      </c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</row>
    <row r="115" ht="15" customHeight="1" spans="1:41">
      <c r="A115" s="53"/>
      <c r="B115" s="54">
        <v>3</v>
      </c>
      <c r="C115" s="55"/>
      <c r="D115" s="56"/>
      <c r="E115" s="56"/>
      <c r="F115" s="56"/>
      <c r="G115" s="57"/>
      <c r="H115" s="57"/>
      <c r="I115" s="56" t="s">
        <v>36</v>
      </c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</row>
    <row r="116" ht="15" customHeight="1" spans="1:41">
      <c r="A116" s="53"/>
      <c r="B116" s="54">
        <v>4</v>
      </c>
      <c r="C116" s="55"/>
      <c r="D116" s="56"/>
      <c r="E116" s="56"/>
      <c r="F116" s="56"/>
      <c r="G116" s="57"/>
      <c r="H116" s="57"/>
      <c r="I116" s="56" t="s">
        <v>36</v>
      </c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</row>
    <row r="117" ht="15" customHeight="1" spans="1:41">
      <c r="A117" s="53"/>
      <c r="B117" s="54">
        <v>5</v>
      </c>
      <c r="C117" s="55"/>
      <c r="D117" s="56"/>
      <c r="E117" s="56"/>
      <c r="F117" s="56"/>
      <c r="G117" s="57"/>
      <c r="H117" s="57"/>
      <c r="I117" s="56" t="s">
        <v>36</v>
      </c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</row>
    <row r="118" spans="1:41">
      <c r="A118" s="61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3"/>
      <c r="AL118" s="64"/>
      <c r="AM118" s="65"/>
      <c r="AN118" s="66"/>
      <c r="AO118" s="67"/>
    </row>
  </sheetData>
  <mergeCells count="32">
    <mergeCell ref="A1:AO1"/>
    <mergeCell ref="S2:X2"/>
    <mergeCell ref="Y2:AD2"/>
    <mergeCell ref="AE2:AJ2"/>
    <mergeCell ref="AK2:AM2"/>
    <mergeCell ref="AN2:AO2"/>
    <mergeCell ref="S3:X3"/>
    <mergeCell ref="Y3:AD3"/>
    <mergeCell ref="AE3:AJ3"/>
    <mergeCell ref="AK3:AM3"/>
    <mergeCell ref="AN3:AO3"/>
    <mergeCell ref="J4:Y4"/>
    <mergeCell ref="Z4:AO4"/>
    <mergeCell ref="J5:Y5"/>
    <mergeCell ref="Z5:AO5"/>
    <mergeCell ref="A118:AK118"/>
    <mergeCell ref="AL118:AM118"/>
    <mergeCell ref="AN118:AO118"/>
    <mergeCell ref="A2:A3"/>
    <mergeCell ref="A4:A6"/>
    <mergeCell ref="A7:A11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23:Y23">
    <cfRule type="cellIs" dxfId="0" priority="11" operator="notBetween">
      <formula>$G23</formula>
      <formula>$H23</formula>
    </cfRule>
  </conditionalFormatting>
  <conditionalFormatting sqref="J106:Y106">
    <cfRule type="cellIs" dxfId="0" priority="17" operator="notBetween">
      <formula>$G106</formula>
      <formula>$H106</formula>
    </cfRule>
  </conditionalFormatting>
  <conditionalFormatting sqref="J112:Y112">
    <cfRule type="cellIs" dxfId="0" priority="16" operator="notBetween">
      <formula>$G112</formula>
      <formula>$H112</formula>
    </cfRule>
  </conditionalFormatting>
  <conditionalFormatting sqref="J7:Y15 J18:Y19 J27:Y27 J30:Y30 J33:Y33 J36:Y37 J48:Y48 J73:Y73 J98:Y98 J102:Y102">
    <cfRule type="cellIs" dxfId="0" priority="91" operator="notBetween">
      <formula>$G7</formula>
      <formula>$H7</formula>
    </cfRule>
  </conditionalFormatting>
  <conditionalFormatting sqref="J16:Y17">
    <cfRule type="cellIs" dxfId="0" priority="10" operator="notBetween">
      <formula>$G16</formula>
      <formula>$H16</formula>
    </cfRule>
  </conditionalFormatting>
  <conditionalFormatting sqref="J20:Y21">
    <cfRule type="cellIs" dxfId="0" priority="18" operator="notBetween">
      <formula>$G20</formula>
      <formula>$H20</formula>
    </cfRule>
  </conditionalFormatting>
  <conditionalFormatting sqref="J22:Y22 J24:Y24">
    <cfRule type="cellIs" dxfId="0" priority="13" operator="notBetween">
      <formula>$G22</formula>
      <formula>$H22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2026-06-11T22:48:00Z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