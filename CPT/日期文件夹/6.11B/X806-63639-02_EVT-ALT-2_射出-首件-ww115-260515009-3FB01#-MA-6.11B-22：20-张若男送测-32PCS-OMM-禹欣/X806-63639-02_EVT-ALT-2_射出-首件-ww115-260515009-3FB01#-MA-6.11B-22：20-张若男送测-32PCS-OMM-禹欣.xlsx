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806-63639" sheetId="8" r:id="rId1"/>
  </sheets>
  <definedNames>
    <definedName name="_xlnm.Print_Area" localSheetId="0">'806-63639'!$B$1:$AE$6</definedName>
    <definedName name="_xlnm.Print_Titles" localSheetId="0">'806-63639'!$1:$6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<sst xmlns="http://schemas.openxmlformats.org/spreadsheetml/2006/main" count="93" uniqueCount="63">
  <si>
    <t>安徽中耀智能科技有限公司首件尺寸报告</t>
  </si>
  <si>
    <t>料号</t>
  </si>
  <si>
    <t>X806-63639</t>
  </si>
  <si>
    <t>工单号</t>
  </si>
  <si>
    <t>ww115-260515009</t>
  </si>
  <si>
    <t>工站</t>
  </si>
  <si>
    <t xml:space="preserve">射出机台号     
</t>
  </si>
  <si>
    <t>量测机台号</t>
  </si>
  <si>
    <t>测量人员</t>
  </si>
  <si>
    <t>审核</t>
  </si>
  <si>
    <t>射出</t>
  </si>
  <si>
    <t>3FB01#</t>
  </si>
  <si>
    <t>OMM4#</t>
  </si>
  <si>
    <t>禹欣</t>
  </si>
  <si>
    <t>陈跃进</t>
  </si>
  <si>
    <t>日期</t>
  </si>
  <si>
    <t>尺寸编号</t>
  </si>
  <si>
    <t>SPC</t>
  </si>
  <si>
    <t>标准值</t>
  </si>
  <si>
    <t>上公差</t>
  </si>
  <si>
    <t>下公差</t>
  </si>
  <si>
    <t>上限</t>
  </si>
  <si>
    <t>下限</t>
  </si>
  <si>
    <t>检测
工具</t>
  </si>
  <si>
    <t>检测结果</t>
  </si>
  <si>
    <t>量测分析</t>
  </si>
  <si>
    <t>测量值</t>
  </si>
  <si>
    <t>判断（√ OR DEV)</t>
  </si>
  <si>
    <t>1-1</t>
  </si>
  <si>
    <t>1-2</t>
  </si>
  <si>
    <t>1-3</t>
  </si>
  <si>
    <t>1-4</t>
  </si>
  <si>
    <t>1-5</t>
  </si>
  <si>
    <t>1-6</t>
  </si>
  <si>
    <t>1-7</t>
  </si>
  <si>
    <t>1-8</t>
  </si>
  <si>
    <t>1-9</t>
  </si>
  <si>
    <t>1-10</t>
  </si>
  <si>
    <t>1-11</t>
  </si>
  <si>
    <t>1-12</t>
  </si>
  <si>
    <t>1-13</t>
  </si>
  <si>
    <t>1-14</t>
  </si>
  <si>
    <t>1-15</t>
  </si>
  <si>
    <t>1-16</t>
  </si>
  <si>
    <t>FAI 15</t>
  </si>
  <si>
    <t>OMM</t>
  </si>
  <si>
    <t>2-1</t>
  </si>
  <si>
    <t>2-2</t>
  </si>
  <si>
    <t>2-3</t>
  </si>
  <si>
    <t>2-4</t>
  </si>
  <si>
    <t>2-5</t>
  </si>
  <si>
    <t>2-6</t>
  </si>
  <si>
    <t>2-7</t>
  </si>
  <si>
    <t>2-8</t>
  </si>
  <si>
    <t>2-9</t>
  </si>
  <si>
    <t>2-10</t>
  </si>
  <si>
    <t>2-11</t>
  </si>
  <si>
    <t>2-12</t>
  </si>
  <si>
    <t>2-13</t>
  </si>
  <si>
    <t>2-14</t>
  </si>
  <si>
    <t>2-15</t>
  </si>
  <si>
    <t>2-16</t>
  </si>
  <si>
    <t>复测1-1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</si>
</sst>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  <numFmt numFmtId="177" formatCode="0.000"/>
  </numFmts>
  <fonts count="35">
    <font>
      <sz val="11"/>
      <color theme="1"/>
      <name val="等线"/>
      <charset val="134"/>
      <scheme val="minor"/>
    </font>
    <font>
      <b/>
      <sz val="26"/>
      <name val="宋体"/>
      <charset val="134"/>
    </font>
    <font>
      <b/>
      <sz val="18"/>
      <name val="宋体"/>
      <charset val="134"/>
    </font>
    <font>
      <b/>
      <sz val="14"/>
      <name val="宋体"/>
      <charset val="134"/>
    </font>
    <font>
      <b/>
      <sz val="16"/>
      <name val="宋体"/>
      <charset val="134"/>
    </font>
    <font>
      <b/>
      <sz val="12"/>
      <name val="宋体"/>
      <charset val="134"/>
    </font>
    <font>
      <b/>
      <sz val="9"/>
      <name val="宋体"/>
      <charset val="134"/>
    </font>
    <font>
      <b/>
      <sz val="11"/>
      <name val="宋体"/>
      <charset val="134"/>
    </font>
    <font>
      <b/>
      <sz val="9"/>
      <name val="Arial"/>
      <charset val="134"/>
    </font>
    <font>
      <b/>
      <sz val="11"/>
      <name val="Arial"/>
      <charset val="134"/>
    </font>
    <font>
      <sz val="10"/>
      <color theme="1"/>
      <name val="等线"/>
      <charset val="134"/>
      <scheme val="minor"/>
    </font>
    <font>
      <sz val="10"/>
      <color theme="1"/>
      <name val="Arial"/>
      <charset val="134"/>
    </font>
    <font>
      <sz val="10"/>
      <name val="Arial"/>
      <charset val="134"/>
    </font>
    <font>
      <sz val="8"/>
      <name val="Arial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新細明體"/>
      <charset val="134"/>
    </font>
    <font>
      <sz val="12"/>
      <color indexed="8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206518753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5" borderId="14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6" borderId="17" applyNumberFormat="0" applyAlignment="0" applyProtection="0">
      <alignment vertical="center"/>
    </xf>
    <xf numFmtId="0" fontId="23" fillId="7" borderId="18" applyNumberFormat="0" applyAlignment="0" applyProtection="0">
      <alignment vertical="center"/>
    </xf>
    <xf numFmtId="0" fontId="24" fillId="7" borderId="17" applyNumberFormat="0" applyAlignment="0" applyProtection="0">
      <alignment vertical="center"/>
    </xf>
    <xf numFmtId="0" fontId="25" fillId="8" borderId="19" applyNumberFormat="0" applyAlignment="0" applyProtection="0">
      <alignment vertical="center"/>
    </xf>
    <xf numFmtId="0" fontId="26" fillId="0" borderId="20" applyNumberFormat="0" applyFill="0" applyAlignment="0" applyProtection="0">
      <alignment vertical="center"/>
    </xf>
    <xf numFmtId="0" fontId="27" fillId="0" borderId="21" applyNumberFormat="0" applyFill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3" fillId="0" borderId="0"/>
    <xf numFmtId="0" fontId="33" fillId="0" borderId="0"/>
    <xf numFmtId="0" fontId="33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4" fillId="0" borderId="0">
      <alignment vertical="center"/>
    </xf>
  </cellStyleXfs>
  <cellXfs count="64">
    <xf numFmtId="0" fontId="0" fillId="0" borderId="0" xfId="0">
      <alignment vertical="center"/>
    </xf>
    <xf numFmtId="0" fontId="1" fillId="0" borderId="1" xfId="60" applyFont="1" applyFill="1" applyBorder="1" applyAlignment="1" applyProtection="1">
      <alignment horizontal="center" vertical="center"/>
      <protection locked="0"/>
    </xf>
    <xf numFmtId="0" fontId="2" fillId="0" borderId="1" xfId="60" applyFont="1" applyBorder="1" applyAlignment="1" applyProtection="1">
      <alignment horizontal="center" vertical="center"/>
      <protection locked="0"/>
    </xf>
    <xf numFmtId="0" fontId="3" fillId="2" borderId="2" xfId="60" applyFont="1" applyFill="1" applyBorder="1" applyAlignment="1" applyProtection="1">
      <alignment horizontal="center" vertical="center"/>
      <protection locked="0"/>
    </xf>
    <xf numFmtId="0" fontId="3" fillId="2" borderId="3" xfId="60" applyFont="1" applyFill="1" applyBorder="1" applyAlignment="1" applyProtection="1">
      <alignment horizontal="center" vertical="center"/>
      <protection locked="0"/>
    </xf>
    <xf numFmtId="0" fontId="3" fillId="2" borderId="4" xfId="60" applyFont="1" applyFill="1" applyBorder="1" applyAlignment="1" applyProtection="1">
      <alignment horizontal="center" vertical="center"/>
      <protection locked="0"/>
    </xf>
    <xf numFmtId="49" fontId="2" fillId="2" borderId="2" xfId="60" applyNumberFormat="1" applyFont="1" applyFill="1" applyBorder="1" applyAlignment="1">
      <alignment horizontal="center" vertical="center"/>
    </xf>
    <xf numFmtId="49" fontId="2" fillId="2" borderId="3" xfId="60" applyNumberFormat="1" applyFont="1" applyFill="1" applyBorder="1" applyAlignment="1">
      <alignment horizontal="center" vertical="center"/>
    </xf>
    <xf numFmtId="49" fontId="2" fillId="0" borderId="3" xfId="60" applyNumberFormat="1" applyFont="1" applyBorder="1" applyAlignment="1">
      <alignment horizontal="center" vertical="center"/>
    </xf>
    <xf numFmtId="49" fontId="2" fillId="0" borderId="4" xfId="60" applyNumberFormat="1" applyFont="1" applyBorder="1" applyAlignment="1">
      <alignment horizontal="center" vertical="center"/>
    </xf>
    <xf numFmtId="49" fontId="4" fillId="0" borderId="1" xfId="60" applyNumberFormat="1" applyFont="1" applyBorder="1" applyAlignment="1">
      <alignment horizontal="center" vertical="center"/>
    </xf>
    <xf numFmtId="49" fontId="5" fillId="0" borderId="5" xfId="60" applyNumberFormat="1" applyFont="1" applyBorder="1" applyAlignment="1">
      <alignment horizontal="center" vertical="center"/>
    </xf>
    <xf numFmtId="49" fontId="5" fillId="0" borderId="6" xfId="60" applyNumberFormat="1" applyFont="1" applyBorder="1" applyAlignment="1">
      <alignment horizontal="center" vertical="center"/>
    </xf>
    <xf numFmtId="49" fontId="5" fillId="0" borderId="7" xfId="60" applyNumberFormat="1" applyFont="1" applyBorder="1" applyAlignment="1">
      <alignment horizontal="center" vertical="center"/>
    </xf>
    <xf numFmtId="49" fontId="5" fillId="0" borderId="5" xfId="60" applyNumberFormat="1" applyFont="1" applyBorder="1" applyAlignment="1" applyProtection="1">
      <alignment horizontal="center" vertical="center"/>
      <protection locked="0"/>
    </xf>
    <xf numFmtId="49" fontId="5" fillId="0" borderId="6" xfId="60" applyNumberFormat="1" applyFont="1" applyBorder="1" applyAlignment="1" applyProtection="1">
      <alignment horizontal="center" vertical="center"/>
      <protection locked="0"/>
    </xf>
    <xf numFmtId="49" fontId="5" fillId="0" borderId="7" xfId="60" applyNumberFormat="1" applyFont="1" applyBorder="1" applyAlignment="1" applyProtection="1">
      <alignment horizontal="center" vertical="center"/>
      <protection locked="0"/>
    </xf>
    <xf numFmtId="49" fontId="5" fillId="0" borderId="5" xfId="79" applyNumberFormat="1" applyFont="1" applyBorder="1" applyAlignment="1">
      <alignment horizontal="center" vertical="center"/>
    </xf>
    <xf numFmtId="49" fontId="5" fillId="0" borderId="6" xfId="79" applyNumberFormat="1" applyFont="1" applyBorder="1" applyAlignment="1">
      <alignment horizontal="center" vertical="center"/>
    </xf>
    <xf numFmtId="49" fontId="5" fillId="0" borderId="7" xfId="79" applyNumberFormat="1" applyFont="1" applyBorder="1" applyAlignment="1">
      <alignment horizontal="center" vertical="center"/>
    </xf>
    <xf numFmtId="0" fontId="3" fillId="2" borderId="8" xfId="60" applyFont="1" applyFill="1" applyBorder="1" applyAlignment="1" applyProtection="1">
      <alignment horizontal="center" vertical="center"/>
      <protection locked="0"/>
    </xf>
    <xf numFmtId="0" fontId="3" fillId="2" borderId="9" xfId="60" applyFont="1" applyFill="1" applyBorder="1" applyAlignment="1" applyProtection="1">
      <alignment horizontal="center" vertical="center"/>
      <protection locked="0"/>
    </xf>
    <xf numFmtId="0" fontId="3" fillId="2" borderId="10" xfId="60" applyFont="1" applyFill="1" applyBorder="1" applyAlignment="1" applyProtection="1">
      <alignment horizontal="center" vertical="center"/>
      <protection locked="0"/>
    </xf>
    <xf numFmtId="49" fontId="2" fillId="2" borderId="8" xfId="60" applyNumberFormat="1" applyFont="1" applyFill="1" applyBorder="1" applyAlignment="1">
      <alignment horizontal="center" vertical="center"/>
    </xf>
    <xf numFmtId="49" fontId="2" fillId="2" borderId="9" xfId="60" applyNumberFormat="1" applyFont="1" applyFill="1" applyBorder="1" applyAlignment="1">
      <alignment horizontal="center" vertical="center"/>
    </xf>
    <xf numFmtId="49" fontId="2" fillId="0" borderId="9" xfId="60" applyNumberFormat="1" applyFont="1" applyBorder="1" applyAlignment="1">
      <alignment horizontal="center" vertical="center"/>
    </xf>
    <xf numFmtId="49" fontId="2" fillId="0" borderId="10" xfId="60" applyNumberFormat="1" applyFont="1" applyBorder="1" applyAlignment="1">
      <alignment horizontal="center" vertical="center"/>
    </xf>
    <xf numFmtId="0" fontId="5" fillId="0" borderId="5" xfId="60" applyFont="1" applyBorder="1" applyAlignment="1" applyProtection="1">
      <alignment horizontal="center" vertical="center"/>
      <protection locked="0"/>
    </xf>
    <xf numFmtId="0" fontId="5" fillId="0" borderId="6" xfId="60" applyFont="1" applyBorder="1" applyAlignment="1" applyProtection="1">
      <alignment horizontal="center" vertical="center"/>
      <protection locked="0"/>
    </xf>
    <xf numFmtId="0" fontId="5" fillId="0" borderId="7" xfId="60" applyFont="1" applyBorder="1" applyAlignment="1" applyProtection="1">
      <alignment horizontal="center" vertical="center"/>
      <protection locked="0"/>
    </xf>
    <xf numFmtId="49" fontId="4" fillId="0" borderId="5" xfId="60" applyNumberFormat="1" applyFont="1" applyBorder="1" applyAlignment="1" applyProtection="1">
      <alignment horizontal="center" vertical="center"/>
      <protection locked="0"/>
    </xf>
    <xf numFmtId="49" fontId="4" fillId="0" borderId="6" xfId="60" applyNumberFormat="1" applyFont="1" applyBorder="1" applyAlignment="1" applyProtection="1">
      <alignment horizontal="center" vertical="center"/>
      <protection locked="0"/>
    </xf>
    <xf numFmtId="49" fontId="4" fillId="0" borderId="7" xfId="60" applyNumberFormat="1" applyFont="1" applyBorder="1" applyAlignment="1" applyProtection="1">
      <alignment horizontal="center" vertical="center"/>
      <protection locked="0"/>
    </xf>
    <xf numFmtId="176" fontId="4" fillId="0" borderId="5" xfId="79" applyNumberFormat="1" applyFont="1" applyBorder="1" applyAlignment="1">
      <alignment horizontal="center" vertical="center"/>
    </xf>
    <xf numFmtId="176" fontId="4" fillId="0" borderId="6" xfId="79" applyNumberFormat="1" applyFont="1" applyBorder="1" applyAlignment="1">
      <alignment horizontal="center" vertical="center"/>
    </xf>
    <xf numFmtId="176" fontId="4" fillId="0" borderId="7" xfId="79" applyNumberFormat="1" applyFont="1" applyBorder="1" applyAlignment="1">
      <alignment horizontal="center" vertical="center"/>
    </xf>
    <xf numFmtId="176" fontId="5" fillId="0" borderId="5" xfId="79" applyNumberFormat="1" applyFont="1" applyBorder="1" applyAlignment="1">
      <alignment horizontal="center" vertical="center"/>
    </xf>
    <xf numFmtId="176" fontId="5" fillId="0" borderId="7" xfId="79" applyNumberFormat="1" applyFont="1" applyBorder="1" applyAlignment="1">
      <alignment horizontal="center" vertical="center"/>
    </xf>
    <xf numFmtId="49" fontId="6" fillId="0" borderId="1" xfId="60" applyNumberFormat="1" applyFont="1" applyFill="1" applyBorder="1" applyAlignment="1" applyProtection="1">
      <alignment horizontal="center" vertical="center" wrapText="1"/>
      <protection locked="0"/>
    </xf>
    <xf numFmtId="49" fontId="6" fillId="0" borderId="11" xfId="60" applyNumberFormat="1" applyFont="1" applyFill="1" applyBorder="1" applyAlignment="1" applyProtection="1">
      <alignment horizontal="center" vertical="center" wrapText="1"/>
      <protection locked="0"/>
    </xf>
    <xf numFmtId="0" fontId="6" fillId="0" borderId="1" xfId="60" applyFont="1" applyFill="1" applyBorder="1" applyAlignment="1" applyProtection="1">
      <alignment horizontal="center" vertical="center"/>
      <protection locked="0"/>
    </xf>
    <xf numFmtId="177" fontId="6" fillId="0" borderId="1" xfId="60" applyNumberFormat="1" applyFont="1" applyFill="1" applyBorder="1" applyAlignment="1">
      <alignment horizontal="center" vertical="center"/>
    </xf>
    <xf numFmtId="177" fontId="6" fillId="0" borderId="1" xfId="60" applyNumberFormat="1" applyFont="1" applyFill="1" applyBorder="1" applyAlignment="1" applyProtection="1">
      <alignment horizontal="center" vertical="center"/>
      <protection locked="0"/>
    </xf>
    <xf numFmtId="0" fontId="6" fillId="0" borderId="1" xfId="60" applyFont="1" applyFill="1" applyBorder="1" applyAlignment="1" applyProtection="1">
      <alignment horizontal="center" vertical="center" wrapText="1"/>
      <protection locked="0"/>
    </xf>
    <xf numFmtId="0" fontId="7" fillId="3" borderId="1" xfId="60" applyFont="1" applyFill="1" applyBorder="1" applyAlignment="1" applyProtection="1">
      <alignment horizontal="center" vertical="center"/>
      <protection locked="0"/>
    </xf>
    <xf numFmtId="0" fontId="7" fillId="4" borderId="5" xfId="60" applyFont="1" applyFill="1" applyBorder="1" applyAlignment="1">
      <alignment horizontal="center" vertical="center"/>
    </xf>
    <xf numFmtId="0" fontId="7" fillId="4" borderId="6" xfId="60" applyFont="1" applyFill="1" applyBorder="1" applyAlignment="1">
      <alignment horizontal="center" vertical="center"/>
    </xf>
    <xf numFmtId="0" fontId="7" fillId="4" borderId="7" xfId="60" applyFont="1" applyFill="1" applyBorder="1" applyAlignment="1">
      <alignment horizontal="center" vertical="center"/>
    </xf>
    <xf numFmtId="49" fontId="8" fillId="0" borderId="1" xfId="60" applyNumberFormat="1" applyFont="1" applyFill="1" applyBorder="1" applyAlignment="1" applyProtection="1">
      <alignment horizontal="center" vertical="center" wrapText="1"/>
      <protection locked="0"/>
    </xf>
    <xf numFmtId="49" fontId="8" fillId="0" borderId="1" xfId="60" applyNumberFormat="1" applyFont="1" applyFill="1" applyBorder="1" applyAlignment="1" applyProtection="1">
      <alignment horizontal="center" vertical="center"/>
      <protection locked="0"/>
    </xf>
    <xf numFmtId="49" fontId="6" fillId="0" borderId="12" xfId="60" applyNumberFormat="1" applyFont="1" applyFill="1" applyBorder="1" applyAlignment="1" applyProtection="1">
      <alignment horizontal="center" vertical="center" wrapText="1"/>
      <protection locked="0"/>
    </xf>
    <xf numFmtId="0" fontId="7" fillId="4" borderId="1" xfId="60" applyFont="1" applyFill="1" applyBorder="1" applyAlignment="1">
      <alignment horizontal="center" vertical="center"/>
    </xf>
    <xf numFmtId="49" fontId="6" fillId="0" borderId="13" xfId="60" applyNumberFormat="1" applyFont="1" applyFill="1" applyBorder="1" applyAlignment="1" applyProtection="1">
      <alignment horizontal="center" vertical="center" wrapText="1"/>
      <protection locked="0"/>
    </xf>
    <xf numFmtId="49" fontId="9" fillId="3" borderId="1" xfId="60" applyNumberFormat="1" applyFont="1" applyFill="1" applyBorder="1" applyAlignment="1" applyProtection="1">
      <alignment horizontal="center" vertical="center" wrapText="1"/>
      <protection locked="0"/>
    </xf>
    <xf numFmtId="0" fontId="9" fillId="4" borderId="1" xfId="60" applyFont="1" applyFill="1" applyBorder="1" applyAlignment="1">
      <alignment horizontal="center" vertical="center"/>
    </xf>
    <xf numFmtId="14" fontId="10" fillId="0" borderId="1" xfId="0" applyNumberFormat="1" applyFont="1" applyBorder="1" applyAlignment="1">
      <alignment horizontal="center" vertical="center" wrapText="1"/>
    </xf>
    <xf numFmtId="0" fontId="11" fillId="0" borderId="7" xfId="53" applyFont="1" applyBorder="1" applyAlignment="1">
      <alignment horizontal="center" vertical="center"/>
    </xf>
    <xf numFmtId="0" fontId="12" fillId="0" borderId="1" xfId="59" applyFont="1" applyBorder="1" applyAlignment="1">
      <alignment horizontal="center" vertical="center"/>
    </xf>
    <xf numFmtId="0" fontId="12" fillId="0" borderId="1" xfId="59" applyFont="1" applyFill="1" applyBorder="1" applyAlignment="1">
      <alignment horizontal="center" vertical="center"/>
    </xf>
    <xf numFmtId="177" fontId="11" fillId="3" borderId="1" xfId="61" applyNumberFormat="1" applyFont="1" applyFill="1" applyBorder="1" applyAlignment="1">
      <alignment horizontal="center" vertical="center"/>
    </xf>
    <xf numFmtId="0" fontId="13" fillId="4" borderId="1" xfId="60" applyFont="1" applyFill="1" applyBorder="1" applyAlignment="1">
      <alignment horizontal="center" vertical="center"/>
    </xf>
    <xf numFmtId="0" fontId="7" fillId="3" borderId="1" xfId="60" applyNumberFormat="1" applyFont="1" applyFill="1" applyBorder="1" applyAlignment="1" applyProtection="1">
      <alignment horizontal="center" vertical="center" wrapText="1"/>
      <protection locked="0"/>
    </xf>
    <xf numFmtId="0" fontId="9" fillId="3" borderId="1" xfId="60" applyNumberFormat="1" applyFont="1" applyFill="1" applyBorder="1" applyAlignment="1" applyProtection="1">
      <alignment horizontal="center" vertical="center" wrapText="1"/>
      <protection locked="0"/>
    </xf>
    <xf numFmtId="0" fontId="9" fillId="3" borderId="1" xfId="60" applyNumberFormat="1" applyFont="1" applyFill="1" applyBorder="1" applyAlignment="1" applyProtection="1">
      <alignment horizontal="center" vertical="center"/>
      <protection locked="0"/>
    </xf>
  </cellXfs>
  <cellStyles count="8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1" xfId="50"/>
    <cellStyle name="常规 12" xfId="51"/>
    <cellStyle name="常规 13" xfId="52"/>
    <cellStyle name="常规 14" xfId="53"/>
    <cellStyle name="常规 15" xfId="54"/>
    <cellStyle name="常规 16" xfId="55"/>
    <cellStyle name="常规 17" xfId="56"/>
    <cellStyle name="常规 18" xfId="57"/>
    <cellStyle name="常规 19" xfId="58"/>
    <cellStyle name="常规 2" xfId="59"/>
    <cellStyle name="常规 2 2" xfId="60"/>
    <cellStyle name="常规 2 2 2 4" xfId="61"/>
    <cellStyle name="常规 20" xfId="62"/>
    <cellStyle name="常规 21" xfId="63"/>
    <cellStyle name="常规 22" xfId="64"/>
    <cellStyle name="常规 23" xfId="65"/>
    <cellStyle name="常规 24" xfId="66"/>
    <cellStyle name="常规 25" xfId="67"/>
    <cellStyle name="常规 26" xfId="68"/>
    <cellStyle name="常规 27" xfId="69"/>
    <cellStyle name="常规 28" xfId="70"/>
    <cellStyle name="常规 29" xfId="71"/>
    <cellStyle name="常规 3" xfId="72"/>
    <cellStyle name="常规 4" xfId="73"/>
    <cellStyle name="常规 5" xfId="74"/>
    <cellStyle name="常规 6" xfId="75"/>
    <cellStyle name="常规 7" xfId="76"/>
    <cellStyle name="常规 8" xfId="77"/>
    <cellStyle name="常规 9" xfId="78"/>
    <cellStyle name="普通 2" xfId="79"/>
  </cellStyles>
  <dxfs count="1"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89648</xdr:rowOff>
    </xdr:from>
    <xdr:to>
      <xdr:col>2</xdr:col>
      <xdr:colOff>244475</xdr:colOff>
      <xdr:row>0</xdr:row>
      <xdr:rowOff>775448</xdr:rowOff>
    </xdr:to>
    <xdr:pic>
      <xdr:nvPicPr>
        <xdr:cNvPr id="3" name="Picture 1" descr="D:\Documents\WXWork\1688851116443126\Cache\Image\2022-09\企业微信截图_16637321137590.png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0" y="89535"/>
          <a:ext cx="1654175" cy="685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19"/>
  <sheetViews>
    <sheetView tabSelected="1" workbookViewId="0">
      <selection activeCell="L2" sqref="L2:R3"/>
    </sheetView>
  </sheetViews>
  <sheetFormatPr defaultColWidth="9" defaultRowHeight="14.25"/>
  <cols>
    <col min="1" max="41" width="9.25" customWidth="1"/>
  </cols>
  <sheetData>
    <row r="1" ht="70.5" customHeight="1" spans="1:4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ht="15" customHeight="1" spans="1:41">
      <c r="A2" s="2" t="s">
        <v>1</v>
      </c>
      <c r="B2" s="3" t="s">
        <v>2</v>
      </c>
      <c r="C2" s="4"/>
      <c r="D2" s="4"/>
      <c r="E2" s="4"/>
      <c r="F2" s="4"/>
      <c r="G2" s="5"/>
      <c r="H2" s="6" t="s">
        <v>3</v>
      </c>
      <c r="I2" s="7"/>
      <c r="J2" s="8"/>
      <c r="K2" s="9"/>
      <c r="L2" s="10" t="s">
        <v>4</v>
      </c>
      <c r="M2" s="10"/>
      <c r="N2" s="10"/>
      <c r="O2" s="10"/>
      <c r="P2" s="10"/>
      <c r="Q2" s="10"/>
      <c r="R2" s="10"/>
      <c r="S2" s="11" t="s">
        <v>5</v>
      </c>
      <c r="T2" s="12"/>
      <c r="U2" s="12"/>
      <c r="V2" s="12"/>
      <c r="W2" s="12"/>
      <c r="X2" s="13"/>
      <c r="Y2" s="11" t="s">
        <v>6</v>
      </c>
      <c r="Z2" s="12"/>
      <c r="AA2" s="12"/>
      <c r="AB2" s="12"/>
      <c r="AC2" s="12"/>
      <c r="AD2" s="13"/>
      <c r="AE2" s="14" t="s">
        <v>7</v>
      </c>
      <c r="AF2" s="15"/>
      <c r="AG2" s="15"/>
      <c r="AH2" s="15"/>
      <c r="AI2" s="16"/>
      <c r="AJ2" s="17" t="s">
        <v>8</v>
      </c>
      <c r="AK2" s="18"/>
      <c r="AL2" s="18"/>
      <c r="AM2" s="19"/>
      <c r="AN2" s="17" t="s">
        <v>9</v>
      </c>
      <c r="AO2" s="19"/>
    </row>
    <row r="3" ht="15" customHeight="1" spans="1:41">
      <c r="A3" s="2"/>
      <c r="B3" s="20"/>
      <c r="C3" s="21"/>
      <c r="D3" s="21"/>
      <c r="E3" s="21"/>
      <c r="F3" s="21"/>
      <c r="G3" s="22"/>
      <c r="H3" s="23"/>
      <c r="I3" s="24"/>
      <c r="J3" s="25"/>
      <c r="K3" s="26"/>
      <c r="L3" s="10"/>
      <c r="M3" s="10"/>
      <c r="N3" s="10"/>
      <c r="O3" s="10"/>
      <c r="P3" s="10"/>
      <c r="Q3" s="10"/>
      <c r="R3" s="10"/>
      <c r="S3" s="27" t="s">
        <v>10</v>
      </c>
      <c r="T3" s="28"/>
      <c r="U3" s="28"/>
      <c r="V3" s="28"/>
      <c r="W3" s="28"/>
      <c r="X3" s="29"/>
      <c r="Y3" s="30" t="s">
        <v>11</v>
      </c>
      <c r="Z3" s="31"/>
      <c r="AA3" s="31"/>
      <c r="AB3" s="31"/>
      <c r="AC3" s="31"/>
      <c r="AD3" s="32"/>
      <c r="AE3" s="33" t="s">
        <v>12</v>
      </c>
      <c r="AF3" s="34"/>
      <c r="AG3" s="34"/>
      <c r="AH3" s="34"/>
      <c r="AI3" s="35"/>
      <c r="AJ3" s="33" t="s">
        <v>13</v>
      </c>
      <c r="AK3" s="34"/>
      <c r="AL3" s="34"/>
      <c r="AM3" s="35"/>
      <c r="AN3" s="36" t="s">
        <v>14</v>
      </c>
      <c r="AO3" s="37"/>
    </row>
    <row r="4" customHeight="1" spans="1:41">
      <c r="A4" s="38" t="s">
        <v>15</v>
      </c>
      <c r="B4" s="38" t="s">
        <v>16</v>
      </c>
      <c r="C4" s="39" t="s">
        <v>17</v>
      </c>
      <c r="D4" s="40" t="s">
        <v>18</v>
      </c>
      <c r="E4" s="41" t="s">
        <v>19</v>
      </c>
      <c r="F4" s="42" t="s">
        <v>20</v>
      </c>
      <c r="G4" s="42" t="s">
        <v>21</v>
      </c>
      <c r="H4" s="42" t="s">
        <v>22</v>
      </c>
      <c r="I4" s="43" t="s">
        <v>23</v>
      </c>
      <c r="J4" s="44" t="s">
        <v>24</v>
      </c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5" t="s">
        <v>25</v>
      </c>
      <c r="AA4" s="46"/>
      <c r="AB4" s="46"/>
      <c r="AC4" s="46"/>
      <c r="AD4" s="46"/>
      <c r="AE4" s="46"/>
      <c r="AF4" s="46"/>
      <c r="AG4" s="46"/>
      <c r="AH4" s="46"/>
      <c r="AI4" s="46"/>
      <c r="AJ4" s="46"/>
      <c r="AK4" s="46"/>
      <c r="AL4" s="46"/>
      <c r="AM4" s="46"/>
      <c r="AN4" s="46"/>
      <c r="AO4" s="47"/>
    </row>
    <row r="5" ht="13.5" customHeight="1" spans="1:41">
      <c r="A5" s="48"/>
      <c r="B5" s="49"/>
      <c r="C5" s="50"/>
      <c r="D5" s="40"/>
      <c r="E5" s="41"/>
      <c r="F5" s="42"/>
      <c r="G5" s="42"/>
      <c r="H5" s="42"/>
      <c r="I5" s="40"/>
      <c r="J5" s="44" t="s">
        <v>26</v>
      </c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51" t="s">
        <v>27</v>
      </c>
      <c r="AA5" s="51"/>
      <c r="AB5" s="51"/>
      <c r="AC5" s="51"/>
      <c r="AD5" s="51"/>
      <c r="AE5" s="51"/>
      <c r="AF5" s="51"/>
      <c r="AG5" s="51"/>
      <c r="AH5" s="51"/>
      <c r="AI5" s="51"/>
      <c r="AJ5" s="51"/>
      <c r="AK5" s="51"/>
      <c r="AL5" s="51"/>
      <c r="AM5" s="51"/>
      <c r="AN5" s="51"/>
      <c r="AO5" s="51"/>
    </row>
    <row r="6" customHeight="1" spans="1:41">
      <c r="A6" s="48"/>
      <c r="B6" s="49"/>
      <c r="C6" s="52"/>
      <c r="D6" s="40"/>
      <c r="E6" s="41"/>
      <c r="F6" s="42"/>
      <c r="G6" s="42"/>
      <c r="H6" s="42"/>
      <c r="I6" s="40"/>
      <c r="J6" s="53" t="s">
        <v>28</v>
      </c>
      <c r="K6" s="53" t="s">
        <v>29</v>
      </c>
      <c r="L6" s="53" t="s">
        <v>30</v>
      </c>
      <c r="M6" s="53" t="s">
        <v>31</v>
      </c>
      <c r="N6" s="53" t="s">
        <v>32</v>
      </c>
      <c r="O6" s="53" t="s">
        <v>33</v>
      </c>
      <c r="P6" s="53" t="s">
        <v>34</v>
      </c>
      <c r="Q6" s="53" t="s">
        <v>35</v>
      </c>
      <c r="R6" s="53" t="s">
        <v>36</v>
      </c>
      <c r="S6" s="53" t="s">
        <v>37</v>
      </c>
      <c r="T6" s="53" t="s">
        <v>38</v>
      </c>
      <c r="U6" s="53" t="s">
        <v>39</v>
      </c>
      <c r="V6" s="53" t="s">
        <v>40</v>
      </c>
      <c r="W6" s="53" t="s">
        <v>41</v>
      </c>
      <c r="X6" s="53" t="s">
        <v>42</v>
      </c>
      <c r="Y6" s="53" t="s">
        <v>43</v>
      </c>
      <c r="Z6" s="54" t="str">
        <f t="shared" ref="Z6:AO6" si="0">J6</f>
        <v>1-1</v>
      </c>
      <c r="AA6" s="54" t="str">
        <f t="shared" si="0"/>
        <v>1-2</v>
      </c>
      <c r="AB6" s="54" t="str">
        <f t="shared" si="0"/>
        <v>1-3</v>
      </c>
      <c r="AC6" s="54" t="str">
        <f t="shared" si="0"/>
        <v>1-4</v>
      </c>
      <c r="AD6" s="54" t="str">
        <f t="shared" si="0"/>
        <v>1-5</v>
      </c>
      <c r="AE6" s="54" t="str">
        <f t="shared" si="0"/>
        <v>1-6</v>
      </c>
      <c r="AF6" s="54" t="str">
        <f t="shared" si="0"/>
        <v>1-7</v>
      </c>
      <c r="AG6" s="54" t="str">
        <f t="shared" si="0"/>
        <v>1-8</v>
      </c>
      <c r="AH6" s="54" t="str">
        <f t="shared" si="0"/>
        <v>1-9</v>
      </c>
      <c r="AI6" s="54" t="str">
        <f t="shared" si="0"/>
        <v>1-10</v>
      </c>
      <c r="AJ6" s="54" t="str">
        <f t="shared" si="0"/>
        <v>1-11</v>
      </c>
      <c r="AK6" s="54" t="str">
        <f t="shared" si="0"/>
        <v>1-12</v>
      </c>
      <c r="AL6" s="54" t="str">
        <f t="shared" si="0"/>
        <v>1-13</v>
      </c>
      <c r="AM6" s="54" t="str">
        <f t="shared" si="0"/>
        <v>1-14</v>
      </c>
      <c r="AN6" s="54" t="str">
        <f t="shared" si="0"/>
        <v>1-15</v>
      </c>
      <c r="AO6" s="54" t="str">
        <f t="shared" si="0"/>
        <v>1-16</v>
      </c>
    </row>
    <row r="7" ht="15" customHeight="1" spans="1:41">
      <c r="A7" s="55">
        <v>46184</v>
      </c>
      <c r="B7" s="56" t="s">
        <v>44</v>
      </c>
      <c r="C7" s="56"/>
      <c r="D7" s="57">
        <v>6.26</v>
      </c>
      <c r="E7" s="57">
        <v>0.015</v>
      </c>
      <c r="F7" s="57">
        <v>-0.015</v>
      </c>
      <c r="G7" s="58">
        <f t="shared" ref="G7" si="1">D7+E7</f>
        <v>6.275</v>
      </c>
      <c r="H7" s="58">
        <f t="shared" ref="H7" si="2">D7+F7</f>
        <v>6.245</v>
      </c>
      <c r="I7" s="57" t="s">
        <v>45</v>
      </c>
      <c r="J7" s="59">
        <v>6.2811</v>
      </c>
      <c r="K7" s="59">
        <v>6.2739</v>
      </c>
      <c r="L7" s="59">
        <v>6.2644</v>
      </c>
      <c r="M7" s="59">
        <v>6.2719</v>
      </c>
      <c r="N7" s="59">
        <v>6.271</v>
      </c>
      <c r="O7" s="59">
        <v>6.2758</v>
      </c>
      <c r="P7" s="59">
        <v>6.2663</v>
      </c>
      <c r="Q7" s="59">
        <v>6.2689</v>
      </c>
      <c r="R7" s="59">
        <v>6.2642</v>
      </c>
      <c r="S7" s="59">
        <v>6.2628</v>
      </c>
      <c r="T7" s="59">
        <v>6.269</v>
      </c>
      <c r="U7" s="59">
        <v>6.2759</v>
      </c>
      <c r="V7" s="59">
        <v>6.2663</v>
      </c>
      <c r="W7" s="59">
        <v>6.2699</v>
      </c>
      <c r="X7" s="59">
        <v>6.2677</v>
      </c>
      <c r="Y7" s="59">
        <v>6.2753</v>
      </c>
      <c r="Z7" s="60">
        <f t="shared" ref="Z7" si="3">IF(J7="","",IF(J7&gt;($D7+$E7),(J7-$D7-$E7),IF(J7&lt;($D7+$F7),(J7-$D7-$F7),"√")))</f>
        <v>0.00610000000000056</v>
      </c>
      <c r="AA7" s="60" t="str">
        <f t="shared" ref="AA7" si="4">IF(K7="","",IF(K7&gt;($D7+$E7),(K7-$D7-$E7),IF(K7&lt;($D7+$F7),(K7-$D7-$F7),"√")))</f>
        <v>√</v>
      </c>
      <c r="AB7" s="60" t="str">
        <f t="shared" ref="AB7:AO7" si="5">IF(L7="","",IF(L7&gt;($D7+$E7),(L7-$D7-$E7),IF(L7&lt;($D7+$F7),(L7-$D7-$F7),"√")))</f>
        <v>√</v>
      </c>
      <c r="AC7" s="60" t="str">
        <f t="shared" si="5"/>
        <v>√</v>
      </c>
      <c r="AD7" s="60" t="str">
        <f t="shared" si="5"/>
        <v>√</v>
      </c>
      <c r="AE7" s="60">
        <f t="shared" si="5"/>
        <v>0.000800000000000481</v>
      </c>
      <c r="AF7" s="60" t="str">
        <f t="shared" si="5"/>
        <v>√</v>
      </c>
      <c r="AG7" s="60" t="str">
        <f t="shared" si="5"/>
        <v>√</v>
      </c>
      <c r="AH7" s="60" t="str">
        <f t="shared" si="5"/>
        <v>√</v>
      </c>
      <c r="AI7" s="60" t="str">
        <f t="shared" si="5"/>
        <v>√</v>
      </c>
      <c r="AJ7" s="60" t="str">
        <f t="shared" si="5"/>
        <v>√</v>
      </c>
      <c r="AK7" s="60">
        <f t="shared" si="5"/>
        <v>0.000900000000000248</v>
      </c>
      <c r="AL7" s="60" t="str">
        <f t="shared" si="5"/>
        <v>√</v>
      </c>
      <c r="AM7" s="60" t="str">
        <f t="shared" si="5"/>
        <v>√</v>
      </c>
      <c r="AN7" s="60" t="str">
        <f t="shared" si="5"/>
        <v>√</v>
      </c>
      <c r="AO7" s="60">
        <f t="shared" si="5"/>
        <v>0.00029999999999987</v>
      </c>
    </row>
    <row r="10" customHeight="1" spans="1:41">
      <c r="A10" s="38" t="s">
        <v>15</v>
      </c>
      <c r="B10" s="38" t="s">
        <v>16</v>
      </c>
      <c r="C10" s="39" t="s">
        <v>17</v>
      </c>
      <c r="D10" s="40" t="s">
        <v>18</v>
      </c>
      <c r="E10" s="41" t="s">
        <v>19</v>
      </c>
      <c r="F10" s="42" t="s">
        <v>20</v>
      </c>
      <c r="G10" s="42" t="s">
        <v>21</v>
      </c>
      <c r="H10" s="42" t="s">
        <v>22</v>
      </c>
      <c r="I10" s="43" t="s">
        <v>23</v>
      </c>
      <c r="J10" s="44" t="s">
        <v>24</v>
      </c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5" t="s">
        <v>25</v>
      </c>
      <c r="AA10" s="46"/>
      <c r="AB10" s="46"/>
      <c r="AC10" s="46"/>
      <c r="AD10" s="46"/>
      <c r="AE10" s="46"/>
      <c r="AF10" s="46"/>
      <c r="AG10" s="46"/>
      <c r="AH10" s="46"/>
      <c r="AI10" s="46"/>
      <c r="AJ10" s="46"/>
      <c r="AK10" s="46"/>
      <c r="AL10" s="46"/>
      <c r="AM10" s="46"/>
      <c r="AN10" s="46"/>
      <c r="AO10" s="47"/>
    </row>
    <row r="11" ht="13.5" customHeight="1" spans="1:41">
      <c r="A11" s="48"/>
      <c r="B11" s="49"/>
      <c r="C11" s="50"/>
      <c r="D11" s="40"/>
      <c r="E11" s="41"/>
      <c r="F11" s="42"/>
      <c r="G11" s="42"/>
      <c r="H11" s="42"/>
      <c r="I11" s="40"/>
      <c r="J11" s="44" t="s">
        <v>26</v>
      </c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51" t="s">
        <v>27</v>
      </c>
      <c r="AA11" s="51"/>
      <c r="AB11" s="51"/>
      <c r="AC11" s="51"/>
      <c r="AD11" s="51"/>
      <c r="AE11" s="51"/>
      <c r="AF11" s="51"/>
      <c r="AG11" s="51"/>
      <c r="AH11" s="51"/>
      <c r="AI11" s="51"/>
      <c r="AJ11" s="51"/>
      <c r="AK11" s="51"/>
      <c r="AL11" s="51"/>
      <c r="AM11" s="51"/>
      <c r="AN11" s="51"/>
      <c r="AO11" s="51"/>
    </row>
    <row r="12" customHeight="1" spans="1:41">
      <c r="A12" s="48"/>
      <c r="B12" s="49"/>
      <c r="C12" s="52"/>
      <c r="D12" s="40"/>
      <c r="E12" s="41"/>
      <c r="F12" s="42"/>
      <c r="G12" s="42"/>
      <c r="H12" s="42"/>
      <c r="I12" s="40"/>
      <c r="J12" s="53" t="s">
        <v>46</v>
      </c>
      <c r="K12" s="53" t="s">
        <v>47</v>
      </c>
      <c r="L12" s="53" t="s">
        <v>48</v>
      </c>
      <c r="M12" s="53" t="s">
        <v>49</v>
      </c>
      <c r="N12" s="53" t="s">
        <v>50</v>
      </c>
      <c r="O12" s="53" t="s">
        <v>51</v>
      </c>
      <c r="P12" s="53" t="s">
        <v>52</v>
      </c>
      <c r="Q12" s="53" t="s">
        <v>53</v>
      </c>
      <c r="R12" s="53" t="s">
        <v>54</v>
      </c>
      <c r="S12" s="53" t="s">
        <v>55</v>
      </c>
      <c r="T12" s="53" t="s">
        <v>56</v>
      </c>
      <c r="U12" s="53" t="s">
        <v>57</v>
      </c>
      <c r="V12" s="53" t="s">
        <v>58</v>
      </c>
      <c r="W12" s="53" t="s">
        <v>59</v>
      </c>
      <c r="X12" s="53" t="s">
        <v>60</v>
      </c>
      <c r="Y12" s="53" t="s">
        <v>61</v>
      </c>
      <c r="Z12" s="54" t="str">
        <f t="shared" ref="Z12:AO12" si="6">J12</f>
        <v>2-1</v>
      </c>
      <c r="AA12" s="54" t="str">
        <f t="shared" si="6"/>
        <v>2-2</v>
      </c>
      <c r="AB12" s="54" t="str">
        <f t="shared" si="6"/>
        <v>2-3</v>
      </c>
      <c r="AC12" s="54" t="str">
        <f t="shared" si="6"/>
        <v>2-4</v>
      </c>
      <c r="AD12" s="54" t="str">
        <f t="shared" si="6"/>
        <v>2-5</v>
      </c>
      <c r="AE12" s="54" t="str">
        <f t="shared" si="6"/>
        <v>2-6</v>
      </c>
      <c r="AF12" s="54" t="str">
        <f t="shared" si="6"/>
        <v>2-7</v>
      </c>
      <c r="AG12" s="54" t="str">
        <f t="shared" si="6"/>
        <v>2-8</v>
      </c>
      <c r="AH12" s="54" t="str">
        <f t="shared" si="6"/>
        <v>2-9</v>
      </c>
      <c r="AI12" s="54" t="str">
        <f t="shared" si="6"/>
        <v>2-10</v>
      </c>
      <c r="AJ12" s="54" t="str">
        <f t="shared" si="6"/>
        <v>2-11</v>
      </c>
      <c r="AK12" s="54" t="str">
        <f t="shared" si="6"/>
        <v>2-12</v>
      </c>
      <c r="AL12" s="54" t="str">
        <f t="shared" si="6"/>
        <v>2-13</v>
      </c>
      <c r="AM12" s="54" t="str">
        <f t="shared" si="6"/>
        <v>2-14</v>
      </c>
      <c r="AN12" s="54" t="str">
        <f t="shared" si="6"/>
        <v>2-15</v>
      </c>
      <c r="AO12" s="54" t="str">
        <f t="shared" si="6"/>
        <v>2-16</v>
      </c>
    </row>
    <row r="13" ht="15" customHeight="1" spans="1:41">
      <c r="A13" s="55">
        <v>46184</v>
      </c>
      <c r="B13" s="56" t="s">
        <v>44</v>
      </c>
      <c r="C13" s="56"/>
      <c r="D13" s="57">
        <v>6.26</v>
      </c>
      <c r="E13" s="57">
        <v>0.015</v>
      </c>
      <c r="F13" s="57">
        <v>-0.015</v>
      </c>
      <c r="G13" s="58">
        <f>D13+E13</f>
        <v>6.275</v>
      </c>
      <c r="H13" s="58">
        <f>D13+F13</f>
        <v>6.245</v>
      </c>
      <c r="I13" s="57" t="s">
        <v>45</v>
      </c>
      <c r="J13" s="59">
        <v>6.2713</v>
      </c>
      <c r="K13" s="59">
        <v>6.2646</v>
      </c>
      <c r="L13" s="59">
        <v>6.2712</v>
      </c>
      <c r="M13" s="59">
        <v>6.2709</v>
      </c>
      <c r="N13" s="59">
        <v>6.2759</v>
      </c>
      <c r="O13" s="59">
        <v>6.2683</v>
      </c>
      <c r="P13" s="59">
        <v>6.2677</v>
      </c>
      <c r="Q13" s="59">
        <v>6.2642</v>
      </c>
      <c r="R13" s="59">
        <v>6.2656</v>
      </c>
      <c r="S13" s="59">
        <v>6.2684</v>
      </c>
      <c r="T13" s="59">
        <v>6.2792</v>
      </c>
      <c r="U13" s="59">
        <v>6.2619</v>
      </c>
      <c r="V13" s="59">
        <v>6.2683</v>
      </c>
      <c r="W13" s="59">
        <v>6.2719</v>
      </c>
      <c r="X13" s="59">
        <v>6.2687</v>
      </c>
      <c r="Y13" s="59">
        <v>6.2668</v>
      </c>
      <c r="Z13" s="60" t="str">
        <f t="shared" ref="Z13:AO13" si="7">IF(J13="","",IF(J13&gt;($D13+$E13),(J13-$D13-$E13),IF(J13&lt;($D13+$F13),(J13-$D13-$F13),"√")))</f>
        <v>√</v>
      </c>
      <c r="AA13" s="60" t="str">
        <f t="shared" si="7"/>
        <v>√</v>
      </c>
      <c r="AB13" s="60" t="str">
        <f t="shared" si="7"/>
        <v>√</v>
      </c>
      <c r="AC13" s="60" t="str">
        <f t="shared" si="7"/>
        <v>√</v>
      </c>
      <c r="AD13" s="60">
        <f t="shared" si="7"/>
        <v>0.000900000000000248</v>
      </c>
      <c r="AE13" s="60" t="str">
        <f t="shared" si="7"/>
        <v>√</v>
      </c>
      <c r="AF13" s="60" t="str">
        <f t="shared" si="7"/>
        <v>√</v>
      </c>
      <c r="AG13" s="60" t="str">
        <f t="shared" si="7"/>
        <v>√</v>
      </c>
      <c r="AH13" s="60" t="str">
        <f t="shared" si="7"/>
        <v>√</v>
      </c>
      <c r="AI13" s="60" t="str">
        <f t="shared" si="7"/>
        <v>√</v>
      </c>
      <c r="AJ13" s="60">
        <f t="shared" si="7"/>
        <v>0.00420000000000055</v>
      </c>
      <c r="AK13" s="60" t="str">
        <f t="shared" si="7"/>
        <v>√</v>
      </c>
      <c r="AL13" s="60" t="str">
        <f t="shared" si="7"/>
        <v>√</v>
      </c>
      <c r="AM13" s="60" t="str">
        <f t="shared" si="7"/>
        <v>√</v>
      </c>
      <c r="AN13" s="60" t="str">
        <f t="shared" si="7"/>
        <v>√</v>
      </c>
      <c r="AO13" s="60" t="str">
        <f t="shared" si="7"/>
        <v>√</v>
      </c>
    </row>
    <row r="16" customHeight="1" spans="1:41">
      <c r="A16" s="38" t="s">
        <v>15</v>
      </c>
      <c r="B16" s="38" t="s">
        <v>16</v>
      </c>
      <c r="C16" s="39" t="s">
        <v>17</v>
      </c>
      <c r="D16" s="40" t="s">
        <v>18</v>
      </c>
      <c r="E16" s="41" t="s">
        <v>19</v>
      </c>
      <c r="F16" s="42" t="s">
        <v>20</v>
      </c>
      <c r="G16" s="42" t="s">
        <v>21</v>
      </c>
      <c r="H16" s="42" t="s">
        <v>22</v>
      </c>
      <c r="I16" s="43" t="s">
        <v>23</v>
      </c>
      <c r="J16" s="44" t="s">
        <v>24</v>
      </c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5" t="s">
        <v>25</v>
      </c>
      <c r="AA16" s="46"/>
      <c r="AB16" s="46"/>
      <c r="AC16" s="46"/>
      <c r="AD16" s="46"/>
      <c r="AE16" s="46"/>
      <c r="AF16" s="46"/>
      <c r="AG16" s="46"/>
      <c r="AH16" s="46"/>
      <c r="AI16" s="46"/>
      <c r="AJ16" s="46"/>
      <c r="AK16" s="46"/>
      <c r="AL16" s="46"/>
      <c r="AM16" s="46"/>
      <c r="AN16" s="46"/>
      <c r="AO16" s="47"/>
    </row>
    <row r="17" ht="13.5" customHeight="1" spans="1:41">
      <c r="A17" s="48"/>
      <c r="B17" s="49"/>
      <c r="C17" s="50"/>
      <c r="D17" s="40"/>
      <c r="E17" s="41"/>
      <c r="F17" s="42"/>
      <c r="G17" s="42"/>
      <c r="H17" s="42"/>
      <c r="I17" s="40"/>
      <c r="J17" s="44" t="s">
        <v>26</v>
      </c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51" t="s">
        <v>27</v>
      </c>
      <c r="AA17" s="51"/>
      <c r="AB17" s="51"/>
      <c r="AC17" s="51"/>
      <c r="AD17" s="51"/>
      <c r="AE17" s="51"/>
      <c r="AF17" s="51"/>
      <c r="AG17" s="51"/>
      <c r="AH17" s="51"/>
      <c r="AI17" s="51"/>
      <c r="AJ17" s="51"/>
      <c r="AK17" s="51"/>
      <c r="AL17" s="51"/>
      <c r="AM17" s="51"/>
      <c r="AN17" s="51"/>
      <c r="AO17" s="51"/>
    </row>
    <row r="18" customHeight="1" spans="1:41">
      <c r="A18" s="48"/>
      <c r="B18" s="49"/>
      <c r="C18" s="52"/>
      <c r="D18" s="40"/>
      <c r="E18" s="41"/>
      <c r="F18" s="42"/>
      <c r="G18" s="42"/>
      <c r="H18" s="42"/>
      <c r="I18" s="40"/>
      <c r="J18" s="61" t="s">
        <v>62</v>
      </c>
      <c r="K18" s="62">
        <v>2</v>
      </c>
      <c r="L18" s="62">
        <v>3</v>
      </c>
      <c r="M18" s="62">
        <v>4</v>
      </c>
      <c r="N18" s="62">
        <v>5</v>
      </c>
      <c r="O18" s="62">
        <v>6</v>
      </c>
      <c r="P18" s="62">
        <v>7</v>
      </c>
      <c r="Q18" s="62">
        <v>8</v>
      </c>
      <c r="R18" s="62">
        <v>9</v>
      </c>
      <c r="S18" s="62">
        <v>10</v>
      </c>
      <c r="T18" s="62">
        <v>11</v>
      </c>
      <c r="U18" s="62">
        <v>12</v>
      </c>
      <c r="V18" s="62">
        <v>13</v>
      </c>
      <c r="W18" s="62">
        <v>14</v>
      </c>
      <c r="X18" s="63">
        <v>15</v>
      </c>
      <c r="Y18" s="63">
        <v>16</v>
      </c>
      <c r="Z18" s="54" t="str">
        <f t="shared" ref="Z18:AO18" si="8">J18</f>
        <v>复测1-1</v>
      </c>
      <c r="AA18" s="54">
        <f t="shared" si="8"/>
        <v>2</v>
      </c>
      <c r="AB18" s="54">
        <f t="shared" si="8"/>
        <v>3</v>
      </c>
      <c r="AC18" s="54">
        <f t="shared" si="8"/>
        <v>4</v>
      </c>
      <c r="AD18" s="54">
        <f t="shared" si="8"/>
        <v>5</v>
      </c>
      <c r="AE18" s="54">
        <f t="shared" si="8"/>
        <v>6</v>
      </c>
      <c r="AF18" s="54">
        <f t="shared" si="8"/>
        <v>7</v>
      </c>
      <c r="AG18" s="54">
        <f t="shared" si="8"/>
        <v>8</v>
      </c>
      <c r="AH18" s="54">
        <f t="shared" si="8"/>
        <v>9</v>
      </c>
      <c r="AI18" s="54">
        <f t="shared" si="8"/>
        <v>10</v>
      </c>
      <c r="AJ18" s="54">
        <f t="shared" si="8"/>
        <v>11</v>
      </c>
      <c r="AK18" s="54">
        <f t="shared" si="8"/>
        <v>12</v>
      </c>
      <c r="AL18" s="54">
        <f t="shared" si="8"/>
        <v>13</v>
      </c>
      <c r="AM18" s="54">
        <f t="shared" si="8"/>
        <v>14</v>
      </c>
      <c r="AN18" s="54">
        <f t="shared" si="8"/>
        <v>15</v>
      </c>
      <c r="AO18" s="54">
        <f t="shared" si="8"/>
        <v>16</v>
      </c>
    </row>
    <row r="19" ht="15" customHeight="1" spans="1:41">
      <c r="A19" s="55">
        <v>46184</v>
      </c>
      <c r="B19" s="56" t="s">
        <v>44</v>
      </c>
      <c r="C19" s="56"/>
      <c r="D19" s="57">
        <v>6.26</v>
      </c>
      <c r="E19" s="57">
        <v>0.015</v>
      </c>
      <c r="F19" s="57">
        <v>-0.015</v>
      </c>
      <c r="G19" s="58">
        <f>D19+E19</f>
        <v>6.275</v>
      </c>
      <c r="H19" s="58">
        <f>D19+F19</f>
        <v>6.245</v>
      </c>
      <c r="I19" s="57" t="s">
        <v>45</v>
      </c>
      <c r="J19" s="59">
        <v>6.2803</v>
      </c>
      <c r="K19" s="59"/>
      <c r="L19" s="59"/>
      <c r="M19" s="59"/>
      <c r="N19" s="59"/>
      <c r="O19" s="59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60">
        <f t="shared" ref="Z19:AO19" si="9">IF(J19="","",IF(J19&gt;($D19+$E19),(J19-$D19-$E19),IF(J19&lt;($D19+$F19),(J19-$D19-$F19),"√")))</f>
        <v>0.00530000000000065</v>
      </c>
      <c r="AA19" s="60" t="str">
        <f t="shared" si="9"/>
        <v/>
      </c>
      <c r="AB19" s="60" t="str">
        <f t="shared" si="9"/>
        <v/>
      </c>
      <c r="AC19" s="60" t="str">
        <f t="shared" si="9"/>
        <v/>
      </c>
      <c r="AD19" s="60" t="str">
        <f t="shared" si="9"/>
        <v/>
      </c>
      <c r="AE19" s="60" t="str">
        <f t="shared" si="9"/>
        <v/>
      </c>
      <c r="AF19" s="60" t="str">
        <f t="shared" si="9"/>
        <v/>
      </c>
      <c r="AG19" s="60" t="str">
        <f t="shared" si="9"/>
        <v/>
      </c>
      <c r="AH19" s="60" t="str">
        <f t="shared" si="9"/>
        <v/>
      </c>
      <c r="AI19" s="60" t="str">
        <f t="shared" si="9"/>
        <v/>
      </c>
      <c r="AJ19" s="60" t="str">
        <f t="shared" si="9"/>
        <v/>
      </c>
      <c r="AK19" s="60" t="str">
        <f t="shared" si="9"/>
        <v/>
      </c>
      <c r="AL19" s="60" t="str">
        <f t="shared" si="9"/>
        <v/>
      </c>
      <c r="AM19" s="60" t="str">
        <f t="shared" si="9"/>
        <v/>
      </c>
      <c r="AN19" s="60" t="str">
        <f t="shared" si="9"/>
        <v/>
      </c>
      <c r="AO19" s="60" t="str">
        <f t="shared" si="9"/>
        <v/>
      </c>
    </row>
  </sheetData>
  <mergeCells count="54">
    <mergeCell ref="A1:AO1"/>
    <mergeCell ref="S2:X2"/>
    <mergeCell ref="Y2:AD2"/>
    <mergeCell ref="AE2:AI2"/>
    <mergeCell ref="AJ2:AM2"/>
    <mergeCell ref="AN2:AO2"/>
    <mergeCell ref="S3:X3"/>
    <mergeCell ref="Y3:AD3"/>
    <mergeCell ref="AE3:AI3"/>
    <mergeCell ref="AJ3:AM3"/>
    <mergeCell ref="AN3:AO3"/>
    <mergeCell ref="J4:Y4"/>
    <mergeCell ref="Z4:AO4"/>
    <mergeCell ref="J5:Y5"/>
    <mergeCell ref="Z5:AO5"/>
    <mergeCell ref="J10:Y10"/>
    <mergeCell ref="Z10:AO10"/>
    <mergeCell ref="J11:Y11"/>
    <mergeCell ref="Z11:AO11"/>
    <mergeCell ref="J16:Y16"/>
    <mergeCell ref="Z16:AO16"/>
    <mergeCell ref="J17:Y17"/>
    <mergeCell ref="Z17:AO17"/>
    <mergeCell ref="A2:A3"/>
    <mergeCell ref="A4:A6"/>
    <mergeCell ref="A10:A12"/>
    <mergeCell ref="A16:A18"/>
    <mergeCell ref="B4:B6"/>
    <mergeCell ref="B10:B12"/>
    <mergeCell ref="B16:B18"/>
    <mergeCell ref="C4:C6"/>
    <mergeCell ref="C10:C12"/>
    <mergeCell ref="C16:C18"/>
    <mergeCell ref="D4:D6"/>
    <mergeCell ref="D10:D12"/>
    <mergeCell ref="D16:D18"/>
    <mergeCell ref="E4:E6"/>
    <mergeCell ref="E10:E12"/>
    <mergeCell ref="E16:E18"/>
    <mergeCell ref="F4:F6"/>
    <mergeCell ref="F10:F12"/>
    <mergeCell ref="F16:F18"/>
    <mergeCell ref="G4:G6"/>
    <mergeCell ref="G10:G12"/>
    <mergeCell ref="G16:G18"/>
    <mergeCell ref="H4:H6"/>
    <mergeCell ref="H10:H12"/>
    <mergeCell ref="H16:H18"/>
    <mergeCell ref="I4:I6"/>
    <mergeCell ref="I10:I12"/>
    <mergeCell ref="I16:I18"/>
    <mergeCell ref="H2:K3"/>
    <mergeCell ref="L2:R3"/>
    <mergeCell ref="B2:G3"/>
  </mergeCells>
  <conditionalFormatting sqref="J7:Y7">
    <cfRule type="cellIs" dxfId="0" priority="21" operator="notBetween">
      <formula>$G7</formula>
      <formula>$H7</formula>
    </cfRule>
  </conditionalFormatting>
  <conditionalFormatting sqref="J13:X13">
    <cfRule type="cellIs" dxfId="0" priority="4" operator="notBetween">
      <formula>$G13</formula>
      <formula>$H13</formula>
    </cfRule>
  </conditionalFormatting>
  <conditionalFormatting sqref="Y13">
    <cfRule type="cellIs" dxfId="0" priority="2" operator="notBetween">
      <formula>$G13</formula>
      <formula>$H13</formula>
    </cfRule>
  </conditionalFormatting>
  <conditionalFormatting sqref="J19">
    <cfRule type="cellIs" dxfId="0" priority="1" operator="notBetween">
      <formula>$G19</formula>
      <formula>$H19</formula>
    </cfRule>
  </conditionalFormatting>
  <conditionalFormatting sqref="K19:Y19">
    <cfRule type="cellIs" dxfId="0" priority="3" operator="notBetween">
      <formula>$G19</formula>
      <formula>$H19</formula>
    </cfRule>
  </conditionalFormatting>
  <printOptions horizontalCentered="1"/>
  <pageMargins left="0.16" right="0" top="0.39" bottom="0.2" header="0" footer="0.12"/>
  <pageSetup paperSize="9" scale="51" orientation="portrait"/>
  <headerFooter alignWithMargins="0"/>
  <ignoredErrors>
    <ignoredError sqref="Z7:AO7" emptyCellReference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806-63639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2020-05-08T02:47:00Z</dcterms:created>
  <dcterms:modified xsi:type="dcterms:W3CDTF">2026-06-11T16:24:45Z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AA961B9ADC184DBE958373A72F4D771C</vt:lpwstr>
  </property>
  <property fmtid="{D5CDD505-2E9C-101B-9397-08002B2CF9AE}" pid="4" name="CalculationRule">
    <vt:i4>0</vt:i4>
  </property>
</Properties>
</file>