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<sst xmlns="http://schemas.openxmlformats.org/spreadsheetml/2006/main" count="107" uniqueCount="55">
  <si>
    <t>安徽中耀智能科技有限公司首件尺寸报告</t>
  </si>
  <si>
    <t>料号</t>
  </si>
  <si>
    <t>X806-64562</t>
  </si>
  <si>
    <t>工单号</t>
  </si>
  <si>
    <t>ww115-260518014</t>
  </si>
  <si>
    <t>工站</t>
  </si>
  <si>
    <t>射出机台号</t>
  </si>
  <si>
    <t>测量机台</t>
  </si>
  <si>
    <t>测量人员</t>
  </si>
  <si>
    <t>审核</t>
  </si>
  <si>
    <t>射出</t>
  </si>
  <si>
    <t>14#</t>
  </si>
  <si>
    <t>OMM4#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</si>
  <si>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</si>
  <si>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</si>
  <si>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</si>
  <si>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</si>
  <si>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</si>
  <si>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</si>
  <si>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</si>
  <si>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</si>
  <si>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</si>
  <si>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</si>
  <si>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</si>
  <si>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</si>
  <si>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</si>
  <si>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</si>
  <si>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</si>
  <si>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</si>
  <si>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</si>
  <si>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</si>
  <si>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</si>
  <si>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</si>
  <si>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</si>
  <si>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</si>
  <si>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</si>
  <si>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</si>
  <si>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</si>
  <si>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</si>
  <si>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</si>
  <si>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</si>
  <si>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</si>
  <si>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</si>
  <si>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</si>
  <si>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</si>
  <si>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</si>
  <si>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</si>
  <si>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</si>
  <si>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</si>
  <si>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</si>
  <si>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</si>
  <si>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</si>
  <si>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</si>
  <si>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</si>
  <si>
    <r>
      <t>复测</t>
    </r>
    <r>
      <rPr>
        <b/>
        <sz val="11"/>
        <rFont val="Arial"/>
        <charset val="134"/>
      </rPr>
      <t>1-7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</si>
</sst>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49" fontId="6" fillId="2" borderId="1" xfId="60" applyNumberFormat="1" applyFont="1" applyFill="1" applyBorder="1" applyAlignment="1" applyProtection="1">
      <alignment horizontal="center" vertical="center" wrapText="1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7"/>
  <sheetViews>
    <sheetView tabSelected="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 t="s">
        <v>42</v>
      </c>
      <c r="Y6" s="46" t="s">
        <v>43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2-1</v>
      </c>
      <c r="AI6" s="47" t="str">
        <f t="shared" si="0"/>
        <v>2-2</v>
      </c>
      <c r="AJ6" s="47" t="str">
        <f t="shared" si="0"/>
        <v>2-3</v>
      </c>
      <c r="AK6" s="47" t="str">
        <f t="shared" si="0"/>
        <v>2-4</v>
      </c>
      <c r="AL6" s="47" t="str">
        <f t="shared" si="0"/>
        <v>2-5</v>
      </c>
      <c r="AM6" s="47" t="str">
        <f t="shared" si="0"/>
        <v>2-6</v>
      </c>
      <c r="AN6" s="47" t="str">
        <f t="shared" si="0"/>
        <v>2-7</v>
      </c>
      <c r="AO6" s="47" t="str">
        <f t="shared" si="0"/>
        <v>2-8</v>
      </c>
    </row>
    <row r="7" ht="15" customHeight="1" spans="1:41">
      <c r="A7" s="48">
        <v>46184</v>
      </c>
      <c r="B7" s="49" t="s">
        <v>44</v>
      </c>
      <c r="C7" s="49"/>
      <c r="D7" s="50">
        <v>0.8</v>
      </c>
      <c r="E7" s="50">
        <v>0.03</v>
      </c>
      <c r="F7" s="50">
        <v>-0.03</v>
      </c>
      <c r="G7" s="51">
        <f>D7+E7</f>
        <v>0.83</v>
      </c>
      <c r="H7" s="51">
        <f>D7+F7</f>
        <v>0.77</v>
      </c>
      <c r="I7" s="50" t="s">
        <v>45</v>
      </c>
      <c r="J7" s="52">
        <v>0.8012</v>
      </c>
      <c r="K7" s="52">
        <v>0.8085</v>
      </c>
      <c r="L7" s="52">
        <v>0.8074</v>
      </c>
      <c r="M7" s="52">
        <v>0.8033</v>
      </c>
      <c r="N7" s="52">
        <v>0.8071</v>
      </c>
      <c r="O7" s="52">
        <v>0.8028</v>
      </c>
      <c r="P7" s="52">
        <v>0.8079</v>
      </c>
      <c r="Q7" s="52">
        <v>0.8039</v>
      </c>
      <c r="R7" s="52">
        <v>0.8007</v>
      </c>
      <c r="S7" s="52">
        <v>0.8027</v>
      </c>
      <c r="T7" s="52">
        <v>0.8036</v>
      </c>
      <c r="U7" s="52">
        <v>0.8065</v>
      </c>
      <c r="V7" s="52">
        <v>0.8031</v>
      </c>
      <c r="W7" s="52">
        <v>0.8066</v>
      </c>
      <c r="X7" s="52">
        <v>0.8043</v>
      </c>
      <c r="Y7" s="52">
        <v>0.8079</v>
      </c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>√</v>
      </c>
      <c r="AK7" s="53" t="str">
        <f t="shared" si="1"/>
        <v>√</v>
      </c>
      <c r="AL7" s="53" t="str">
        <f t="shared" si="1"/>
        <v>√</v>
      </c>
      <c r="AM7" s="53" t="str">
        <f t="shared" si="1"/>
        <v>√</v>
      </c>
      <c r="AN7" s="53" t="str">
        <f t="shared" si="1"/>
        <v>√</v>
      </c>
      <c r="AO7" s="53" t="str">
        <f t="shared" si="1"/>
        <v>√</v>
      </c>
    </row>
    <row r="8" ht="15" customHeight="1" spans="1:41">
      <c r="A8" s="54"/>
      <c r="B8" s="49" t="s">
        <v>46</v>
      </c>
      <c r="C8" s="49"/>
      <c r="D8" s="50">
        <v>0.8</v>
      </c>
      <c r="E8" s="50">
        <v>0.03</v>
      </c>
      <c r="F8" s="50">
        <v>-0.03</v>
      </c>
      <c r="G8" s="51">
        <f>D8+E8</f>
        <v>0.83</v>
      </c>
      <c r="H8" s="51">
        <f>D8+F8</f>
        <v>0.77</v>
      </c>
      <c r="I8" s="50" t="s">
        <v>45</v>
      </c>
      <c r="J8" s="52">
        <v>0.7971</v>
      </c>
      <c r="K8" s="52">
        <v>0.8035</v>
      </c>
      <c r="L8" s="52">
        <v>0.7999</v>
      </c>
      <c r="M8" s="52">
        <v>0.7989</v>
      </c>
      <c r="N8" s="52">
        <v>0.8008</v>
      </c>
      <c r="O8" s="52">
        <v>0.7975</v>
      </c>
      <c r="P8" s="52">
        <v>0.8001</v>
      </c>
      <c r="Q8" s="52">
        <v>0.7981</v>
      </c>
      <c r="R8" s="52">
        <v>0.7974</v>
      </c>
      <c r="S8" s="52">
        <v>0.7995</v>
      </c>
      <c r="T8" s="52">
        <v>0.7993</v>
      </c>
      <c r="U8" s="52">
        <v>0.7991</v>
      </c>
      <c r="V8" s="52">
        <v>0.7985</v>
      </c>
      <c r="W8" s="52">
        <v>0.7998</v>
      </c>
      <c r="X8" s="52">
        <v>0.7986</v>
      </c>
      <c r="Y8" s="52">
        <v>0.7999</v>
      </c>
      <c r="Z8" s="53" t="str">
        <f t="shared" ref="Z8:AO8" si="2">IF(J8="","",IF(J8&gt;($D8+$E8),(J8-$D8-$E8),IF(J8&lt;($D8+$F8),(J8-$D8-$F8),"√")))</f>
        <v>√</v>
      </c>
      <c r="AA8" s="53" t="str">
        <f t="shared" si="2"/>
        <v>√</v>
      </c>
      <c r="AB8" s="53" t="str">
        <f t="shared" si="2"/>
        <v>√</v>
      </c>
      <c r="AC8" s="53" t="str">
        <f t="shared" si="2"/>
        <v>√</v>
      </c>
      <c r="AD8" s="53" t="str">
        <f t="shared" si="2"/>
        <v>√</v>
      </c>
      <c r="AE8" s="53" t="str">
        <f t="shared" si="2"/>
        <v>√</v>
      </c>
      <c r="AF8" s="53" t="str">
        <f t="shared" si="2"/>
        <v>√</v>
      </c>
      <c r="AG8" s="53" t="str">
        <f t="shared" si="2"/>
        <v>√</v>
      </c>
      <c r="AH8" s="53" t="str">
        <f t="shared" si="2"/>
        <v>√</v>
      </c>
      <c r="AI8" s="53" t="str">
        <f t="shared" si="2"/>
        <v>√</v>
      </c>
      <c r="AJ8" s="53" t="str">
        <f t="shared" si="2"/>
        <v>√</v>
      </c>
      <c r="AK8" s="53" t="str">
        <f t="shared" si="2"/>
        <v>√</v>
      </c>
      <c r="AL8" s="53" t="str">
        <f t="shared" si="2"/>
        <v>√</v>
      </c>
      <c r="AM8" s="53" t="str">
        <f t="shared" si="2"/>
        <v>√</v>
      </c>
      <c r="AN8" s="53" t="str">
        <f t="shared" si="2"/>
        <v>√</v>
      </c>
      <c r="AO8" s="53" t="str">
        <f t="shared" si="2"/>
        <v>√</v>
      </c>
    </row>
    <row r="9" ht="15" customHeight="1" spans="1:41">
      <c r="A9" s="54"/>
      <c r="B9" s="49" t="s">
        <v>47</v>
      </c>
      <c r="C9" s="49"/>
      <c r="D9" s="50">
        <v>1.85</v>
      </c>
      <c r="E9" s="50">
        <v>0.06</v>
      </c>
      <c r="F9" s="50">
        <v>-0.06</v>
      </c>
      <c r="G9" s="51">
        <f>D9+E9</f>
        <v>1.91</v>
      </c>
      <c r="H9" s="51">
        <f>D9+F9</f>
        <v>1.79</v>
      </c>
      <c r="I9" s="50" t="s">
        <v>45</v>
      </c>
      <c r="J9" s="52">
        <v>1.8536</v>
      </c>
      <c r="K9" s="52">
        <v>1.8544</v>
      </c>
      <c r="L9" s="52">
        <v>1.8544</v>
      </c>
      <c r="M9" s="52">
        <v>1.8548</v>
      </c>
      <c r="N9" s="52">
        <v>1.8546</v>
      </c>
      <c r="O9" s="52">
        <v>1.8543</v>
      </c>
      <c r="P9" s="52">
        <v>1.8546</v>
      </c>
      <c r="Q9" s="52">
        <v>1.8543</v>
      </c>
      <c r="R9" s="52">
        <v>1.8545</v>
      </c>
      <c r="S9" s="52">
        <v>1.8538</v>
      </c>
      <c r="T9" s="52">
        <v>1.8543</v>
      </c>
      <c r="U9" s="52">
        <v>1.8544</v>
      </c>
      <c r="V9" s="52">
        <v>1.8542</v>
      </c>
      <c r="W9" s="52">
        <v>1.8544</v>
      </c>
      <c r="X9" s="52">
        <v>1.8553</v>
      </c>
      <c r="Y9" s="52">
        <v>1.8538</v>
      </c>
      <c r="Z9" s="53" t="str">
        <f t="shared" ref="Z9:AB9" si="3">IF(J9="","",IF(J9&gt;($D9+$E9),(J9-$D9-$E9),IF(J9&lt;($D9+$F9),(J9-$D9-$F9),"√")))</f>
        <v>√</v>
      </c>
      <c r="AA9" s="53" t="str">
        <f t="shared" si="3"/>
        <v>√</v>
      </c>
      <c r="AB9" s="53" t="str">
        <f t="shared" si="3"/>
        <v>√</v>
      </c>
      <c r="AC9" s="53" t="str">
        <f t="shared" ref="AC9:AO11" si="4">IF(M9="","",IF(M9&gt;($D9+$E9),(M9-$D9-$E9),IF(M9&lt;($D9+$F9),(M9-$D9-$F9),"√")))</f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>√</v>
      </c>
      <c r="AG9" s="53" t="str">
        <f t="shared" si="4"/>
        <v>√</v>
      </c>
      <c r="AH9" s="53" t="str">
        <f t="shared" si="4"/>
        <v>√</v>
      </c>
      <c r="AI9" s="53" t="str">
        <f t="shared" si="4"/>
        <v>√</v>
      </c>
      <c r="AJ9" s="53" t="str">
        <f t="shared" si="4"/>
        <v>√</v>
      </c>
      <c r="AK9" s="53" t="str">
        <f t="shared" si="4"/>
        <v>√</v>
      </c>
      <c r="AL9" s="53" t="str">
        <f t="shared" si="4"/>
        <v>√</v>
      </c>
      <c r="AM9" s="53" t="str">
        <f t="shared" si="4"/>
        <v>√</v>
      </c>
      <c r="AN9" s="53" t="str">
        <f t="shared" si="4"/>
        <v>√</v>
      </c>
      <c r="AO9" s="53" t="str">
        <f t="shared" si="4"/>
        <v>√</v>
      </c>
    </row>
    <row r="10" ht="15" customHeight="1" spans="1:41">
      <c r="A10" s="54"/>
      <c r="B10" s="49" t="s">
        <v>48</v>
      </c>
      <c r="C10" s="49"/>
      <c r="D10" s="50">
        <v>1.86</v>
      </c>
      <c r="E10" s="50">
        <v>0.06</v>
      </c>
      <c r="F10" s="50">
        <v>-0.06</v>
      </c>
      <c r="G10" s="51">
        <f>D10+E10</f>
        <v>1.92</v>
      </c>
      <c r="H10" s="51">
        <f>D10+F10</f>
        <v>1.8</v>
      </c>
      <c r="I10" s="50" t="s">
        <v>45</v>
      </c>
      <c r="J10" s="52">
        <v>1.8426</v>
      </c>
      <c r="K10" s="52">
        <v>1.8428</v>
      </c>
      <c r="L10" s="52">
        <v>1.8429</v>
      </c>
      <c r="M10" s="52">
        <v>1.8423</v>
      </c>
      <c r="N10" s="52">
        <v>1.842</v>
      </c>
      <c r="O10" s="52">
        <v>1.8413</v>
      </c>
      <c r="P10" s="52">
        <v>1.8413</v>
      </c>
      <c r="Q10" s="52">
        <v>1.842</v>
      </c>
      <c r="R10" s="52">
        <v>1.8425</v>
      </c>
      <c r="S10" s="52">
        <v>1.8419</v>
      </c>
      <c r="T10" s="52">
        <v>1.8418</v>
      </c>
      <c r="U10" s="52">
        <v>1.8432</v>
      </c>
      <c r="V10" s="52">
        <v>1.8413</v>
      </c>
      <c r="W10" s="52">
        <v>1.8442</v>
      </c>
      <c r="X10" s="52">
        <v>1.8421</v>
      </c>
      <c r="Y10" s="52">
        <v>1.8413</v>
      </c>
      <c r="Z10" s="53" t="str">
        <f t="shared" ref="Z10:AB11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4"/>
        <v>√</v>
      </c>
      <c r="AD10" s="53" t="str">
        <f t="shared" si="4"/>
        <v>√</v>
      </c>
      <c r="AE10" s="53" t="str">
        <f t="shared" si="4"/>
        <v>√</v>
      </c>
      <c r="AF10" s="53" t="str">
        <f t="shared" si="4"/>
        <v>√</v>
      </c>
      <c r="AG10" s="53" t="str">
        <f t="shared" si="4"/>
        <v>√</v>
      </c>
      <c r="AH10" s="53" t="str">
        <f t="shared" si="4"/>
        <v>√</v>
      </c>
      <c r="AI10" s="53" t="str">
        <f t="shared" si="4"/>
        <v>√</v>
      </c>
      <c r="AJ10" s="53" t="str">
        <f t="shared" si="4"/>
        <v>√</v>
      </c>
      <c r="AK10" s="53" t="str">
        <f t="shared" si="4"/>
        <v>√</v>
      </c>
      <c r="AL10" s="53" t="str">
        <f t="shared" si="4"/>
        <v>√</v>
      </c>
      <c r="AM10" s="53" t="str">
        <f t="shared" si="4"/>
        <v>√</v>
      </c>
      <c r="AN10" s="53" t="str">
        <f t="shared" si="4"/>
        <v>√</v>
      </c>
      <c r="AO10" s="53" t="str">
        <f t="shared" si="4"/>
        <v>√</v>
      </c>
    </row>
    <row r="11" ht="15" customHeight="1" spans="1:41">
      <c r="A11" s="54"/>
      <c r="B11" s="49" t="s">
        <v>49</v>
      </c>
      <c r="C11" s="49"/>
      <c r="D11" s="50">
        <v>1.86</v>
      </c>
      <c r="E11" s="50">
        <v>0.06</v>
      </c>
      <c r="F11" s="50">
        <v>-0.06</v>
      </c>
      <c r="G11" s="51">
        <f>D11+E11</f>
        <v>1.92</v>
      </c>
      <c r="H11" s="51">
        <f>D11+F11</f>
        <v>1.8</v>
      </c>
      <c r="I11" s="50" t="s">
        <v>45</v>
      </c>
      <c r="J11" s="52">
        <v>1.853</v>
      </c>
      <c r="K11" s="52">
        <v>1.8538</v>
      </c>
      <c r="L11" s="52">
        <v>1.8534</v>
      </c>
      <c r="M11" s="52">
        <v>1.8547</v>
      </c>
      <c r="N11" s="52">
        <v>1.8538</v>
      </c>
      <c r="O11" s="52">
        <v>1.8547</v>
      </c>
      <c r="P11" s="52">
        <v>1.8532</v>
      </c>
      <c r="Q11" s="52">
        <v>1.8542</v>
      </c>
      <c r="R11" s="52">
        <v>1.8539</v>
      </c>
      <c r="S11" s="52">
        <v>1.8534</v>
      </c>
      <c r="T11" s="52">
        <v>1.8537</v>
      </c>
      <c r="U11" s="52">
        <v>1.853</v>
      </c>
      <c r="V11" s="52">
        <v>1.8541</v>
      </c>
      <c r="W11" s="52">
        <v>1.8557</v>
      </c>
      <c r="X11" s="52">
        <v>1.8539</v>
      </c>
      <c r="Y11" s="52">
        <v>1.8538</v>
      </c>
      <c r="Z11" s="53" t="str">
        <f t="shared" si="5"/>
        <v>√</v>
      </c>
      <c r="AA11" s="53" t="str">
        <f t="shared" si="5"/>
        <v>√</v>
      </c>
      <c r="AB11" s="53" t="str">
        <f t="shared" si="5"/>
        <v>√</v>
      </c>
      <c r="AC11" s="53" t="str">
        <f t="shared" si="4"/>
        <v>√</v>
      </c>
      <c r="AD11" s="53" t="str">
        <f t="shared" si="4"/>
        <v>√</v>
      </c>
      <c r="AE11" s="53" t="str">
        <f t="shared" si="4"/>
        <v>√</v>
      </c>
      <c r="AF11" s="53" t="str">
        <f t="shared" si="4"/>
        <v>√</v>
      </c>
      <c r="AG11" s="53" t="str">
        <f t="shared" si="4"/>
        <v>√</v>
      </c>
      <c r="AH11" s="53" t="str">
        <f t="shared" si="4"/>
        <v>√</v>
      </c>
      <c r="AI11" s="53" t="str">
        <f t="shared" si="4"/>
        <v>√</v>
      </c>
      <c r="AJ11" s="53" t="str">
        <f t="shared" si="4"/>
        <v>√</v>
      </c>
      <c r="AK11" s="53" t="str">
        <f t="shared" si="4"/>
        <v>√</v>
      </c>
      <c r="AL11" s="53" t="str">
        <f t="shared" si="4"/>
        <v>√</v>
      </c>
      <c r="AM11" s="53" t="str">
        <f t="shared" si="4"/>
        <v>√</v>
      </c>
      <c r="AN11" s="53" t="str">
        <f t="shared" si="4"/>
        <v>√</v>
      </c>
      <c r="AO11" s="53" t="str">
        <f t="shared" si="4"/>
        <v>√</v>
      </c>
    </row>
    <row r="12" ht="15" customHeight="1" spans="1:41">
      <c r="A12" s="54"/>
      <c r="B12" s="49" t="s">
        <v>50</v>
      </c>
      <c r="C12" s="49" t="s">
        <v>51</v>
      </c>
      <c r="D12" s="50">
        <v>6.26</v>
      </c>
      <c r="E12" s="50">
        <v>0.025</v>
      </c>
      <c r="F12" s="50">
        <v>-0.025</v>
      </c>
      <c r="G12" s="51">
        <f t="shared" ref="G12:G14" si="6">D12+E12</f>
        <v>6.285</v>
      </c>
      <c r="H12" s="51">
        <f t="shared" ref="H12:H14" si="7">D12+F12</f>
        <v>6.235</v>
      </c>
      <c r="I12" s="50" t="s">
        <v>45</v>
      </c>
      <c r="J12" s="52">
        <v>6.2802</v>
      </c>
      <c r="K12" s="52">
        <v>6.285</v>
      </c>
      <c r="L12" s="52">
        <v>6.2975</v>
      </c>
      <c r="M12" s="52">
        <v>6.2671</v>
      </c>
      <c r="N12" s="52">
        <v>6.2757</v>
      </c>
      <c r="O12" s="52">
        <v>6.2692</v>
      </c>
      <c r="P12" s="52">
        <v>6.3072</v>
      </c>
      <c r="Q12" s="52">
        <v>6.2609</v>
      </c>
      <c r="R12" s="52">
        <v>6.2653</v>
      </c>
      <c r="S12" s="52">
        <v>6.2671</v>
      </c>
      <c r="T12" s="52">
        <v>6.2712</v>
      </c>
      <c r="U12" s="52">
        <v>6.2657</v>
      </c>
      <c r="V12" s="52">
        <v>6.2879</v>
      </c>
      <c r="W12" s="52">
        <v>6.2871</v>
      </c>
      <c r="X12" s="52">
        <v>6.2746</v>
      </c>
      <c r="Y12" s="52">
        <v>6.2593</v>
      </c>
      <c r="Z12" s="53" t="str">
        <f t="shared" ref="Z12:Z14" si="8">IF(J12="","",IF(J12&gt;($D12+$E12),(J12-$D12-$E12),IF(J12&lt;($D12+$F12),(J12-$D12-$F12),"√")))</f>
        <v>√</v>
      </c>
      <c r="AA12" s="53" t="str">
        <f t="shared" ref="AA12:AA14" si="9">IF(K12="","",IF(K12&gt;($D12+$E12),(K12-$D12-$E12),IF(K12&lt;($D12+$F12),(K12-$D12-$F12),"√")))</f>
        <v>√</v>
      </c>
      <c r="AB12" s="53">
        <f t="shared" ref="AB12:AB14" si="10">IF(L12="","",IF(L12&gt;($D12+$E12),(L12-$D12-$E12),IF(L12&lt;($D12+$F12),(L12-$D12-$F12),"√")))</f>
        <v>0.0125000000000005</v>
      </c>
      <c r="AC12" s="53" t="str">
        <f t="shared" ref="AC12:AC14" si="11">IF(M12="","",IF(M12&gt;($D12+$E12),(M12-$D12-$E12),IF(M12&lt;($D12+$F12),(M12-$D12-$F12),"√")))</f>
        <v>√</v>
      </c>
      <c r="AD12" s="53" t="str">
        <f t="shared" ref="AD12:AD14" si="12">IF(N12="","",IF(N12&gt;($D12+$E12),(N12-$D12-$E12),IF(N12&lt;($D12+$F12),(N12-$D12-$F12),"√")))</f>
        <v>√</v>
      </c>
      <c r="AE12" s="53" t="str">
        <f t="shared" ref="AE12:AE14" si="13">IF(O12="","",IF(O12&gt;($D12+$E12),(O12-$D12-$E12),IF(O12&lt;($D12+$F12),(O12-$D12-$F12),"√")))</f>
        <v>√</v>
      </c>
      <c r="AF12" s="53">
        <f t="shared" ref="AF12:AF14" si="14">IF(P12="","",IF(P12&gt;($D12+$E12),(P12-$D12-$E12),IF(P12&lt;($D12+$F12),(P12-$D12-$F12),"√")))</f>
        <v>0.0222000000000001</v>
      </c>
      <c r="AG12" s="53" t="str">
        <f t="shared" ref="AG12:AG14" si="15">IF(Q12="","",IF(Q12&gt;($D12+$E12),(Q12-$D12-$E12),IF(Q12&lt;($D12+$F12),(Q12-$D12-$F12),"√")))</f>
        <v>√</v>
      </c>
      <c r="AH12" s="53" t="str">
        <f t="shared" ref="AH12:AH14" si="16">IF(R12="","",IF(R12&gt;($D12+$E12),(R12-$D12-$E12),IF(R12&lt;($D12+$F12),(R12-$D12-$F12),"√")))</f>
        <v>√</v>
      </c>
      <c r="AI12" s="53" t="str">
        <f t="shared" ref="AI12:AI14" si="17">IF(S12="","",IF(S12&gt;($D12+$E12),(S12-$D12-$E12),IF(S12&lt;($D12+$F12),(S12-$D12-$F12),"√")))</f>
        <v>√</v>
      </c>
      <c r="AJ12" s="53" t="str">
        <f t="shared" ref="AJ12:AJ14" si="18">IF(T12="","",IF(T12&gt;($D12+$E12),(T12-$D12-$E12),IF(T12&lt;($D12+$F12),(T12-$D12-$F12),"√")))</f>
        <v>√</v>
      </c>
      <c r="AK12" s="53" t="str">
        <f t="shared" ref="AK12:AK14" si="19">IF(U12="","",IF(U12&gt;($D12+$E12),(U12-$D12-$E12),IF(U12&lt;($D12+$F12),(U12-$D12-$F12),"√")))</f>
        <v>√</v>
      </c>
      <c r="AL12" s="53">
        <f t="shared" ref="AL12:AL14" si="20">IF(V12="","",IF(V12&gt;($D12+$E12),(V12-$D12-$E12),IF(V12&lt;($D12+$F12),(V12-$D12-$F12),"√")))</f>
        <v>0.00289999999999981</v>
      </c>
      <c r="AM12" s="53">
        <f t="shared" ref="AM12:AM14" si="21">IF(W12="","",IF(W12&gt;($D12+$E12),(W12-$D12-$E12),IF(W12&lt;($D12+$F12),(W12-$D12-$F12),"√")))</f>
        <v>0.0020999999999999</v>
      </c>
      <c r="AN12" s="53" t="str">
        <f t="shared" ref="AN12:AN14" si="22">IF(X12="","",IF(X12&gt;($D12+$E12),(X12-$D12-$E12),IF(X12&lt;($D12+$F12),(X12-$D12-$F12),"√")))</f>
        <v>√</v>
      </c>
      <c r="AO12" s="53" t="str">
        <f t="shared" ref="AO12:AO14" si="23">IF(Y12="","",IF(Y12&gt;($D12+$E12),(Y12-$D12-$E12),IF(Y12&lt;($D12+$F12),(Y12-$D12-$F12),"√")))</f>
        <v>√</v>
      </c>
    </row>
    <row r="13" ht="15" customHeight="1" spans="1:41">
      <c r="A13" s="54"/>
      <c r="B13" s="49" t="s">
        <v>52</v>
      </c>
      <c r="C13" s="49"/>
      <c r="D13" s="50">
        <v>1.27</v>
      </c>
      <c r="E13" s="50">
        <v>0.03</v>
      </c>
      <c r="F13" s="50">
        <v>-0.03</v>
      </c>
      <c r="G13" s="51">
        <f t="shared" si="6"/>
        <v>1.3</v>
      </c>
      <c r="H13" s="51">
        <f t="shared" si="7"/>
        <v>1.24</v>
      </c>
      <c r="I13" s="50" t="s">
        <v>45</v>
      </c>
      <c r="J13" s="52">
        <v>1.2591</v>
      </c>
      <c r="K13" s="52">
        <v>1.2583</v>
      </c>
      <c r="L13" s="52">
        <v>1.2574</v>
      </c>
      <c r="M13" s="52">
        <v>1.2581</v>
      </c>
      <c r="N13" s="52">
        <v>1.2755</v>
      </c>
      <c r="O13" s="52">
        <v>1.2664</v>
      </c>
      <c r="P13" s="52">
        <v>1.2587</v>
      </c>
      <c r="Q13" s="52">
        <v>1.2588</v>
      </c>
      <c r="R13" s="52">
        <v>1.2584</v>
      </c>
      <c r="S13" s="52">
        <v>1.2462</v>
      </c>
      <c r="T13" s="52">
        <v>1.2549</v>
      </c>
      <c r="U13" s="52">
        <v>1.2587</v>
      </c>
      <c r="V13" s="52">
        <v>1.2642</v>
      </c>
      <c r="W13" s="52">
        <v>1.2672</v>
      </c>
      <c r="X13" s="52">
        <v>1.2612</v>
      </c>
      <c r="Y13" s="52">
        <v>1.2622</v>
      </c>
      <c r="Z13" s="53" t="str">
        <f t="shared" si="8"/>
        <v>√</v>
      </c>
      <c r="AA13" s="53" t="str">
        <f t="shared" si="9"/>
        <v>√</v>
      </c>
      <c r="AB13" s="53" t="str">
        <f t="shared" si="10"/>
        <v>√</v>
      </c>
      <c r="AC13" s="53" t="str">
        <f t="shared" si="11"/>
        <v>√</v>
      </c>
      <c r="AD13" s="53" t="str">
        <f t="shared" si="12"/>
        <v>√</v>
      </c>
      <c r="AE13" s="53" t="str">
        <f t="shared" si="13"/>
        <v>√</v>
      </c>
      <c r="AF13" s="53" t="str">
        <f t="shared" si="14"/>
        <v>√</v>
      </c>
      <c r="AG13" s="53" t="str">
        <f t="shared" si="15"/>
        <v>√</v>
      </c>
      <c r="AH13" s="53" t="str">
        <f t="shared" si="16"/>
        <v>√</v>
      </c>
      <c r="AI13" s="53" t="str">
        <f t="shared" si="17"/>
        <v>√</v>
      </c>
      <c r="AJ13" s="53" t="str">
        <f t="shared" si="18"/>
        <v>√</v>
      </c>
      <c r="AK13" s="53" t="str">
        <f t="shared" si="19"/>
        <v>√</v>
      </c>
      <c r="AL13" s="53" t="str">
        <f t="shared" si="20"/>
        <v>√</v>
      </c>
      <c r="AM13" s="53" t="str">
        <f t="shared" si="21"/>
        <v>√</v>
      </c>
      <c r="AN13" s="53" t="str">
        <f t="shared" si="22"/>
        <v>√</v>
      </c>
      <c r="AO13" s="53" t="str">
        <f t="shared" si="23"/>
        <v>√</v>
      </c>
    </row>
    <row r="14" ht="15" customHeight="1" spans="1:41">
      <c r="A14" s="54"/>
      <c r="B14" s="49" t="s">
        <v>53</v>
      </c>
      <c r="C14" s="49"/>
      <c r="D14" s="50">
        <v>1.27</v>
      </c>
      <c r="E14" s="50">
        <v>0.03</v>
      </c>
      <c r="F14" s="50">
        <v>-0.03</v>
      </c>
      <c r="G14" s="51">
        <f t="shared" si="6"/>
        <v>1.3</v>
      </c>
      <c r="H14" s="51">
        <f t="shared" si="7"/>
        <v>1.24</v>
      </c>
      <c r="I14" s="50" t="s">
        <v>45</v>
      </c>
      <c r="J14" s="52">
        <v>1.2606</v>
      </c>
      <c r="K14" s="52">
        <v>1.2597</v>
      </c>
      <c r="L14" s="52">
        <v>1.2707</v>
      </c>
      <c r="M14" s="52">
        <v>1.262</v>
      </c>
      <c r="N14" s="52">
        <v>1.271</v>
      </c>
      <c r="O14" s="52">
        <v>1.2692</v>
      </c>
      <c r="P14" s="52">
        <v>1.2555</v>
      </c>
      <c r="Q14" s="52">
        <v>1.2604</v>
      </c>
      <c r="R14" s="52">
        <v>1.261</v>
      </c>
      <c r="S14" s="52">
        <v>1.257</v>
      </c>
      <c r="T14" s="52">
        <v>1.2628</v>
      </c>
      <c r="U14" s="52">
        <v>1.2647</v>
      </c>
      <c r="V14" s="52">
        <v>1.2735</v>
      </c>
      <c r="W14" s="52">
        <v>1.2698</v>
      </c>
      <c r="X14" s="52">
        <v>1.2588</v>
      </c>
      <c r="Y14" s="52">
        <v>1.2565</v>
      </c>
      <c r="Z14" s="53" t="str">
        <f t="shared" si="8"/>
        <v>√</v>
      </c>
      <c r="AA14" s="53" t="str">
        <f t="shared" si="9"/>
        <v>√</v>
      </c>
      <c r="AB14" s="53" t="str">
        <f t="shared" si="10"/>
        <v>√</v>
      </c>
      <c r="AC14" s="53" t="str">
        <f t="shared" si="11"/>
        <v>√</v>
      </c>
      <c r="AD14" s="53" t="str">
        <f t="shared" si="12"/>
        <v>√</v>
      </c>
      <c r="AE14" s="53" t="str">
        <f t="shared" si="13"/>
        <v>√</v>
      </c>
      <c r="AF14" s="53" t="str">
        <f t="shared" si="14"/>
        <v>√</v>
      </c>
      <c r="AG14" s="53" t="str">
        <f t="shared" si="15"/>
        <v>√</v>
      </c>
      <c r="AH14" s="53" t="str">
        <f t="shared" si="16"/>
        <v>√</v>
      </c>
      <c r="AI14" s="53" t="str">
        <f t="shared" si="17"/>
        <v>√</v>
      </c>
      <c r="AJ14" s="53" t="str">
        <f t="shared" si="18"/>
        <v>√</v>
      </c>
      <c r="AK14" s="53" t="str">
        <f t="shared" si="19"/>
        <v>√</v>
      </c>
      <c r="AL14" s="53" t="str">
        <f t="shared" si="20"/>
        <v>√</v>
      </c>
      <c r="AM14" s="53" t="str">
        <f t="shared" si="21"/>
        <v>√</v>
      </c>
      <c r="AN14" s="53" t="str">
        <f t="shared" si="22"/>
        <v>√</v>
      </c>
      <c r="AO14" s="53" t="str">
        <f t="shared" si="23"/>
        <v>√</v>
      </c>
    </row>
    <row r="17" customHeight="1" spans="1:41">
      <c r="A17" s="31" t="s">
        <v>15</v>
      </c>
      <c r="B17" s="31" t="s">
        <v>16</v>
      </c>
      <c r="C17" s="32" t="s">
        <v>17</v>
      </c>
      <c r="D17" s="33" t="s">
        <v>18</v>
      </c>
      <c r="E17" s="34" t="s">
        <v>19</v>
      </c>
      <c r="F17" s="35" t="s">
        <v>20</v>
      </c>
      <c r="G17" s="35" t="s">
        <v>21</v>
      </c>
      <c r="H17" s="35" t="s">
        <v>22</v>
      </c>
      <c r="I17" s="36" t="s">
        <v>23</v>
      </c>
      <c r="J17" s="37" t="s">
        <v>24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 t="s">
        <v>25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0"/>
    </row>
    <row r="18" ht="13.5" customHeight="1" spans="1:41">
      <c r="A18" s="41"/>
      <c r="B18" s="42"/>
      <c r="C18" s="43"/>
      <c r="D18" s="33"/>
      <c r="E18" s="34"/>
      <c r="F18" s="35"/>
      <c r="G18" s="35"/>
      <c r="H18" s="35"/>
      <c r="I18" s="33"/>
      <c r="J18" s="37" t="s">
        <v>26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44" t="s">
        <v>27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</row>
    <row r="19" ht="16.5" customHeight="1" spans="1:41">
      <c r="A19" s="41"/>
      <c r="B19" s="42"/>
      <c r="C19" s="45"/>
      <c r="D19" s="33"/>
      <c r="E19" s="34"/>
      <c r="F19" s="35"/>
      <c r="G19" s="35"/>
      <c r="H19" s="35"/>
      <c r="I19" s="33"/>
      <c r="J19" s="55" t="s">
        <v>54</v>
      </c>
      <c r="K19" s="46" t="s">
        <v>29</v>
      </c>
      <c r="L19" s="46" t="s">
        <v>30</v>
      </c>
      <c r="M19" s="46" t="s">
        <v>31</v>
      </c>
      <c r="N19" s="46" t="s">
        <v>32</v>
      </c>
      <c r="O19" s="46" t="s">
        <v>33</v>
      </c>
      <c r="P19" s="46" t="s">
        <v>34</v>
      </c>
      <c r="Q19" s="46" t="s">
        <v>35</v>
      </c>
      <c r="R19" s="46" t="s">
        <v>36</v>
      </c>
      <c r="S19" s="46" t="s">
        <v>37</v>
      </c>
      <c r="T19" s="46" t="s">
        <v>38</v>
      </c>
      <c r="U19" s="46" t="s">
        <v>39</v>
      </c>
      <c r="V19" s="46" t="s">
        <v>40</v>
      </c>
      <c r="W19" s="46" t="s">
        <v>41</v>
      </c>
      <c r="X19" s="46" t="s">
        <v>42</v>
      </c>
      <c r="Y19" s="46" t="s">
        <v>43</v>
      </c>
      <c r="Z19" s="47" t="str">
        <f t="shared" ref="Z19:AO19" si="24">J19</f>
        <v>复测1-7</v>
      </c>
      <c r="AA19" s="47" t="str">
        <f t="shared" si="24"/>
        <v>1-2</v>
      </c>
      <c r="AB19" s="47" t="str">
        <f t="shared" si="24"/>
        <v>1-3</v>
      </c>
      <c r="AC19" s="47" t="str">
        <f t="shared" si="24"/>
        <v>1-4</v>
      </c>
      <c r="AD19" s="47" t="str">
        <f t="shared" si="24"/>
        <v>1-5</v>
      </c>
      <c r="AE19" s="47" t="str">
        <f t="shared" si="24"/>
        <v>1-6</v>
      </c>
      <c r="AF19" s="47" t="str">
        <f t="shared" si="24"/>
        <v>1-7</v>
      </c>
      <c r="AG19" s="47" t="str">
        <f t="shared" si="24"/>
        <v>1-8</v>
      </c>
      <c r="AH19" s="47" t="str">
        <f t="shared" si="24"/>
        <v>2-1</v>
      </c>
      <c r="AI19" s="47" t="str">
        <f t="shared" si="24"/>
        <v>2-2</v>
      </c>
      <c r="AJ19" s="47" t="str">
        <f t="shared" si="24"/>
        <v>2-3</v>
      </c>
      <c r="AK19" s="47" t="str">
        <f t="shared" si="24"/>
        <v>2-4</v>
      </c>
      <c r="AL19" s="47" t="str">
        <f t="shared" si="24"/>
        <v>2-5</v>
      </c>
      <c r="AM19" s="47" t="str">
        <f t="shared" si="24"/>
        <v>2-6</v>
      </c>
      <c r="AN19" s="47" t="str">
        <f t="shared" si="24"/>
        <v>2-7</v>
      </c>
      <c r="AO19" s="47" t="str">
        <f t="shared" si="24"/>
        <v>2-8</v>
      </c>
    </row>
    <row r="20" ht="15" customHeight="1" spans="1:41">
      <c r="A20" s="48">
        <v>46184</v>
      </c>
      <c r="B20" s="49" t="s">
        <v>44</v>
      </c>
      <c r="C20" s="49"/>
      <c r="D20" s="50">
        <v>0.8</v>
      </c>
      <c r="E20" s="50">
        <v>0.03</v>
      </c>
      <c r="F20" s="50">
        <v>-0.03</v>
      </c>
      <c r="G20" s="51">
        <f t="shared" ref="G20:G27" si="25">D20+E20</f>
        <v>0.83</v>
      </c>
      <c r="H20" s="51">
        <f t="shared" ref="H20:H27" si="26">D20+F20</f>
        <v>0.77</v>
      </c>
      <c r="I20" s="50" t="s">
        <v>45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27">IF(J20="","",IF(J20&gt;($D20+$E20),(J20-$D20-$E20),IF(J20&lt;($D20+$F20),(J20-$D20-$F20),"√")))</f>
        <v/>
      </c>
      <c r="AA20" s="53" t="str">
        <f t="shared" si="27"/>
        <v/>
      </c>
      <c r="AB20" s="53" t="str">
        <f t="shared" si="27"/>
        <v/>
      </c>
      <c r="AC20" s="53" t="str">
        <f t="shared" si="27"/>
        <v/>
      </c>
      <c r="AD20" s="53" t="str">
        <f t="shared" si="27"/>
        <v/>
      </c>
      <c r="AE20" s="53" t="str">
        <f t="shared" si="27"/>
        <v/>
      </c>
      <c r="AF20" s="53" t="str">
        <f t="shared" si="27"/>
        <v/>
      </c>
      <c r="AG20" s="53" t="str">
        <f t="shared" si="27"/>
        <v/>
      </c>
      <c r="AH20" s="53" t="str">
        <f t="shared" si="27"/>
        <v/>
      </c>
      <c r="AI20" s="53" t="str">
        <f t="shared" si="27"/>
        <v/>
      </c>
      <c r="AJ20" s="53" t="str">
        <f t="shared" si="27"/>
        <v/>
      </c>
      <c r="AK20" s="53" t="str">
        <f t="shared" si="27"/>
        <v/>
      </c>
      <c r="AL20" s="53" t="str">
        <f t="shared" si="27"/>
        <v/>
      </c>
      <c r="AM20" s="53" t="str">
        <f t="shared" si="27"/>
        <v/>
      </c>
      <c r="AN20" s="53" t="str">
        <f t="shared" si="27"/>
        <v/>
      </c>
      <c r="AO20" s="53" t="str">
        <f t="shared" si="27"/>
        <v/>
      </c>
    </row>
    <row r="21" ht="15" customHeight="1" spans="1:41">
      <c r="A21" s="54"/>
      <c r="B21" s="49" t="s">
        <v>46</v>
      </c>
      <c r="C21" s="49"/>
      <c r="D21" s="50">
        <v>0.8</v>
      </c>
      <c r="E21" s="50">
        <v>0.03</v>
      </c>
      <c r="F21" s="50">
        <v>-0.03</v>
      </c>
      <c r="G21" s="51">
        <f t="shared" si="25"/>
        <v>0.83</v>
      </c>
      <c r="H21" s="51">
        <f t="shared" si="26"/>
        <v>0.77</v>
      </c>
      <c r="I21" s="50" t="s">
        <v>45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28">IF(J21="","",IF(J21&gt;($D21+$E21),(J21-$D21-$E21),IF(J21&lt;($D21+$F21),(J21-$D21-$F21),"√")))</f>
        <v/>
      </c>
      <c r="AA21" s="53" t="str">
        <f t="shared" si="28"/>
        <v/>
      </c>
      <c r="AB21" s="53" t="str">
        <f t="shared" si="28"/>
        <v/>
      </c>
      <c r="AC21" s="53" t="str">
        <f t="shared" si="28"/>
        <v/>
      </c>
      <c r="AD21" s="53" t="str">
        <f t="shared" si="28"/>
        <v/>
      </c>
      <c r="AE21" s="53" t="str">
        <f t="shared" si="28"/>
        <v/>
      </c>
      <c r="AF21" s="53" t="str">
        <f t="shared" si="28"/>
        <v/>
      </c>
      <c r="AG21" s="53" t="str">
        <f t="shared" si="28"/>
        <v/>
      </c>
      <c r="AH21" s="53" t="str">
        <f t="shared" si="28"/>
        <v/>
      </c>
      <c r="AI21" s="53" t="str">
        <f t="shared" si="28"/>
        <v/>
      </c>
      <c r="AJ21" s="53" t="str">
        <f t="shared" si="28"/>
        <v/>
      </c>
      <c r="AK21" s="53" t="str">
        <f t="shared" si="28"/>
        <v/>
      </c>
      <c r="AL21" s="53" t="str">
        <f t="shared" si="28"/>
        <v/>
      </c>
      <c r="AM21" s="53" t="str">
        <f t="shared" si="28"/>
        <v/>
      </c>
      <c r="AN21" s="53" t="str">
        <f t="shared" si="28"/>
        <v/>
      </c>
      <c r="AO21" s="53" t="str">
        <f t="shared" si="28"/>
        <v/>
      </c>
    </row>
    <row r="22" ht="15" customHeight="1" spans="1:41">
      <c r="A22" s="54"/>
      <c r="B22" s="49" t="s">
        <v>47</v>
      </c>
      <c r="C22" s="49"/>
      <c r="D22" s="50">
        <v>1.85</v>
      </c>
      <c r="E22" s="50">
        <v>0.06</v>
      </c>
      <c r="F22" s="50">
        <v>-0.06</v>
      </c>
      <c r="G22" s="51">
        <f t="shared" si="25"/>
        <v>1.91</v>
      </c>
      <c r="H22" s="51">
        <f t="shared" si="26"/>
        <v>1.79</v>
      </c>
      <c r="I22" s="50" t="s">
        <v>45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29">IF(J22="","",IF(J22&gt;($D22+$E22),(J22-$D22-$E22),IF(J22&lt;($D22+$F22),(J22-$D22-$F22),"√")))</f>
        <v/>
      </c>
      <c r="AA22" s="53" t="str">
        <f t="shared" si="29"/>
        <v/>
      </c>
      <c r="AB22" s="53" t="str">
        <f t="shared" si="29"/>
        <v/>
      </c>
      <c r="AC22" s="53" t="str">
        <f t="shared" si="29"/>
        <v/>
      </c>
      <c r="AD22" s="53" t="str">
        <f t="shared" si="29"/>
        <v/>
      </c>
      <c r="AE22" s="53" t="str">
        <f t="shared" si="29"/>
        <v/>
      </c>
      <c r="AF22" s="53" t="str">
        <f t="shared" si="29"/>
        <v/>
      </c>
      <c r="AG22" s="53" t="str">
        <f t="shared" si="29"/>
        <v/>
      </c>
      <c r="AH22" s="53" t="str">
        <f t="shared" si="29"/>
        <v/>
      </c>
      <c r="AI22" s="53" t="str">
        <f t="shared" si="29"/>
        <v/>
      </c>
      <c r="AJ22" s="53" t="str">
        <f t="shared" si="29"/>
        <v/>
      </c>
      <c r="AK22" s="53" t="str">
        <f t="shared" si="29"/>
        <v/>
      </c>
      <c r="AL22" s="53" t="str">
        <f t="shared" si="29"/>
        <v/>
      </c>
      <c r="AM22" s="53" t="str">
        <f t="shared" si="29"/>
        <v/>
      </c>
      <c r="AN22" s="53" t="str">
        <f t="shared" si="29"/>
        <v/>
      </c>
      <c r="AO22" s="53" t="str">
        <f t="shared" si="29"/>
        <v/>
      </c>
    </row>
    <row r="23" ht="15" customHeight="1" spans="1:41">
      <c r="A23" s="54"/>
      <c r="B23" s="49" t="s">
        <v>48</v>
      </c>
      <c r="C23" s="49"/>
      <c r="D23" s="50">
        <v>1.86</v>
      </c>
      <c r="E23" s="50">
        <v>0.06</v>
      </c>
      <c r="F23" s="50">
        <v>-0.06</v>
      </c>
      <c r="G23" s="51">
        <f t="shared" si="25"/>
        <v>1.92</v>
      </c>
      <c r="H23" s="51">
        <f t="shared" si="26"/>
        <v>1.8</v>
      </c>
      <c r="I23" s="50" t="s">
        <v>45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30">IF(J23="","",IF(J23&gt;($D23+$E23),(J23-$D23-$E23),IF(J23&lt;($D23+$F23),(J23-$D23-$F23),"√")))</f>
        <v/>
      </c>
      <c r="AA23" s="53" t="str">
        <f t="shared" si="30"/>
        <v/>
      </c>
      <c r="AB23" s="53" t="str">
        <f t="shared" si="30"/>
        <v/>
      </c>
      <c r="AC23" s="53" t="str">
        <f t="shared" si="30"/>
        <v/>
      </c>
      <c r="AD23" s="53" t="str">
        <f t="shared" si="30"/>
        <v/>
      </c>
      <c r="AE23" s="53" t="str">
        <f t="shared" si="30"/>
        <v/>
      </c>
      <c r="AF23" s="53" t="str">
        <f t="shared" si="30"/>
        <v/>
      </c>
      <c r="AG23" s="53" t="str">
        <f t="shared" si="30"/>
        <v/>
      </c>
      <c r="AH23" s="53" t="str">
        <f t="shared" si="30"/>
        <v/>
      </c>
      <c r="AI23" s="53" t="str">
        <f t="shared" si="30"/>
        <v/>
      </c>
      <c r="AJ23" s="53" t="str">
        <f t="shared" si="30"/>
        <v/>
      </c>
      <c r="AK23" s="53" t="str">
        <f t="shared" si="30"/>
        <v/>
      </c>
      <c r="AL23" s="53" t="str">
        <f t="shared" si="30"/>
        <v/>
      </c>
      <c r="AM23" s="53" t="str">
        <f t="shared" si="30"/>
        <v/>
      </c>
      <c r="AN23" s="53" t="str">
        <f t="shared" si="30"/>
        <v/>
      </c>
      <c r="AO23" s="53" t="str">
        <f t="shared" si="30"/>
        <v/>
      </c>
    </row>
    <row r="24" ht="15" customHeight="1" spans="1:41">
      <c r="A24" s="54"/>
      <c r="B24" s="49" t="s">
        <v>49</v>
      </c>
      <c r="C24" s="49"/>
      <c r="D24" s="50">
        <v>1.86</v>
      </c>
      <c r="E24" s="50">
        <v>0.06</v>
      </c>
      <c r="F24" s="50">
        <v>-0.06</v>
      </c>
      <c r="G24" s="51">
        <f t="shared" si="25"/>
        <v>1.92</v>
      </c>
      <c r="H24" s="51">
        <f t="shared" si="26"/>
        <v>1.8</v>
      </c>
      <c r="I24" s="50" t="s">
        <v>45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31">IF(J24="","",IF(J24&gt;($D24+$E24),(J24-$D24-$E24),IF(J24&lt;($D24+$F24),(J24-$D24-$F24),"√")))</f>
        <v/>
      </c>
      <c r="AA24" s="53" t="str">
        <f t="shared" si="31"/>
        <v/>
      </c>
      <c r="AB24" s="53" t="str">
        <f t="shared" si="31"/>
        <v/>
      </c>
      <c r="AC24" s="53" t="str">
        <f t="shared" si="31"/>
        <v/>
      </c>
      <c r="AD24" s="53" t="str">
        <f t="shared" si="31"/>
        <v/>
      </c>
      <c r="AE24" s="53" t="str">
        <f t="shared" si="31"/>
        <v/>
      </c>
      <c r="AF24" s="53" t="str">
        <f t="shared" si="31"/>
        <v/>
      </c>
      <c r="AG24" s="53" t="str">
        <f t="shared" si="31"/>
        <v/>
      </c>
      <c r="AH24" s="53" t="str">
        <f t="shared" si="31"/>
        <v/>
      </c>
      <c r="AI24" s="53" t="str">
        <f t="shared" si="31"/>
        <v/>
      </c>
      <c r="AJ24" s="53" t="str">
        <f t="shared" si="31"/>
        <v/>
      </c>
      <c r="AK24" s="53" t="str">
        <f t="shared" si="31"/>
        <v/>
      </c>
      <c r="AL24" s="53" t="str">
        <f t="shared" si="31"/>
        <v/>
      </c>
      <c r="AM24" s="53" t="str">
        <f t="shared" si="31"/>
        <v/>
      </c>
      <c r="AN24" s="53" t="str">
        <f t="shared" si="31"/>
        <v/>
      </c>
      <c r="AO24" s="53" t="str">
        <f t="shared" si="31"/>
        <v/>
      </c>
    </row>
    <row r="25" ht="15" customHeight="1" spans="1:41">
      <c r="A25" s="54"/>
      <c r="B25" s="49" t="s">
        <v>50</v>
      </c>
      <c r="C25" s="49" t="s">
        <v>51</v>
      </c>
      <c r="D25" s="50">
        <v>6.26</v>
      </c>
      <c r="E25" s="50">
        <v>0.025</v>
      </c>
      <c r="F25" s="50">
        <v>-0.025</v>
      </c>
      <c r="G25" s="51">
        <f t="shared" si="25"/>
        <v>6.285</v>
      </c>
      <c r="H25" s="51">
        <f t="shared" si="26"/>
        <v>6.235</v>
      </c>
      <c r="I25" s="50" t="s">
        <v>45</v>
      </c>
      <c r="J25" s="52">
        <v>6.3061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>
        <f t="shared" ref="Z25:AO25" si="32">IF(J25="","",IF(J25&gt;($D25+$E25),(J25-$D25-$E25),IF(J25&lt;($D25+$F25),(J25-$D25-$F25),"√")))</f>
        <v>0.0211</v>
      </c>
      <c r="AA25" s="53" t="str">
        <f t="shared" si="32"/>
        <v/>
      </c>
      <c r="AB25" s="53" t="str">
        <f t="shared" si="32"/>
        <v/>
      </c>
      <c r="AC25" s="53" t="str">
        <f t="shared" si="32"/>
        <v/>
      </c>
      <c r="AD25" s="53" t="str">
        <f t="shared" si="32"/>
        <v/>
      </c>
      <c r="AE25" s="53" t="str">
        <f t="shared" si="32"/>
        <v/>
      </c>
      <c r="AF25" s="53" t="str">
        <f t="shared" si="32"/>
        <v/>
      </c>
      <c r="AG25" s="53" t="str">
        <f t="shared" si="32"/>
        <v/>
      </c>
      <c r="AH25" s="53" t="str">
        <f t="shared" si="32"/>
        <v/>
      </c>
      <c r="AI25" s="53" t="str">
        <f t="shared" si="32"/>
        <v/>
      </c>
      <c r="AJ25" s="53" t="str">
        <f t="shared" si="32"/>
        <v/>
      </c>
      <c r="AK25" s="53" t="str">
        <f t="shared" si="32"/>
        <v/>
      </c>
      <c r="AL25" s="53" t="str">
        <f t="shared" si="32"/>
        <v/>
      </c>
      <c r="AM25" s="53" t="str">
        <f t="shared" si="32"/>
        <v/>
      </c>
      <c r="AN25" s="53" t="str">
        <f t="shared" si="32"/>
        <v/>
      </c>
      <c r="AO25" s="53" t="str">
        <f t="shared" si="32"/>
        <v/>
      </c>
    </row>
    <row r="26" ht="15" customHeight="1" spans="1:41">
      <c r="A26" s="54"/>
      <c r="B26" s="49" t="s">
        <v>52</v>
      </c>
      <c r="C26" s="49"/>
      <c r="D26" s="50">
        <v>1.27</v>
      </c>
      <c r="E26" s="50">
        <v>0.03</v>
      </c>
      <c r="F26" s="50">
        <v>-0.03</v>
      </c>
      <c r="G26" s="51">
        <f t="shared" si="25"/>
        <v>1.3</v>
      </c>
      <c r="H26" s="51">
        <f t="shared" si="26"/>
        <v>1.24</v>
      </c>
      <c r="I26" s="50" t="s">
        <v>45</v>
      </c>
      <c r="J26" s="52">
        <v>1.2547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33">IF(J26="","",IF(J26&gt;($D26+$E26),(J26-$D26-$E26),IF(J26&lt;($D26+$F26),(J26-$D26-$F26),"√")))</f>
        <v>√</v>
      </c>
      <c r="AA26" s="53" t="str">
        <f t="shared" si="33"/>
        <v/>
      </c>
      <c r="AB26" s="53" t="str">
        <f t="shared" si="33"/>
        <v/>
      </c>
      <c r="AC26" s="53" t="str">
        <f t="shared" si="33"/>
        <v/>
      </c>
      <c r="AD26" s="53" t="str">
        <f t="shared" si="33"/>
        <v/>
      </c>
      <c r="AE26" s="53" t="str">
        <f t="shared" si="33"/>
        <v/>
      </c>
      <c r="AF26" s="53" t="str">
        <f t="shared" si="33"/>
        <v/>
      </c>
      <c r="AG26" s="53" t="str">
        <f t="shared" si="33"/>
        <v/>
      </c>
      <c r="AH26" s="53" t="str">
        <f t="shared" si="33"/>
        <v/>
      </c>
      <c r="AI26" s="53" t="str">
        <f t="shared" si="33"/>
        <v/>
      </c>
      <c r="AJ26" s="53" t="str">
        <f t="shared" si="33"/>
        <v/>
      </c>
      <c r="AK26" s="53" t="str">
        <f t="shared" si="33"/>
        <v/>
      </c>
      <c r="AL26" s="53" t="str">
        <f t="shared" si="33"/>
        <v/>
      </c>
      <c r="AM26" s="53" t="str">
        <f t="shared" si="33"/>
        <v/>
      </c>
      <c r="AN26" s="53" t="str">
        <f t="shared" si="33"/>
        <v/>
      </c>
      <c r="AO26" s="53" t="str">
        <f t="shared" si="33"/>
        <v/>
      </c>
    </row>
    <row r="27" ht="15" customHeight="1" spans="1:41">
      <c r="A27" s="54"/>
      <c r="B27" s="49" t="s">
        <v>53</v>
      </c>
      <c r="C27" s="49"/>
      <c r="D27" s="50">
        <v>1.27</v>
      </c>
      <c r="E27" s="50">
        <v>0.03</v>
      </c>
      <c r="F27" s="50">
        <v>-0.03</v>
      </c>
      <c r="G27" s="51">
        <f t="shared" si="25"/>
        <v>1.3</v>
      </c>
      <c r="H27" s="51">
        <f t="shared" si="26"/>
        <v>1.24</v>
      </c>
      <c r="I27" s="50" t="s">
        <v>45</v>
      </c>
      <c r="J27" s="52">
        <v>1.277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ref="Z27:AO27" si="34">IF(J27="","",IF(J27&gt;($D27+$E27),(J27-$D27-$E27),IF(J27&lt;($D27+$F27),(J27-$D27-$F27),"√")))</f>
        <v>√</v>
      </c>
      <c r="AA27" s="53" t="str">
        <f t="shared" si="34"/>
        <v/>
      </c>
      <c r="AB27" s="53" t="str">
        <f t="shared" si="34"/>
        <v/>
      </c>
      <c r="AC27" s="53" t="str">
        <f t="shared" si="34"/>
        <v/>
      </c>
      <c r="AD27" s="53" t="str">
        <f t="shared" si="34"/>
        <v/>
      </c>
      <c r="AE27" s="53" t="str">
        <f t="shared" si="34"/>
        <v/>
      </c>
      <c r="AF27" s="53" t="str">
        <f t="shared" si="34"/>
        <v/>
      </c>
      <c r="AG27" s="53" t="str">
        <f t="shared" si="34"/>
        <v/>
      </c>
      <c r="AH27" s="53" t="str">
        <f t="shared" si="34"/>
        <v/>
      </c>
      <c r="AI27" s="53" t="str">
        <f t="shared" si="34"/>
        <v/>
      </c>
      <c r="AJ27" s="53" t="str">
        <f t="shared" si="34"/>
        <v/>
      </c>
      <c r="AK27" s="53" t="str">
        <f t="shared" si="34"/>
        <v/>
      </c>
      <c r="AL27" s="53" t="str">
        <f t="shared" si="34"/>
        <v/>
      </c>
      <c r="AM27" s="53" t="str">
        <f t="shared" si="34"/>
        <v/>
      </c>
      <c r="AN27" s="53" t="str">
        <f t="shared" si="34"/>
        <v/>
      </c>
      <c r="AO27" s="53" t="str">
        <f t="shared" si="34"/>
        <v/>
      </c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7:Y17"/>
    <mergeCell ref="Z17:AO17"/>
    <mergeCell ref="J18:Y18"/>
    <mergeCell ref="Z18:AO18"/>
    <mergeCell ref="A2:A3"/>
    <mergeCell ref="A4:A6"/>
    <mergeCell ref="A7:A14"/>
    <mergeCell ref="A17:A19"/>
    <mergeCell ref="A20:A27"/>
    <mergeCell ref="B4:B6"/>
    <mergeCell ref="B17:B19"/>
    <mergeCell ref="C4:C6"/>
    <mergeCell ref="C17:C19"/>
    <mergeCell ref="D4:D6"/>
    <mergeCell ref="D17:D19"/>
    <mergeCell ref="E4:E6"/>
    <mergeCell ref="E17:E19"/>
    <mergeCell ref="F4:F6"/>
    <mergeCell ref="F17:F19"/>
    <mergeCell ref="G4:G6"/>
    <mergeCell ref="G17:G19"/>
    <mergeCell ref="H4:H6"/>
    <mergeCell ref="H17:H19"/>
    <mergeCell ref="I4:I6"/>
    <mergeCell ref="I17:I19"/>
    <mergeCell ref="B2:G3"/>
    <mergeCell ref="H2:K3"/>
    <mergeCell ref="L2:R3"/>
  </mergeCells>
  <conditionalFormatting sqref="J25:J27">
    <cfRule type="cellIs" dxfId="0" priority="1" operator="notBetween">
      <formula>$G25</formula>
      <formula>$H25</formula>
    </cfRule>
  </conditionalFormatting>
  <conditionalFormatting sqref="J7:Y8">
    <cfRule type="cellIs" dxfId="0" priority="7" operator="notBetween">
      <formula>$G7</formula>
      <formula>$H7</formula>
    </cfRule>
  </conditionalFormatting>
  <conditionalFormatting sqref="J9:Y11">
    <cfRule type="cellIs" dxfId="0" priority="27" operator="notBetween">
      <formula>$G9</formula>
      <formula>$H9</formula>
    </cfRule>
  </conditionalFormatting>
  <conditionalFormatting sqref="J12:Y14">
    <cfRule type="cellIs" dxfId="0" priority="6" operator="notBetween">
      <formula>$G12</formula>
      <formula>$H12</formula>
    </cfRule>
  </conditionalFormatting>
  <conditionalFormatting sqref="J20:Y21">
    <cfRule type="cellIs" dxfId="0" priority="3" operator="notBetween">
      <formula>$G20</formula>
      <formula>$H20</formula>
    </cfRule>
  </conditionalFormatting>
  <conditionalFormatting sqref="J22:Y24">
    <cfRule type="cellIs" dxfId="0" priority="4" operator="notBetween">
      <formula>$G22</formula>
      <formula>$H22</formula>
    </cfRule>
  </conditionalFormatting>
  <conditionalFormatting sqref="K25:Y27">
    <cfRule type="cellIs" dxfId="0" priority="2" operator="notBetween">
      <formula>$G25</formula>
      <formula>$H25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2026-06-11T19:17:13Z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