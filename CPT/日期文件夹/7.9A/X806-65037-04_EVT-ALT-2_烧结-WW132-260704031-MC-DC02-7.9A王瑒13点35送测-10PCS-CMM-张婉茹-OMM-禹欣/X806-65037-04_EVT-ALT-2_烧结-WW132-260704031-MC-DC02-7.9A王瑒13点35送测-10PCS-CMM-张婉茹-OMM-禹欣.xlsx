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7" sheetId="8" r:id="rId1"/>
  </sheets>
  <definedNames>
    <definedName name="_xlnm.Print_Area" localSheetId="0">'806-65037'!$B$1:$AE$6</definedName>
    <definedName name="_xlnm.Print_Titles" localSheetId="0">'806-65037'!$1:$6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<sst xmlns="http://schemas.openxmlformats.org/spreadsheetml/2006/main" count="57" uniqueCount="44">
  <si>
    <t>安徽中耀智能科技有限公司首件尺寸报告</t>
  </si>
  <si>
    <t>料号</t>
  </si>
  <si>
    <t>806-65037</t>
  </si>
  <si>
    <t>工单号</t>
  </si>
  <si>
    <t>WW132-260704031</t>
  </si>
  <si>
    <t>工站</t>
  </si>
  <si>
    <t>烧结炉号</t>
  </si>
  <si>
    <t>量测机台号</t>
  </si>
  <si>
    <t>测量人员</t>
  </si>
  <si>
    <t>审核</t>
  </si>
  <si>
    <t>烧结</t>
  </si>
  <si>
    <t>DC02</t>
  </si>
  <si>
    <t>CMM2#/OMM3#</t>
  </si>
  <si>
    <t>张婉茹/禹欣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</si>
  <si>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</si>
  <si>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</si>
  <si>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</si>
  <si>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</si>
  <si>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</si>
  <si>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</si>
  <si>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</si>
  <si>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</si>
  <si>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</si>
  <si>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</si>
  <si>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</si>
  <si>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</si>
  <si>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</si>
  <si>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</si>
  <si>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t>复测</t>
    </r>
    <r>
      <rPr>
        <b/>
        <sz val="11"/>
        <rFont val="Arial"/>
        <charset val="134"/>
      </rPr>
      <t>1</t>
    </r>
  </si>
  <si>
    <t>FAI14</t>
  </si>
  <si>
    <t>N</t>
  </si>
  <si>
    <t>OMM</t>
  </si>
  <si>
    <t>FAI16</t>
  </si>
  <si>
    <t>CMM</t>
  </si>
  <si>
    <t>FAI23</t>
  </si>
  <si>
    <t>W</t>
  </si>
  <si>
    <t>FAI24</t>
  </si>
  <si>
    <t>FAI50</t>
  </si>
  <si>
    <t>FAI4</t>
  </si>
  <si>
    <t>D</t>
  </si>
  <si>
    <t>FAI30_Y</t>
  </si>
  <si>
    <t>FAI30_Z</t>
  </si>
  <si>
    <t>FAI30</t>
  </si>
  <si>
    <t>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</si>
</sst>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7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b/>
      <sz val="11"/>
      <name val="宋体"/>
      <charset val="134"/>
    </font>
    <font>
      <sz val="10"/>
      <color theme="1"/>
      <name val="等线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sz val="1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7" applyNumberFormat="0" applyAlignment="0" applyProtection="0">
      <alignment vertical="center"/>
    </xf>
    <xf numFmtId="0" fontId="24" fillId="6" borderId="18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7" borderId="19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6" fillId="0" borderId="0">
      <alignment vertical="center"/>
    </xf>
    <xf numFmtId="0" fontId="34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9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10" fillId="0" borderId="12" xfId="0" applyNumberFormat="1" applyFont="1" applyBorder="1" applyAlignment="1">
      <alignment horizontal="center" vertical="center" wrapText="1"/>
    </xf>
    <xf numFmtId="0" fontId="11" fillId="0" borderId="7" xfId="53" applyFont="1" applyFill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177" fontId="12" fillId="2" borderId="1" xfId="61" applyNumberFormat="1" applyFont="1" applyFill="1" applyBorder="1" applyAlignment="1">
      <alignment horizontal="center" vertical="center"/>
    </xf>
    <xf numFmtId="0" fontId="13" fillId="3" borderId="1" xfId="60" applyFont="1" applyFill="1" applyBorder="1" applyAlignment="1">
      <alignment horizontal="center" vertical="center"/>
    </xf>
    <xf numFmtId="0" fontId="14" fillId="0" borderId="7" xfId="53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2"/>
  <sheetViews>
    <sheetView tabSelected="1" workbookViewId="0">
      <selection activeCell="U16" sqref="U16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7" t="s">
        <v>28</v>
      </c>
      <c r="U6" s="46">
        <v>12</v>
      </c>
      <c r="V6" s="46">
        <v>13</v>
      </c>
      <c r="W6" s="37">
        <v>14</v>
      </c>
      <c r="X6" s="46">
        <v>15</v>
      </c>
      <c r="Y6" s="46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 t="str">
        <f t="shared" si="0"/>
        <v>复测1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46212</v>
      </c>
      <c r="B7" s="50" t="s">
        <v>29</v>
      </c>
      <c r="C7" s="50" t="s">
        <v>30</v>
      </c>
      <c r="D7" s="51">
        <v>0.5</v>
      </c>
      <c r="E7" s="51">
        <v>0.03</v>
      </c>
      <c r="F7" s="51">
        <v>-0.03</v>
      </c>
      <c r="G7" s="51">
        <f t="shared" ref="G7:G12" si="1">D7+E7</f>
        <v>0.53</v>
      </c>
      <c r="H7" s="51">
        <f t="shared" ref="H7:H12" si="2">D7+F7</f>
        <v>0.47</v>
      </c>
      <c r="I7" s="51" t="s">
        <v>31</v>
      </c>
      <c r="J7" s="52">
        <v>0.5293</v>
      </c>
      <c r="K7" s="52">
        <v>0.4873</v>
      </c>
      <c r="L7" s="52">
        <v>0.4952</v>
      </c>
      <c r="M7" s="52">
        <v>0.4855</v>
      </c>
      <c r="N7" s="52">
        <v>0.4909</v>
      </c>
      <c r="O7" s="52">
        <v>0.4795</v>
      </c>
      <c r="P7" s="52">
        <v>0.5021</v>
      </c>
      <c r="Q7" s="52">
        <v>0.5129</v>
      </c>
      <c r="R7" s="52">
        <v>0.5163</v>
      </c>
      <c r="S7" s="52">
        <v>0.4909</v>
      </c>
      <c r="T7" s="52"/>
      <c r="U7" s="52"/>
      <c r="V7" s="52"/>
      <c r="W7" s="52"/>
      <c r="X7" s="52"/>
      <c r="Y7" s="52"/>
      <c r="Z7" s="53" t="str">
        <f t="shared" ref="Z7:AO7" si="3">IF(J7="","",IF(J7&gt;($D7+$E7),(J7-$D7-$E7),IF(J7&lt;($D7+$F7),(J7-$D7-$F7),"√")))</f>
        <v>√</v>
      </c>
      <c r="AA7" s="53" t="str">
        <f t="shared" si="3"/>
        <v>√</v>
      </c>
      <c r="AB7" s="53" t="str">
        <f t="shared" si="3"/>
        <v>√</v>
      </c>
      <c r="AC7" s="53" t="str">
        <f t="shared" si="3"/>
        <v>√</v>
      </c>
      <c r="AD7" s="53" t="str">
        <f t="shared" si="3"/>
        <v>√</v>
      </c>
      <c r="AE7" s="53" t="str">
        <f t="shared" si="3"/>
        <v>√</v>
      </c>
      <c r="AF7" s="53" t="str">
        <f t="shared" si="3"/>
        <v>√</v>
      </c>
      <c r="AG7" s="53" t="str">
        <f t="shared" si="3"/>
        <v>√</v>
      </c>
      <c r="AH7" s="53" t="str">
        <f t="shared" si="3"/>
        <v>√</v>
      </c>
      <c r="AI7" s="53" t="str">
        <f t="shared" si="3"/>
        <v>√</v>
      </c>
      <c r="AJ7" s="53" t="str">
        <f t="shared" si="3"/>
        <v/>
      </c>
      <c r="AK7" s="53" t="str">
        <f t="shared" si="3"/>
        <v/>
      </c>
      <c r="AL7" s="53" t="str">
        <f t="shared" si="3"/>
        <v/>
      </c>
      <c r="AM7" s="53" t="str">
        <f t="shared" si="3"/>
        <v/>
      </c>
      <c r="AN7" s="53" t="str">
        <f t="shared" si="3"/>
        <v/>
      </c>
      <c r="AO7" s="53" t="str">
        <f t="shared" si="3"/>
        <v/>
      </c>
    </row>
    <row r="8" ht="15" customHeight="1" spans="1:41">
      <c r="A8" s="49"/>
      <c r="B8" s="50" t="s">
        <v>32</v>
      </c>
      <c r="C8" s="54"/>
      <c r="D8" s="51">
        <v>8.2</v>
      </c>
      <c r="E8" s="51">
        <v>0.05</v>
      </c>
      <c r="F8" s="51">
        <v>-0.05</v>
      </c>
      <c r="G8" s="51">
        <f t="shared" si="1"/>
        <v>8.25</v>
      </c>
      <c r="H8" s="51">
        <f t="shared" si="2"/>
        <v>8.15</v>
      </c>
      <c r="I8" s="51" t="s">
        <v>33</v>
      </c>
      <c r="J8" s="52">
        <v>8.184</v>
      </c>
      <c r="K8" s="52">
        <v>8.19135</v>
      </c>
      <c r="L8" s="52">
        <v>8.18604</v>
      </c>
      <c r="M8" s="52">
        <v>8.18608</v>
      </c>
      <c r="N8" s="52">
        <v>8.18412</v>
      </c>
      <c r="O8" s="52">
        <v>8.18344</v>
      </c>
      <c r="P8" s="52">
        <v>8.19212</v>
      </c>
      <c r="Q8" s="52">
        <v>8.18874</v>
      </c>
      <c r="R8" s="52">
        <v>8.18729</v>
      </c>
      <c r="S8" s="52">
        <v>8.19297</v>
      </c>
      <c r="T8" s="52">
        <v>8.18512</v>
      </c>
      <c r="U8" s="52"/>
      <c r="V8" s="52"/>
      <c r="W8" s="52"/>
      <c r="X8" s="52"/>
      <c r="Y8" s="52"/>
      <c r="Z8" s="53" t="str">
        <f t="shared" ref="Z8:AO8" si="4">IF(J8="","",IF(J8&gt;($D8+$E8),(J8-$D8-$E8),IF(J8&lt;($D8+$F8),(J8-$D8-$F8),"√")))</f>
        <v>√</v>
      </c>
      <c r="AA8" s="53" t="str">
        <f t="shared" si="4"/>
        <v>√</v>
      </c>
      <c r="AB8" s="53" t="str">
        <f t="shared" si="4"/>
        <v>√</v>
      </c>
      <c r="AC8" s="53" t="str">
        <f t="shared" si="4"/>
        <v>√</v>
      </c>
      <c r="AD8" s="53" t="str">
        <f t="shared" si="4"/>
        <v>√</v>
      </c>
      <c r="AE8" s="53" t="str">
        <f t="shared" si="4"/>
        <v>√</v>
      </c>
      <c r="AF8" s="53" t="str">
        <f t="shared" si="4"/>
        <v>√</v>
      </c>
      <c r="AG8" s="53" t="str">
        <f t="shared" si="4"/>
        <v>√</v>
      </c>
      <c r="AH8" s="53" t="str">
        <f t="shared" si="4"/>
        <v>√</v>
      </c>
      <c r="AI8" s="53" t="str">
        <f t="shared" si="4"/>
        <v>√</v>
      </c>
      <c r="AJ8" s="53" t="str">
        <f t="shared" si="4"/>
        <v>√</v>
      </c>
      <c r="AK8" s="53" t="str">
        <f t="shared" si="4"/>
        <v/>
      </c>
      <c r="AL8" s="53" t="str">
        <f t="shared" si="4"/>
        <v/>
      </c>
      <c r="AM8" s="53" t="str">
        <f t="shared" si="4"/>
        <v/>
      </c>
      <c r="AN8" s="53" t="str">
        <f t="shared" si="4"/>
        <v/>
      </c>
      <c r="AO8" s="53" t="str">
        <f t="shared" si="4"/>
        <v/>
      </c>
    </row>
    <row r="9" ht="15" customHeight="1" spans="1:41">
      <c r="A9" s="49"/>
      <c r="B9" s="50" t="s">
        <v>34</v>
      </c>
      <c r="C9" s="50" t="s">
        <v>35</v>
      </c>
      <c r="D9" s="51">
        <v>2.76</v>
      </c>
      <c r="E9" s="51">
        <v>0.03</v>
      </c>
      <c r="F9" s="51">
        <v>-0.03</v>
      </c>
      <c r="G9" s="51">
        <f t="shared" si="1"/>
        <v>2.79</v>
      </c>
      <c r="H9" s="51">
        <f t="shared" si="2"/>
        <v>2.73</v>
      </c>
      <c r="I9" s="51" t="s">
        <v>33</v>
      </c>
      <c r="J9" s="52">
        <v>2.75742</v>
      </c>
      <c r="K9" s="52">
        <v>2.75218</v>
      </c>
      <c r="L9" s="52">
        <v>2.7558</v>
      </c>
      <c r="M9" s="52">
        <v>2.75198</v>
      </c>
      <c r="N9" s="52">
        <v>2.75657</v>
      </c>
      <c r="O9" s="52">
        <v>2.75644</v>
      </c>
      <c r="P9" s="52">
        <v>2.75364</v>
      </c>
      <c r="Q9" s="52">
        <v>2.75561</v>
      </c>
      <c r="R9" s="52">
        <v>2.74922</v>
      </c>
      <c r="S9" s="52">
        <v>2.75422</v>
      </c>
      <c r="T9" s="52">
        <v>2.75581</v>
      </c>
      <c r="U9" s="52"/>
      <c r="V9" s="52"/>
      <c r="W9" s="52"/>
      <c r="X9" s="52"/>
      <c r="Y9" s="52"/>
      <c r="Z9" s="53" t="str">
        <f t="shared" ref="Z9:AO9" si="5">IF(J9="","",IF(J9&gt;($D9+$E9),(J9-$D9-$E9),IF(J9&lt;($D9+$F9),(J9-$D9-$F9),"√")))</f>
        <v>√</v>
      </c>
      <c r="AA9" s="53" t="str">
        <f t="shared" si="5"/>
        <v>√</v>
      </c>
      <c r="AB9" s="53" t="str">
        <f t="shared" si="5"/>
        <v>√</v>
      </c>
      <c r="AC9" s="53" t="str">
        <f t="shared" si="5"/>
        <v>√</v>
      </c>
      <c r="AD9" s="53" t="str">
        <f t="shared" si="5"/>
        <v>√</v>
      </c>
      <c r="AE9" s="53" t="str">
        <f t="shared" si="5"/>
        <v>√</v>
      </c>
      <c r="AF9" s="53" t="str">
        <f t="shared" si="5"/>
        <v>√</v>
      </c>
      <c r="AG9" s="53" t="str">
        <f t="shared" si="5"/>
        <v>√</v>
      </c>
      <c r="AH9" s="53" t="str">
        <f t="shared" si="5"/>
        <v>√</v>
      </c>
      <c r="AI9" s="53" t="str">
        <f t="shared" si="5"/>
        <v>√</v>
      </c>
      <c r="AJ9" s="53" t="str">
        <f t="shared" si="5"/>
        <v>√</v>
      </c>
      <c r="AK9" s="53" t="str">
        <f t="shared" si="5"/>
        <v/>
      </c>
      <c r="AL9" s="53" t="str">
        <f t="shared" si="5"/>
        <v/>
      </c>
      <c r="AM9" s="53" t="str">
        <f t="shared" si="5"/>
        <v/>
      </c>
      <c r="AN9" s="53" t="str">
        <f t="shared" si="5"/>
        <v/>
      </c>
      <c r="AO9" s="53" t="str">
        <f t="shared" si="5"/>
        <v/>
      </c>
    </row>
    <row r="10" ht="15" customHeight="1" spans="1:41">
      <c r="A10" s="49"/>
      <c r="B10" s="50" t="s">
        <v>36</v>
      </c>
      <c r="C10" s="54"/>
      <c r="D10" s="51">
        <v>3.6</v>
      </c>
      <c r="E10" s="51">
        <v>0.05</v>
      </c>
      <c r="F10" s="51">
        <v>-0.05</v>
      </c>
      <c r="G10" s="51">
        <f t="shared" si="1"/>
        <v>3.65</v>
      </c>
      <c r="H10" s="51">
        <f t="shared" si="2"/>
        <v>3.55</v>
      </c>
      <c r="I10" s="51" t="s">
        <v>33</v>
      </c>
      <c r="J10" s="52">
        <v>3.53047</v>
      </c>
      <c r="K10" s="52">
        <v>3.66084</v>
      </c>
      <c r="L10" s="52">
        <v>3.58715</v>
      </c>
      <c r="M10" s="52">
        <v>3.65013</v>
      </c>
      <c r="N10" s="52">
        <v>3.53167</v>
      </c>
      <c r="O10" s="52">
        <v>3.60035</v>
      </c>
      <c r="P10" s="52">
        <v>3.6029</v>
      </c>
      <c r="Q10" s="52">
        <v>3.60403</v>
      </c>
      <c r="R10" s="52">
        <v>3.6569</v>
      </c>
      <c r="S10" s="52">
        <v>3.59292</v>
      </c>
      <c r="T10" s="52">
        <v>3.53077</v>
      </c>
      <c r="U10" s="52"/>
      <c r="V10" s="52"/>
      <c r="W10" s="52"/>
      <c r="X10" s="52"/>
      <c r="Y10" s="52"/>
      <c r="Z10" s="53">
        <f t="shared" ref="Z10:AO10" si="6">IF(J10="","",IF(J10&gt;($D10+$E10),(J10-$D10-$E10),IF(J10&lt;($D10+$F10),(J10-$D10-$F10),"√")))</f>
        <v>-0.0195299999999999</v>
      </c>
      <c r="AA10" s="53">
        <f t="shared" si="6"/>
        <v>0.0108399999999998</v>
      </c>
      <c r="AB10" s="53" t="str">
        <f t="shared" si="6"/>
        <v>√</v>
      </c>
      <c r="AC10" s="53">
        <f t="shared" si="6"/>
        <v>0.000129999999999783</v>
      </c>
      <c r="AD10" s="53">
        <f t="shared" si="6"/>
        <v>-0.01833</v>
      </c>
      <c r="AE10" s="53" t="str">
        <f t="shared" si="6"/>
        <v>√</v>
      </c>
      <c r="AF10" s="53" t="str">
        <f t="shared" si="6"/>
        <v>√</v>
      </c>
      <c r="AG10" s="53" t="str">
        <f t="shared" si="6"/>
        <v>√</v>
      </c>
      <c r="AH10" s="53">
        <f t="shared" si="6"/>
        <v>0.00689999999999973</v>
      </c>
      <c r="AI10" s="53" t="str">
        <f t="shared" si="6"/>
        <v>√</v>
      </c>
      <c r="AJ10" s="53">
        <f t="shared" si="6"/>
        <v>-0.0192300000000001</v>
      </c>
      <c r="AK10" s="53" t="str">
        <f t="shared" si="6"/>
        <v/>
      </c>
      <c r="AL10" s="53" t="str">
        <f t="shared" si="6"/>
        <v/>
      </c>
      <c r="AM10" s="53" t="str">
        <f t="shared" si="6"/>
        <v/>
      </c>
      <c r="AN10" s="53" t="str">
        <f t="shared" si="6"/>
        <v/>
      </c>
      <c r="AO10" s="53" t="str">
        <f t="shared" si="6"/>
        <v/>
      </c>
    </row>
    <row r="11" ht="15" customHeight="1" spans="1:41">
      <c r="A11" s="49"/>
      <c r="B11" s="50" t="s">
        <v>37</v>
      </c>
      <c r="C11" s="50"/>
      <c r="D11" s="51">
        <v>0.6</v>
      </c>
      <c r="E11" s="51">
        <v>0.02</v>
      </c>
      <c r="F11" s="51">
        <v>-0.02</v>
      </c>
      <c r="G11" s="51">
        <f t="shared" si="1"/>
        <v>0.62</v>
      </c>
      <c r="H11" s="51">
        <f t="shared" si="2"/>
        <v>0.58</v>
      </c>
      <c r="I11" s="51" t="s">
        <v>33</v>
      </c>
      <c r="J11" s="52">
        <v>0.59306</v>
      </c>
      <c r="K11" s="52">
        <v>0.59573</v>
      </c>
      <c r="L11" s="52">
        <v>0.59518</v>
      </c>
      <c r="M11" s="52">
        <v>0.59592</v>
      </c>
      <c r="N11" s="52">
        <v>0.59366</v>
      </c>
      <c r="O11" s="52">
        <v>0.59426</v>
      </c>
      <c r="P11" s="52">
        <v>0.59669</v>
      </c>
      <c r="Q11" s="52">
        <v>0.59475</v>
      </c>
      <c r="R11" s="52">
        <v>0.59517</v>
      </c>
      <c r="S11" s="52">
        <v>0.59706</v>
      </c>
      <c r="T11" s="52">
        <v>0.59275</v>
      </c>
      <c r="U11" s="52"/>
      <c r="V11" s="52"/>
      <c r="W11" s="52"/>
      <c r="X11" s="52"/>
      <c r="Y11" s="52"/>
      <c r="Z11" s="53" t="str">
        <f t="shared" ref="Z11:AO11" si="7">IF(J11="","",IF(J11&gt;($D11+$E11),(J11-$D11-$E11),IF(J11&lt;($D11+$F11),(J11-$D11-$F11),"√")))</f>
        <v>√</v>
      </c>
      <c r="AA11" s="53" t="str">
        <f t="shared" si="7"/>
        <v>√</v>
      </c>
      <c r="AB11" s="53" t="str">
        <f t="shared" si="7"/>
        <v>√</v>
      </c>
      <c r="AC11" s="53" t="str">
        <f t="shared" si="7"/>
        <v>√</v>
      </c>
      <c r="AD11" s="53" t="str">
        <f t="shared" si="7"/>
        <v>√</v>
      </c>
      <c r="AE11" s="53" t="str">
        <f t="shared" si="7"/>
        <v>√</v>
      </c>
      <c r="AF11" s="53" t="str">
        <f t="shared" si="7"/>
        <v>√</v>
      </c>
      <c r="AG11" s="53" t="str">
        <f t="shared" si="7"/>
        <v>√</v>
      </c>
      <c r="AH11" s="53" t="str">
        <f t="shared" si="7"/>
        <v>√</v>
      </c>
      <c r="AI11" s="53" t="str">
        <f t="shared" si="7"/>
        <v>√</v>
      </c>
      <c r="AJ11" s="53" t="str">
        <f t="shared" si="7"/>
        <v>√</v>
      </c>
      <c r="AK11" s="53" t="str">
        <f t="shared" si="7"/>
        <v/>
      </c>
      <c r="AL11" s="53" t="str">
        <f t="shared" si="7"/>
        <v/>
      </c>
      <c r="AM11" s="53" t="str">
        <f t="shared" si="7"/>
        <v/>
      </c>
      <c r="AN11" s="53" t="str">
        <f t="shared" si="7"/>
        <v/>
      </c>
      <c r="AO11" s="53" t="str">
        <f t="shared" si="7"/>
        <v/>
      </c>
    </row>
    <row r="12" ht="15" customHeight="1" spans="1:41">
      <c r="A12" s="49"/>
      <c r="B12" s="50" t="s">
        <v>38</v>
      </c>
      <c r="C12" s="50" t="s">
        <v>39</v>
      </c>
      <c r="D12" s="51">
        <v>0</v>
      </c>
      <c r="E12" s="51">
        <v>0.05</v>
      </c>
      <c r="F12" s="51">
        <v>0</v>
      </c>
      <c r="G12" s="51">
        <f t="shared" si="1"/>
        <v>0.05</v>
      </c>
      <c r="H12" s="51">
        <f t="shared" si="2"/>
        <v>0</v>
      </c>
      <c r="I12" s="51" t="s">
        <v>33</v>
      </c>
      <c r="J12" s="52">
        <v>0.00374</v>
      </c>
      <c r="K12" s="52">
        <v>0.00432</v>
      </c>
      <c r="L12" s="52">
        <v>0.00555</v>
      </c>
      <c r="M12" s="52">
        <v>0.0043</v>
      </c>
      <c r="N12" s="52">
        <v>0.00473</v>
      </c>
      <c r="O12" s="52">
        <v>0.00289</v>
      </c>
      <c r="P12" s="52">
        <v>0.00479</v>
      </c>
      <c r="Q12" s="52">
        <v>0.00274</v>
      </c>
      <c r="R12" s="52">
        <v>0.00295</v>
      </c>
      <c r="S12" s="52">
        <v>0.0043</v>
      </c>
      <c r="T12" s="52">
        <v>0.00419</v>
      </c>
      <c r="U12" s="52"/>
      <c r="V12" s="52"/>
      <c r="W12" s="52"/>
      <c r="X12" s="52"/>
      <c r="Y12" s="52"/>
      <c r="Z12" s="53" t="str">
        <f t="shared" ref="Z12:AO12" si="8">IF(J12="","",IF(J12&gt;($D12+$E12),(J12-$D12-$E12),IF(J12&lt;($D12+$F12),(J12-$D12-$F12),"√")))</f>
        <v>√</v>
      </c>
      <c r="AA12" s="53" t="str">
        <f t="shared" si="8"/>
        <v>√</v>
      </c>
      <c r="AB12" s="53" t="str">
        <f t="shared" si="8"/>
        <v>√</v>
      </c>
      <c r="AC12" s="53" t="str">
        <f t="shared" si="8"/>
        <v>√</v>
      </c>
      <c r="AD12" s="53" t="str">
        <f t="shared" si="8"/>
        <v>√</v>
      </c>
      <c r="AE12" s="53" t="str">
        <f t="shared" si="8"/>
        <v>√</v>
      </c>
      <c r="AF12" s="53" t="str">
        <f t="shared" si="8"/>
        <v>√</v>
      </c>
      <c r="AG12" s="53" t="str">
        <f t="shared" si="8"/>
        <v>√</v>
      </c>
      <c r="AH12" s="53" t="str">
        <f t="shared" si="8"/>
        <v>√</v>
      </c>
      <c r="AI12" s="53" t="str">
        <f t="shared" si="8"/>
        <v>√</v>
      </c>
      <c r="AJ12" s="53" t="str">
        <f t="shared" si="8"/>
        <v>√</v>
      </c>
      <c r="AK12" s="53" t="str">
        <f t="shared" si="8"/>
        <v/>
      </c>
      <c r="AL12" s="53" t="str">
        <f t="shared" si="8"/>
        <v/>
      </c>
      <c r="AM12" s="53" t="str">
        <f t="shared" si="8"/>
        <v/>
      </c>
      <c r="AN12" s="53" t="str">
        <f t="shared" si="8"/>
        <v/>
      </c>
      <c r="AO12" s="53" t="str">
        <f t="shared" si="8"/>
        <v/>
      </c>
    </row>
    <row r="13" ht="15" customHeight="1" spans="1:41">
      <c r="A13" s="49"/>
      <c r="B13" s="50">
        <v>1</v>
      </c>
      <c r="C13" s="50"/>
      <c r="D13" s="51"/>
      <c r="E13" s="51"/>
      <c r="F13" s="51"/>
      <c r="G13" s="51"/>
      <c r="H13" s="51"/>
      <c r="I13" s="51" t="s">
        <v>33</v>
      </c>
      <c r="J13" s="52">
        <v>-0.00131</v>
      </c>
      <c r="K13" s="52">
        <v>0.00077</v>
      </c>
      <c r="L13" s="52">
        <v>-0.00278</v>
      </c>
      <c r="M13" s="52">
        <v>0.00173</v>
      </c>
      <c r="N13" s="52">
        <v>-0.00237</v>
      </c>
      <c r="O13" s="52">
        <v>0.00063</v>
      </c>
      <c r="P13" s="52">
        <v>-0.00079</v>
      </c>
      <c r="Q13" s="52">
        <v>-0.00038</v>
      </c>
      <c r="R13" s="52">
        <v>0.00147</v>
      </c>
      <c r="S13" s="52">
        <v>-0.00107</v>
      </c>
      <c r="T13" s="52">
        <v>-0.00035</v>
      </c>
      <c r="U13" s="52"/>
      <c r="V13" s="52"/>
      <c r="W13" s="52"/>
      <c r="X13" s="52"/>
      <c r="Y13" s="52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</row>
    <row r="14" ht="15" customHeight="1" spans="1:41">
      <c r="A14" s="49"/>
      <c r="B14" s="50">
        <v>2</v>
      </c>
      <c r="C14" s="50"/>
      <c r="D14" s="51"/>
      <c r="E14" s="51"/>
      <c r="F14" s="51"/>
      <c r="G14" s="51"/>
      <c r="H14" s="51"/>
      <c r="I14" s="51" t="s">
        <v>33</v>
      </c>
      <c r="J14" s="52">
        <v>-0.00187</v>
      </c>
      <c r="K14" s="52">
        <v>-0.00216</v>
      </c>
      <c r="L14" s="52">
        <v>-0.00127</v>
      </c>
      <c r="M14" s="52">
        <v>-0.00215</v>
      </c>
      <c r="N14" s="52">
        <v>-0.00043</v>
      </c>
      <c r="O14" s="52">
        <v>-0.00144</v>
      </c>
      <c r="P14" s="52">
        <v>-0.00239</v>
      </c>
      <c r="Q14" s="52">
        <v>-0.00137</v>
      </c>
      <c r="R14" s="52">
        <v>-0.00147</v>
      </c>
      <c r="S14" s="52">
        <v>-0.00215</v>
      </c>
      <c r="T14" s="52">
        <v>-0.00209</v>
      </c>
      <c r="U14" s="52"/>
      <c r="V14" s="52"/>
      <c r="W14" s="52"/>
      <c r="X14" s="52"/>
      <c r="Y14" s="52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</row>
    <row r="15" ht="15" customHeight="1" spans="1:41">
      <c r="A15" s="49"/>
      <c r="B15" s="50">
        <v>3</v>
      </c>
      <c r="C15" s="50"/>
      <c r="D15" s="51"/>
      <c r="E15" s="51"/>
      <c r="F15" s="51"/>
      <c r="G15" s="51"/>
      <c r="H15" s="51"/>
      <c r="I15" s="51" t="s">
        <v>33</v>
      </c>
      <c r="J15" s="52">
        <v>0.00187</v>
      </c>
      <c r="K15" s="52">
        <v>0.00216</v>
      </c>
      <c r="L15" s="52">
        <v>0.00278</v>
      </c>
      <c r="M15" s="52">
        <v>0.00192</v>
      </c>
      <c r="N15" s="52">
        <v>0.00237</v>
      </c>
      <c r="O15" s="52">
        <v>0.00144</v>
      </c>
      <c r="P15" s="52">
        <v>0.00239</v>
      </c>
      <c r="Q15" s="52">
        <v>0.00137</v>
      </c>
      <c r="R15" s="52">
        <v>0.00147</v>
      </c>
      <c r="S15" s="52">
        <v>0.00162</v>
      </c>
      <c r="T15" s="52">
        <v>0.00209</v>
      </c>
      <c r="U15" s="52"/>
      <c r="V15" s="52"/>
      <c r="W15" s="52"/>
      <c r="X15" s="52"/>
      <c r="Y15" s="52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</row>
    <row r="16" ht="15" customHeight="1" spans="1:41">
      <c r="A16" s="49"/>
      <c r="B16" s="50">
        <v>4</v>
      </c>
      <c r="C16" s="50"/>
      <c r="D16" s="51"/>
      <c r="E16" s="51"/>
      <c r="F16" s="51"/>
      <c r="G16" s="51"/>
      <c r="H16" s="51"/>
      <c r="I16" s="51" t="s">
        <v>33</v>
      </c>
      <c r="J16" s="52">
        <v>0.00187</v>
      </c>
      <c r="K16" s="52">
        <v>0.00216</v>
      </c>
      <c r="L16" s="52">
        <v>0.00278</v>
      </c>
      <c r="M16" s="52">
        <v>0.00215</v>
      </c>
      <c r="N16" s="52">
        <v>0.00237</v>
      </c>
      <c r="O16" s="52">
        <v>0.00144</v>
      </c>
      <c r="P16" s="52">
        <v>0.00239</v>
      </c>
      <c r="Q16" s="52">
        <v>0.00137</v>
      </c>
      <c r="R16" s="52">
        <v>0.00147</v>
      </c>
      <c r="S16" s="52">
        <v>0.00215</v>
      </c>
      <c r="T16" s="52">
        <v>0.00209</v>
      </c>
      <c r="U16" s="52"/>
      <c r="V16" s="52"/>
      <c r="W16" s="52"/>
      <c r="X16" s="52"/>
      <c r="Y16" s="52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</row>
    <row r="17" ht="15" customHeight="1" spans="1:41">
      <c r="A17" s="49"/>
      <c r="B17" s="50">
        <v>5</v>
      </c>
      <c r="C17" s="50"/>
      <c r="D17" s="51"/>
      <c r="E17" s="51"/>
      <c r="F17" s="51"/>
      <c r="G17" s="51"/>
      <c r="H17" s="51"/>
      <c r="I17" s="51" t="s">
        <v>33</v>
      </c>
      <c r="J17" s="52">
        <v>-0.00187</v>
      </c>
      <c r="K17" s="52">
        <v>-0.00216</v>
      </c>
      <c r="L17" s="52">
        <v>-0.00278</v>
      </c>
      <c r="M17" s="52">
        <v>-0.00215</v>
      </c>
      <c r="N17" s="52">
        <v>-0.00237</v>
      </c>
      <c r="O17" s="52">
        <v>-0.00144</v>
      </c>
      <c r="P17" s="52">
        <v>-0.00239</v>
      </c>
      <c r="Q17" s="52">
        <v>-0.00137</v>
      </c>
      <c r="R17" s="52">
        <v>-0.00087</v>
      </c>
      <c r="S17" s="52">
        <v>-0.00215</v>
      </c>
      <c r="T17" s="52">
        <v>-0.00209</v>
      </c>
      <c r="U17" s="52"/>
      <c r="V17" s="52"/>
      <c r="W17" s="52"/>
      <c r="X17" s="52"/>
      <c r="Y17" s="52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</row>
    <row r="18" ht="15" customHeight="1" spans="1:41">
      <c r="A18" s="49"/>
      <c r="B18" s="50">
        <v>6</v>
      </c>
      <c r="C18" s="50"/>
      <c r="D18" s="51"/>
      <c r="E18" s="51"/>
      <c r="F18" s="51"/>
      <c r="G18" s="51"/>
      <c r="H18" s="51"/>
      <c r="I18" s="51" t="s">
        <v>33</v>
      </c>
      <c r="J18" s="52">
        <v>0.00028</v>
      </c>
      <c r="K18" s="52">
        <v>0.00171</v>
      </c>
      <c r="L18" s="52">
        <v>0.00225</v>
      </c>
      <c r="M18" s="52">
        <v>0.00215</v>
      </c>
      <c r="N18" s="52">
        <v>0.002</v>
      </c>
      <c r="O18" s="52">
        <v>0.0008</v>
      </c>
      <c r="P18" s="52">
        <v>0.00166</v>
      </c>
      <c r="Q18" s="52">
        <v>0.00071</v>
      </c>
      <c r="R18" s="52">
        <v>0.00068</v>
      </c>
      <c r="S18" s="52">
        <v>0.00215</v>
      </c>
      <c r="T18" s="52">
        <v>-0.00057</v>
      </c>
      <c r="U18" s="52"/>
      <c r="V18" s="52"/>
      <c r="W18" s="52"/>
      <c r="X18" s="52"/>
      <c r="Y18" s="52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</row>
    <row r="19" ht="15" customHeight="1" spans="1:41">
      <c r="A19" s="49"/>
      <c r="B19" s="50" t="s">
        <v>40</v>
      </c>
      <c r="C19" s="50"/>
      <c r="D19" s="51"/>
      <c r="E19" s="51"/>
      <c r="F19" s="51"/>
      <c r="G19" s="51"/>
      <c r="H19" s="51"/>
      <c r="I19" s="51" t="s">
        <v>33</v>
      </c>
      <c r="J19" s="52">
        <v>-0.01254</v>
      </c>
      <c r="K19" s="52">
        <v>-0.0192</v>
      </c>
      <c r="L19" s="52">
        <v>-0.01317</v>
      </c>
      <c r="M19" s="52">
        <v>-0.01549</v>
      </c>
      <c r="N19" s="52">
        <v>-0.00273</v>
      </c>
      <c r="O19" s="52">
        <v>0.00246</v>
      </c>
      <c r="P19" s="52">
        <v>-0.0057</v>
      </c>
      <c r="Q19" s="52">
        <v>-0.00116</v>
      </c>
      <c r="R19" s="52">
        <v>-0.00374</v>
      </c>
      <c r="S19" s="52">
        <v>-0.01721</v>
      </c>
      <c r="T19" s="52">
        <v>-0.01205</v>
      </c>
      <c r="U19" s="52"/>
      <c r="V19" s="52"/>
      <c r="W19" s="52"/>
      <c r="X19" s="52"/>
      <c r="Y19" s="52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</row>
    <row r="20" ht="15" customHeight="1" spans="1:41">
      <c r="A20" s="49"/>
      <c r="B20" s="50" t="s">
        <v>41</v>
      </c>
      <c r="C20" s="50"/>
      <c r="D20" s="51"/>
      <c r="E20" s="51"/>
      <c r="F20" s="51"/>
      <c r="G20" s="51"/>
      <c r="H20" s="51"/>
      <c r="I20" s="51" t="s">
        <v>33</v>
      </c>
      <c r="J20" s="52">
        <v>0.0184</v>
      </c>
      <c r="K20" s="52">
        <v>0.04316</v>
      </c>
      <c r="L20" s="52">
        <v>0.03106</v>
      </c>
      <c r="M20" s="52">
        <v>0.03931</v>
      </c>
      <c r="N20" s="52">
        <v>0.01977</v>
      </c>
      <c r="O20" s="52">
        <v>0.03638</v>
      </c>
      <c r="P20" s="52">
        <v>0.03529</v>
      </c>
      <c r="Q20" s="52">
        <v>0.03154</v>
      </c>
      <c r="R20" s="52">
        <v>0.04163</v>
      </c>
      <c r="S20" s="52">
        <v>0.03304</v>
      </c>
      <c r="T20" s="52">
        <v>0.01829</v>
      </c>
      <c r="U20" s="52"/>
      <c r="V20" s="52"/>
      <c r="W20" s="52"/>
      <c r="X20" s="52"/>
      <c r="Y20" s="52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</row>
    <row r="21" ht="15" customHeight="1" spans="1:41">
      <c r="A21" s="49"/>
      <c r="B21" s="50" t="s">
        <v>42</v>
      </c>
      <c r="C21" s="50" t="s">
        <v>43</v>
      </c>
      <c r="D21" s="51">
        <v>0</v>
      </c>
      <c r="E21" s="51">
        <v>0.1</v>
      </c>
      <c r="F21" s="51">
        <v>0</v>
      </c>
      <c r="G21" s="51">
        <f>D21+E21</f>
        <v>0.1</v>
      </c>
      <c r="H21" s="51">
        <f>D21+F21</f>
        <v>0</v>
      </c>
      <c r="I21" s="51" t="s">
        <v>33</v>
      </c>
      <c r="J21" s="52">
        <v>0.0564</v>
      </c>
      <c r="K21" s="52">
        <v>0.09662</v>
      </c>
      <c r="L21" s="52">
        <v>0.07536</v>
      </c>
      <c r="M21" s="52">
        <v>0.08644</v>
      </c>
      <c r="N21" s="52">
        <v>0.04419</v>
      </c>
      <c r="O21" s="52">
        <v>0.07278</v>
      </c>
      <c r="P21" s="52">
        <v>0.07331</v>
      </c>
      <c r="Q21" s="52">
        <v>0.06327</v>
      </c>
      <c r="R21" s="52">
        <v>0.08357</v>
      </c>
      <c r="S21" s="52">
        <v>0.07625</v>
      </c>
      <c r="T21" s="52">
        <v>0.0542</v>
      </c>
      <c r="U21" s="52"/>
      <c r="V21" s="52"/>
      <c r="W21" s="52"/>
      <c r="X21" s="52"/>
      <c r="Y21" s="52"/>
      <c r="Z21" s="53" t="str">
        <f t="shared" ref="Z21:AO21" si="9">IF(J21="","",IF(J21&gt;($D21+$E21),(J21-$D21-$E21),IF(J21&lt;($D21+$F21),(J21-$D21-$F21),"√")))</f>
        <v>√</v>
      </c>
      <c r="AA21" s="53" t="str">
        <f t="shared" si="9"/>
        <v>√</v>
      </c>
      <c r="AB21" s="53" t="str">
        <f t="shared" si="9"/>
        <v>√</v>
      </c>
      <c r="AC21" s="53" t="str">
        <f t="shared" si="9"/>
        <v>√</v>
      </c>
      <c r="AD21" s="53" t="str">
        <f t="shared" si="9"/>
        <v>√</v>
      </c>
      <c r="AE21" s="53" t="str">
        <f t="shared" si="9"/>
        <v>√</v>
      </c>
      <c r="AF21" s="53" t="str">
        <f t="shared" si="9"/>
        <v>√</v>
      </c>
      <c r="AG21" s="53" t="str">
        <f t="shared" si="9"/>
        <v>√</v>
      </c>
      <c r="AH21" s="53" t="str">
        <f t="shared" si="9"/>
        <v>√</v>
      </c>
      <c r="AI21" s="53" t="str">
        <f t="shared" si="9"/>
        <v>√</v>
      </c>
      <c r="AJ21" s="53" t="str">
        <f t="shared" si="9"/>
        <v>√</v>
      </c>
      <c r="AK21" s="53" t="str">
        <f t="shared" si="9"/>
        <v/>
      </c>
      <c r="AL21" s="53" t="str">
        <f t="shared" si="9"/>
        <v/>
      </c>
      <c r="AM21" s="53" t="str">
        <f t="shared" si="9"/>
        <v/>
      </c>
      <c r="AN21" s="53" t="str">
        <f t="shared" si="9"/>
        <v/>
      </c>
      <c r="AO21" s="53" t="str">
        <f t="shared" si="9"/>
        <v/>
      </c>
    </row>
    <row r="22" spans="1:4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2:AO22"/>
    <mergeCell ref="A2:A3"/>
    <mergeCell ref="A4:A6"/>
    <mergeCell ref="A7:A21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11:Y11">
    <cfRule type="cellIs" dxfId="0" priority="6" operator="notBetween">
      <formula>$G11</formula>
      <formula>$H11</formula>
    </cfRule>
  </conditionalFormatting>
  <conditionalFormatting sqref="J21:Y21">
    <cfRule type="cellIs" dxfId="0" priority="5" operator="notBetween">
      <formula>$G21</formula>
      <formula>$H21</formula>
    </cfRule>
  </conditionalFormatting>
  <conditionalFormatting sqref="J7:Y8 J12:Y12">
    <cfRule type="cellIs" dxfId="0" priority="18" operator="notBetween">
      <formula>$G7</formula>
      <formula>$H7</formula>
    </cfRule>
  </conditionalFormatting>
  <conditionalFormatting sqref="J9:Y10">
    <cfRule type="cellIs" dxfId="0" priority="20" operator="notBetween">
      <formula>$G9</formula>
      <formula>$H9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2026-07-09T09:38:41Z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