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<sst xmlns="http://schemas.openxmlformats.org/spreadsheetml/2006/main" count="49" uniqueCount="39">
  <si>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安徽中耀智能科技有限公司首件尺寸报告</t>
  </si>
  <si>
    <t>料号</t>
  </si>
  <si>
    <t>806-65035</t>
  </si>
  <si>
    <t>工单号</t>
  </si>
  <si>
    <t>WW132-260707016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</si>
  <si>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</si>
  <si>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</si>
  <si>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</si>
  <si>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</si>
  <si>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</si>
  <si>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</si>
  <si>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</si>
  <si>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CMM5#/OMM3#</t>
  </si>
  <si>
    <t>李昊燃/禹欣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</si>
  <si>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</si>
  <si>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</si>
  <si>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</si>
  <si>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</si>
  <si>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</si>
  <si>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</si>
  <si>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</si>
  <si>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</si>
  <si>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</si>
  <si>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</si>
  <si>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</si>
  <si>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</si>
  <si>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</si>
  <si>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</si>
  <si>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</si>
  <si>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</si>
  <si>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</si>
  <si>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FAI23</t>
  </si>
  <si>
    <t>W</t>
  </si>
  <si>
    <t>CMM</t>
  </si>
  <si>
    <t>FAI24</t>
  </si>
  <si>
    <t>FA45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</si>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</sst>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workbookViewId="0">
      <selection activeCell="J7" sqref="J7:S7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46212</v>
      </c>
      <c r="B7" s="49" t="s">
        <v>28</v>
      </c>
      <c r="C7" s="50" t="s">
        <v>29</v>
      </c>
      <c r="D7" s="51">
        <v>0.5</v>
      </c>
      <c r="E7" s="51">
        <v>0.03</v>
      </c>
      <c r="F7" s="51">
        <v>-0.03</v>
      </c>
      <c r="G7" s="51">
        <f t="shared" ref="G7:G12" si="1">D7+E7</f>
        <v>0.53</v>
      </c>
      <c r="H7" s="51">
        <f t="shared" ref="H7:H12" si="2">D7+F7</f>
        <v>0.47</v>
      </c>
      <c r="I7" s="51" t="s">
        <v>30</v>
      </c>
      <c r="J7" s="52">
        <v>0.4878</v>
      </c>
      <c r="K7" s="52">
        <v>0.4952</v>
      </c>
      <c r="L7" s="52">
        <v>0.4799</v>
      </c>
      <c r="M7" s="52">
        <v>0.4963</v>
      </c>
      <c r="N7" s="52">
        <v>0.4935</v>
      </c>
      <c r="O7" s="52">
        <v>0.4771</v>
      </c>
      <c r="P7" s="52">
        <v>0.4908</v>
      </c>
      <c r="Q7" s="52">
        <v>0.4839</v>
      </c>
      <c r="R7" s="52">
        <v>0.4859</v>
      </c>
      <c r="S7" s="52">
        <v>0.4987</v>
      </c>
      <c r="T7" s="52"/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/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31</v>
      </c>
      <c r="C8" s="50" t="s">
        <v>32</v>
      </c>
      <c r="D8" s="51">
        <v>2.76</v>
      </c>
      <c r="E8" s="51">
        <v>0.03</v>
      </c>
      <c r="F8" s="51">
        <v>-0.03</v>
      </c>
      <c r="G8" s="51">
        <f t="shared" si="1"/>
        <v>2.79</v>
      </c>
      <c r="H8" s="51">
        <f t="shared" si="2"/>
        <v>2.73</v>
      </c>
      <c r="I8" s="51" t="s">
        <v>33</v>
      </c>
      <c r="J8" s="52">
        <v>2.7543</v>
      </c>
      <c r="K8" s="52">
        <v>2.7531</v>
      </c>
      <c r="L8" s="52">
        <v>2.752</v>
      </c>
      <c r="M8" s="52">
        <v>2.7525</v>
      </c>
      <c r="N8" s="52">
        <v>2.7546</v>
      </c>
      <c r="O8" s="52">
        <v>2.7523</v>
      </c>
      <c r="P8" s="52">
        <v>2.752</v>
      </c>
      <c r="Q8" s="52">
        <v>2.7511</v>
      </c>
      <c r="R8" s="52">
        <v>2.7534</v>
      </c>
      <c r="S8" s="52">
        <v>2.7516</v>
      </c>
      <c r="T8" s="52"/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 t="str">
        <f t="shared" si="4"/>
        <v>√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 t="str">
        <f t="shared" si="4"/>
        <v/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34</v>
      </c>
      <c r="C9" s="50"/>
      <c r="D9" s="51">
        <v>3.6</v>
      </c>
      <c r="E9" s="51">
        <v>0.05</v>
      </c>
      <c r="F9" s="51">
        <v>-0.05</v>
      </c>
      <c r="G9" s="51">
        <f t="shared" si="1"/>
        <v>3.65</v>
      </c>
      <c r="H9" s="51">
        <f t="shared" si="2"/>
        <v>3.55</v>
      </c>
      <c r="I9" s="51" t="s">
        <v>33</v>
      </c>
      <c r="J9" s="52">
        <v>3.571</v>
      </c>
      <c r="K9" s="52">
        <v>3.5902</v>
      </c>
      <c r="L9" s="52">
        <v>3.5846</v>
      </c>
      <c r="M9" s="52">
        <v>3.5716</v>
      </c>
      <c r="N9" s="52">
        <v>3.5722</v>
      </c>
      <c r="O9" s="52">
        <v>3.5942</v>
      </c>
      <c r="P9" s="52">
        <v>3.5836</v>
      </c>
      <c r="Q9" s="52">
        <v>3.5849</v>
      </c>
      <c r="R9" s="52">
        <v>3.5748</v>
      </c>
      <c r="S9" s="52">
        <v>3.5787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35</v>
      </c>
      <c r="C10" s="50"/>
      <c r="D10" s="51">
        <v>8.2</v>
      </c>
      <c r="E10" s="51">
        <v>0.05</v>
      </c>
      <c r="F10" s="51">
        <v>-0.05</v>
      </c>
      <c r="G10" s="51">
        <f t="shared" si="1"/>
        <v>8.25</v>
      </c>
      <c r="H10" s="51">
        <f t="shared" si="2"/>
        <v>8.15</v>
      </c>
      <c r="I10" s="51" t="s">
        <v>33</v>
      </c>
      <c r="J10" s="52">
        <v>8.1802</v>
      </c>
      <c r="K10" s="52">
        <v>8.1909</v>
      </c>
      <c r="L10" s="52">
        <v>8.1908</v>
      </c>
      <c r="M10" s="52">
        <v>8.1757</v>
      </c>
      <c r="N10" s="52">
        <v>8.1772</v>
      </c>
      <c r="O10" s="52">
        <v>8.1931</v>
      </c>
      <c r="P10" s="52">
        <v>8.1801</v>
      </c>
      <c r="Q10" s="52">
        <v>8.1865</v>
      </c>
      <c r="R10" s="52">
        <v>8.1742</v>
      </c>
      <c r="S10" s="52">
        <v>8.1838</v>
      </c>
      <c r="T10" s="52"/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/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36</v>
      </c>
      <c r="C11" s="50"/>
      <c r="D11" s="51">
        <v>0.6</v>
      </c>
      <c r="E11" s="51">
        <v>0.02</v>
      </c>
      <c r="F11" s="51">
        <v>-0.02</v>
      </c>
      <c r="G11" s="51">
        <f t="shared" si="1"/>
        <v>0.62</v>
      </c>
      <c r="H11" s="51">
        <f t="shared" si="2"/>
        <v>0.58</v>
      </c>
      <c r="I11" s="51" t="s">
        <v>33</v>
      </c>
      <c r="J11" s="52">
        <v>0.601</v>
      </c>
      <c r="K11" s="52">
        <v>0.5986</v>
      </c>
      <c r="L11" s="52">
        <v>0.5979</v>
      </c>
      <c r="M11" s="52">
        <v>0.5987</v>
      </c>
      <c r="N11" s="52">
        <v>0.5995</v>
      </c>
      <c r="O11" s="52">
        <v>0.5982</v>
      </c>
      <c r="P11" s="52">
        <v>0.5991</v>
      </c>
      <c r="Q11" s="52">
        <v>0.5993</v>
      </c>
      <c r="R11" s="52">
        <v>0.6002</v>
      </c>
      <c r="S11" s="52">
        <v>0.5993</v>
      </c>
      <c r="T11" s="52"/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/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37</v>
      </c>
      <c r="C12" s="50" t="s">
        <v>38</v>
      </c>
      <c r="D12" s="51">
        <v>0</v>
      </c>
      <c r="E12" s="51">
        <v>0.05</v>
      </c>
      <c r="F12" s="51">
        <v>0</v>
      </c>
      <c r="G12" s="51">
        <f t="shared" si="1"/>
        <v>0.05</v>
      </c>
      <c r="H12" s="51">
        <f t="shared" si="2"/>
        <v>0</v>
      </c>
      <c r="I12" s="51" t="s">
        <v>33</v>
      </c>
      <c r="J12" s="52">
        <v>0.0048</v>
      </c>
      <c r="K12" s="52">
        <v>0.0035</v>
      </c>
      <c r="L12" s="52">
        <v>0.0028</v>
      </c>
      <c r="M12" s="52">
        <v>0.0045</v>
      </c>
      <c r="N12" s="52">
        <v>0.0048</v>
      </c>
      <c r="O12" s="52">
        <v>0.0045</v>
      </c>
      <c r="P12" s="52">
        <v>0.0046</v>
      </c>
      <c r="Q12" s="52">
        <v>0.0034</v>
      </c>
      <c r="R12" s="52">
        <v>0.0045</v>
      </c>
      <c r="S12" s="52">
        <v>0.0022</v>
      </c>
      <c r="T12" s="52"/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/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50">
        <v>1</v>
      </c>
      <c r="C13" s="50"/>
      <c r="D13" s="51"/>
      <c r="E13" s="51"/>
      <c r="F13" s="51"/>
      <c r="G13" s="51"/>
      <c r="H13" s="51"/>
      <c r="I13" s="51" t="s">
        <v>33</v>
      </c>
      <c r="J13" s="52">
        <v>0.0007</v>
      </c>
      <c r="K13" s="52">
        <v>0.0014</v>
      </c>
      <c r="L13" s="52">
        <v>0.0007</v>
      </c>
      <c r="M13" s="52">
        <v>0.0003</v>
      </c>
      <c r="N13" s="52">
        <v>0.0007</v>
      </c>
      <c r="O13" s="52">
        <v>0.0006</v>
      </c>
      <c r="P13" s="52">
        <v>0.0019</v>
      </c>
      <c r="Q13" s="52">
        <v>0.0006</v>
      </c>
      <c r="R13" s="52">
        <v>0.0009</v>
      </c>
      <c r="S13" s="52">
        <v>0.0008</v>
      </c>
      <c r="T13" s="52"/>
      <c r="U13" s="52"/>
      <c r="V13" s="52"/>
      <c r="W13" s="52"/>
      <c r="X13" s="52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50">
        <v>2</v>
      </c>
      <c r="C14" s="50"/>
      <c r="D14" s="51"/>
      <c r="E14" s="51"/>
      <c r="F14" s="51"/>
      <c r="G14" s="51"/>
      <c r="H14" s="51"/>
      <c r="I14" s="51" t="s">
        <v>33</v>
      </c>
      <c r="J14" s="52">
        <v>-0.0019</v>
      </c>
      <c r="K14" s="52">
        <v>-0.0021</v>
      </c>
      <c r="L14" s="52">
        <v>-0.0018</v>
      </c>
      <c r="M14" s="52">
        <v>-0.0015</v>
      </c>
      <c r="N14" s="52">
        <v>-0.003</v>
      </c>
      <c r="O14" s="52">
        <v>-0.0028</v>
      </c>
      <c r="P14" s="52">
        <v>-0.0027</v>
      </c>
      <c r="Q14" s="52">
        <v>-0.0013</v>
      </c>
      <c r="R14" s="52">
        <v>-0.0023</v>
      </c>
      <c r="S14" s="52">
        <v>-0.0014</v>
      </c>
      <c r="T14" s="52"/>
      <c r="U14" s="52"/>
      <c r="V14" s="52"/>
      <c r="W14" s="52"/>
      <c r="X14" s="52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50">
        <v>3</v>
      </c>
      <c r="C15" s="50"/>
      <c r="D15" s="51"/>
      <c r="E15" s="51"/>
      <c r="F15" s="51"/>
      <c r="G15" s="51"/>
      <c r="H15" s="51"/>
      <c r="I15" s="51" t="s">
        <v>33</v>
      </c>
      <c r="J15" s="52">
        <v>0.0005</v>
      </c>
      <c r="K15" s="52">
        <v>0.0005</v>
      </c>
      <c r="L15" s="52">
        <v>0.0007</v>
      </c>
      <c r="M15" s="52">
        <v>0.0006</v>
      </c>
      <c r="N15" s="52">
        <v>0.0018</v>
      </c>
      <c r="O15" s="52">
        <v>0.0015</v>
      </c>
      <c r="P15" s="52">
        <v>0.0005</v>
      </c>
      <c r="Q15" s="52">
        <v>0.0003</v>
      </c>
      <c r="R15" s="52">
        <v>0.0007</v>
      </c>
      <c r="S15" s="52">
        <v>0.0004</v>
      </c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4</v>
      </c>
      <c r="C16" s="50"/>
      <c r="D16" s="51"/>
      <c r="E16" s="51"/>
      <c r="F16" s="51"/>
      <c r="G16" s="51"/>
      <c r="H16" s="51"/>
      <c r="I16" s="51" t="s">
        <v>33</v>
      </c>
      <c r="J16" s="52">
        <v>0.0013</v>
      </c>
      <c r="K16" s="52">
        <v>0.0001</v>
      </c>
      <c r="L16" s="52">
        <v>0.0008</v>
      </c>
      <c r="M16" s="52">
        <v>0.0016</v>
      </c>
      <c r="N16" s="52">
        <v>0.0015</v>
      </c>
      <c r="O16" s="52">
        <v>0.0017</v>
      </c>
      <c r="P16" s="52">
        <v>-0.0002</v>
      </c>
      <c r="Q16" s="52">
        <v>0.0009</v>
      </c>
      <c r="R16" s="52">
        <v>0.0013</v>
      </c>
      <c r="S16" s="52">
        <v>0.0001</v>
      </c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5</v>
      </c>
      <c r="C17" s="50"/>
      <c r="D17" s="51"/>
      <c r="E17" s="51"/>
      <c r="F17" s="51"/>
      <c r="G17" s="51"/>
      <c r="H17" s="51"/>
      <c r="I17" s="51" t="s">
        <v>33</v>
      </c>
      <c r="J17" s="52">
        <v>-0.0027</v>
      </c>
      <c r="K17" s="52">
        <v>-0.001</v>
      </c>
      <c r="L17" s="52">
        <v>-0.0015</v>
      </c>
      <c r="M17" s="52">
        <v>-0.0027</v>
      </c>
      <c r="N17" s="52">
        <v>-0.0018</v>
      </c>
      <c r="O17" s="52">
        <v>-0.0024</v>
      </c>
      <c r="P17" s="52">
        <v>-0.0011</v>
      </c>
      <c r="Q17" s="52">
        <v>-0.0019</v>
      </c>
      <c r="R17" s="52">
        <v>-0.0026</v>
      </c>
      <c r="S17" s="52">
        <v>-0.0007</v>
      </c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54"/>
      <c r="B18" s="50">
        <v>6</v>
      </c>
      <c r="C18" s="50"/>
      <c r="D18" s="51"/>
      <c r="E18" s="51"/>
      <c r="F18" s="51"/>
      <c r="G18" s="51"/>
      <c r="H18" s="51"/>
      <c r="I18" s="51" t="s">
        <v>33</v>
      </c>
      <c r="J18" s="52">
        <v>0.0021</v>
      </c>
      <c r="K18" s="52">
        <v>0.0012</v>
      </c>
      <c r="L18" s="52">
        <v>0.0011</v>
      </c>
      <c r="M18" s="52">
        <v>0.0018</v>
      </c>
      <c r="N18" s="52">
        <v>0.0008</v>
      </c>
      <c r="O18" s="52">
        <v>0.0013</v>
      </c>
      <c r="P18" s="52">
        <v>0.0016</v>
      </c>
      <c r="Q18" s="52">
        <v>0.0015</v>
      </c>
      <c r="R18" s="52">
        <v>0.0019</v>
      </c>
      <c r="S18" s="52">
        <v>0.0007</v>
      </c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spans="1:4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9:AO19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Q11">
    <cfRule type="cellIs" dxfId="0" priority="5" operator="notBetween">
      <formula>$G11</formula>
      <formula>$H11</formula>
    </cfRule>
  </conditionalFormatting>
  <conditionalFormatting sqref="O12">
    <cfRule type="cellIs" dxfId="0" priority="233" operator="notBetween">
      <formula>$G12</formula>
      <formula>$H12</formula>
    </cfRule>
  </conditionalFormatting>
  <conditionalFormatting sqref="P12">
    <cfRule type="cellIs" dxfId="0" priority="232" operator="notBetween">
      <formula>$G12</formula>
      <formula>$H12</formula>
    </cfRule>
  </conditionalFormatting>
  <conditionalFormatting sqref="Q12">
    <cfRule type="cellIs" dxfId="0" priority="6" operator="notBetween">
      <formula>$G12</formula>
      <formula>$H12</formula>
    </cfRule>
  </conditionalFormatting>
  <conditionalFormatting sqref="R12">
    <cfRule type="cellIs" dxfId="0" priority="230" operator="notBetween">
      <formula>$G12</formula>
      <formula>$H12</formula>
    </cfRule>
  </conditionalFormatting>
  <conditionalFormatting sqref="S12">
    <cfRule type="cellIs" dxfId="0" priority="229" operator="notBetween">
      <formula>$G12</formula>
      <formula>$H12</formula>
    </cfRule>
  </conditionalFormatting>
  <conditionalFormatting sqref="T12">
    <cfRule type="cellIs" dxfId="0" priority="228" operator="notBetween">
      <formula>$G12</formula>
      <formula>$H12</formula>
    </cfRule>
  </conditionalFormatting>
  <conditionalFormatting sqref="U12">
    <cfRule type="cellIs" dxfId="0" priority="227" operator="notBetween">
      <formula>$G12</formula>
      <formula>$H12</formula>
    </cfRule>
  </conditionalFormatting>
  <conditionalFormatting sqref="V12">
    <cfRule type="cellIs" dxfId="0" priority="226" operator="notBetween">
      <formula>$G12</formula>
      <formula>$H12</formula>
    </cfRule>
  </conditionalFormatting>
  <conditionalFormatting sqref="W12">
    <cfRule type="cellIs" dxfId="0" priority="225" operator="notBetween">
      <formula>$G12</formula>
      <formula>$H12</formula>
    </cfRule>
  </conditionalFormatting>
  <conditionalFormatting sqref="X12">
    <cfRule type="cellIs" dxfId="0" priority="224" operator="notBetween">
      <formula>$G12</formula>
      <formula>$H12</formula>
    </cfRule>
  </conditionalFormatting>
  <conditionalFormatting sqref="Y12">
    <cfRule type="cellIs" dxfId="0" priority="223" operator="notBetween">
      <formula>$G12</formula>
      <formula>$H12</formula>
    </cfRule>
  </conditionalFormatting>
  <conditionalFormatting sqref="Q8:Q9">
    <cfRule type="cellIs" dxfId="0" priority="7" operator="notBetween">
      <formula>$G8</formula>
      <formula>$H8</formula>
    </cfRule>
  </conditionalFormatting>
  <conditionalFormatting sqref="J7:Y7 J10:Y10">
    <cfRule type="cellIs" dxfId="0" priority="316" operator="notBetween">
      <formula>$G7</formula>
      <formula>$H7</formula>
    </cfRule>
  </conditionalFormatting>
  <conditionalFormatting sqref="J8:N9 J11:N12">
    <cfRule type="cellIs" dxfId="0" priority="8" operator="notBetween">
      <formula>$G8</formula>
      <formula>$H8</formula>
    </cfRule>
  </conditionalFormatting>
  <conditionalFormatting sqref="O8:P9 R8:Y9">
    <cfRule type="cellIs" dxfId="0" priority="269" operator="notBetween">
      <formula>$G8</formula>
      <formula>$H8</formula>
    </cfRule>
  </conditionalFormatting>
  <conditionalFormatting sqref="O11:P11 R11:Y11">
    <cfRule type="cellIs" dxfId="0" priority="11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