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9" sheetId="8" r:id="rId1"/>
  </sheets>
  <definedNames>
    <definedName name="_xlnm.Print_Area" localSheetId="0">'806-65039'!$B$1:$AE$6</definedName>
    <definedName name="_xlnm.Print_Titles" localSheetId="0">'806-65039'!$1:$6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<sst xmlns="http://schemas.openxmlformats.org/spreadsheetml/2006/main" count="47" uniqueCount="38">
  <si>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安徽中耀智能科技有限公司首件尺寸报告</t>
  </si>
  <si>
    <t>料号</t>
  </si>
  <si>
    <t>806-65039</t>
  </si>
  <si>
    <t>工单号</t>
  </si>
  <si>
    <t>WW132-260702046</t>
  </si>
  <si>
    <t>工站</t>
  </si>
  <si>
    <t>烧结炉号</t>
  </si>
  <si>
    <t>量测机台号</t>
  </si>
  <si>
    <t>测量人员</t>
  </si>
  <si>
    <t>审核</t>
  </si>
  <si>
    <t>烧结</t>
  </si>
  <si>
    <t>DC02</t>
  </si>
  <si>
    <t>CMM4#/OMM3#</t>
  </si>
  <si>
    <t>郑家午/禹欣</t>
  </si>
  <si>
    <t>王婷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</si>
  <si>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</si>
  <si>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</si>
  <si>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</si>
  <si>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</si>
  <si>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</si>
  <si>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</si>
  <si>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</si>
  <si>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</si>
  <si>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</si>
  <si>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</si>
  <si>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</si>
  <si>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</si>
  <si>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</si>
  <si>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</si>
  <si>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</si>
  <si>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</si>
  <si>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FAI20</t>
  </si>
  <si>
    <t>CMM</t>
  </si>
  <si>
    <t>FAI22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</si>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</sst>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1" xfId="59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topLeftCell="P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37">
        <v>7</v>
      </c>
      <c r="Q6" s="46">
        <v>8</v>
      </c>
      <c r="R6" s="46">
        <v>9</v>
      </c>
      <c r="S6" s="46">
        <v>10</v>
      </c>
      <c r="T6" s="46"/>
      <c r="U6" s="46"/>
      <c r="V6" s="46"/>
      <c r="W6" s="37"/>
      <c r="X6" s="46"/>
      <c r="Y6" s="46"/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0</v>
      </c>
      <c r="AK6" s="47">
        <f t="shared" si="0"/>
        <v>0</v>
      </c>
      <c r="AL6" s="47">
        <f t="shared" si="0"/>
        <v>0</v>
      </c>
      <c r="AM6" s="47">
        <f t="shared" si="0"/>
        <v>0</v>
      </c>
      <c r="AN6" s="47">
        <f t="shared" si="0"/>
        <v>0</v>
      </c>
      <c r="AO6" s="47">
        <f t="shared" si="0"/>
        <v>0</v>
      </c>
    </row>
    <row r="7" ht="15" customHeight="1" spans="1:41">
      <c r="A7" s="48">
        <v>46211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>D7+E7</f>
        <v>0.53</v>
      </c>
      <c r="H7" s="50">
        <f>D7+F7</f>
        <v>0.47</v>
      </c>
      <c r="I7" s="50" t="s">
        <v>30</v>
      </c>
      <c r="J7" s="51">
        <v>0.4946</v>
      </c>
      <c r="K7" s="51">
        <v>0.4985</v>
      </c>
      <c r="L7" s="51">
        <v>0.5017</v>
      </c>
      <c r="M7" s="51">
        <v>0.4931</v>
      </c>
      <c r="N7" s="51">
        <v>0.492</v>
      </c>
      <c r="O7" s="51">
        <v>0.4886</v>
      </c>
      <c r="P7" s="51">
        <v>0.5294</v>
      </c>
      <c r="Q7" s="51">
        <v>0.4881</v>
      </c>
      <c r="R7" s="51">
        <v>0.4909</v>
      </c>
      <c r="S7" s="51">
        <v>0.487</v>
      </c>
      <c r="T7" s="51"/>
      <c r="U7" s="51"/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/>
      </c>
      <c r="AK7" s="52" t="str">
        <f t="shared" si="1"/>
        <v/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8" ht="15" customHeight="1" spans="1:41">
      <c r="A8" s="48"/>
      <c r="B8" s="49" t="s">
        <v>31</v>
      </c>
      <c r="C8" s="53"/>
      <c r="D8" s="50">
        <v>8.2</v>
      </c>
      <c r="E8" s="50">
        <v>0.05</v>
      </c>
      <c r="F8" s="50">
        <v>-0.05</v>
      </c>
      <c r="G8" s="50">
        <f>D8+E8</f>
        <v>8.25</v>
      </c>
      <c r="H8" s="50">
        <f>D8+F8</f>
        <v>8.15</v>
      </c>
      <c r="I8" s="50" t="s">
        <v>32</v>
      </c>
      <c r="J8" s="51">
        <v>8.1807</v>
      </c>
      <c r="K8" s="51">
        <v>8.1763</v>
      </c>
      <c r="L8" s="51">
        <v>8.1717</v>
      </c>
      <c r="M8" s="51">
        <v>8.1767</v>
      </c>
      <c r="N8" s="51">
        <v>8.1824</v>
      </c>
      <c r="O8" s="51">
        <v>8.1794</v>
      </c>
      <c r="P8" s="51">
        <v>8.1901</v>
      </c>
      <c r="Q8" s="51">
        <v>8.1801</v>
      </c>
      <c r="R8" s="51">
        <v>8.1781</v>
      </c>
      <c r="S8" s="51">
        <v>8.1899</v>
      </c>
      <c r="T8" s="51"/>
      <c r="U8" s="51"/>
      <c r="V8" s="51"/>
      <c r="W8" s="51"/>
      <c r="X8" s="51"/>
      <c r="Y8" s="51"/>
      <c r="Z8" s="52" t="str">
        <f t="shared" ref="Z8:AO8" si="2">IF(J8="","",IF(J8&gt;($D8+$E8),(J8-$D8-$E8),IF(J8&lt;($D8+$F8),(J8-$D8-$F8),"√")))</f>
        <v>√</v>
      </c>
      <c r="AA8" s="52" t="str">
        <f t="shared" si="2"/>
        <v>√</v>
      </c>
      <c r="AB8" s="52" t="str">
        <f t="shared" si="2"/>
        <v>√</v>
      </c>
      <c r="AC8" s="52" t="str">
        <f t="shared" si="2"/>
        <v>√</v>
      </c>
      <c r="AD8" s="52" t="str">
        <f t="shared" si="2"/>
        <v>√</v>
      </c>
      <c r="AE8" s="52" t="str">
        <f t="shared" si="2"/>
        <v>√</v>
      </c>
      <c r="AF8" s="52" t="str">
        <f t="shared" si="2"/>
        <v>√</v>
      </c>
      <c r="AG8" s="52" t="str">
        <f t="shared" si="2"/>
        <v>√</v>
      </c>
      <c r="AH8" s="52" t="str">
        <f t="shared" si="2"/>
        <v>√</v>
      </c>
      <c r="AI8" s="52" t="str">
        <f t="shared" si="2"/>
        <v>√</v>
      </c>
      <c r="AJ8" s="52" t="str">
        <f t="shared" si="2"/>
        <v/>
      </c>
      <c r="AK8" s="52" t="str">
        <f t="shared" si="2"/>
        <v/>
      </c>
      <c r="AL8" s="52" t="str">
        <f t="shared" si="2"/>
        <v/>
      </c>
      <c r="AM8" s="52" t="str">
        <f t="shared" si="2"/>
        <v/>
      </c>
      <c r="AN8" s="52" t="str">
        <f t="shared" si="2"/>
        <v/>
      </c>
      <c r="AO8" s="52" t="str">
        <f t="shared" si="2"/>
        <v/>
      </c>
    </row>
    <row r="9" ht="15" customHeight="1" spans="1:41">
      <c r="A9" s="48"/>
      <c r="B9" s="49" t="s">
        <v>33</v>
      </c>
      <c r="C9" s="53"/>
      <c r="D9" s="50">
        <v>5.58</v>
      </c>
      <c r="E9" s="50">
        <v>0.03</v>
      </c>
      <c r="F9" s="50">
        <v>-0.03</v>
      </c>
      <c r="G9" s="50">
        <f>D9+E9</f>
        <v>5.61</v>
      </c>
      <c r="H9" s="50">
        <f>D9+F9</f>
        <v>5.55</v>
      </c>
      <c r="I9" s="50" t="s">
        <v>32</v>
      </c>
      <c r="J9" s="51">
        <v>5.562</v>
      </c>
      <c r="K9" s="51">
        <v>5.5764</v>
      </c>
      <c r="L9" s="51">
        <v>5.5688</v>
      </c>
      <c r="M9" s="51">
        <v>5.5727</v>
      </c>
      <c r="N9" s="51">
        <v>5.5607</v>
      </c>
      <c r="O9" s="51">
        <v>5.5703</v>
      </c>
      <c r="P9" s="51">
        <v>5.5671</v>
      </c>
      <c r="Q9" s="51">
        <v>5.5734</v>
      </c>
      <c r="R9" s="51">
        <v>5.5735</v>
      </c>
      <c r="S9" s="51">
        <v>5.5565</v>
      </c>
      <c r="T9" s="51"/>
      <c r="U9" s="51"/>
      <c r="V9" s="51"/>
      <c r="W9" s="51"/>
      <c r="X9" s="51"/>
      <c r="Y9" s="51"/>
      <c r="Z9" s="52" t="str">
        <f t="shared" ref="Z9:AO9" si="3">IF(J9="","",IF(J9&gt;($D9+$E9),(J9-$D9-$E9),IF(J9&lt;($D9+$F9),(J9-$D9-$F9),"√")))</f>
        <v>√</v>
      </c>
      <c r="AA9" s="52" t="str">
        <f t="shared" si="3"/>
        <v>√</v>
      </c>
      <c r="AB9" s="52" t="str">
        <f t="shared" si="3"/>
        <v>√</v>
      </c>
      <c r="AC9" s="52" t="str">
        <f t="shared" si="3"/>
        <v>√</v>
      </c>
      <c r="AD9" s="52" t="str">
        <f t="shared" si="3"/>
        <v>√</v>
      </c>
      <c r="AE9" s="52" t="str">
        <f t="shared" si="3"/>
        <v>√</v>
      </c>
      <c r="AF9" s="52" t="str">
        <f t="shared" si="3"/>
        <v>√</v>
      </c>
      <c r="AG9" s="52" t="str">
        <f t="shared" si="3"/>
        <v>√</v>
      </c>
      <c r="AH9" s="52" t="str">
        <f t="shared" si="3"/>
        <v>√</v>
      </c>
      <c r="AI9" s="52" t="str">
        <f t="shared" si="3"/>
        <v>√</v>
      </c>
      <c r="AJ9" s="52" t="str">
        <f t="shared" si="3"/>
        <v/>
      </c>
      <c r="AK9" s="52" t="str">
        <f t="shared" si="3"/>
        <v/>
      </c>
      <c r="AL9" s="52" t="str">
        <f t="shared" si="3"/>
        <v/>
      </c>
      <c r="AM9" s="52" t="str">
        <f t="shared" si="3"/>
        <v/>
      </c>
      <c r="AN9" s="52" t="str">
        <f t="shared" si="3"/>
        <v/>
      </c>
      <c r="AO9" s="52" t="str">
        <f t="shared" si="3"/>
        <v/>
      </c>
    </row>
    <row r="10" ht="15" customHeight="1" spans="1:41">
      <c r="A10" s="48"/>
      <c r="B10" s="49" t="s">
        <v>34</v>
      </c>
      <c r="C10" s="49" t="s">
        <v>35</v>
      </c>
      <c r="D10" s="50">
        <v>3.34</v>
      </c>
      <c r="E10" s="50">
        <v>0.03</v>
      </c>
      <c r="F10" s="50">
        <v>-0.03</v>
      </c>
      <c r="G10" s="50">
        <f t="shared" ref="G10:G11" si="4">D10+E10</f>
        <v>3.37</v>
      </c>
      <c r="H10" s="50">
        <f t="shared" ref="H10:H11" si="5">D10+F10</f>
        <v>3.31</v>
      </c>
      <c r="I10" s="50" t="s">
        <v>32</v>
      </c>
      <c r="J10" s="51">
        <v>3.324</v>
      </c>
      <c r="K10" s="51">
        <v>3.3222</v>
      </c>
      <c r="L10" s="51">
        <v>3.3219</v>
      </c>
      <c r="M10" s="51">
        <v>3.3216</v>
      </c>
      <c r="N10" s="51">
        <v>3.3236</v>
      </c>
      <c r="O10" s="51">
        <v>3.3205</v>
      </c>
      <c r="P10" s="51">
        <v>3.3146</v>
      </c>
      <c r="Q10" s="51">
        <v>3.3197</v>
      </c>
      <c r="R10" s="51">
        <v>3.3258</v>
      </c>
      <c r="S10" s="51">
        <v>3.3207</v>
      </c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>√</v>
      </c>
      <c r="AI10" s="52" t="str">
        <f t="shared" si="6"/>
        <v>√</v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49" t="s">
        <v>36</v>
      </c>
      <c r="C11" s="49" t="s">
        <v>37</v>
      </c>
      <c r="D11" s="50">
        <v>0</v>
      </c>
      <c r="E11" s="50">
        <v>0.05</v>
      </c>
      <c r="F11" s="50">
        <v>0</v>
      </c>
      <c r="G11" s="50">
        <f t="shared" si="4"/>
        <v>0.05</v>
      </c>
      <c r="H11" s="50">
        <f t="shared" si="5"/>
        <v>0</v>
      </c>
      <c r="I11" s="50" t="s">
        <v>32</v>
      </c>
      <c r="J11" s="51">
        <v>0.0067</v>
      </c>
      <c r="K11" s="51">
        <v>0.0063</v>
      </c>
      <c r="L11" s="51">
        <v>0.0049</v>
      </c>
      <c r="M11" s="51">
        <v>0.0074</v>
      </c>
      <c r="N11" s="51">
        <v>0.0061</v>
      </c>
      <c r="O11" s="51">
        <v>0.0066</v>
      </c>
      <c r="P11" s="51">
        <v>0.0055</v>
      </c>
      <c r="Q11" s="51">
        <v>0.004</v>
      </c>
      <c r="R11" s="51">
        <v>0.006</v>
      </c>
      <c r="S11" s="51">
        <v>0.0026</v>
      </c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>√</v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50">
        <v>1</v>
      </c>
      <c r="C12" s="50"/>
      <c r="D12" s="50"/>
      <c r="E12" s="50"/>
      <c r="F12" s="50"/>
      <c r="G12" s="50"/>
      <c r="H12" s="50"/>
      <c r="I12" s="50" t="s">
        <v>32</v>
      </c>
      <c r="J12" s="51">
        <v>0.0013</v>
      </c>
      <c r="K12" s="51">
        <v>0.0026</v>
      </c>
      <c r="L12" s="51">
        <v>0.001</v>
      </c>
      <c r="M12" s="51">
        <v>0.0013</v>
      </c>
      <c r="N12" s="51">
        <v>0.0017</v>
      </c>
      <c r="O12" s="51">
        <v>0.0009</v>
      </c>
      <c r="P12" s="51">
        <v>0.0005</v>
      </c>
      <c r="Q12" s="51">
        <v>0.0004</v>
      </c>
      <c r="R12" s="51">
        <v>0.0005</v>
      </c>
      <c r="S12" s="51">
        <v>0.0001</v>
      </c>
      <c r="T12" s="51"/>
      <c r="U12" s="51"/>
      <c r="V12" s="51"/>
      <c r="W12" s="51"/>
      <c r="X12" s="51"/>
      <c r="Y12" s="51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</row>
    <row r="13" ht="15" customHeight="1" spans="1:41">
      <c r="A13" s="48"/>
      <c r="B13" s="50">
        <v>2</v>
      </c>
      <c r="C13" s="50"/>
      <c r="D13" s="50"/>
      <c r="E13" s="50"/>
      <c r="F13" s="50"/>
      <c r="G13" s="50"/>
      <c r="H13" s="50"/>
      <c r="I13" s="50" t="s">
        <v>32</v>
      </c>
      <c r="J13" s="51">
        <v>0.0004</v>
      </c>
      <c r="K13" s="51">
        <v>-0.0007</v>
      </c>
      <c r="L13" s="51">
        <v>-0.0006</v>
      </c>
      <c r="M13" s="51">
        <v>0.0003</v>
      </c>
      <c r="N13" s="51">
        <v>0.0001</v>
      </c>
      <c r="O13" s="51">
        <v>0</v>
      </c>
      <c r="P13" s="51">
        <v>0.0002</v>
      </c>
      <c r="Q13" s="51">
        <v>0.0005</v>
      </c>
      <c r="R13" s="51">
        <v>0.002</v>
      </c>
      <c r="S13" s="51">
        <v>0.0004</v>
      </c>
      <c r="T13" s="51"/>
      <c r="U13" s="51"/>
      <c r="V13" s="51"/>
      <c r="W13" s="51"/>
      <c r="X13" s="51"/>
      <c r="Y13" s="51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</row>
    <row r="14" ht="15" customHeight="1" spans="1:41">
      <c r="A14" s="48"/>
      <c r="B14" s="50">
        <v>3</v>
      </c>
      <c r="C14" s="50"/>
      <c r="D14" s="50"/>
      <c r="E14" s="50"/>
      <c r="F14" s="50"/>
      <c r="G14" s="50"/>
      <c r="H14" s="50"/>
      <c r="I14" s="50" t="s">
        <v>32</v>
      </c>
      <c r="J14" s="51">
        <v>0</v>
      </c>
      <c r="K14" s="51">
        <v>-0.0012</v>
      </c>
      <c r="L14" s="51">
        <v>0.0011</v>
      </c>
      <c r="M14" s="51">
        <v>0.0004</v>
      </c>
      <c r="N14" s="51">
        <v>-0.0006</v>
      </c>
      <c r="O14" s="51">
        <v>0.0013</v>
      </c>
      <c r="P14" s="51">
        <v>0.0013</v>
      </c>
      <c r="Q14" s="51">
        <v>0.0002</v>
      </c>
      <c r="R14" s="51">
        <v>-0.001</v>
      </c>
      <c r="S14" s="51">
        <v>0.0005</v>
      </c>
      <c r="T14" s="51"/>
      <c r="U14" s="51"/>
      <c r="V14" s="51"/>
      <c r="W14" s="51"/>
      <c r="X14" s="51"/>
      <c r="Y14" s="51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</row>
    <row r="15" ht="15" customHeight="1" spans="1:41">
      <c r="A15" s="48"/>
      <c r="B15" s="50">
        <v>4</v>
      </c>
      <c r="C15" s="50"/>
      <c r="D15" s="50"/>
      <c r="E15" s="50"/>
      <c r="F15" s="50"/>
      <c r="G15" s="50"/>
      <c r="H15" s="50"/>
      <c r="I15" s="50" t="s">
        <v>32</v>
      </c>
      <c r="J15" s="51">
        <v>-0.0035</v>
      </c>
      <c r="K15" s="51">
        <v>-0.0028</v>
      </c>
      <c r="L15" s="51">
        <v>-0.0022</v>
      </c>
      <c r="M15" s="51">
        <v>-0.0038</v>
      </c>
      <c r="N15" s="51">
        <v>-0.0031</v>
      </c>
      <c r="O15" s="51">
        <v>-0.0033</v>
      </c>
      <c r="P15" s="51">
        <v>-0.0028</v>
      </c>
      <c r="Q15" s="51">
        <v>-0.0023</v>
      </c>
      <c r="R15" s="51">
        <v>-0.004</v>
      </c>
      <c r="S15" s="51">
        <v>-0.0015</v>
      </c>
      <c r="T15" s="51"/>
      <c r="U15" s="51"/>
      <c r="V15" s="51"/>
      <c r="W15" s="51"/>
      <c r="X15" s="51"/>
      <c r="Y15" s="51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</row>
    <row r="16" ht="15" customHeight="1" spans="1:41">
      <c r="A16" s="48"/>
      <c r="B16" s="50">
        <v>5</v>
      </c>
      <c r="C16" s="50"/>
      <c r="D16" s="50"/>
      <c r="E16" s="50"/>
      <c r="F16" s="50"/>
      <c r="G16" s="50"/>
      <c r="H16" s="50"/>
      <c r="I16" s="50" t="s">
        <v>32</v>
      </c>
      <c r="J16" s="51">
        <v>-0.0013</v>
      </c>
      <c r="K16" s="51">
        <v>-0.0014</v>
      </c>
      <c r="L16" s="51">
        <v>-0.0021</v>
      </c>
      <c r="M16" s="51">
        <v>-0.0017</v>
      </c>
      <c r="N16" s="51">
        <v>-0.001</v>
      </c>
      <c r="O16" s="51">
        <v>-0.0022</v>
      </c>
      <c r="P16" s="51">
        <v>-0.0018</v>
      </c>
      <c r="Q16" s="51">
        <v>-0.0006</v>
      </c>
      <c r="R16" s="51">
        <v>0.0005</v>
      </c>
      <c r="S16" s="51">
        <v>-0.0006</v>
      </c>
      <c r="T16" s="51"/>
      <c r="U16" s="51"/>
      <c r="V16" s="51"/>
      <c r="W16" s="51"/>
      <c r="X16" s="51"/>
      <c r="Y16" s="51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</row>
    <row r="17" ht="15" customHeight="1" spans="1:41">
      <c r="A17" s="54"/>
      <c r="B17" s="50">
        <v>6</v>
      </c>
      <c r="C17" s="50"/>
      <c r="D17" s="50"/>
      <c r="E17" s="50"/>
      <c r="F17" s="50"/>
      <c r="G17" s="50"/>
      <c r="H17" s="50"/>
      <c r="I17" s="50" t="s">
        <v>32</v>
      </c>
      <c r="J17" s="51">
        <v>0.0032</v>
      </c>
      <c r="K17" s="51">
        <v>0.0035</v>
      </c>
      <c r="L17" s="51">
        <v>0.0028</v>
      </c>
      <c r="M17" s="51">
        <v>0.0035</v>
      </c>
      <c r="N17" s="51">
        <v>0.003</v>
      </c>
      <c r="O17" s="51">
        <v>0.0033</v>
      </c>
      <c r="P17" s="51">
        <v>0.0027</v>
      </c>
      <c r="Q17" s="51">
        <v>0.0017</v>
      </c>
      <c r="R17" s="51">
        <v>0.002</v>
      </c>
      <c r="S17" s="51">
        <v>0.0011</v>
      </c>
      <c r="T17" s="51"/>
      <c r="U17" s="51"/>
      <c r="V17" s="51"/>
      <c r="W17" s="51"/>
      <c r="X17" s="51"/>
      <c r="Y17" s="51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</row>
    <row r="18" spans="1:4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8:AO18"/>
    <mergeCell ref="A2:A3"/>
    <mergeCell ref="A4:A6"/>
    <mergeCell ref="A7:A17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O11">
    <cfRule type="cellIs" dxfId="0" priority="15" operator="notBetween">
      <formula>$G11</formula>
      <formula>$H11</formula>
    </cfRule>
  </conditionalFormatting>
  <conditionalFormatting sqref="Q11">
    <cfRule type="cellIs" dxfId="0" priority="28" operator="notBetween">
      <formula>$G11</formula>
      <formula>$H11</formula>
    </cfRule>
  </conditionalFormatting>
  <conditionalFormatting sqref="J7:Y8 J10:Y10 L11">
    <cfRule type="cellIs" dxfId="0" priority="41" operator="notBetween">
      <formula>$G7</formula>
      <formula>$H7</formula>
    </cfRule>
  </conditionalFormatting>
  <conditionalFormatting sqref="J9:Y9 J11:K11 M11:N11 P11 R11:Y11">
    <cfRule type="cellIs" dxfId="0" priority="118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2026-07-09T00:58:55Z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