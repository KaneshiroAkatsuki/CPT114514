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035" sheetId="9" r:id="rId1"/>
  </sheets>
  <definedNames>
    <definedName name="_xlnm.Print_Area" localSheetId="0">'035'!$B$1:$AD$6</definedName>
    <definedName name="_xlnm.Print_Titles" localSheetId="0">'035'!$1:$6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<sst xmlns="http://schemas.openxmlformats.org/spreadsheetml/2006/main" count="63" uniqueCount="46">
  <si>
    <t>安徽中耀智能科技有限公司首件尺寸报告</t>
  </si>
  <si>
    <t>料号</t>
  </si>
  <si>
    <t>B-washer-035</t>
  </si>
  <si>
    <t>工单号</t>
  </si>
  <si>
    <t>ww132-260702098</t>
  </si>
  <si>
    <t>工站</t>
  </si>
  <si>
    <t>模号</t>
  </si>
  <si>
    <t>机台号</t>
  </si>
  <si>
    <t>测量人员</t>
  </si>
  <si>
    <t>审核</t>
  </si>
  <si>
    <t>CNC</t>
  </si>
  <si>
    <t>T1</t>
  </si>
  <si>
    <t>10#</t>
  </si>
  <si>
    <t>禹欣</t>
  </si>
  <si>
    <t>陈跃进</t>
  </si>
  <si>
    <t>日期</t>
  </si>
  <si>
    <t>尺寸编号</t>
  </si>
  <si>
    <t>标准值</t>
  </si>
  <si>
    <t>上公差</t>
  </si>
  <si>
    <t>下公差</t>
  </si>
  <si>
    <t>上限</t>
  </si>
  <si>
    <t>下限</t>
  </si>
  <si>
    <t>检测
工具</t>
  </si>
  <si>
    <t>检测结果</t>
  </si>
  <si>
    <t>量测分析</t>
  </si>
  <si>
    <t>测量值</t>
  </si>
  <si>
    <t>判断（√ OR DEV)</t>
  </si>
  <si>
    <t>FAI12</t>
  </si>
  <si>
    <t>OMM</t>
  </si>
  <si>
    <t>FAI12X</t>
  </si>
  <si>
    <t>FAI12y</t>
  </si>
  <si>
    <t>FAI-10</t>
  </si>
  <si>
    <t>FAI-6</t>
  </si>
  <si>
    <t>FAI-23</t>
  </si>
  <si>
    <t>CMM</t>
  </si>
  <si>
    <t>FAI-23.1</t>
  </si>
  <si>
    <t>FAI-23.2</t>
  </si>
  <si>
    <t>FAI-23.3</t>
  </si>
  <si>
    <t>FAI-23.4</t>
  </si>
  <si>
    <t>FAI-24</t>
  </si>
  <si>
    <t>FAI-24.1</t>
  </si>
  <si>
    <t>FAI-24.2</t>
  </si>
  <si>
    <t>FAI-24.3</t>
  </si>
  <si>
    <t>FAI-24.4</t>
  </si>
  <si>
    <t>FAI-027</t>
  </si>
  <si>
    <t>FAI-28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</si>
</sst>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;@"/>
    <numFmt numFmtId="177" formatCode="0.000"/>
    <numFmt numFmtId="178" formatCode="0.000_);[Red]\(0.000\)"/>
  </numFmts>
  <fonts count="34">
    <font>
      <sz val="11"/>
      <color theme="1"/>
      <name val="等线"/>
      <charset val="134"/>
      <scheme val="minor"/>
    </font>
    <font>
      <b/>
      <sz val="26"/>
      <name val="宋体"/>
      <charset val="134"/>
    </font>
    <font>
      <b/>
      <sz val="18"/>
      <name val="宋体"/>
      <charset val="134"/>
    </font>
    <font>
      <b/>
      <sz val="12"/>
      <name val="宋体"/>
      <charset val="134"/>
    </font>
    <font>
      <b/>
      <sz val="16"/>
      <name val="宋体"/>
      <charset val="134"/>
    </font>
    <font>
      <b/>
      <sz val="9"/>
      <name val="宋体"/>
      <charset val="134"/>
    </font>
    <font>
      <b/>
      <sz val="11"/>
      <name val="宋体"/>
      <charset val="134"/>
    </font>
    <font>
      <b/>
      <sz val="9"/>
      <name val="Arial"/>
      <charset val="134"/>
    </font>
    <font>
      <b/>
      <sz val="11"/>
      <name val="Arial"/>
      <charset val="134"/>
    </font>
    <font>
      <sz val="10"/>
      <name val="Arial"/>
      <charset val="134"/>
    </font>
    <font>
      <sz val="9"/>
      <color theme="1"/>
      <name val="Arial"/>
      <charset val="134"/>
    </font>
    <font>
      <sz val="10"/>
      <color theme="1"/>
      <name val="Arial"/>
      <charset val="134"/>
    </font>
    <font>
      <sz val="8"/>
      <name val="Arial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name val="新細明體"/>
      <charset val="134"/>
    </font>
    <font>
      <sz val="12"/>
      <color indexed="8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7" tint="0.79973754081850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5" borderId="12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6" borderId="15" applyNumberFormat="0" applyAlignment="0" applyProtection="0">
      <alignment vertical="center"/>
    </xf>
    <xf numFmtId="0" fontId="22" fillId="7" borderId="16" applyNumberFormat="0" applyAlignment="0" applyProtection="0">
      <alignment vertical="center"/>
    </xf>
    <xf numFmtId="0" fontId="23" fillId="7" borderId="15" applyNumberFormat="0" applyAlignment="0" applyProtection="0">
      <alignment vertical="center"/>
    </xf>
    <xf numFmtId="0" fontId="24" fillId="8" borderId="17" applyNumberFormat="0" applyAlignment="0" applyProtection="0">
      <alignment vertical="center"/>
    </xf>
    <xf numFmtId="0" fontId="25" fillId="0" borderId="18" applyNumberFormat="0" applyFill="0" applyAlignment="0" applyProtection="0">
      <alignment vertical="center"/>
    </xf>
    <xf numFmtId="0" fontId="26" fillId="0" borderId="19" applyNumberFormat="0" applyFill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2" fillId="0" borderId="0"/>
    <xf numFmtId="0" fontId="32" fillId="0" borderId="0"/>
    <xf numFmtId="0" fontId="32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3" fillId="0" borderId="0">
      <alignment vertical="center"/>
    </xf>
  </cellStyleXfs>
  <cellXfs count="48">
    <xf numFmtId="0" fontId="0" fillId="0" borderId="0" xfId="0">
      <alignment vertical="center"/>
    </xf>
    <xf numFmtId="0" fontId="0" fillId="0" borderId="0" xfId="73">
      <alignment vertical="center"/>
    </xf>
    <xf numFmtId="0" fontId="1" fillId="0" borderId="1" xfId="60" applyFont="1" applyBorder="1" applyAlignment="1" applyProtection="1">
      <alignment horizontal="center" vertical="center"/>
      <protection locked="0"/>
    </xf>
    <xf numFmtId="0" fontId="2" fillId="0" borderId="1" xfId="60" applyFont="1" applyBorder="1" applyAlignment="1" applyProtection="1">
      <alignment horizontal="center" vertical="center"/>
      <protection locked="0"/>
    </xf>
    <xf numFmtId="49" fontId="3" fillId="0" borderId="1" xfId="60" applyNumberFormat="1" applyFont="1" applyBorder="1" applyAlignment="1">
      <alignment horizontal="center" vertical="center"/>
    </xf>
    <xf numFmtId="49" fontId="2" fillId="0" borderId="2" xfId="60" applyNumberFormat="1" applyFont="1" applyBorder="1" applyAlignment="1">
      <alignment horizontal="center" vertical="center"/>
    </xf>
    <xf numFmtId="49" fontId="2" fillId="0" borderId="3" xfId="60" applyNumberFormat="1" applyFont="1" applyBorder="1" applyAlignment="1">
      <alignment horizontal="center" vertical="center"/>
    </xf>
    <xf numFmtId="49" fontId="2" fillId="0" borderId="4" xfId="60" applyNumberFormat="1" applyFont="1" applyBorder="1" applyAlignment="1">
      <alignment horizontal="center" vertical="center"/>
    </xf>
    <xf numFmtId="49" fontId="3" fillId="0" borderId="5" xfId="60" applyNumberFormat="1" applyFont="1" applyBorder="1" applyAlignment="1">
      <alignment horizontal="center" vertical="center"/>
    </xf>
    <xf numFmtId="49" fontId="3" fillId="0" borderId="6" xfId="60" applyNumberFormat="1" applyFont="1" applyBorder="1" applyAlignment="1">
      <alignment horizontal="center" vertical="center"/>
    </xf>
    <xf numFmtId="49" fontId="3" fillId="0" borderId="7" xfId="60" applyNumberFormat="1" applyFont="1" applyBorder="1" applyAlignment="1">
      <alignment horizontal="center" vertical="center"/>
    </xf>
    <xf numFmtId="49" fontId="4" fillId="0" borderId="5" xfId="60" applyNumberFormat="1" applyFont="1" applyBorder="1" applyAlignment="1" applyProtection="1">
      <alignment horizontal="center" vertical="center"/>
      <protection locked="0"/>
    </xf>
    <xf numFmtId="49" fontId="4" fillId="0" borderId="6" xfId="60" applyNumberFormat="1" applyFont="1" applyBorder="1" applyAlignment="1" applyProtection="1">
      <alignment horizontal="center" vertical="center"/>
      <protection locked="0"/>
    </xf>
    <xf numFmtId="49" fontId="4" fillId="0" borderId="7" xfId="60" applyNumberFormat="1" applyFont="1" applyBorder="1" applyAlignment="1" applyProtection="1">
      <alignment horizontal="center" vertical="center"/>
      <protection locked="0"/>
    </xf>
    <xf numFmtId="49" fontId="3" fillId="0" borderId="5" xfId="80" applyNumberFormat="1" applyFont="1" applyBorder="1" applyAlignment="1">
      <alignment horizontal="center" vertical="center"/>
    </xf>
    <xf numFmtId="49" fontId="3" fillId="0" borderId="6" xfId="80" applyNumberFormat="1" applyFont="1" applyBorder="1" applyAlignment="1">
      <alignment horizontal="center" vertical="center"/>
    </xf>
    <xf numFmtId="49" fontId="3" fillId="0" borderId="7" xfId="80" applyNumberFormat="1" applyFont="1" applyBorder="1" applyAlignment="1">
      <alignment horizontal="center" vertical="center"/>
    </xf>
    <xf numFmtId="49" fontId="2" fillId="0" borderId="8" xfId="60" applyNumberFormat="1" applyFont="1" applyBorder="1" applyAlignment="1">
      <alignment horizontal="center" vertical="center"/>
    </xf>
    <xf numFmtId="49" fontId="2" fillId="0" borderId="9" xfId="60" applyNumberFormat="1" applyFont="1" applyBorder="1" applyAlignment="1">
      <alignment horizontal="center" vertical="center"/>
    </xf>
    <xf numFmtId="49" fontId="2" fillId="0" borderId="10" xfId="60" applyNumberFormat="1" applyFont="1" applyBorder="1" applyAlignment="1">
      <alignment horizontal="center" vertical="center"/>
    </xf>
    <xf numFmtId="0" fontId="3" fillId="0" borderId="5" xfId="60" applyFont="1" applyBorder="1" applyAlignment="1" applyProtection="1">
      <alignment horizontal="center" vertical="center"/>
      <protection locked="0"/>
    </xf>
    <xf numFmtId="0" fontId="3" fillId="0" borderId="6" xfId="60" applyFont="1" applyBorder="1" applyAlignment="1" applyProtection="1">
      <alignment horizontal="center" vertical="center"/>
      <protection locked="0"/>
    </xf>
    <xf numFmtId="0" fontId="3" fillId="0" borderId="7" xfId="60" applyFont="1" applyBorder="1" applyAlignment="1" applyProtection="1">
      <alignment horizontal="center" vertical="center"/>
      <protection locked="0"/>
    </xf>
    <xf numFmtId="176" fontId="3" fillId="0" borderId="5" xfId="80" applyNumberFormat="1" applyFont="1" applyBorder="1" applyAlignment="1">
      <alignment horizontal="center" vertical="center"/>
    </xf>
    <xf numFmtId="176" fontId="3" fillId="0" borderId="6" xfId="80" applyNumberFormat="1" applyFont="1" applyBorder="1" applyAlignment="1">
      <alignment horizontal="center" vertical="center"/>
    </xf>
    <xf numFmtId="176" fontId="3" fillId="0" borderId="7" xfId="80" applyNumberFormat="1" applyFont="1" applyBorder="1" applyAlignment="1">
      <alignment horizontal="center" vertical="center"/>
    </xf>
    <xf numFmtId="49" fontId="5" fillId="0" borderId="1" xfId="60" applyNumberFormat="1" applyFont="1" applyBorder="1" applyAlignment="1" applyProtection="1">
      <alignment horizontal="center" vertical="center" wrapText="1"/>
      <protection locked="0"/>
    </xf>
    <xf numFmtId="0" fontId="5" fillId="0" borderId="1" xfId="60" applyFont="1" applyBorder="1" applyAlignment="1" applyProtection="1">
      <alignment horizontal="center" vertical="center"/>
      <protection locked="0"/>
    </xf>
    <xf numFmtId="177" fontId="5" fillId="0" borderId="1" xfId="60" applyNumberFormat="1" applyFont="1" applyBorder="1" applyAlignment="1">
      <alignment horizontal="center" vertical="center"/>
    </xf>
    <xf numFmtId="177" fontId="5" fillId="0" borderId="1" xfId="60" applyNumberFormat="1" applyFont="1" applyBorder="1" applyAlignment="1" applyProtection="1">
      <alignment horizontal="center" vertical="center"/>
      <protection locked="0"/>
    </xf>
    <xf numFmtId="0" fontId="5" fillId="0" borderId="1" xfId="60" applyFont="1" applyBorder="1" applyAlignment="1" applyProtection="1">
      <alignment horizontal="center" vertical="center" wrapText="1"/>
      <protection locked="0"/>
    </xf>
    <xf numFmtId="0" fontId="6" fillId="2" borderId="1" xfId="60" applyFont="1" applyFill="1" applyBorder="1" applyAlignment="1" applyProtection="1">
      <alignment horizontal="center" vertical="center"/>
      <protection locked="0"/>
    </xf>
    <xf numFmtId="0" fontId="6" fillId="3" borderId="5" xfId="60" applyFont="1" applyFill="1" applyBorder="1" applyAlignment="1">
      <alignment horizontal="center" vertical="center"/>
    </xf>
    <xf numFmtId="0" fontId="6" fillId="3" borderId="6" xfId="60" applyFont="1" applyFill="1" applyBorder="1" applyAlignment="1">
      <alignment horizontal="center" vertical="center"/>
    </xf>
    <xf numFmtId="0" fontId="6" fillId="3" borderId="7" xfId="60" applyFont="1" applyFill="1" applyBorder="1" applyAlignment="1">
      <alignment horizontal="center" vertical="center"/>
    </xf>
    <xf numFmtId="49" fontId="7" fillId="0" borderId="1" xfId="60" applyNumberFormat="1" applyFont="1" applyBorder="1" applyAlignment="1" applyProtection="1">
      <alignment horizontal="center" vertical="center" wrapText="1"/>
      <protection locked="0"/>
    </xf>
    <xf numFmtId="49" fontId="7" fillId="0" borderId="1" xfId="60" applyNumberFormat="1" applyFont="1" applyBorder="1" applyAlignment="1" applyProtection="1">
      <alignment horizontal="center" vertical="center"/>
      <protection locked="0"/>
    </xf>
    <xf numFmtId="0" fontId="6" fillId="3" borderId="1" xfId="60" applyFont="1" applyFill="1" applyBorder="1" applyAlignment="1">
      <alignment horizontal="center" vertical="center"/>
    </xf>
    <xf numFmtId="0" fontId="8" fillId="2" borderId="1" xfId="60" applyFont="1" applyFill="1" applyBorder="1" applyAlignment="1" applyProtection="1">
      <alignment horizontal="center" vertical="center"/>
      <protection locked="0"/>
    </xf>
    <xf numFmtId="0" fontId="8" fillId="3" borderId="1" xfId="60" applyFont="1" applyFill="1" applyBorder="1" applyAlignment="1">
      <alignment horizontal="center" vertical="center"/>
    </xf>
    <xf numFmtId="14" fontId="0" fillId="0" borderId="1" xfId="73" applyNumberFormat="1" applyBorder="1" applyAlignment="1">
      <alignment horizontal="center" vertical="center"/>
    </xf>
    <xf numFmtId="0" fontId="0" fillId="0" borderId="1" xfId="73" applyBorder="1" applyAlignment="1">
      <alignment horizontal="center" vertical="center"/>
    </xf>
    <xf numFmtId="0" fontId="9" fillId="4" borderId="1" xfId="59" applyFont="1" applyFill="1" applyBorder="1" applyAlignment="1">
      <alignment horizontal="center" vertical="center"/>
    </xf>
    <xf numFmtId="178" fontId="10" fillId="0" borderId="11" xfId="73" applyNumberFormat="1" applyFont="1" applyBorder="1" applyAlignment="1" applyProtection="1">
      <alignment horizontal="center" vertical="center"/>
      <protection hidden="1"/>
    </xf>
    <xf numFmtId="177" fontId="11" fillId="2" borderId="1" xfId="61" applyNumberFormat="1" applyFont="1" applyFill="1" applyBorder="1" applyAlignment="1">
      <alignment horizontal="center" vertical="center"/>
    </xf>
    <xf numFmtId="0" fontId="12" fillId="3" borderId="1" xfId="60" applyFont="1" applyFill="1" applyBorder="1" applyAlignment="1">
      <alignment horizontal="center" vertical="center"/>
    </xf>
    <xf numFmtId="178" fontId="10" fillId="0" borderId="1" xfId="73" applyNumberFormat="1" applyFont="1" applyBorder="1" applyAlignment="1" applyProtection="1">
      <alignment horizontal="center" vertical="center"/>
      <protection hidden="1"/>
    </xf>
    <xf numFmtId="177" fontId="9" fillId="4" borderId="1" xfId="59" applyNumberFormat="1" applyFont="1" applyFill="1" applyBorder="1" applyAlignment="1">
      <alignment horizontal="center" vertical="center"/>
    </xf>
  </cellXfs>
  <cellStyles count="8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11" xfId="50"/>
    <cellStyle name="常规 12" xfId="51"/>
    <cellStyle name="常规 13" xfId="52"/>
    <cellStyle name="常规 14" xfId="53"/>
    <cellStyle name="常规 15" xfId="54"/>
    <cellStyle name="常规 16" xfId="55"/>
    <cellStyle name="常规 17" xfId="56"/>
    <cellStyle name="常规 18" xfId="57"/>
    <cellStyle name="常规 19" xfId="58"/>
    <cellStyle name="常规 2" xfId="59"/>
    <cellStyle name="常规 2 2" xfId="60"/>
    <cellStyle name="常规 2 2 2 4" xfId="61"/>
    <cellStyle name="常规 20" xfId="62"/>
    <cellStyle name="常规 21" xfId="63"/>
    <cellStyle name="常规 22" xfId="64"/>
    <cellStyle name="常规 23" xfId="65"/>
    <cellStyle name="常规 24" xfId="66"/>
    <cellStyle name="常规 25" xfId="67"/>
    <cellStyle name="常规 26" xfId="68"/>
    <cellStyle name="常规 27" xfId="69"/>
    <cellStyle name="常规 28" xfId="70"/>
    <cellStyle name="常规 29" xfId="71"/>
    <cellStyle name="常规 3" xfId="72"/>
    <cellStyle name="常规 30" xfId="73"/>
    <cellStyle name="常规 4" xfId="74"/>
    <cellStyle name="常规 5" xfId="75"/>
    <cellStyle name="常规 6" xfId="76"/>
    <cellStyle name="常规 7" xfId="77"/>
    <cellStyle name="常规 8" xfId="78"/>
    <cellStyle name="常规 9" xfId="79"/>
    <cellStyle name="普通 2" xfId="80"/>
  </cellStyles>
  <dxfs count="1"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0</xdr:row>
      <xdr:rowOff>56029</xdr:rowOff>
    </xdr:from>
    <xdr:ext cx="2545678" cy="828571"/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55880"/>
          <a:ext cx="2545080" cy="82867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25"/>
  <sheetViews>
    <sheetView tabSelected="1" workbookViewId="0">
      <selection activeCell="I10" sqref="I10:L11"/>
    </sheetView>
  </sheetViews>
  <sheetFormatPr defaultColWidth="9" defaultRowHeight="14.25"/>
  <cols>
    <col min="1" max="1" width="11" style="1" customWidth="1"/>
    <col min="2" max="2" width="22.375" style="1" customWidth="1"/>
    <col min="3" max="3" width="9.875" style="1" customWidth="1"/>
    <col min="4" max="4" width="5.75" style="1" customWidth="1"/>
    <col min="5" max="7" width="7.375" style="1" customWidth="1"/>
    <col min="8" max="8" width="6.875" style="1" customWidth="1"/>
    <col min="9" max="40" width="6.625" style="1" customWidth="1"/>
    <col min="41" max="16384" width="9" style="1"/>
  </cols>
  <sheetData>
    <row r="1" ht="70.5" customHeight="1" spans="1:40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</row>
    <row r="2" ht="15" customHeight="1" spans="1:40">
      <c r="A2" s="3" t="s">
        <v>1</v>
      </c>
      <c r="B2" s="4" t="s">
        <v>2</v>
      </c>
      <c r="C2" s="4"/>
      <c r="D2" s="4"/>
      <c r="E2" s="4"/>
      <c r="F2" s="4"/>
      <c r="G2" s="5" t="s">
        <v>3</v>
      </c>
      <c r="H2" s="6"/>
      <c r="I2" s="6"/>
      <c r="J2" s="7"/>
      <c r="K2" s="4" t="s">
        <v>4</v>
      </c>
      <c r="L2" s="4"/>
      <c r="M2" s="4"/>
      <c r="N2" s="4"/>
      <c r="O2" s="4"/>
      <c r="P2" s="4"/>
      <c r="Q2" s="4"/>
      <c r="R2" s="8" t="s">
        <v>5</v>
      </c>
      <c r="S2" s="9"/>
      <c r="T2" s="9"/>
      <c r="U2" s="9"/>
      <c r="V2" s="9"/>
      <c r="W2" s="10"/>
      <c r="X2" s="11" t="s">
        <v>6</v>
      </c>
      <c r="Y2" s="12"/>
      <c r="Z2" s="12"/>
      <c r="AA2" s="12"/>
      <c r="AB2" s="12"/>
      <c r="AC2" s="13"/>
      <c r="AD2" s="11" t="s">
        <v>7</v>
      </c>
      <c r="AE2" s="12"/>
      <c r="AF2" s="12"/>
      <c r="AG2" s="13"/>
      <c r="AH2" s="14" t="s">
        <v>8</v>
      </c>
      <c r="AI2" s="15"/>
      <c r="AJ2" s="15"/>
      <c r="AK2" s="16"/>
      <c r="AL2" s="14" t="s">
        <v>9</v>
      </c>
      <c r="AM2" s="15"/>
      <c r="AN2" s="16"/>
    </row>
    <row r="3" ht="15" customHeight="1" spans="1:40">
      <c r="A3" s="3"/>
      <c r="B3" s="4"/>
      <c r="C3" s="4"/>
      <c r="D3" s="4"/>
      <c r="E3" s="4"/>
      <c r="F3" s="4"/>
      <c r="G3" s="17"/>
      <c r="H3" s="18"/>
      <c r="I3" s="18"/>
      <c r="J3" s="19"/>
      <c r="K3" s="4"/>
      <c r="L3" s="4"/>
      <c r="M3" s="4"/>
      <c r="N3" s="4"/>
      <c r="O3" s="4"/>
      <c r="P3" s="4"/>
      <c r="Q3" s="4"/>
      <c r="R3" s="20" t="s">
        <v>10</v>
      </c>
      <c r="S3" s="21"/>
      <c r="T3" s="21"/>
      <c r="U3" s="21"/>
      <c r="V3" s="21"/>
      <c r="W3" s="22"/>
      <c r="X3" s="11" t="s">
        <v>11</v>
      </c>
      <c r="Y3" s="12"/>
      <c r="Z3" s="12"/>
      <c r="AA3" s="12"/>
      <c r="AB3" s="12"/>
      <c r="AC3" s="13"/>
      <c r="AD3" s="11" t="s">
        <v>12</v>
      </c>
      <c r="AE3" s="12"/>
      <c r="AF3" s="12"/>
      <c r="AG3" s="12"/>
      <c r="AH3" s="12" t="s">
        <v>13</v>
      </c>
      <c r="AI3" s="12"/>
      <c r="AJ3" s="12"/>
      <c r="AK3" s="13"/>
      <c r="AL3" s="23" t="s">
        <v>14</v>
      </c>
      <c r="AM3" s="24"/>
      <c r="AN3" s="25"/>
    </row>
    <row r="4" customHeight="1" spans="1:40">
      <c r="A4" s="26" t="s">
        <v>15</v>
      </c>
      <c r="B4" s="26" t="s">
        <v>16</v>
      </c>
      <c r="C4" s="27" t="s">
        <v>17</v>
      </c>
      <c r="D4" s="28" t="s">
        <v>18</v>
      </c>
      <c r="E4" s="29" t="s">
        <v>19</v>
      </c>
      <c r="F4" s="29" t="s">
        <v>20</v>
      </c>
      <c r="G4" s="29" t="s">
        <v>21</v>
      </c>
      <c r="H4" s="30" t="s">
        <v>22</v>
      </c>
      <c r="I4" s="31" t="s">
        <v>23</v>
      </c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2" t="s">
        <v>24</v>
      </c>
      <c r="Z4" s="33"/>
      <c r="AA4" s="33"/>
      <c r="AB4" s="33"/>
      <c r="AC4" s="33"/>
      <c r="AD4" s="33"/>
      <c r="AE4" s="33"/>
      <c r="AF4" s="33"/>
      <c r="AG4" s="33"/>
      <c r="AH4" s="33"/>
      <c r="AI4" s="33"/>
      <c r="AJ4" s="33"/>
      <c r="AK4" s="33"/>
      <c r="AL4" s="33"/>
      <c r="AM4" s="33"/>
      <c r="AN4" s="34"/>
    </row>
    <row r="5" ht="13.5" customHeight="1" spans="1:40">
      <c r="A5" s="35"/>
      <c r="B5" s="36"/>
      <c r="C5" s="27"/>
      <c r="D5" s="28"/>
      <c r="E5" s="29"/>
      <c r="F5" s="29"/>
      <c r="G5" s="29"/>
      <c r="H5" s="27"/>
      <c r="I5" s="31" t="s">
        <v>25</v>
      </c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7" t="s">
        <v>26</v>
      </c>
      <c r="Z5" s="37"/>
      <c r="AA5" s="37"/>
      <c r="AB5" s="37"/>
      <c r="AC5" s="37"/>
      <c r="AD5" s="37"/>
      <c r="AE5" s="37"/>
      <c r="AF5" s="37"/>
      <c r="AG5" s="37"/>
      <c r="AH5" s="37"/>
      <c r="AI5" s="37"/>
      <c r="AJ5" s="37"/>
      <c r="AK5" s="37"/>
      <c r="AL5" s="37"/>
      <c r="AM5" s="37"/>
      <c r="AN5" s="37"/>
    </row>
    <row r="6" ht="14.1" customHeight="1" spans="1:40">
      <c r="A6" s="35"/>
      <c r="B6" s="36"/>
      <c r="C6" s="27"/>
      <c r="D6" s="28"/>
      <c r="E6" s="29"/>
      <c r="F6" s="29"/>
      <c r="G6" s="29"/>
      <c r="H6" s="27"/>
      <c r="I6" s="38">
        <v>1</v>
      </c>
      <c r="J6" s="38">
        <v>2</v>
      </c>
      <c r="K6" s="38">
        <v>3</v>
      </c>
      <c r="L6" s="38">
        <v>4</v>
      </c>
      <c r="M6" s="38">
        <v>5</v>
      </c>
      <c r="N6" s="38">
        <v>6</v>
      </c>
      <c r="O6" s="38">
        <v>7</v>
      </c>
      <c r="P6" s="38">
        <v>8</v>
      </c>
      <c r="Q6" s="38">
        <v>9</v>
      </c>
      <c r="R6" s="31">
        <v>10</v>
      </c>
      <c r="S6" s="38">
        <v>11</v>
      </c>
      <c r="T6" s="38">
        <v>12</v>
      </c>
      <c r="U6" s="38">
        <v>13</v>
      </c>
      <c r="V6" s="38">
        <v>14</v>
      </c>
      <c r="W6" s="38">
        <v>15</v>
      </c>
      <c r="X6" s="38">
        <v>16</v>
      </c>
      <c r="Y6" s="39">
        <f t="shared" ref="Y6:AN6" si="0">I6</f>
        <v>1</v>
      </c>
      <c r="Z6" s="39">
        <f t="shared" si="0"/>
        <v>2</v>
      </c>
      <c r="AA6" s="39">
        <f t="shared" si="0"/>
        <v>3</v>
      </c>
      <c r="AB6" s="39">
        <f t="shared" si="0"/>
        <v>4</v>
      </c>
      <c r="AC6" s="39">
        <f t="shared" si="0"/>
        <v>5</v>
      </c>
      <c r="AD6" s="39">
        <f t="shared" si="0"/>
        <v>6</v>
      </c>
      <c r="AE6" s="39">
        <f t="shared" si="0"/>
        <v>7</v>
      </c>
      <c r="AF6" s="39">
        <f t="shared" si="0"/>
        <v>8</v>
      </c>
      <c r="AG6" s="39">
        <f t="shared" si="0"/>
        <v>9</v>
      </c>
      <c r="AH6" s="39">
        <f t="shared" si="0"/>
        <v>10</v>
      </c>
      <c r="AI6" s="39">
        <f t="shared" si="0"/>
        <v>11</v>
      </c>
      <c r="AJ6" s="39">
        <f t="shared" si="0"/>
        <v>12</v>
      </c>
      <c r="AK6" s="39">
        <f t="shared" si="0"/>
        <v>13</v>
      </c>
      <c r="AL6" s="39">
        <f t="shared" si="0"/>
        <v>14</v>
      </c>
      <c r="AM6" s="39">
        <f t="shared" si="0"/>
        <v>15</v>
      </c>
      <c r="AN6" s="39">
        <f t="shared" si="0"/>
        <v>16</v>
      </c>
    </row>
    <row r="7" spans="1:40">
      <c r="A7" s="40">
        <v>46212</v>
      </c>
      <c r="B7" s="41" t="s">
        <v>27</v>
      </c>
      <c r="C7" s="41">
        <v>0</v>
      </c>
      <c r="D7" s="41">
        <v>0.1</v>
      </c>
      <c r="E7" s="41">
        <v>0</v>
      </c>
      <c r="F7" s="42">
        <f>C7+D7</f>
        <v>0.1</v>
      </c>
      <c r="G7" s="42">
        <f>C7+E7</f>
        <v>0</v>
      </c>
      <c r="H7" s="43" t="s">
        <v>28</v>
      </c>
      <c r="I7" s="44">
        <v>0.029</v>
      </c>
      <c r="J7" s="44">
        <v>0.0584</v>
      </c>
      <c r="K7" s="44">
        <v>0.0262</v>
      </c>
      <c r="L7" s="44">
        <v>0.0731</v>
      </c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5" t="str">
        <f t="shared" ref="Y7:AF7" si="1">IF(I7="","",IF(I7&gt;($C7+$D7),(I7-$C7-$D7),IF(I7&lt;($C7+$E7),(I7-$C7-$E7),"√")))</f>
        <v>√</v>
      </c>
      <c r="Z7" s="45" t="str">
        <f t="shared" si="1"/>
        <v>√</v>
      </c>
      <c r="AA7" s="45" t="str">
        <f t="shared" si="1"/>
        <v>√</v>
      </c>
      <c r="AB7" s="45" t="str">
        <f t="shared" si="1"/>
        <v>√</v>
      </c>
      <c r="AC7" s="45" t="str">
        <f t="shared" si="1"/>
        <v/>
      </c>
      <c r="AD7" s="45" t="str">
        <f t="shared" si="1"/>
        <v/>
      </c>
      <c r="AE7" s="45" t="str">
        <f t="shared" si="1"/>
        <v/>
      </c>
      <c r="AF7" s="45" t="str">
        <f t="shared" si="1"/>
        <v/>
      </c>
      <c r="AG7" s="45" t="str">
        <f t="shared" ref="AG7:AN7" si="2">IF(Q7="","",IF(Q7&gt;($C7+$D7),(Q7-$C7-$D7),IF(Q7&lt;($C7+$E7),(Q7-$C7-$E7),"√")))</f>
        <v/>
      </c>
      <c r="AH7" s="45" t="str">
        <f t="shared" si="2"/>
        <v/>
      </c>
      <c r="AI7" s="45" t="str">
        <f t="shared" si="2"/>
        <v/>
      </c>
      <c r="AJ7" s="45" t="str">
        <f t="shared" si="2"/>
        <v/>
      </c>
      <c r="AK7" s="45" t="str">
        <f t="shared" si="2"/>
        <v/>
      </c>
      <c r="AL7" s="45" t="str">
        <f t="shared" si="2"/>
        <v/>
      </c>
      <c r="AM7" s="45" t="str">
        <f t="shared" si="2"/>
        <v/>
      </c>
      <c r="AN7" s="45" t="str">
        <f t="shared" si="2"/>
        <v/>
      </c>
    </row>
    <row r="8" spans="1:40">
      <c r="A8" s="41"/>
      <c r="B8" s="41" t="s">
        <v>29</v>
      </c>
      <c r="C8" s="41"/>
      <c r="D8" s="41"/>
      <c r="E8" s="41"/>
      <c r="F8" s="42">
        <f>C8+D8</f>
        <v>0</v>
      </c>
      <c r="G8" s="42">
        <f>C8+E8</f>
        <v>0</v>
      </c>
      <c r="H8" s="43" t="s">
        <v>28</v>
      </c>
      <c r="I8" s="44">
        <v>0.0013</v>
      </c>
      <c r="J8" s="44">
        <v>0.0061</v>
      </c>
      <c r="K8" s="44">
        <v>-0.0016</v>
      </c>
      <c r="L8" s="44">
        <v>-0.0247</v>
      </c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5"/>
      <c r="Z8" s="45"/>
      <c r="AA8" s="45"/>
      <c r="AB8" s="45"/>
      <c r="AC8" s="45"/>
      <c r="AD8" s="45"/>
      <c r="AE8" s="45"/>
      <c r="AF8" s="45"/>
      <c r="AG8" s="45"/>
      <c r="AH8" s="45"/>
      <c r="AI8" s="45"/>
      <c r="AJ8" s="45"/>
      <c r="AK8" s="45"/>
      <c r="AL8" s="45"/>
      <c r="AM8" s="45"/>
      <c r="AN8" s="45"/>
    </row>
    <row r="9" spans="1:40">
      <c r="A9" s="41"/>
      <c r="B9" s="41" t="s">
        <v>30</v>
      </c>
      <c r="C9" s="41"/>
      <c r="D9" s="41"/>
      <c r="E9" s="41"/>
      <c r="F9" s="42">
        <f>C9+D9</f>
        <v>0</v>
      </c>
      <c r="G9" s="42">
        <f>C9+E9</f>
        <v>0</v>
      </c>
      <c r="H9" s="43" t="s">
        <v>28</v>
      </c>
      <c r="I9" s="44">
        <v>0.0145</v>
      </c>
      <c r="J9" s="44">
        <v>-0.0286</v>
      </c>
      <c r="K9" s="44">
        <v>-0.013</v>
      </c>
      <c r="L9" s="44">
        <v>-0.0269</v>
      </c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5"/>
      <c r="Z9" s="45"/>
      <c r="AA9" s="45"/>
      <c r="AB9" s="45"/>
      <c r="AC9" s="45"/>
      <c r="AD9" s="45"/>
      <c r="AE9" s="45"/>
      <c r="AF9" s="45"/>
      <c r="AG9" s="45"/>
      <c r="AH9" s="45"/>
      <c r="AI9" s="45"/>
      <c r="AJ9" s="45"/>
      <c r="AK9" s="45"/>
      <c r="AL9" s="45"/>
      <c r="AM9" s="45"/>
      <c r="AN9" s="45"/>
    </row>
    <row r="10" spans="1:40">
      <c r="A10" s="41"/>
      <c r="B10" s="41" t="s">
        <v>31</v>
      </c>
      <c r="C10" s="41">
        <v>0</v>
      </c>
      <c r="D10" s="41">
        <v>0.2</v>
      </c>
      <c r="E10" s="41">
        <v>0</v>
      </c>
      <c r="F10" s="42">
        <f>C10+D10</f>
        <v>0.2</v>
      </c>
      <c r="G10" s="42">
        <f>C10+E10</f>
        <v>0</v>
      </c>
      <c r="H10" s="43" t="s">
        <v>28</v>
      </c>
      <c r="I10" s="44">
        <v>0.1844</v>
      </c>
      <c r="J10" s="44">
        <v>0.0797</v>
      </c>
      <c r="K10" s="44">
        <v>0.1679</v>
      </c>
      <c r="L10" s="44">
        <v>0.1513</v>
      </c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5" t="str">
        <f t="shared" ref="Y10:AB11" si="3">IF(I10="","",IF(I10&gt;($C10+$D10),(I10-$C10-$D10),IF(I10&lt;($C10+$E10),(I10-$C10-$E10),"√")))</f>
        <v>√</v>
      </c>
      <c r="Z10" s="45" t="str">
        <f t="shared" si="3"/>
        <v>√</v>
      </c>
      <c r="AA10" s="45" t="str">
        <f t="shared" si="3"/>
        <v>√</v>
      </c>
      <c r="AB10" s="45" t="str">
        <f t="shared" si="3"/>
        <v>√</v>
      </c>
      <c r="AC10" s="45" t="str">
        <f t="shared" ref="AC10:AN10" si="4">IF(M10="","",IF(M10&gt;($C10+$D10),(M10-$C10-$D10),IF(M10&lt;($C10+$E10),(M10-$C10-$E10),"√")))</f>
        <v/>
      </c>
      <c r="AD10" s="45" t="str">
        <f t="shared" si="4"/>
        <v/>
      </c>
      <c r="AE10" s="45" t="str">
        <f t="shared" si="4"/>
        <v/>
      </c>
      <c r="AF10" s="45" t="str">
        <f t="shared" si="4"/>
        <v/>
      </c>
      <c r="AG10" s="45" t="str">
        <f t="shared" si="4"/>
        <v/>
      </c>
      <c r="AH10" s="45" t="str">
        <f t="shared" si="4"/>
        <v/>
      </c>
      <c r="AI10" s="45" t="str">
        <f t="shared" si="4"/>
        <v/>
      </c>
      <c r="AJ10" s="45" t="str">
        <f t="shared" si="4"/>
        <v/>
      </c>
      <c r="AK10" s="45" t="str">
        <f t="shared" si="4"/>
        <v/>
      </c>
      <c r="AL10" s="45" t="str">
        <f t="shared" si="4"/>
        <v/>
      </c>
      <c r="AM10" s="45" t="str">
        <f t="shared" si="4"/>
        <v/>
      </c>
      <c r="AN10" s="45" t="str">
        <f t="shared" si="4"/>
        <v/>
      </c>
    </row>
    <row r="11" spans="1:40">
      <c r="A11" s="41"/>
      <c r="B11" s="41" t="s">
        <v>32</v>
      </c>
      <c r="C11" s="41">
        <v>0</v>
      </c>
      <c r="D11" s="41">
        <v>0.1</v>
      </c>
      <c r="E11" s="41">
        <v>0</v>
      </c>
      <c r="F11" s="42">
        <f>C11+D11</f>
        <v>0.1</v>
      </c>
      <c r="G11" s="42">
        <f>C11+E11</f>
        <v>0</v>
      </c>
      <c r="H11" s="43" t="s">
        <v>28</v>
      </c>
      <c r="I11" s="44">
        <v>0.0165</v>
      </c>
      <c r="J11" s="44">
        <v>0.0069</v>
      </c>
      <c r="K11" s="44">
        <v>0.0147</v>
      </c>
      <c r="L11" s="44">
        <v>0.0137</v>
      </c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5" t="str">
        <f t="shared" si="3"/>
        <v>√</v>
      </c>
      <c r="Z11" s="45" t="str">
        <f t="shared" si="3"/>
        <v>√</v>
      </c>
      <c r="AA11" s="45" t="str">
        <f t="shared" si="3"/>
        <v>√</v>
      </c>
      <c r="AB11" s="45" t="str">
        <f t="shared" si="3"/>
        <v>√</v>
      </c>
      <c r="AC11" s="45" t="str">
        <f t="shared" ref="AC11:AN11" si="5">IF(M11="","",IF(M11&gt;($C11+$D11),(M11-$C11-$D11),IF(M11&lt;($C11+$E11),(M11-$C11-$E11),"√")))</f>
        <v/>
      </c>
      <c r="AD11" s="45" t="str">
        <f t="shared" si="5"/>
        <v/>
      </c>
      <c r="AE11" s="45" t="str">
        <f t="shared" si="5"/>
        <v/>
      </c>
      <c r="AF11" s="45" t="str">
        <f t="shared" si="5"/>
        <v/>
      </c>
      <c r="AG11" s="45" t="str">
        <f t="shared" si="5"/>
        <v/>
      </c>
      <c r="AH11" s="45" t="str">
        <f t="shared" si="5"/>
        <v/>
      </c>
      <c r="AI11" s="45" t="str">
        <f t="shared" si="5"/>
        <v/>
      </c>
      <c r="AJ11" s="45" t="str">
        <f t="shared" si="5"/>
        <v/>
      </c>
      <c r="AK11" s="45" t="str">
        <f t="shared" si="5"/>
        <v/>
      </c>
      <c r="AL11" s="45" t="str">
        <f t="shared" si="5"/>
        <v/>
      </c>
      <c r="AM11" s="45" t="str">
        <f t="shared" si="5"/>
        <v/>
      </c>
      <c r="AN11" s="45" t="str">
        <f t="shared" si="5"/>
        <v/>
      </c>
    </row>
    <row r="12" spans="1:40">
      <c r="A12" s="41"/>
      <c r="B12" s="41" t="s">
        <v>33</v>
      </c>
      <c r="C12" s="46">
        <v>0.4</v>
      </c>
      <c r="D12" s="46">
        <v>0.1</v>
      </c>
      <c r="E12" s="47">
        <v>-0.1</v>
      </c>
      <c r="F12" s="42">
        <v>0.5</v>
      </c>
      <c r="G12" s="42">
        <v>0.3</v>
      </c>
      <c r="H12" s="43" t="s">
        <v>34</v>
      </c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5" t="str">
        <f>IF(I12="","",IF(I12&gt;($C12+$D12),(I12-$C12-$D12),IF(I12&lt;($C12+$E12),(I12-$C12-$E12),"√")))</f>
        <v/>
      </c>
      <c r="Z12" s="45" t="str">
        <f>IF(J12="","",IF(J12&gt;($C12+$D12),(J12-$C12-$D12),IF(J12&lt;($C12+$E12),(J12-$C12-$E12),"√")))</f>
        <v/>
      </c>
      <c r="AA12" s="45" t="str">
        <f>IF(K12="","",IF(K12&gt;($C12+$D12),(K12-$C12-$D12),IF(K12&lt;($C12+$E12),(K12-$C12-$E12),"√")))</f>
        <v/>
      </c>
      <c r="AB12" s="45" t="str">
        <f>IF(L12="","",IF(L12&gt;($C12+$D12),(L12-$C12-$D12),IF(L12&lt;($C12+$E12),(L12-$C12-$E12),"√")))</f>
        <v/>
      </c>
      <c r="AC12" s="45" t="str">
        <f>IF(M12="","",IF(M12&gt;($C12+$D12),(M12-$C12-$D12),IF(M12&lt;($C12+$E12),(M12-$C12-$E12),"√")))</f>
        <v/>
      </c>
      <c r="AD12" s="45" t="str">
        <f t="shared" ref="AD12:AD22" si="6">IF(N12="","",IF(N12&gt;($C12+$D12),(N12-$C12-$D12),IF(N12&lt;($C12+$E12),(N12-$C12-$E12),"√")))</f>
        <v/>
      </c>
      <c r="AE12" s="45" t="str">
        <f t="shared" ref="AE12:AE22" si="7">IF(O12="","",IF(O12&gt;($C12+$D12),(O12-$C12-$D12),IF(O12&lt;($C12+$E12),(O12-$C12-$E12),"√")))</f>
        <v/>
      </c>
      <c r="AF12" s="45" t="str">
        <f t="shared" ref="AF12:AF22" si="8">IF(P12="","",IF(P12&gt;($C12+$D12),(P12-$C12-$D12),IF(P12&lt;($C12+$E12),(P12-$C12-$E12),"√")))</f>
        <v/>
      </c>
      <c r="AG12" s="45" t="str">
        <f t="shared" ref="AG12:AN12" si="9">IF(Q12="","",IF(Q12&gt;($C12+$D12),(Q12-$C12-$D12),IF(Q12&lt;($C12+$E12),(Q12-$C12-$E12),"√")))</f>
        <v/>
      </c>
      <c r="AH12" s="45" t="str">
        <f t="shared" si="9"/>
        <v/>
      </c>
      <c r="AI12" s="45" t="str">
        <f t="shared" si="9"/>
        <v/>
      </c>
      <c r="AJ12" s="45" t="str">
        <f t="shared" si="9"/>
        <v/>
      </c>
      <c r="AK12" s="45" t="str">
        <f t="shared" si="9"/>
        <v/>
      </c>
      <c r="AL12" s="45" t="str">
        <f t="shared" si="9"/>
        <v/>
      </c>
      <c r="AM12" s="45" t="str">
        <f t="shared" si="9"/>
        <v/>
      </c>
      <c r="AN12" s="45" t="str">
        <f t="shared" si="9"/>
        <v/>
      </c>
    </row>
    <row r="13" spans="1:40">
      <c r="A13" s="41"/>
      <c r="B13" s="41" t="s">
        <v>35</v>
      </c>
      <c r="C13" s="46"/>
      <c r="D13" s="46"/>
      <c r="E13" s="47"/>
      <c r="F13" s="42"/>
      <c r="G13" s="42"/>
      <c r="H13" s="43" t="s">
        <v>34</v>
      </c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5"/>
      <c r="Z13" s="45"/>
      <c r="AA13" s="45"/>
      <c r="AB13" s="45"/>
      <c r="AC13" s="45"/>
      <c r="AD13" s="45"/>
      <c r="AE13" s="45"/>
      <c r="AF13" s="45"/>
      <c r="AG13" s="45"/>
      <c r="AH13" s="45"/>
      <c r="AI13" s="45"/>
      <c r="AJ13" s="45"/>
      <c r="AK13" s="45"/>
      <c r="AL13" s="45"/>
      <c r="AM13" s="45"/>
      <c r="AN13" s="45"/>
    </row>
    <row r="14" spans="1:40">
      <c r="A14" s="41"/>
      <c r="B14" s="41" t="s">
        <v>36</v>
      </c>
      <c r="C14" s="46"/>
      <c r="D14" s="46"/>
      <c r="E14" s="47"/>
      <c r="F14" s="42"/>
      <c r="G14" s="42"/>
      <c r="H14" s="43" t="s">
        <v>34</v>
      </c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5"/>
      <c r="Z14" s="45"/>
      <c r="AA14" s="45"/>
      <c r="AB14" s="45"/>
      <c r="AC14" s="45"/>
      <c r="AD14" s="45"/>
      <c r="AE14" s="45"/>
      <c r="AF14" s="45"/>
      <c r="AG14" s="45"/>
      <c r="AH14" s="45"/>
      <c r="AI14" s="45"/>
      <c r="AJ14" s="45"/>
      <c r="AK14" s="45"/>
      <c r="AL14" s="45"/>
      <c r="AM14" s="45"/>
      <c r="AN14" s="45"/>
    </row>
    <row r="15" spans="1:40">
      <c r="A15" s="41"/>
      <c r="B15" s="41" t="s">
        <v>37</v>
      </c>
      <c r="C15" s="46"/>
      <c r="D15" s="46"/>
      <c r="E15" s="47"/>
      <c r="F15" s="42"/>
      <c r="G15" s="42"/>
      <c r="H15" s="43" t="s">
        <v>34</v>
      </c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5"/>
      <c r="Z15" s="45"/>
      <c r="AA15" s="45"/>
      <c r="AB15" s="45"/>
      <c r="AC15" s="45"/>
      <c r="AD15" s="45"/>
      <c r="AE15" s="45"/>
      <c r="AF15" s="45"/>
      <c r="AG15" s="45"/>
      <c r="AH15" s="45"/>
      <c r="AI15" s="45"/>
      <c r="AJ15" s="45"/>
      <c r="AK15" s="45"/>
      <c r="AL15" s="45"/>
      <c r="AM15" s="45"/>
      <c r="AN15" s="45"/>
    </row>
    <row r="16" spans="1:40">
      <c r="A16" s="41"/>
      <c r="B16" s="41" t="s">
        <v>38</v>
      </c>
      <c r="C16" s="46"/>
      <c r="D16" s="46"/>
      <c r="E16" s="47"/>
      <c r="F16" s="42"/>
      <c r="G16" s="42"/>
      <c r="H16" s="43" t="s">
        <v>34</v>
      </c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5"/>
      <c r="Z16" s="45"/>
      <c r="AA16" s="45"/>
      <c r="AB16" s="45"/>
      <c r="AC16" s="45"/>
      <c r="AD16" s="45"/>
      <c r="AE16" s="45"/>
      <c r="AF16" s="45"/>
      <c r="AG16" s="45"/>
      <c r="AH16" s="45"/>
      <c r="AI16" s="45"/>
      <c r="AJ16" s="45"/>
      <c r="AK16" s="45"/>
      <c r="AL16" s="45"/>
      <c r="AM16" s="45"/>
      <c r="AN16" s="45"/>
    </row>
    <row r="17" spans="1:40">
      <c r="A17" s="41"/>
      <c r="B17" s="41" t="s">
        <v>39</v>
      </c>
      <c r="C17" s="46">
        <v>0.95</v>
      </c>
      <c r="D17" s="46">
        <v>0.05</v>
      </c>
      <c r="E17" s="47">
        <v>-0.05</v>
      </c>
      <c r="F17" s="42">
        <v>1</v>
      </c>
      <c r="G17" s="42">
        <v>0.9</v>
      </c>
      <c r="H17" s="43" t="s">
        <v>34</v>
      </c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5" t="str">
        <f>IF(I17="","",IF(I17&gt;($C17+$D17),(I17-$C17-$D17),IF(I17&lt;($C17+$E17),(I17-$C17-$E17),"√")))</f>
        <v/>
      </c>
      <c r="Z17" s="45" t="str">
        <f>IF(J17="","",IF(J17&gt;($C17+$D17),(J17-$C17-$D17),IF(J17&lt;($C17+$E17),(J17-$C17-$E17),"√")))</f>
        <v/>
      </c>
      <c r="AA17" s="45" t="str">
        <f>IF(K17="","",IF(K17&gt;($C17+$D17),(K17-$C17-$D17),IF(K17&lt;($C17+$E17),(K17-$C17-$E17),"√")))</f>
        <v/>
      </c>
      <c r="AB17" s="45" t="str">
        <f>IF(L17="","",IF(L17&gt;($C17+$D17),(L17-$C17-$D17),IF(L17&lt;($C17+$E17),(L17-$C17-$E17),"√")))</f>
        <v/>
      </c>
      <c r="AC17" s="45" t="str">
        <f>IF(M17="","",IF(M17&gt;($C17+$D17),(M17-$C17-$D17),IF(M17&lt;($C17+$E17),(M17-$C17-$E17),"√")))</f>
        <v/>
      </c>
      <c r="AD17" s="45" t="str">
        <f t="shared" si="6"/>
        <v/>
      </c>
      <c r="AE17" s="45" t="str">
        <f t="shared" si="7"/>
        <v/>
      </c>
      <c r="AF17" s="45" t="str">
        <f t="shared" si="8"/>
        <v/>
      </c>
      <c r="AG17" s="45" t="str">
        <f t="shared" ref="AG17:AN17" si="10">IF(Q17="","",IF(Q17&gt;($C17+$D17),(Q17-$C17-$D17),IF(Q17&lt;($C17+$E17),(Q17-$C17-$E17),"√")))</f>
        <v/>
      </c>
      <c r="AH17" s="45" t="str">
        <f t="shared" si="10"/>
        <v/>
      </c>
      <c r="AI17" s="45" t="str">
        <f t="shared" si="10"/>
        <v/>
      </c>
      <c r="AJ17" s="45" t="str">
        <f t="shared" si="10"/>
        <v/>
      </c>
      <c r="AK17" s="45" t="str">
        <f t="shared" si="10"/>
        <v/>
      </c>
      <c r="AL17" s="45" t="str">
        <f t="shared" si="10"/>
        <v/>
      </c>
      <c r="AM17" s="45" t="str">
        <f t="shared" si="10"/>
        <v/>
      </c>
      <c r="AN17" s="45" t="str">
        <f t="shared" si="10"/>
        <v/>
      </c>
    </row>
    <row r="18" spans="1:40">
      <c r="A18" s="41"/>
      <c r="B18" s="41" t="s">
        <v>40</v>
      </c>
      <c r="C18" s="46"/>
      <c r="D18" s="46"/>
      <c r="E18" s="47"/>
      <c r="F18" s="42"/>
      <c r="G18" s="42"/>
      <c r="H18" s="43" t="s">
        <v>34</v>
      </c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5"/>
      <c r="Z18" s="45"/>
      <c r="AA18" s="45"/>
      <c r="AB18" s="45"/>
      <c r="AC18" s="45"/>
      <c r="AD18" s="45"/>
      <c r="AE18" s="45"/>
      <c r="AF18" s="45"/>
      <c r="AG18" s="45"/>
      <c r="AH18" s="45"/>
      <c r="AI18" s="45"/>
      <c r="AJ18" s="45"/>
      <c r="AK18" s="45"/>
      <c r="AL18" s="45"/>
      <c r="AM18" s="45"/>
      <c r="AN18" s="45"/>
    </row>
    <row r="19" spans="1:40">
      <c r="A19" s="41"/>
      <c r="B19" s="41" t="s">
        <v>41</v>
      </c>
      <c r="C19" s="46"/>
      <c r="D19" s="46"/>
      <c r="E19" s="47"/>
      <c r="F19" s="42"/>
      <c r="G19" s="42"/>
      <c r="H19" s="43" t="s">
        <v>34</v>
      </c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5"/>
      <c r="Z19" s="45"/>
      <c r="AA19" s="45"/>
      <c r="AB19" s="45"/>
      <c r="AC19" s="45"/>
      <c r="AD19" s="45"/>
      <c r="AE19" s="45"/>
      <c r="AF19" s="45"/>
      <c r="AG19" s="45"/>
      <c r="AH19" s="45"/>
      <c r="AI19" s="45"/>
      <c r="AJ19" s="45"/>
      <c r="AK19" s="45"/>
      <c r="AL19" s="45"/>
      <c r="AM19" s="45"/>
      <c r="AN19" s="45"/>
    </row>
    <row r="20" spans="1:40">
      <c r="A20" s="41"/>
      <c r="B20" s="41" t="s">
        <v>42</v>
      </c>
      <c r="C20" s="46"/>
      <c r="D20" s="46"/>
      <c r="E20" s="47"/>
      <c r="F20" s="42"/>
      <c r="G20" s="42"/>
      <c r="H20" s="43" t="s">
        <v>34</v>
      </c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5"/>
      <c r="Z20" s="45"/>
      <c r="AA20" s="45"/>
      <c r="AB20" s="45"/>
      <c r="AC20" s="45"/>
      <c r="AD20" s="45"/>
      <c r="AE20" s="45"/>
      <c r="AF20" s="45"/>
      <c r="AG20" s="45"/>
      <c r="AH20" s="45"/>
      <c r="AI20" s="45"/>
      <c r="AJ20" s="45"/>
      <c r="AK20" s="45"/>
      <c r="AL20" s="45"/>
      <c r="AM20" s="45"/>
      <c r="AN20" s="45"/>
    </row>
    <row r="21" spans="1:40">
      <c r="A21" s="41"/>
      <c r="B21" s="41" t="s">
        <v>43</v>
      </c>
      <c r="C21" s="46"/>
      <c r="D21" s="46"/>
      <c r="E21" s="47"/>
      <c r="F21" s="42"/>
      <c r="G21" s="42"/>
      <c r="H21" s="43" t="s">
        <v>34</v>
      </c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5"/>
      <c r="Z21" s="45"/>
      <c r="AA21" s="45"/>
      <c r="AB21" s="45"/>
      <c r="AC21" s="45"/>
      <c r="AD21" s="45"/>
      <c r="AE21" s="45"/>
      <c r="AF21" s="45"/>
      <c r="AG21" s="45"/>
      <c r="AH21" s="45"/>
      <c r="AI21" s="45"/>
      <c r="AJ21" s="45"/>
      <c r="AK21" s="45"/>
      <c r="AL21" s="45"/>
      <c r="AM21" s="45"/>
      <c r="AN21" s="45"/>
    </row>
    <row r="22" spans="1:40">
      <c r="A22" s="41"/>
      <c r="B22" s="41" t="s">
        <v>44</v>
      </c>
      <c r="C22" s="46">
        <v>19.4</v>
      </c>
      <c r="D22" s="46">
        <v>0.05</v>
      </c>
      <c r="E22" s="47">
        <v>-0.05</v>
      </c>
      <c r="F22" s="42">
        <v>19.45</v>
      </c>
      <c r="G22" s="42">
        <v>19.35</v>
      </c>
      <c r="H22" s="43" t="s">
        <v>34</v>
      </c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5" t="str">
        <f t="shared" ref="Y22:AC23" si="11">IF(I22="","",IF(I22&gt;($C22+$D22),(I22-$C22-$D22),IF(I22&lt;($C22+$E22),(I22-$C22-$E22),"√")))</f>
        <v/>
      </c>
      <c r="Z22" s="45" t="str">
        <f t="shared" si="11"/>
        <v/>
      </c>
      <c r="AA22" s="45" t="str">
        <f t="shared" si="11"/>
        <v/>
      </c>
      <c r="AB22" s="45" t="str">
        <f t="shared" si="11"/>
        <v/>
      </c>
      <c r="AC22" s="45" t="str">
        <f t="shared" si="11"/>
        <v/>
      </c>
      <c r="AD22" s="45" t="str">
        <f t="shared" si="6"/>
        <v/>
      </c>
      <c r="AE22" s="45" t="str">
        <f t="shared" si="7"/>
        <v/>
      </c>
      <c r="AF22" s="45" t="str">
        <f t="shared" si="8"/>
        <v/>
      </c>
      <c r="AG22" s="45" t="str">
        <f t="shared" ref="AG22:AN22" si="12">IF(Q22="","",IF(Q22&gt;($C22+$D22),(Q22-$C22-$D22),IF(Q22&lt;($C22+$E22),(Q22-$C22-$E22),"√")))</f>
        <v/>
      </c>
      <c r="AH22" s="45" t="str">
        <f t="shared" si="12"/>
        <v/>
      </c>
      <c r="AI22" s="45" t="str">
        <f t="shared" si="12"/>
        <v/>
      </c>
      <c r="AJ22" s="45" t="str">
        <f t="shared" si="12"/>
        <v/>
      </c>
      <c r="AK22" s="45" t="str">
        <f t="shared" si="12"/>
        <v/>
      </c>
      <c r="AL22" s="45" t="str">
        <f t="shared" si="12"/>
        <v/>
      </c>
      <c r="AM22" s="45" t="str">
        <f t="shared" si="12"/>
        <v/>
      </c>
      <c r="AN22" s="45" t="str">
        <f t="shared" si="12"/>
        <v/>
      </c>
    </row>
    <row r="23" spans="1:40">
      <c r="A23" s="41"/>
      <c r="B23" s="41" t="s">
        <v>45</v>
      </c>
      <c r="C23" s="46">
        <v>0</v>
      </c>
      <c r="D23" s="46">
        <v>0.1</v>
      </c>
      <c r="E23" s="47">
        <v>0</v>
      </c>
      <c r="F23" s="42">
        <v>0.1</v>
      </c>
      <c r="G23" s="42">
        <v>0</v>
      </c>
      <c r="H23" s="43" t="s">
        <v>34</v>
      </c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5" t="str">
        <f t="shared" si="11"/>
        <v/>
      </c>
      <c r="Z23" s="45" t="str">
        <f t="shared" si="11"/>
        <v/>
      </c>
      <c r="AA23" s="45" t="str">
        <f t="shared" si="11"/>
        <v/>
      </c>
      <c r="AB23" s="45" t="str">
        <f t="shared" si="11"/>
        <v/>
      </c>
      <c r="AC23" s="45" t="str">
        <f t="shared" si="11"/>
        <v/>
      </c>
      <c r="AD23" s="45" t="str">
        <f t="shared" ref="AD23" si="13">IF(N23="","",IF(N23&gt;($C23+$D23),(N23-$C23-$D23),IF(N23&lt;($C23+$E23),(N23-$C23-$E23),"√")))</f>
        <v/>
      </c>
      <c r="AE23" s="45" t="str">
        <f t="shared" ref="AE23" si="14">IF(O23="","",IF(O23&gt;($C23+$D23),(O23-$C23-$D23),IF(O23&lt;($C23+$E23),(O23-$C23-$E23),"√")))</f>
        <v/>
      </c>
      <c r="AF23" s="45" t="str">
        <f t="shared" ref="AF23" si="15">IF(P23="","",IF(P23&gt;($C23+$D23),(P23-$C23-$D23),IF(P23&lt;($C23+$E23),(P23-$C23-$E23),"√")))</f>
        <v/>
      </c>
      <c r="AG23" s="45" t="str">
        <f t="shared" ref="AG23:AN23" si="16">IF(Q23="","",IF(Q23&gt;($C23+$D23),(Q23-$C23-$D23),IF(Q23&lt;($C23+$E23),(Q23-$C23-$E23),"√")))</f>
        <v/>
      </c>
      <c r="AH23" s="45" t="str">
        <f t="shared" si="16"/>
        <v/>
      </c>
      <c r="AI23" s="45" t="str">
        <f t="shared" si="16"/>
        <v/>
      </c>
      <c r="AJ23" s="45" t="str">
        <f t="shared" si="16"/>
        <v/>
      </c>
      <c r="AK23" s="45" t="str">
        <f t="shared" si="16"/>
        <v/>
      </c>
      <c r="AL23" s="45" t="str">
        <f t="shared" si="16"/>
        <v/>
      </c>
      <c r="AM23" s="45" t="str">
        <f t="shared" si="16"/>
        <v/>
      </c>
      <c r="AN23" s="45" t="str">
        <f t="shared" si="16"/>
        <v/>
      </c>
    </row>
    <row r="24" spans="1:40">
      <c r="A24" s="41"/>
      <c r="B24" s="41">
        <v>1</v>
      </c>
      <c r="C24" s="46"/>
      <c r="D24" s="46"/>
      <c r="E24" s="47"/>
      <c r="F24" s="42"/>
      <c r="G24" s="42"/>
      <c r="H24" s="43" t="s">
        <v>34</v>
      </c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5"/>
      <c r="Z24" s="45"/>
      <c r="AA24" s="45"/>
      <c r="AB24" s="45"/>
      <c r="AC24" s="45"/>
      <c r="AD24" s="45"/>
      <c r="AE24" s="45"/>
      <c r="AF24" s="45"/>
      <c r="AG24" s="45"/>
      <c r="AH24" s="45"/>
      <c r="AI24" s="45"/>
      <c r="AJ24" s="45"/>
      <c r="AK24" s="45"/>
      <c r="AL24" s="45"/>
      <c r="AM24" s="45"/>
      <c r="AN24" s="45"/>
    </row>
    <row r="25" spans="1:40">
      <c r="A25" s="41"/>
      <c r="B25" s="41">
        <v>2</v>
      </c>
      <c r="C25" s="46"/>
      <c r="D25" s="46"/>
      <c r="E25" s="47"/>
      <c r="F25" s="42"/>
      <c r="G25" s="42"/>
      <c r="H25" s="43" t="s">
        <v>34</v>
      </c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5"/>
      <c r="Z25" s="45"/>
      <c r="AA25" s="45"/>
      <c r="AB25" s="45"/>
      <c r="AC25" s="45"/>
      <c r="AD25" s="45"/>
      <c r="AE25" s="45"/>
      <c r="AF25" s="45"/>
      <c r="AG25" s="45"/>
      <c r="AH25" s="45"/>
      <c r="AI25" s="45"/>
      <c r="AJ25" s="45"/>
      <c r="AK25" s="45"/>
      <c r="AL25" s="45"/>
      <c r="AM25" s="45"/>
      <c r="AN25" s="45"/>
    </row>
  </sheetData>
  <protectedRanges>
    <protectedRange sqref="I8:I9 J8:X9 I7 S7:X7 J7:R7" name="区域1_5_2"/>
    <protectedRange sqref="H7:H9" name="区域2_2"/>
    <protectedRange sqref="H7:H9" name="区域2_3"/>
  </protectedRanges>
  <mergeCells count="28">
    <mergeCell ref="A1:AN1"/>
    <mergeCell ref="R2:W2"/>
    <mergeCell ref="X2:AC2"/>
    <mergeCell ref="AD2:AG2"/>
    <mergeCell ref="AH2:AK2"/>
    <mergeCell ref="AL2:AN2"/>
    <mergeCell ref="R3:W3"/>
    <mergeCell ref="X3:AC3"/>
    <mergeCell ref="AD3:AG3"/>
    <mergeCell ref="AH3:AK3"/>
    <mergeCell ref="AL3:AN3"/>
    <mergeCell ref="I4:X4"/>
    <mergeCell ref="Y4:AN4"/>
    <mergeCell ref="I5:X5"/>
    <mergeCell ref="Y5:AN5"/>
    <mergeCell ref="A2:A3"/>
    <mergeCell ref="A4:A6"/>
    <mergeCell ref="A7:A25"/>
    <mergeCell ref="B4:B6"/>
    <mergeCell ref="C4:C6"/>
    <mergeCell ref="D4:D6"/>
    <mergeCell ref="E4:E6"/>
    <mergeCell ref="F4:F6"/>
    <mergeCell ref="G4:G6"/>
    <mergeCell ref="H4:H6"/>
    <mergeCell ref="B2:F3"/>
    <mergeCell ref="K2:Q3"/>
    <mergeCell ref="G2:J3"/>
  </mergeCells>
  <conditionalFormatting sqref="I7:X7">
    <cfRule type="cellIs" dxfId="0" priority="2" operator="notBetween">
      <formula>$F7</formula>
      <formula>$G7</formula>
    </cfRule>
  </conditionalFormatting>
  <conditionalFormatting sqref="Q23:X23">
    <cfRule type="cellIs" dxfId="0" priority="1" operator="notBetween">
      <formula>$F23</formula>
      <formula>$G23</formula>
    </cfRule>
  </conditionalFormatting>
  <conditionalFormatting sqref="I10:X12 I17:X17 Q22:X22">
    <cfRule type="cellIs" dxfId="0" priority="7" operator="notBetween">
      <formula>$F10</formula>
      <formula>$G10</formula>
    </cfRule>
  </conditionalFormatting>
  <conditionalFormatting sqref="I22:P23">
    <cfRule type="cellIs" dxfId="0" priority="6" operator="notBetween">
      <formula>$F22</formula>
      <formula>$G22</formula>
    </cfRule>
  </conditionalFormatting>
  <printOptions horizontalCentered="1"/>
  <pageMargins left="0.16" right="0" top="0.39" bottom="0.2" header="0" footer="0.12"/>
  <pageSetup paperSize="9" scale="51" orientation="portrait"/>
  <headerFooter alignWithMargins="0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9" master="" otherUserPermission="visible">
    <arrUserId title="区域1_5_2" rangeCreator="" othersAccessPermission="edit"/>
    <arrUserId title="区域2_2" rangeCreator="" othersAccessPermission="edit"/>
    <arrUserId title="区域2_3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035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2020-05-08T02:47:00Z</dcterms:created>
  <dcterms:modified xsi:type="dcterms:W3CDTF">2026-07-09T07:55:56Z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AA961B9ADC184DBE958373A72F4D771C</vt:lpwstr>
  </property>
  <property fmtid="{D5CDD505-2E9C-101B-9397-08002B2CF9AE}" pid="4" name="CalculationRule">
    <vt:i4>0</vt:i4>
  </property>
</Properties>
</file>