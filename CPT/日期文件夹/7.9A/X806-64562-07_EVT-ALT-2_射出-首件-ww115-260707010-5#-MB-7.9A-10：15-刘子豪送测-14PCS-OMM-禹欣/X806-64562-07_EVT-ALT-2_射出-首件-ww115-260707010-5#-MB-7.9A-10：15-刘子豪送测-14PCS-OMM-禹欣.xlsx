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<sst xmlns="http://schemas.openxmlformats.org/spreadsheetml/2006/main" count="59" uniqueCount="52">
  <si>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安徽中耀智能科技有限公司首件尺寸报告</t>
  </si>
  <si>
    <t>料号</t>
  </si>
  <si>
    <t>X806-64562</t>
  </si>
  <si>
    <t>工单号</t>
  </si>
  <si>
    <t>ww115-260707010</t>
  </si>
  <si>
    <t>工站</t>
  </si>
  <si>
    <t>射出机台号</t>
  </si>
  <si>
    <t>测量机台</t>
  </si>
  <si>
    <t>测量人员</t>
  </si>
  <si>
    <t>审核</t>
  </si>
  <si>
    <t>射出</t>
  </si>
  <si>
    <t>5#</t>
  </si>
  <si>
    <t>OMM3#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</si>
  <si>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</si>
  <si>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</si>
  <si>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</si>
  <si>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</si>
  <si>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</si>
  <si>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</si>
  <si>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</si>
  <si>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</si>
  <si>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</si>
  <si>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</si>
  <si>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</si>
  <si>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</si>
  <si>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</si>
  <si>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</si>
  <si>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</si>
  <si>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</si>
  <si>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</si>
  <si>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</si>
  <si>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</si>
  <si>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</si>
  <si>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</si>
  <si>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1-8</t>
  </si>
  <si>
    <t>2-1</t>
  </si>
  <si>
    <t>2-2</t>
  </si>
  <si>
    <t>2-3</t>
  </si>
  <si>
    <t>2-4</t>
  </si>
  <si>
    <t>2-5</t>
  </si>
  <si>
    <t>2-6</t>
  </si>
  <si>
    <t>2-8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</si>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</sst>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workbookViewId="0">
      <selection activeCell="W15" sqref="W1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7">
        <v>15</v>
      </c>
      <c r="Y6" s="47">
        <v>16</v>
      </c>
      <c r="Z6" s="48" t="str">
        <f t="shared" ref="Z6:AO6" si="0">J6</f>
        <v>1-1</v>
      </c>
      <c r="AA6" s="48" t="str">
        <f t="shared" si="0"/>
        <v>1-2</v>
      </c>
      <c r="AB6" s="48" t="str">
        <f t="shared" si="0"/>
        <v>1-3</v>
      </c>
      <c r="AC6" s="48" t="str">
        <f t="shared" si="0"/>
        <v>1-4</v>
      </c>
      <c r="AD6" s="48" t="str">
        <f t="shared" si="0"/>
        <v>1-5</v>
      </c>
      <c r="AE6" s="48" t="str">
        <f t="shared" si="0"/>
        <v>1-6</v>
      </c>
      <c r="AF6" s="48" t="str">
        <f t="shared" si="0"/>
        <v>1-8</v>
      </c>
      <c r="AG6" s="48" t="str">
        <f t="shared" si="0"/>
        <v>2-1</v>
      </c>
      <c r="AH6" s="48" t="str">
        <f t="shared" si="0"/>
        <v>2-2</v>
      </c>
      <c r="AI6" s="48" t="str">
        <f t="shared" si="0"/>
        <v>2-3</v>
      </c>
      <c r="AJ6" s="48" t="str">
        <f t="shared" si="0"/>
        <v>2-4</v>
      </c>
      <c r="AK6" s="48" t="str">
        <f t="shared" si="0"/>
        <v>2-5</v>
      </c>
      <c r="AL6" s="48" t="str">
        <f t="shared" si="0"/>
        <v>2-6</v>
      </c>
      <c r="AM6" s="48" t="str">
        <f t="shared" si="0"/>
        <v>2-8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46212</v>
      </c>
      <c r="B7" s="50" t="s">
        <v>42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43</v>
      </c>
      <c r="J7" s="53">
        <v>0.8001</v>
      </c>
      <c r="K7" s="53">
        <v>0.8058</v>
      </c>
      <c r="L7" s="53">
        <v>0.8038</v>
      </c>
      <c r="M7" s="53">
        <v>0.8056</v>
      </c>
      <c r="N7" s="53">
        <v>0.8073</v>
      </c>
      <c r="O7" s="53">
        <v>0.8049</v>
      </c>
      <c r="P7" s="53">
        <v>0.8069</v>
      </c>
      <c r="Q7" s="53">
        <v>0.8009</v>
      </c>
      <c r="R7" s="53">
        <v>0.8056</v>
      </c>
      <c r="S7" s="53">
        <v>0.8039</v>
      </c>
      <c r="T7" s="53">
        <v>0.8064</v>
      </c>
      <c r="U7" s="53">
        <v>0.8072</v>
      </c>
      <c r="V7" s="53">
        <v>0.8046</v>
      </c>
      <c r="W7" s="53">
        <v>0.8065</v>
      </c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/>
      </c>
      <c r="AO7" s="54" t="str">
        <f t="shared" si="1"/>
        <v/>
      </c>
    </row>
    <row r="8" ht="15" customHeight="1" spans="1:41">
      <c r="A8" s="55"/>
      <c r="B8" s="50" t="s">
        <v>44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43</v>
      </c>
      <c r="J8" s="53">
        <v>0.7975</v>
      </c>
      <c r="K8" s="53">
        <v>0.8023</v>
      </c>
      <c r="L8" s="53">
        <v>0.8011</v>
      </c>
      <c r="M8" s="53">
        <v>0.8021</v>
      </c>
      <c r="N8" s="53">
        <v>0.8029</v>
      </c>
      <c r="O8" s="53">
        <v>0.8017</v>
      </c>
      <c r="P8" s="53">
        <v>0.8018</v>
      </c>
      <c r="Q8" s="53">
        <v>0.7969</v>
      </c>
      <c r="R8" s="53">
        <v>0.8012</v>
      </c>
      <c r="S8" s="53">
        <v>0.8013</v>
      </c>
      <c r="T8" s="53">
        <v>0.8018</v>
      </c>
      <c r="U8" s="53">
        <v>0.8019</v>
      </c>
      <c r="V8" s="53">
        <v>0.8014</v>
      </c>
      <c r="W8" s="53">
        <v>0.802</v>
      </c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/>
      </c>
      <c r="AO8" s="54" t="str">
        <f t="shared" si="2"/>
        <v/>
      </c>
    </row>
    <row r="9" ht="15" customHeight="1" spans="1:41">
      <c r="A9" s="55"/>
      <c r="B9" s="50" t="s">
        <v>45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43</v>
      </c>
      <c r="J9" s="53">
        <v>1.855</v>
      </c>
      <c r="K9" s="53">
        <v>1.8547</v>
      </c>
      <c r="L9" s="53">
        <v>1.8547</v>
      </c>
      <c r="M9" s="53">
        <v>1.8546</v>
      </c>
      <c r="N9" s="53">
        <v>1.8547</v>
      </c>
      <c r="O9" s="53">
        <v>1.8545</v>
      </c>
      <c r="P9" s="53">
        <v>1.8541</v>
      </c>
      <c r="Q9" s="53">
        <v>1.8543</v>
      </c>
      <c r="R9" s="53">
        <v>1.8545</v>
      </c>
      <c r="S9" s="53">
        <v>1.8545</v>
      </c>
      <c r="T9" s="53">
        <v>1.8541</v>
      </c>
      <c r="U9" s="53">
        <v>1.8545</v>
      </c>
      <c r="V9" s="53">
        <v>1.8544</v>
      </c>
      <c r="W9" s="53">
        <v>1.8543</v>
      </c>
      <c r="X9" s="53"/>
      <c r="Y9" s="53"/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/>
      </c>
      <c r="AO9" s="54" t="str">
        <f t="shared" si="4"/>
        <v/>
      </c>
    </row>
    <row r="10" ht="15" customHeight="1" spans="1:41">
      <c r="A10" s="55"/>
      <c r="B10" s="50" t="s">
        <v>46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43</v>
      </c>
      <c r="J10" s="53">
        <v>1.8423</v>
      </c>
      <c r="K10" s="53">
        <v>1.8422</v>
      </c>
      <c r="L10" s="53">
        <v>1.8422</v>
      </c>
      <c r="M10" s="53">
        <v>1.8422</v>
      </c>
      <c r="N10" s="53">
        <v>1.8423</v>
      </c>
      <c r="O10" s="53">
        <v>1.842</v>
      </c>
      <c r="P10" s="53">
        <v>1.8427</v>
      </c>
      <c r="Q10" s="53">
        <v>1.8426</v>
      </c>
      <c r="R10" s="53">
        <v>1.8422</v>
      </c>
      <c r="S10" s="53">
        <v>1.8422</v>
      </c>
      <c r="T10" s="53">
        <v>1.8429</v>
      </c>
      <c r="U10" s="53">
        <v>1.8426</v>
      </c>
      <c r="V10" s="53">
        <v>1.8425</v>
      </c>
      <c r="W10" s="53">
        <v>1.843</v>
      </c>
      <c r="X10" s="53"/>
      <c r="Y10" s="53"/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/>
      </c>
      <c r="AO10" s="54" t="str">
        <f t="shared" si="4"/>
        <v/>
      </c>
    </row>
    <row r="11" ht="15" customHeight="1" spans="1:41">
      <c r="A11" s="55"/>
      <c r="B11" s="50" t="s">
        <v>47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43</v>
      </c>
      <c r="J11" s="53">
        <v>1.8536</v>
      </c>
      <c r="K11" s="53">
        <v>1.8562</v>
      </c>
      <c r="L11" s="53">
        <v>1.8535</v>
      </c>
      <c r="M11" s="53">
        <v>1.853</v>
      </c>
      <c r="N11" s="53">
        <v>1.8547</v>
      </c>
      <c r="O11" s="53">
        <v>1.854</v>
      </c>
      <c r="P11" s="53">
        <v>1.8536</v>
      </c>
      <c r="Q11" s="53">
        <v>1.8533</v>
      </c>
      <c r="R11" s="53">
        <v>1.8544</v>
      </c>
      <c r="S11" s="53">
        <v>1.8529</v>
      </c>
      <c r="T11" s="53">
        <v>1.8528</v>
      </c>
      <c r="U11" s="53">
        <v>1.8536</v>
      </c>
      <c r="V11" s="53">
        <v>1.8543</v>
      </c>
      <c r="W11" s="53">
        <v>1.8533</v>
      </c>
      <c r="X11" s="53"/>
      <c r="Y11" s="53"/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/>
      </c>
      <c r="AO11" s="54" t="str">
        <f t="shared" si="4"/>
        <v/>
      </c>
    </row>
    <row r="12" ht="15" customHeight="1" spans="1:41">
      <c r="A12" s="55"/>
      <c r="B12" s="50" t="s">
        <v>48</v>
      </c>
      <c r="C12" s="50" t="s">
        <v>49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43</v>
      </c>
      <c r="J12" s="53">
        <v>6.2678</v>
      </c>
      <c r="K12" s="53">
        <v>6.2687</v>
      </c>
      <c r="L12" s="53">
        <v>6.2647</v>
      </c>
      <c r="M12" s="53">
        <v>6.2627</v>
      </c>
      <c r="N12" s="53">
        <v>6.2818</v>
      </c>
      <c r="O12" s="53">
        <v>6.2666</v>
      </c>
      <c r="P12" s="53">
        <v>6.2643</v>
      </c>
      <c r="Q12" s="53">
        <v>6.2686</v>
      </c>
      <c r="R12" s="53">
        <v>6.2735</v>
      </c>
      <c r="S12" s="53">
        <v>6.2674</v>
      </c>
      <c r="T12" s="53">
        <v>6.2795</v>
      </c>
      <c r="U12" s="53">
        <v>6.2685</v>
      </c>
      <c r="V12" s="53">
        <v>6.2677</v>
      </c>
      <c r="W12" s="53">
        <v>6.2532</v>
      </c>
      <c r="X12" s="53"/>
      <c r="Y12" s="53"/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>√</v>
      </c>
      <c r="AM12" s="54" t="str">
        <f t="shared" ref="AM12:AM14" si="21">IF(W12="","",IF(W12&gt;($D12+$E12),(W12-$D12-$E12),IF(W12&lt;($D12+$F12),(W12-$D12-$F12),"√")))</f>
        <v>√</v>
      </c>
      <c r="AN12" s="54" t="str">
        <f t="shared" ref="AN12:AN14" si="22">IF(X12="","",IF(X12&gt;($D12+$E12),(X12-$D12-$E12),IF(X12&lt;($D12+$F12),(X12-$D12-$F12),"√")))</f>
        <v/>
      </c>
      <c r="AO12" s="54" t="str">
        <f t="shared" ref="AO12:AO14" si="23">IF(Y12="","",IF(Y12&gt;($D12+$E12),(Y12-$D12-$E12),IF(Y12&lt;($D12+$F12),(Y12-$D12-$F12),"√")))</f>
        <v/>
      </c>
    </row>
    <row r="13" ht="15" customHeight="1" spans="1:41">
      <c r="A13" s="55"/>
      <c r="B13" s="50" t="s">
        <v>50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43</v>
      </c>
      <c r="J13" s="53">
        <v>1.2628</v>
      </c>
      <c r="K13" s="53">
        <v>1.2688</v>
      </c>
      <c r="L13" s="53">
        <v>1.2722</v>
      </c>
      <c r="M13" s="53">
        <v>1.2629</v>
      </c>
      <c r="N13" s="53">
        <v>1.2651</v>
      </c>
      <c r="O13" s="53">
        <v>1.2832</v>
      </c>
      <c r="P13" s="53">
        <v>1.2717</v>
      </c>
      <c r="Q13" s="53">
        <v>1.261</v>
      </c>
      <c r="R13" s="53">
        <v>1.2552</v>
      </c>
      <c r="S13" s="53">
        <v>1.2591</v>
      </c>
      <c r="T13" s="53">
        <v>1.2597</v>
      </c>
      <c r="U13" s="53">
        <v>1.2682</v>
      </c>
      <c r="V13" s="53">
        <v>1.2744</v>
      </c>
      <c r="W13" s="53">
        <v>1.2634</v>
      </c>
      <c r="X13" s="53"/>
      <c r="Y13" s="53"/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/>
      </c>
      <c r="AO13" s="54" t="str">
        <f t="shared" si="23"/>
        <v/>
      </c>
    </row>
    <row r="14" ht="15" customHeight="1" spans="1:41">
      <c r="A14" s="55"/>
      <c r="B14" s="50" t="s">
        <v>51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43</v>
      </c>
      <c r="J14" s="53">
        <v>1.2689</v>
      </c>
      <c r="K14" s="53">
        <v>1.2705</v>
      </c>
      <c r="L14" s="53">
        <v>1.2632</v>
      </c>
      <c r="M14" s="53">
        <v>1.2647</v>
      </c>
      <c r="N14" s="53">
        <v>1.2678</v>
      </c>
      <c r="O14" s="53">
        <v>1.276</v>
      </c>
      <c r="P14" s="53">
        <v>1.2709</v>
      </c>
      <c r="Q14" s="53">
        <v>1.2676</v>
      </c>
      <c r="R14" s="53">
        <v>1.252</v>
      </c>
      <c r="S14" s="53">
        <v>1.2694</v>
      </c>
      <c r="T14" s="53">
        <v>1.2599</v>
      </c>
      <c r="U14" s="53">
        <v>1.2651</v>
      </c>
      <c r="V14" s="53">
        <v>1.2638</v>
      </c>
      <c r="W14" s="53">
        <v>1.2659</v>
      </c>
      <c r="X14" s="53"/>
      <c r="Y14" s="53"/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/>
      </c>
      <c r="AO14" s="54" t="str">
        <f t="shared" si="2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