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8" sheetId="1" r:id="rId1"/>
  </sheets>
  <definedNames>
    <definedName name="_xlnm.Print_Area" localSheetId="0">'806-65038'!$B$1:$AE$6</definedName>
    <definedName name="_xlnm.Print_Titles" localSheetId="0">'806-65038'!$1:6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<sst xmlns="http://schemas.openxmlformats.org/spreadsheetml/2006/main" count="51" uniqueCount="49">
  <si>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安徽中耀智能科技有限公司首件尺寸报告</t>
  </si>
  <si>
    <t>料号</t>
  </si>
  <si>
    <t>X806-65038</t>
  </si>
  <si>
    <t>工单号</t>
  </si>
  <si>
    <t>ww115-260706003</t>
  </si>
  <si>
    <t>工站</t>
  </si>
  <si>
    <t xml:space="preserve">射出机台号     
</t>
  </si>
  <si>
    <t>量测机台号</t>
  </si>
  <si>
    <t>测量人员</t>
  </si>
  <si>
    <t>审核</t>
  </si>
  <si>
    <t>射出</t>
  </si>
  <si>
    <t>B25#</t>
  </si>
  <si>
    <t>OMM3#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</si>
  <si>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</si>
  <si>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</si>
  <si>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</si>
  <si>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</si>
  <si>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</si>
  <si>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</si>
  <si>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</si>
  <si>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</si>
  <si>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</si>
  <si>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</si>
  <si>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</si>
  <si>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</si>
  <si>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</si>
  <si>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</si>
  <si>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</si>
  <si>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</si>
  <si>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</si>
  <si>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</si>
  <si>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</si>
  <si>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</si>
  <si>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</si>
  <si>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</si>
  <si>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</si>
  <si>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</si>
  <si>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</si>
  <si>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</si>
  <si>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</si>
  <si>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</si>
  <si>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</si>
  <si>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</si>
  <si>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</si>
  <si>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 21</t>
  </si>
  <si>
    <t>OMM</t>
  </si>
  <si>
    <t>FAI 22</t>
  </si>
  <si>
    <t>V</t>
  </si>
  <si>
    <t>FAI 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</si>
</sst>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7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Border="1" applyAlignment="1" applyProtection="1">
      <alignment horizontal="center" vertical="center"/>
      <protection locked="0"/>
    </xf>
    <xf numFmtId="0" fontId="3" fillId="2" borderId="5" xfId="60" applyFont="1" applyFill="1" applyBorder="1" applyAlignment="1" applyProtection="1">
      <alignment horizontal="center" vertical="center"/>
      <protection locked="0"/>
    </xf>
    <xf numFmtId="0" fontId="3" fillId="2" borderId="6" xfId="60" applyFont="1" applyFill="1" applyBorder="1" applyAlignment="1" applyProtection="1">
      <alignment horizontal="center" vertical="center"/>
      <protection locked="0"/>
    </xf>
    <xf numFmtId="0" fontId="3" fillId="2" borderId="7" xfId="60" applyFont="1" applyFill="1" applyBorder="1" applyAlignment="1" applyProtection="1">
      <alignment horizontal="center" vertical="center"/>
      <protection locked="0"/>
    </xf>
    <xf numFmtId="49" fontId="2" fillId="2" borderId="5" xfId="60" applyNumberFormat="1" applyFont="1" applyFill="1" applyBorder="1" applyAlignment="1">
      <alignment horizontal="center" vertical="center"/>
    </xf>
    <xf numFmtId="49" fontId="2" fillId="2" borderId="6" xfId="60" applyNumberFormat="1" applyFont="1" applyFill="1" applyBorder="1" applyAlignment="1">
      <alignment horizontal="center" vertical="center"/>
    </xf>
    <xf numFmtId="49" fontId="2" fillId="0" borderId="6" xfId="60" applyNumberFormat="1" applyFont="1" applyBorder="1" applyAlignment="1">
      <alignment horizontal="center" vertical="center"/>
    </xf>
    <xf numFmtId="49" fontId="2" fillId="0" borderId="7" xfId="60" applyNumberFormat="1" applyFont="1" applyBorder="1" applyAlignment="1">
      <alignment horizontal="center" vertical="center"/>
    </xf>
    <xf numFmtId="49" fontId="4" fillId="0" borderId="4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>
      <alignment horizontal="center" vertical="center"/>
    </xf>
    <xf numFmtId="49" fontId="5" fillId="0" borderId="2" xfId="60" applyNumberFormat="1" applyFont="1" applyBorder="1" applyAlignment="1">
      <alignment horizontal="center" vertical="center"/>
    </xf>
    <xf numFmtId="49" fontId="5" fillId="0" borderId="3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2" xfId="60" applyNumberFormat="1" applyFont="1" applyBorder="1" applyAlignment="1" applyProtection="1">
      <alignment horizontal="center" vertical="center"/>
      <protection locked="0"/>
    </xf>
    <xf numFmtId="49" fontId="5" fillId="0" borderId="3" xfId="60" applyNumberFormat="1" applyFont="1" applyBorder="1" applyAlignment="1" applyProtection="1">
      <alignment horizontal="center" vertical="center"/>
      <protection locked="0"/>
    </xf>
    <xf numFmtId="49" fontId="5" fillId="0" borderId="1" xfId="79" applyNumberFormat="1" applyFont="1" applyBorder="1" applyAlignment="1">
      <alignment horizontal="center" vertical="center"/>
    </xf>
    <xf numFmtId="49" fontId="5" fillId="0" borderId="2" xfId="79" applyNumberFormat="1" applyFont="1" applyBorder="1" applyAlignment="1">
      <alignment horizontal="center" vertical="center"/>
    </xf>
    <xf numFmtId="49" fontId="5" fillId="0" borderId="3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1" xfId="60" applyFont="1" applyBorder="1" applyAlignment="1" applyProtection="1">
      <alignment horizontal="center" vertical="center"/>
      <protection locked="0"/>
    </xf>
    <xf numFmtId="0" fontId="5" fillId="0" borderId="2" xfId="60" applyFont="1" applyBorder="1" applyAlignment="1" applyProtection="1">
      <alignment horizontal="center" vertical="center"/>
      <protection locked="0"/>
    </xf>
    <xf numFmtId="0" fontId="5" fillId="0" borderId="3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 applyProtection="1">
      <alignment horizontal="center" vertical="center"/>
      <protection locked="0"/>
    </xf>
    <xf numFmtId="49" fontId="4" fillId="0" borderId="2" xfId="60" applyNumberFormat="1" applyFont="1" applyBorder="1" applyAlignment="1" applyProtection="1">
      <alignment horizontal="center" vertical="center"/>
      <protection locked="0"/>
    </xf>
    <xf numFmtId="49" fontId="4" fillId="0" borderId="3" xfId="60" applyNumberFormat="1" applyFont="1" applyBorder="1" applyAlignment="1" applyProtection="1">
      <alignment horizontal="center" vertical="center"/>
      <protection locked="0"/>
    </xf>
    <xf numFmtId="176" fontId="4" fillId="0" borderId="1" xfId="79" applyNumberFormat="1" applyFont="1" applyBorder="1" applyAlignment="1">
      <alignment horizontal="center" vertical="center"/>
    </xf>
    <xf numFmtId="176" fontId="4" fillId="0" borderId="2" xfId="79" applyNumberFormat="1" applyFont="1" applyBorder="1" applyAlignment="1">
      <alignment horizontal="center" vertical="center"/>
    </xf>
    <xf numFmtId="176" fontId="4" fillId="0" borderId="3" xfId="79" applyNumberFormat="1" applyFont="1" applyBorder="1" applyAlignment="1">
      <alignment horizontal="center" vertical="center"/>
    </xf>
    <xf numFmtId="176" fontId="5" fillId="0" borderId="1" xfId="79" applyNumberFormat="1" applyFont="1" applyBorder="1" applyAlignment="1">
      <alignment horizontal="center" vertical="center"/>
    </xf>
    <xf numFmtId="176" fontId="5" fillId="0" borderId="3" xfId="79" applyNumberFormat="1" applyFont="1" applyBorder="1" applyAlignment="1">
      <alignment horizontal="center" vertical="center"/>
    </xf>
    <xf numFmtId="49" fontId="6" fillId="0" borderId="11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177" fontId="6" fillId="2" borderId="11" xfId="60" applyNumberFormat="1" applyFont="1" applyFill="1" applyBorder="1" applyAlignment="1">
      <alignment horizontal="center" vertical="center"/>
    </xf>
    <xf numFmtId="177" fontId="6" fillId="2" borderId="11" xfId="60" applyNumberFormat="1" applyFont="1" applyFill="1" applyBorder="1" applyAlignment="1" applyProtection="1">
      <alignment horizontal="center" vertical="center"/>
      <protection locked="0"/>
    </xf>
    <xf numFmtId="0" fontId="6" fillId="2" borderId="11" xfId="60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3" borderId="2" xfId="60" applyFont="1" applyFill="1" applyBorder="1" applyAlignment="1" applyProtection="1">
      <alignment horizontal="center" vertical="center"/>
      <protection locked="0"/>
    </xf>
    <xf numFmtId="0" fontId="6" fillId="3" borderId="3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6" fillId="4" borderId="2" xfId="60" applyFont="1" applyFill="1" applyBorder="1" applyAlignment="1">
      <alignment horizontal="center" vertical="center"/>
    </xf>
    <xf numFmtId="0" fontId="6" fillId="4" borderId="3" xfId="60" applyFont="1" applyFill="1" applyBorder="1" applyAlignment="1">
      <alignment horizontal="center" vertical="center"/>
    </xf>
    <xf numFmtId="49" fontId="6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2" xfId="60" applyFont="1" applyFill="1" applyBorder="1" applyAlignment="1" applyProtection="1">
      <alignment horizontal="center" vertical="center"/>
      <protection locked="0"/>
    </xf>
    <xf numFmtId="177" fontId="6" fillId="2" borderId="12" xfId="60" applyNumberFormat="1" applyFont="1" applyFill="1" applyBorder="1" applyAlignment="1">
      <alignment horizontal="center" vertical="center"/>
    </xf>
    <xf numFmtId="177" fontId="6" fillId="2" borderId="12" xfId="60" applyNumberFormat="1" applyFont="1" applyFill="1" applyBorder="1" applyAlignment="1" applyProtection="1">
      <alignment horizontal="center" vertical="center"/>
      <protection locked="0"/>
    </xf>
    <xf numFmtId="0" fontId="6" fillId="2" borderId="12" xfId="60" applyFont="1" applyFill="1" applyBorder="1" applyAlignment="1" applyProtection="1">
      <alignment horizontal="center" vertical="center" wrapText="1"/>
      <protection locked="0"/>
    </xf>
    <xf numFmtId="49" fontId="6" fillId="0" borderId="13" xfId="60" applyNumberFormat="1" applyFont="1" applyBorder="1" applyAlignment="1" applyProtection="1">
      <alignment horizontal="center" vertical="center" wrapText="1"/>
      <protection locked="0"/>
    </xf>
    <xf numFmtId="0" fontId="6" fillId="2" borderId="13" xfId="60" applyFont="1" applyFill="1" applyBorder="1" applyAlignment="1" applyProtection="1">
      <alignment horizontal="center" vertical="center"/>
      <protection locked="0"/>
    </xf>
    <xf numFmtId="177" fontId="6" fillId="2" borderId="13" xfId="60" applyNumberFormat="1" applyFont="1" applyFill="1" applyBorder="1" applyAlignment="1">
      <alignment horizontal="center" vertical="center"/>
    </xf>
    <xf numFmtId="177" fontId="6" fillId="2" borderId="13" xfId="60" applyNumberFormat="1" applyFont="1" applyFill="1" applyBorder="1" applyAlignment="1" applyProtection="1">
      <alignment horizontal="center" vertical="center"/>
      <protection locked="0"/>
    </xf>
    <xf numFmtId="0" fontId="6" fillId="2" borderId="13" xfId="60" applyFont="1" applyFill="1" applyBorder="1" applyAlignment="1" applyProtection="1">
      <alignment horizontal="center" vertical="center" wrapText="1"/>
      <protection locked="0"/>
    </xf>
    <xf numFmtId="49" fontId="7" fillId="3" borderId="4" xfId="60" applyNumberFormat="1" applyFont="1" applyFill="1" applyBorder="1" applyAlignment="1" applyProtection="1">
      <alignment horizontal="center" vertical="center"/>
      <protection locked="0"/>
    </xf>
    <xf numFmtId="0" fontId="7" fillId="4" borderId="4" xfId="60" applyFont="1" applyFill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11" fillId="2" borderId="4" xfId="59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2" fillId="4" borderId="4" xfId="60" applyFont="1" applyFill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3"/>
  <sheetViews>
    <sheetView tabSelected="1" workbookViewId="0">
      <selection activeCell="U12" sqref="U12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1"/>
      <c r="K2" s="12"/>
      <c r="L2" s="13" t="s">
        <v>4</v>
      </c>
      <c r="M2" s="13"/>
      <c r="N2" s="13"/>
      <c r="O2" s="13"/>
      <c r="P2" s="13"/>
      <c r="Q2" s="13"/>
      <c r="R2" s="13"/>
      <c r="S2" s="14" t="s">
        <v>5</v>
      </c>
      <c r="T2" s="15"/>
      <c r="U2" s="15"/>
      <c r="V2" s="15"/>
      <c r="W2" s="15"/>
      <c r="X2" s="16"/>
      <c r="Y2" s="14" t="s">
        <v>6</v>
      </c>
      <c r="Z2" s="15"/>
      <c r="AA2" s="15"/>
      <c r="AB2" s="15"/>
      <c r="AC2" s="15"/>
      <c r="AD2" s="16"/>
      <c r="AE2" s="17" t="s">
        <v>7</v>
      </c>
      <c r="AF2" s="18"/>
      <c r="AG2" s="18"/>
      <c r="AH2" s="18"/>
      <c r="AI2" s="19"/>
      <c r="AJ2" s="20" t="s">
        <v>8</v>
      </c>
      <c r="AK2" s="21"/>
      <c r="AL2" s="21"/>
      <c r="AM2" s="22"/>
      <c r="AN2" s="20" t="s">
        <v>9</v>
      </c>
      <c r="AO2" s="22"/>
    </row>
    <row r="3" ht="15" customHeight="1" spans="1:41">
      <c r="A3" s="5"/>
      <c r="B3" s="23"/>
      <c r="C3" s="24"/>
      <c r="D3" s="24"/>
      <c r="E3" s="24"/>
      <c r="F3" s="24"/>
      <c r="G3" s="25"/>
      <c r="H3" s="26"/>
      <c r="I3" s="27"/>
      <c r="J3" s="28"/>
      <c r="K3" s="29"/>
      <c r="L3" s="13"/>
      <c r="M3" s="13"/>
      <c r="N3" s="13"/>
      <c r="O3" s="13"/>
      <c r="P3" s="13"/>
      <c r="Q3" s="13"/>
      <c r="R3" s="13"/>
      <c r="S3" s="30" t="s">
        <v>10</v>
      </c>
      <c r="T3" s="31"/>
      <c r="U3" s="31"/>
      <c r="V3" s="31"/>
      <c r="W3" s="31"/>
      <c r="X3" s="32"/>
      <c r="Y3" s="33" t="s">
        <v>11</v>
      </c>
      <c r="Z3" s="34"/>
      <c r="AA3" s="34"/>
      <c r="AB3" s="34"/>
      <c r="AC3" s="34"/>
      <c r="AD3" s="35"/>
      <c r="AE3" s="36" t="s">
        <v>12</v>
      </c>
      <c r="AF3" s="37"/>
      <c r="AG3" s="37"/>
      <c r="AH3" s="37"/>
      <c r="AI3" s="38"/>
      <c r="AJ3" s="36" t="s">
        <v>13</v>
      </c>
      <c r="AK3" s="37"/>
      <c r="AL3" s="37"/>
      <c r="AM3" s="38"/>
      <c r="AN3" s="39" t="s">
        <v>14</v>
      </c>
      <c r="AO3" s="40"/>
    </row>
    <row r="4" customHeight="1" spans="1:41">
      <c r="A4" s="41" t="s">
        <v>15</v>
      </c>
      <c r="B4" s="41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8"/>
      <c r="Z4" s="49" t="s">
        <v>25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ht="13.5" customHeight="1" spans="1:41">
      <c r="A5" s="52"/>
      <c r="B5" s="52"/>
      <c r="C5" s="52"/>
      <c r="D5" s="53"/>
      <c r="E5" s="54"/>
      <c r="F5" s="55"/>
      <c r="G5" s="55"/>
      <c r="H5" s="55"/>
      <c r="I5" s="56"/>
      <c r="J5" s="46" t="s">
        <v>26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8"/>
      <c r="Z5" s="49" t="s">
        <v>27</v>
      </c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customHeight="1" spans="1:41">
      <c r="A6" s="57"/>
      <c r="B6" s="57"/>
      <c r="C6" s="57"/>
      <c r="D6" s="58"/>
      <c r="E6" s="59"/>
      <c r="F6" s="60"/>
      <c r="G6" s="60"/>
      <c r="H6" s="60"/>
      <c r="I6" s="61"/>
      <c r="J6" s="62" t="s">
        <v>28</v>
      </c>
      <c r="K6" s="62" t="s">
        <v>29</v>
      </c>
      <c r="L6" s="62" t="s">
        <v>30</v>
      </c>
      <c r="M6" s="62" t="s">
        <v>31</v>
      </c>
      <c r="N6" s="62" t="s">
        <v>32</v>
      </c>
      <c r="O6" s="62" t="s">
        <v>33</v>
      </c>
      <c r="P6" s="62" t="s">
        <v>34</v>
      </c>
      <c r="Q6" s="62" t="s">
        <v>35</v>
      </c>
      <c r="R6" s="62" t="s">
        <v>36</v>
      </c>
      <c r="S6" s="62" t="s">
        <v>37</v>
      </c>
      <c r="T6" s="62" t="s">
        <v>38</v>
      </c>
      <c r="U6" s="62" t="s">
        <v>39</v>
      </c>
      <c r="V6" s="62" t="s">
        <v>40</v>
      </c>
      <c r="W6" s="62" t="s">
        <v>41</v>
      </c>
      <c r="X6" s="62" t="s">
        <v>42</v>
      </c>
      <c r="Y6" s="62" t="s">
        <v>43</v>
      </c>
      <c r="Z6" s="63" t="str">
        <f t="shared" ref="Z6" si="0">J6</f>
        <v>1-1</v>
      </c>
      <c r="AA6" s="63" t="str">
        <f t="shared" ref="AA6:AO6" si="1">K6</f>
        <v>1-2</v>
      </c>
      <c r="AB6" s="63" t="str">
        <f t="shared" si="1"/>
        <v>1-3</v>
      </c>
      <c r="AC6" s="63" t="str">
        <f t="shared" si="1"/>
        <v>1-4</v>
      </c>
      <c r="AD6" s="63" t="str">
        <f t="shared" si="1"/>
        <v>1-5</v>
      </c>
      <c r="AE6" s="63" t="str">
        <f t="shared" si="1"/>
        <v>1-6</v>
      </c>
      <c r="AF6" s="63" t="str">
        <f t="shared" si="1"/>
        <v>1-7</v>
      </c>
      <c r="AG6" s="63" t="str">
        <f t="shared" si="1"/>
        <v>1-8</v>
      </c>
      <c r="AH6" s="63" t="str">
        <f t="shared" si="1"/>
        <v>2-1</v>
      </c>
      <c r="AI6" s="63" t="str">
        <f t="shared" si="1"/>
        <v>2-2</v>
      </c>
      <c r="AJ6" s="63" t="str">
        <f t="shared" si="1"/>
        <v>2-3</v>
      </c>
      <c r="AK6" s="63" t="str">
        <f t="shared" si="1"/>
        <v>2-4</v>
      </c>
      <c r="AL6" s="63" t="str">
        <f t="shared" si="1"/>
        <v>2-5</v>
      </c>
      <c r="AM6" s="63" t="str">
        <f t="shared" si="1"/>
        <v>2-6</v>
      </c>
      <c r="AN6" s="63" t="str">
        <f t="shared" si="1"/>
        <v>2-7</v>
      </c>
      <c r="AO6" s="63" t="str">
        <f t="shared" si="1"/>
        <v>2-8</v>
      </c>
    </row>
    <row r="7" spans="1:41">
      <c r="A7" s="64">
        <v>46212</v>
      </c>
      <c r="B7" s="65" t="s">
        <v>44</v>
      </c>
      <c r="C7" s="65"/>
      <c r="D7" s="66">
        <v>9.55</v>
      </c>
      <c r="E7" s="66">
        <v>0.05</v>
      </c>
      <c r="F7" s="66">
        <v>-0.05</v>
      </c>
      <c r="G7" s="67">
        <f>D7+E7</f>
        <v>9.6</v>
      </c>
      <c r="H7" s="67">
        <f>D7+F7</f>
        <v>9.5</v>
      </c>
      <c r="I7" s="68" t="s">
        <v>45</v>
      </c>
      <c r="J7" s="69">
        <v>9.5513</v>
      </c>
      <c r="K7" s="69">
        <v>9.5524</v>
      </c>
      <c r="L7" s="69">
        <v>9.5521</v>
      </c>
      <c r="M7" s="69">
        <v>9.552</v>
      </c>
      <c r="N7" s="69">
        <v>9.5527</v>
      </c>
      <c r="O7" s="69">
        <v>9.5524</v>
      </c>
      <c r="P7" s="69">
        <v>9.5525</v>
      </c>
      <c r="Q7" s="69">
        <v>9.5509</v>
      </c>
      <c r="R7" s="69">
        <v>9.5513</v>
      </c>
      <c r="S7" s="69">
        <v>9.5524</v>
      </c>
      <c r="T7" s="69">
        <v>9.5528</v>
      </c>
      <c r="U7" s="69">
        <v>9.553</v>
      </c>
      <c r="V7" s="69">
        <v>9.5531</v>
      </c>
      <c r="W7" s="69">
        <v>9.5531</v>
      </c>
      <c r="X7" s="69">
        <v>9.5526</v>
      </c>
      <c r="Y7" s="69">
        <v>9.5533</v>
      </c>
      <c r="Z7" s="70" t="str">
        <f t="shared" ref="Z7:AO7" si="2">IF(J7="","",IF(J7&gt;($D7+$E7),(J7-$D7-$E7),IF(J7&lt;($D7+$F7),(J7-$D7-$F7),"√")))</f>
        <v>√</v>
      </c>
      <c r="AA7" s="70" t="str">
        <f t="shared" si="2"/>
        <v>√</v>
      </c>
      <c r="AB7" s="70" t="str">
        <f t="shared" si="2"/>
        <v>√</v>
      </c>
      <c r="AC7" s="70" t="str">
        <f t="shared" si="2"/>
        <v>√</v>
      </c>
      <c r="AD7" s="70" t="str">
        <f t="shared" si="2"/>
        <v>√</v>
      </c>
      <c r="AE7" s="70" t="str">
        <f t="shared" si="2"/>
        <v>√</v>
      </c>
      <c r="AF7" s="70" t="str">
        <f t="shared" si="2"/>
        <v>√</v>
      </c>
      <c r="AG7" s="70" t="str">
        <f t="shared" si="2"/>
        <v>√</v>
      </c>
      <c r="AH7" s="70" t="str">
        <f t="shared" si="2"/>
        <v>√</v>
      </c>
      <c r="AI7" s="70" t="str">
        <f t="shared" si="2"/>
        <v>√</v>
      </c>
      <c r="AJ7" s="70" t="str">
        <f t="shared" si="2"/>
        <v>√</v>
      </c>
      <c r="AK7" s="70" t="str">
        <f t="shared" si="2"/>
        <v>√</v>
      </c>
      <c r="AL7" s="70" t="str">
        <f t="shared" si="2"/>
        <v>√</v>
      </c>
      <c r="AM7" s="70" t="str">
        <f t="shared" si="2"/>
        <v>√</v>
      </c>
      <c r="AN7" s="70" t="str">
        <f t="shared" si="2"/>
        <v>√</v>
      </c>
      <c r="AO7" s="70" t="str">
        <f t="shared" si="2"/>
        <v>√</v>
      </c>
    </row>
    <row r="8" spans="1:41">
      <c r="A8" s="71"/>
      <c r="B8" s="65" t="s">
        <v>46</v>
      </c>
      <c r="C8" s="65" t="s">
        <v>47</v>
      </c>
      <c r="D8" s="66">
        <v>3.71</v>
      </c>
      <c r="E8" s="66">
        <v>0.01</v>
      </c>
      <c r="F8" s="66">
        <v>-0.01</v>
      </c>
      <c r="G8" s="67">
        <f>D8+E8</f>
        <v>3.72</v>
      </c>
      <c r="H8" s="67">
        <f>D8+F8</f>
        <v>3.7</v>
      </c>
      <c r="I8" s="68" t="s">
        <v>45</v>
      </c>
      <c r="J8" s="69">
        <v>3.7179</v>
      </c>
      <c r="K8" s="69">
        <v>3.7104</v>
      </c>
      <c r="L8" s="69">
        <v>3.7186</v>
      </c>
      <c r="M8" s="69">
        <v>3.7194</v>
      </c>
      <c r="N8" s="69">
        <v>3.7196</v>
      </c>
      <c r="O8" s="69">
        <v>3.7088</v>
      </c>
      <c r="P8" s="69">
        <v>3.7194</v>
      </c>
      <c r="Q8" s="69">
        <v>3.7094</v>
      </c>
      <c r="R8" s="69">
        <v>3.7009</v>
      </c>
      <c r="S8" s="69">
        <v>3.7012</v>
      </c>
      <c r="T8" s="69">
        <v>3.7026</v>
      </c>
      <c r="U8" s="69">
        <v>3.7025</v>
      </c>
      <c r="V8" s="69">
        <v>3.707</v>
      </c>
      <c r="W8" s="69">
        <v>3.7119</v>
      </c>
      <c r="X8" s="69">
        <v>3.7056</v>
      </c>
      <c r="Y8" s="69">
        <v>3.7013</v>
      </c>
      <c r="Z8" s="70" t="str">
        <f>IF(J8="","",IF(J8&gt;($D8+$E8),(J8-$D8-$E8),IF(J8&lt;($D8+$F8),(J8-$D8-$F8),"√")))</f>
        <v>√</v>
      </c>
      <c r="AA8" s="70" t="str">
        <f t="shared" ref="AA8:AO8" si="3">IF(K8="","",IF(K8&gt;($D8+$E8),(K8-$D8-$E8),IF(K8&lt;($D8+$F8),(K8-$D8-$F8),"√")))</f>
        <v>√</v>
      </c>
      <c r="AB8" s="70" t="str">
        <f t="shared" si="3"/>
        <v>√</v>
      </c>
      <c r="AC8" s="70" t="str">
        <f t="shared" si="3"/>
        <v>√</v>
      </c>
      <c r="AD8" s="70" t="str">
        <f t="shared" si="3"/>
        <v>√</v>
      </c>
      <c r="AE8" s="70" t="str">
        <f t="shared" si="3"/>
        <v>√</v>
      </c>
      <c r="AF8" s="70" t="str">
        <f t="shared" si="3"/>
        <v>√</v>
      </c>
      <c r="AG8" s="70" t="str">
        <f t="shared" si="3"/>
        <v>√</v>
      </c>
      <c r="AH8" s="70" t="str">
        <f t="shared" si="3"/>
        <v>√</v>
      </c>
      <c r="AI8" s="70" t="str">
        <f t="shared" si="3"/>
        <v>√</v>
      </c>
      <c r="AJ8" s="70" t="str">
        <f t="shared" si="3"/>
        <v>√</v>
      </c>
      <c r="AK8" s="70" t="str">
        <f t="shared" si="3"/>
        <v>√</v>
      </c>
      <c r="AL8" s="70" t="str">
        <f t="shared" si="3"/>
        <v>√</v>
      </c>
      <c r="AM8" s="70" t="str">
        <f t="shared" si="3"/>
        <v>√</v>
      </c>
      <c r="AN8" s="70" t="str">
        <f t="shared" si="3"/>
        <v>√</v>
      </c>
      <c r="AO8" s="70" t="str">
        <f t="shared" si="3"/>
        <v>√</v>
      </c>
    </row>
    <row r="9" spans="1:41">
      <c r="A9" s="72"/>
      <c r="B9" s="65" t="s">
        <v>48</v>
      </c>
      <c r="C9" s="65"/>
      <c r="D9" s="66">
        <v>5.2</v>
      </c>
      <c r="E9" s="66">
        <v>0.03</v>
      </c>
      <c r="F9" s="66">
        <v>-0.03</v>
      </c>
      <c r="G9" s="67">
        <f>D9+E9</f>
        <v>5.23</v>
      </c>
      <c r="H9" s="67">
        <f>D9+F9</f>
        <v>5.17</v>
      </c>
      <c r="I9" s="68" t="s">
        <v>45</v>
      </c>
      <c r="J9" s="69">
        <v>5.1917</v>
      </c>
      <c r="K9" s="69">
        <v>5.1713</v>
      </c>
      <c r="L9" s="69">
        <v>5.2134</v>
      </c>
      <c r="M9" s="69">
        <v>5.2283</v>
      </c>
      <c r="N9" s="69">
        <v>5.1771</v>
      </c>
      <c r="O9" s="69">
        <v>5.2205</v>
      </c>
      <c r="P9" s="69">
        <v>5.1719</v>
      </c>
      <c r="Q9" s="69">
        <v>5.1938</v>
      </c>
      <c r="R9" s="69">
        <v>5.2227</v>
      </c>
      <c r="S9" s="69">
        <v>5.1767</v>
      </c>
      <c r="T9" s="69">
        <v>5.1806</v>
      </c>
      <c r="U9" s="69">
        <v>5.1781</v>
      </c>
      <c r="V9" s="69">
        <v>5.1702</v>
      </c>
      <c r="W9" s="69">
        <v>5.1748</v>
      </c>
      <c r="X9" s="69">
        <v>5.2231</v>
      </c>
      <c r="Y9" s="69">
        <v>5.1737</v>
      </c>
      <c r="Z9" s="70" t="str">
        <f>IF(J9="","",IF(J9&gt;($D9+$E9),(J9-$D9-$E9),IF(J9&lt;($D9+$F9),(J9-$D9-$F9),"√")))</f>
        <v>√</v>
      </c>
      <c r="AA9" s="70" t="str">
        <f t="shared" ref="AA9:AO9" si="4">IF(K9="","",IF(K9&gt;($D9+$E9),(K9-$D9-$E9),IF(K9&lt;($D9+$F9),(K9-$D9-$F9),"√")))</f>
        <v>√</v>
      </c>
      <c r="AB9" s="70" t="str">
        <f t="shared" si="4"/>
        <v>√</v>
      </c>
      <c r="AC9" s="70" t="str">
        <f t="shared" si="4"/>
        <v>√</v>
      </c>
      <c r="AD9" s="70" t="str">
        <f t="shared" si="4"/>
        <v>√</v>
      </c>
      <c r="AE9" s="70" t="str">
        <f t="shared" si="4"/>
        <v>√</v>
      </c>
      <c r="AF9" s="70" t="str">
        <f t="shared" si="4"/>
        <v>√</v>
      </c>
      <c r="AG9" s="70" t="str">
        <f t="shared" si="4"/>
        <v>√</v>
      </c>
      <c r="AH9" s="70" t="str">
        <f t="shared" si="4"/>
        <v>√</v>
      </c>
      <c r="AI9" s="70" t="str">
        <f t="shared" si="4"/>
        <v>√</v>
      </c>
      <c r="AJ9" s="70" t="str">
        <f t="shared" si="4"/>
        <v>√</v>
      </c>
      <c r="AK9" s="70" t="str">
        <f t="shared" si="4"/>
        <v>√</v>
      </c>
      <c r="AL9" s="70" t="str">
        <f t="shared" si="4"/>
        <v>√</v>
      </c>
      <c r="AM9" s="70" t="str">
        <f t="shared" si="4"/>
        <v>√</v>
      </c>
      <c r="AN9" s="70" t="str">
        <f t="shared" si="4"/>
        <v>√</v>
      </c>
      <c r="AO9" s="70" t="str">
        <f t="shared" si="4"/>
        <v>√</v>
      </c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9">
    <cfRule type="cellIs" dxfId="0" priority="8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ignoredErrors>
    <ignoredError sqref="Z7:AO9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2026-07-09T06:08:00Z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