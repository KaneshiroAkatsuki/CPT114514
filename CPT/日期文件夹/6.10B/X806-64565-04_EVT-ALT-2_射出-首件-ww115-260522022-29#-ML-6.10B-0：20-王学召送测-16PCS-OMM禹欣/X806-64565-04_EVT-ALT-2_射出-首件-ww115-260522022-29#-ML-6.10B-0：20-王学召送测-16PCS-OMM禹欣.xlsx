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5" sheetId="1" r:id="rId1"/>
  </sheets>
  <definedNames>
    <definedName name="_xlnm.Print_Area" localSheetId="0">'X806-64565'!$B$1:$AE$6</definedName>
    <definedName name="_xlnm.Print_Titles" localSheetId="0">'X806-64565'!$1:6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<sst xmlns="http://schemas.openxmlformats.org/spreadsheetml/2006/main" count="45" uniqueCount="30">
  <si>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t>安徽中耀智能科技有限公司首件尺寸报告</t>
  </si>
  <si>
    <t>料号</t>
  </si>
  <si>
    <t>X806-64565</t>
  </si>
  <si>
    <t>工单号</t>
  </si>
  <si>
    <t>ww115-260522022</t>
  </si>
  <si>
    <t>工站</t>
  </si>
  <si>
    <t>射出机台号</t>
  </si>
  <si>
    <t>测量机台</t>
  </si>
  <si>
    <t>测量人员</t>
  </si>
  <si>
    <t>审核</t>
  </si>
  <si>
    <t>射出</t>
  </si>
  <si>
    <t>29#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</si>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</sst>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0" fontId="6" fillId="3" borderId="4" xfId="60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topLeftCell="K1" workbookViewId="0">
      <selection activeCell="Y3" sqref="Y3:AD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>
        <v>1</v>
      </c>
      <c r="K6" s="55">
        <v>2</v>
      </c>
      <c r="L6" s="55">
        <v>3</v>
      </c>
      <c r="M6" s="55">
        <v>4</v>
      </c>
      <c r="N6" s="55">
        <v>5</v>
      </c>
      <c r="O6" s="55">
        <v>6</v>
      </c>
      <c r="P6" s="55">
        <v>7</v>
      </c>
      <c r="Q6" s="55">
        <v>8</v>
      </c>
      <c r="R6" s="55">
        <v>9</v>
      </c>
      <c r="S6" s="55">
        <v>10</v>
      </c>
      <c r="T6" s="55">
        <v>11</v>
      </c>
      <c r="U6" s="55">
        <v>12</v>
      </c>
      <c r="V6" s="55">
        <v>13</v>
      </c>
      <c r="W6" s="55">
        <v>14</v>
      </c>
      <c r="X6" s="55">
        <v>15</v>
      </c>
      <c r="Y6" s="55">
        <v>16</v>
      </c>
      <c r="Z6" s="56">
        <f t="shared" ref="Z6" si="0">J6</f>
        <v>1</v>
      </c>
      <c r="AA6" s="56">
        <f t="shared" ref="AA6:AO6" si="1">K6</f>
        <v>2</v>
      </c>
      <c r="AB6" s="56">
        <f t="shared" si="1"/>
        <v>3</v>
      </c>
      <c r="AC6" s="56">
        <f t="shared" si="1"/>
        <v>4</v>
      </c>
      <c r="AD6" s="56">
        <f t="shared" si="1"/>
        <v>5</v>
      </c>
      <c r="AE6" s="56">
        <f t="shared" si="1"/>
        <v>6</v>
      </c>
      <c r="AF6" s="56">
        <f t="shared" si="1"/>
        <v>7</v>
      </c>
      <c r="AG6" s="56">
        <f t="shared" si="1"/>
        <v>8</v>
      </c>
      <c r="AH6" s="56">
        <f t="shared" si="1"/>
        <v>9</v>
      </c>
      <c r="AI6" s="56">
        <f t="shared" si="1"/>
        <v>10</v>
      </c>
      <c r="AJ6" s="56">
        <f t="shared" si="1"/>
        <v>11</v>
      </c>
      <c r="AK6" s="56">
        <f t="shared" si="1"/>
        <v>12</v>
      </c>
      <c r="AL6" s="56">
        <f t="shared" si="1"/>
        <v>13</v>
      </c>
      <c r="AM6" s="56">
        <f t="shared" si="1"/>
        <v>14</v>
      </c>
      <c r="AN6" s="56">
        <f t="shared" si="1"/>
        <v>15</v>
      </c>
      <c r="AO6" s="56">
        <f t="shared" si="1"/>
        <v>16</v>
      </c>
    </row>
    <row r="7" spans="1:41">
      <c r="A7" s="57">
        <v>46183</v>
      </c>
      <c r="B7" s="58" t="s">
        <v>28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F7+D7</f>
        <v>2.25</v>
      </c>
      <c r="I7" s="61" t="s">
        <v>29</v>
      </c>
      <c r="J7" s="62">
        <v>2.2994</v>
      </c>
      <c r="K7" s="62">
        <v>2.2999</v>
      </c>
      <c r="L7" s="62">
        <v>2.3</v>
      </c>
      <c r="M7" s="62">
        <v>2.3</v>
      </c>
      <c r="N7" s="62">
        <v>2.2995</v>
      </c>
      <c r="O7" s="62">
        <v>2.2998</v>
      </c>
      <c r="P7" s="62">
        <v>2.2997</v>
      </c>
      <c r="Q7" s="62">
        <v>2.3005</v>
      </c>
      <c r="R7" s="62">
        <v>2.2995</v>
      </c>
      <c r="S7" s="62">
        <v>2.2996</v>
      </c>
      <c r="T7" s="62">
        <v>2.2995</v>
      </c>
      <c r="U7" s="62">
        <v>2.2995</v>
      </c>
      <c r="V7" s="62">
        <v>2.2994</v>
      </c>
      <c r="W7" s="62">
        <v>2.2999</v>
      </c>
      <c r="X7" s="62">
        <v>2.3001</v>
      </c>
      <c r="Y7" s="62">
        <v>2.2998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customHeight="1" spans="1:41">
      <c r="A10" s="34" t="s">
        <v>15</v>
      </c>
      <c r="B10" s="34" t="s">
        <v>16</v>
      </c>
      <c r="C10" s="34" t="s">
        <v>17</v>
      </c>
      <c r="D10" s="35" t="s">
        <v>18</v>
      </c>
      <c r="E10" s="36" t="s">
        <v>19</v>
      </c>
      <c r="F10" s="37" t="s">
        <v>20</v>
      </c>
      <c r="G10" s="37" t="s">
        <v>21</v>
      </c>
      <c r="H10" s="37" t="s">
        <v>22</v>
      </c>
      <c r="I10" s="38" t="s">
        <v>23</v>
      </c>
      <c r="J10" s="39" t="s">
        <v>24</v>
      </c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1"/>
      <c r="Z10" s="42" t="s">
        <v>25</v>
      </c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4"/>
    </row>
    <row r="11" ht="13.5" customHeight="1" spans="1:41">
      <c r="A11" s="45"/>
      <c r="B11" s="45"/>
      <c r="C11" s="45"/>
      <c r="D11" s="46"/>
      <c r="E11" s="47"/>
      <c r="F11" s="48"/>
      <c r="G11" s="48"/>
      <c r="H11" s="48"/>
      <c r="I11" s="49"/>
      <c r="J11" s="39" t="s">
        <v>26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1"/>
      <c r="Z11" s="42" t="s">
        <v>27</v>
      </c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customHeight="1" spans="1:41">
      <c r="A12" s="50"/>
      <c r="B12" s="50"/>
      <c r="C12" s="50"/>
      <c r="D12" s="51"/>
      <c r="E12" s="52"/>
      <c r="F12" s="53"/>
      <c r="G12" s="53"/>
      <c r="H12" s="53"/>
      <c r="I12" s="54"/>
      <c r="J12" s="55">
        <v>1</v>
      </c>
      <c r="K12" s="55">
        <v>2</v>
      </c>
      <c r="L12" s="55">
        <v>3</v>
      </c>
      <c r="M12" s="55">
        <v>4</v>
      </c>
      <c r="N12" s="55">
        <v>5</v>
      </c>
      <c r="O12" s="55">
        <v>6</v>
      </c>
      <c r="P12" s="55">
        <v>7</v>
      </c>
      <c r="Q12" s="55">
        <v>8</v>
      </c>
      <c r="R12" s="55">
        <v>9</v>
      </c>
      <c r="S12" s="55">
        <v>10</v>
      </c>
      <c r="T12" s="55">
        <v>11</v>
      </c>
      <c r="U12" s="55">
        <v>12</v>
      </c>
      <c r="V12" s="55">
        <v>13</v>
      </c>
      <c r="W12" s="55">
        <v>14</v>
      </c>
      <c r="X12" s="55">
        <v>15</v>
      </c>
      <c r="Y12" s="55">
        <v>16</v>
      </c>
      <c r="Z12" s="56">
        <f t="shared" ref="Z12:AO12" si="3">J12</f>
        <v>1</v>
      </c>
      <c r="AA12" s="56">
        <f t="shared" si="3"/>
        <v>2</v>
      </c>
      <c r="AB12" s="56">
        <f t="shared" si="3"/>
        <v>3</v>
      </c>
      <c r="AC12" s="56">
        <f t="shared" si="3"/>
        <v>4</v>
      </c>
      <c r="AD12" s="56">
        <f t="shared" si="3"/>
        <v>5</v>
      </c>
      <c r="AE12" s="56">
        <f t="shared" si="3"/>
        <v>6</v>
      </c>
      <c r="AF12" s="56">
        <f t="shared" si="3"/>
        <v>7</v>
      </c>
      <c r="AG12" s="56">
        <f t="shared" si="3"/>
        <v>8</v>
      </c>
      <c r="AH12" s="56">
        <f t="shared" si="3"/>
        <v>9</v>
      </c>
      <c r="AI12" s="56">
        <f t="shared" si="3"/>
        <v>10</v>
      </c>
      <c r="AJ12" s="56">
        <f t="shared" si="3"/>
        <v>11</v>
      </c>
      <c r="AK12" s="56">
        <f t="shared" si="3"/>
        <v>12</v>
      </c>
      <c r="AL12" s="56">
        <f t="shared" si="3"/>
        <v>13</v>
      </c>
      <c r="AM12" s="56">
        <f t="shared" si="3"/>
        <v>14</v>
      </c>
      <c r="AN12" s="56">
        <f t="shared" si="3"/>
        <v>15</v>
      </c>
      <c r="AO12" s="56">
        <f t="shared" si="3"/>
        <v>16</v>
      </c>
    </row>
    <row r="13" spans="1:41">
      <c r="A13" s="57">
        <v>46183</v>
      </c>
      <c r="B13" s="58" t="s">
        <v>28</v>
      </c>
      <c r="C13" s="58"/>
      <c r="D13" s="59">
        <v>2.3</v>
      </c>
      <c r="E13" s="59">
        <v>0.05</v>
      </c>
      <c r="F13" s="59">
        <v>-0.05</v>
      </c>
      <c r="G13" s="60">
        <f>D13+E13</f>
        <v>2.35</v>
      </c>
      <c r="H13" s="60">
        <f>F13+D13</f>
        <v>2.25</v>
      </c>
      <c r="I13" s="61" t="s">
        <v>29</v>
      </c>
      <c r="J13" s="62">
        <v>2.2995</v>
      </c>
      <c r="K13" s="62">
        <v>2.2997</v>
      </c>
      <c r="L13" s="62">
        <v>2.2996</v>
      </c>
      <c r="M13" s="62">
        <v>2.2987</v>
      </c>
      <c r="N13" s="62">
        <v>2.2994</v>
      </c>
      <c r="O13" s="62">
        <v>2.3002</v>
      </c>
      <c r="P13" s="62">
        <v>2.2995</v>
      </c>
      <c r="Q13" s="62">
        <v>2.2998</v>
      </c>
      <c r="R13" s="62">
        <v>2.2998</v>
      </c>
      <c r="S13" s="62">
        <v>2.2995</v>
      </c>
      <c r="T13" s="62">
        <v>2.2992</v>
      </c>
      <c r="U13" s="62">
        <v>2.2993</v>
      </c>
      <c r="V13" s="62">
        <v>2.299</v>
      </c>
      <c r="W13" s="62">
        <v>2.2997</v>
      </c>
      <c r="X13" s="62">
        <v>2.2992</v>
      </c>
      <c r="Y13" s="62">
        <v>2.299</v>
      </c>
      <c r="Z13" s="63" t="str">
        <f t="shared" ref="Z13:AO13" si="4">IF(J13="","",IF(J13&gt;($D13+$E13),(J13-$D13-$E13),IF(J13&lt;($D13+$F13),(J13-$D13-$F13),"√")))</f>
        <v>√</v>
      </c>
      <c r="AA13" s="63" t="str">
        <f t="shared" si="4"/>
        <v>√</v>
      </c>
      <c r="AB13" s="63" t="str">
        <f t="shared" si="4"/>
        <v>√</v>
      </c>
      <c r="AC13" s="63" t="str">
        <f t="shared" si="4"/>
        <v>√</v>
      </c>
      <c r="AD13" s="63" t="str">
        <f t="shared" si="4"/>
        <v>√</v>
      </c>
      <c r="AE13" s="63" t="str">
        <f t="shared" si="4"/>
        <v>√</v>
      </c>
      <c r="AF13" s="63" t="str">
        <f t="shared" si="4"/>
        <v>√</v>
      </c>
      <c r="AG13" s="63" t="str">
        <f t="shared" si="4"/>
        <v>√</v>
      </c>
      <c r="AH13" s="63" t="str">
        <f t="shared" si="4"/>
        <v>√</v>
      </c>
      <c r="AI13" s="63" t="str">
        <f t="shared" si="4"/>
        <v>√</v>
      </c>
      <c r="AJ13" s="63" t="str">
        <f t="shared" si="4"/>
        <v>√</v>
      </c>
      <c r="AK13" s="63" t="str">
        <f t="shared" si="4"/>
        <v>√</v>
      </c>
      <c r="AL13" s="63" t="str">
        <f t="shared" si="4"/>
        <v>√</v>
      </c>
      <c r="AM13" s="63" t="str">
        <f t="shared" si="4"/>
        <v>√</v>
      </c>
      <c r="AN13" s="63" t="str">
        <f t="shared" si="4"/>
        <v>√</v>
      </c>
      <c r="AO13" s="63" t="str">
        <f t="shared" si="4"/>
        <v>√</v>
      </c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0:Y10"/>
    <mergeCell ref="Z10:AO10"/>
    <mergeCell ref="J11:Y11"/>
    <mergeCell ref="Z11:AO11"/>
    <mergeCell ref="A2:A3"/>
    <mergeCell ref="A4:A6"/>
    <mergeCell ref="A10:A12"/>
    <mergeCell ref="B4:B6"/>
    <mergeCell ref="B10:B12"/>
    <mergeCell ref="C4:C6"/>
    <mergeCell ref="C10:C12"/>
    <mergeCell ref="D4:D6"/>
    <mergeCell ref="D10:D12"/>
    <mergeCell ref="E4:E6"/>
    <mergeCell ref="E10:E12"/>
    <mergeCell ref="F4:F6"/>
    <mergeCell ref="F10:F12"/>
    <mergeCell ref="G4:G6"/>
    <mergeCell ref="G10:G12"/>
    <mergeCell ref="H4:H6"/>
    <mergeCell ref="H10:H12"/>
    <mergeCell ref="I4:I6"/>
    <mergeCell ref="I10:I12"/>
    <mergeCell ref="B2:G3"/>
    <mergeCell ref="H2:K3"/>
    <mergeCell ref="L2:R3"/>
  </mergeCells>
  <conditionalFormatting sqref="J7:Y7">
    <cfRule type="cellIs" dxfId="0" priority="19" stopIfTrue="1" operator="notBetween">
      <formula>$G7</formula>
      <formula>$H7</formula>
    </cfRule>
  </conditionalFormatting>
  <conditionalFormatting sqref="J13:Y13">
    <cfRule type="cellIs" dxfId="0" priority="1" stopIfTrue="1" operator="notBetween">
      <formula>$G13</formula>
      <formula>$H13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2026-06-10T20:58:55Z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