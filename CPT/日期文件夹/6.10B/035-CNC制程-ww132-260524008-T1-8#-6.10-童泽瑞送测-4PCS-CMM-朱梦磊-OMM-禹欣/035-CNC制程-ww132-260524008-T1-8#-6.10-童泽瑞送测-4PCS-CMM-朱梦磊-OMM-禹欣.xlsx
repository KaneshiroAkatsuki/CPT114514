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<sst xmlns="http://schemas.openxmlformats.org/spreadsheetml/2006/main" count="63" uniqueCount="46">
  <si>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</si>
  <si>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</si>
  <si>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</si>
  <si>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</si>
  <si>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ww132-260524008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</si>
  <si>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</si>
  <si>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</si>
  <si>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</si>
  <si>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</si>
  <si>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</si>
  <si>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</si>
  <si>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</si>
  <si>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</si>
  <si>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朱梦磊/禹欣</t>
  </si>
  <si>
    <t>王婷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</si>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</sst>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6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73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1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>
      <alignment horizontal="center" vertical="center"/>
    </xf>
    <xf numFmtId="49" fontId="3" fillId="0" borderId="2" xfId="60" applyNumberFormat="1" applyFont="1" applyBorder="1" applyAlignment="1">
      <alignment horizontal="center" vertical="center"/>
    </xf>
    <xf numFmtId="49" fontId="3" fillId="0" borderId="3" xfId="60" applyNumberFormat="1" applyFont="1" applyBorder="1" applyAlignment="1">
      <alignment horizontal="center" vertical="center"/>
    </xf>
    <xf numFmtId="49" fontId="3" fillId="0" borderId="4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>
      <alignment horizontal="center" vertical="center"/>
    </xf>
    <xf numFmtId="49" fontId="4" fillId="0" borderId="6" xfId="60" applyNumberFormat="1" applyFont="1" applyBorder="1" applyAlignment="1">
      <alignment horizontal="center" vertical="center"/>
    </xf>
    <xf numFmtId="49" fontId="4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5" xfId="80" applyNumberFormat="1" applyFont="1" applyBorder="1" applyAlignment="1">
      <alignment horizontal="center" vertical="center"/>
    </xf>
    <xf numFmtId="49" fontId="4" fillId="0" borderId="6" xfId="80" applyNumberFormat="1" applyFont="1" applyBorder="1" applyAlignment="1">
      <alignment horizontal="center" vertical="center"/>
    </xf>
    <xf numFmtId="49" fontId="4" fillId="0" borderId="7" xfId="80" applyNumberFormat="1" applyFont="1" applyBorder="1" applyAlignment="1">
      <alignment horizontal="center" vertical="center"/>
    </xf>
    <xf numFmtId="49" fontId="6" fillId="0" borderId="5" xfId="80" applyNumberFormat="1" applyFont="1" applyBorder="1" applyAlignment="1">
      <alignment horizontal="center" vertical="center"/>
    </xf>
    <xf numFmtId="49" fontId="3" fillId="0" borderId="8" xfId="60" applyNumberFormat="1" applyFont="1" applyBorder="1" applyAlignment="1">
      <alignment horizontal="center" vertical="center"/>
    </xf>
    <xf numFmtId="49" fontId="3" fillId="0" borderId="9" xfId="60" applyNumberFormat="1" applyFont="1" applyBorder="1" applyAlignment="1">
      <alignment horizontal="center" vertical="center"/>
    </xf>
    <xf numFmtId="49" fontId="3" fillId="0" borderId="10" xfId="60" applyNumberFormat="1" applyFont="1" applyBorder="1" applyAlignment="1">
      <alignment horizontal="center" vertical="center"/>
    </xf>
    <xf numFmtId="0" fontId="4" fillId="0" borderId="5" xfId="60" applyFont="1" applyBorder="1" applyAlignment="1" applyProtection="1">
      <alignment horizontal="center" vertical="center"/>
      <protection locked="0"/>
    </xf>
    <xf numFmtId="0" fontId="4" fillId="0" borderId="6" xfId="60" applyFont="1" applyBorder="1" applyAlignment="1" applyProtection="1">
      <alignment horizontal="center" vertical="center"/>
      <protection locked="0"/>
    </xf>
    <xf numFmtId="0" fontId="4" fillId="0" borderId="7" xfId="60" applyFont="1" applyBorder="1" applyAlignment="1" applyProtection="1">
      <alignment horizontal="center" vertical="center"/>
      <protection locked="0"/>
    </xf>
    <xf numFmtId="176" fontId="4" fillId="0" borderId="5" xfId="80" applyNumberFormat="1" applyFont="1" applyBorder="1" applyAlignment="1">
      <alignment horizontal="center" vertical="center"/>
    </xf>
    <xf numFmtId="176" fontId="4" fillId="0" borderId="6" xfId="80" applyNumberFormat="1" applyFont="1" applyBorder="1" applyAlignment="1">
      <alignment horizontal="center" vertical="center"/>
    </xf>
    <xf numFmtId="176" fontId="4" fillId="0" borderId="7" xfId="80" applyNumberFormat="1" applyFont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0" fontId="7" fillId="0" borderId="1" xfId="60" applyFont="1" applyBorder="1" applyAlignment="1" applyProtection="1">
      <alignment horizontal="center" vertical="center"/>
      <protection locked="0"/>
    </xf>
    <xf numFmtId="177" fontId="7" fillId="0" borderId="1" xfId="60" applyNumberFormat="1" applyFont="1" applyBorder="1" applyAlignment="1">
      <alignment horizontal="center" vertical="center"/>
    </xf>
    <xf numFmtId="177" fontId="7" fillId="0" borderId="1" xfId="60" applyNumberFormat="1" applyFont="1" applyBorder="1" applyAlignment="1" applyProtection="1">
      <alignment horizontal="center" vertical="center"/>
      <protection locked="0"/>
    </xf>
    <xf numFmtId="0" fontId="7" fillId="0" borderId="1" xfId="60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5" xfId="60" applyFont="1" applyFill="1" applyBorder="1" applyAlignment="1">
      <alignment horizontal="center" vertical="center"/>
    </xf>
    <xf numFmtId="0" fontId="8" fillId="3" borderId="6" xfId="60" applyFont="1" applyFill="1" applyBorder="1" applyAlignment="1">
      <alignment horizontal="center" vertical="center"/>
    </xf>
    <xf numFmtId="0" fontId="8" fillId="3" borderId="7" xfId="60" applyFont="1" applyFill="1" applyBorder="1" applyAlignment="1">
      <alignment horizontal="center" vertical="center"/>
    </xf>
    <xf numFmtId="49" fontId="9" fillId="0" borderId="1" xfId="60" applyNumberFormat="1" applyFont="1" applyBorder="1" applyAlignment="1" applyProtection="1">
      <alignment horizontal="center" vertical="center" wrapText="1"/>
      <protection locked="0"/>
    </xf>
    <xf numFmtId="49" fontId="9" fillId="0" borderId="1" xfId="60" applyNumberFormat="1" applyFont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0" fontId="10" fillId="2" borderId="1" xfId="60" applyFont="1" applyFill="1" applyBorder="1" applyAlignment="1" applyProtection="1">
      <alignment horizontal="center" vertical="center"/>
      <protection locked="0"/>
    </xf>
    <xf numFmtId="0" fontId="10" fillId="3" borderId="1" xfId="60" applyFont="1" applyFill="1" applyBorder="1" applyAlignment="1">
      <alignment horizontal="center" vertical="center"/>
    </xf>
    <xf numFmtId="14" fontId="1" fillId="0" borderId="1" xfId="73" applyNumberFormat="1" applyBorder="1" applyAlignment="1">
      <alignment horizontal="center" vertical="center"/>
    </xf>
    <xf numFmtId="0" fontId="1" fillId="0" borderId="1" xfId="73" applyBorder="1" applyAlignment="1">
      <alignment horizontal="center" vertical="center"/>
    </xf>
    <xf numFmtId="0" fontId="11" fillId="4" borderId="1" xfId="59" applyFont="1" applyFill="1" applyBorder="1" applyAlignment="1">
      <alignment horizontal="center" vertical="center"/>
    </xf>
    <xf numFmtId="178" fontId="12" fillId="0" borderId="11" xfId="73" applyNumberFormat="1" applyFont="1" applyBorder="1" applyAlignment="1" applyProtection="1">
      <alignment horizontal="center" vertical="center"/>
      <protection hidden="1"/>
    </xf>
    <xf numFmtId="177" fontId="13" fillId="2" borderId="1" xfId="61" applyNumberFormat="1" applyFont="1" applyFill="1" applyBorder="1" applyAlignment="1">
      <alignment horizontal="center" vertical="center"/>
    </xf>
    <xf numFmtId="0" fontId="14" fillId="3" borderId="1" xfId="60" applyFont="1" applyFill="1" applyBorder="1" applyAlignment="1">
      <alignment horizontal="center" vertical="center"/>
    </xf>
    <xf numFmtId="178" fontId="12" fillId="0" borderId="1" xfId="73" applyNumberFormat="1" applyFont="1" applyBorder="1" applyAlignment="1" applyProtection="1">
      <alignment horizontal="center" vertical="center"/>
      <protection hidden="1"/>
    </xf>
    <xf numFmtId="177" fontId="11" fillId="4" borderId="1" xfId="59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tabSelected="1" workbookViewId="0">
      <selection activeCell="P11" sqref="P11"/>
    </sheetView>
  </sheetViews>
  <sheetFormatPr defaultColWidth="9" defaultRowHeight="14.25"/>
  <cols>
    <col min="1" max="1" width="11" style="2" customWidth="1"/>
    <col min="2" max="2" width="22.425" style="2" customWidth="1"/>
    <col min="3" max="3" width="9.85833333333333" style="2" customWidth="1"/>
    <col min="4" max="4" width="5.70833333333333" style="2" customWidth="1"/>
    <col min="5" max="7" width="7.425" style="2" customWidth="1"/>
    <col min="8" max="8" width="6.85833333333333" style="2" customWidth="1"/>
    <col min="9" max="40" width="6.56666666666667" style="2" customWidth="1"/>
    <col min="41" max="16384" width="9" style="2"/>
  </cols>
  <sheetData>
    <row r="1" ht="70.5" customHeight="1" spans="1:4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4" t="s">
        <v>1</v>
      </c>
      <c r="B2" s="5" t="s">
        <v>2</v>
      </c>
      <c r="C2" s="5"/>
      <c r="D2" s="5"/>
      <c r="E2" s="5"/>
      <c r="F2" s="5"/>
      <c r="G2" s="6" t="s">
        <v>3</v>
      </c>
      <c r="H2" s="7"/>
      <c r="I2" s="7"/>
      <c r="J2" s="8"/>
      <c r="K2" s="5" t="s">
        <v>4</v>
      </c>
      <c r="L2" s="5"/>
      <c r="M2" s="5"/>
      <c r="N2" s="5"/>
      <c r="O2" s="5"/>
      <c r="P2" s="5"/>
      <c r="Q2" s="5"/>
      <c r="R2" s="9" t="s">
        <v>5</v>
      </c>
      <c r="S2" s="10"/>
      <c r="T2" s="10"/>
      <c r="U2" s="10"/>
      <c r="V2" s="10"/>
      <c r="W2" s="11"/>
      <c r="X2" s="12" t="s">
        <v>6</v>
      </c>
      <c r="Y2" s="13"/>
      <c r="Z2" s="13"/>
      <c r="AA2" s="13"/>
      <c r="AB2" s="13"/>
      <c r="AC2" s="14"/>
      <c r="AD2" s="12" t="s">
        <v>7</v>
      </c>
      <c r="AE2" s="13"/>
      <c r="AF2" s="13"/>
      <c r="AG2" s="14"/>
      <c r="AH2" s="15" t="s">
        <v>8</v>
      </c>
      <c r="AI2" s="16"/>
      <c r="AJ2" s="16"/>
      <c r="AK2" s="17"/>
      <c r="AL2" s="18" t="s">
        <v>9</v>
      </c>
      <c r="AM2" s="16"/>
      <c r="AN2" s="17"/>
    </row>
    <row r="3" ht="15" customHeight="1" spans="1:40">
      <c r="A3" s="4"/>
      <c r="B3" s="5"/>
      <c r="C3" s="5"/>
      <c r="D3" s="5"/>
      <c r="E3" s="5"/>
      <c r="F3" s="5"/>
      <c r="G3" s="19"/>
      <c r="H3" s="20"/>
      <c r="I3" s="20"/>
      <c r="J3" s="21"/>
      <c r="K3" s="5"/>
      <c r="L3" s="5"/>
      <c r="M3" s="5"/>
      <c r="N3" s="5"/>
      <c r="O3" s="5"/>
      <c r="P3" s="5"/>
      <c r="Q3" s="5"/>
      <c r="R3" s="22" t="s">
        <v>10</v>
      </c>
      <c r="S3" s="23"/>
      <c r="T3" s="23"/>
      <c r="U3" s="23"/>
      <c r="V3" s="23"/>
      <c r="W3" s="24"/>
      <c r="X3" s="12" t="s">
        <v>11</v>
      </c>
      <c r="Y3" s="13"/>
      <c r="Z3" s="13"/>
      <c r="AA3" s="13"/>
      <c r="AB3" s="13"/>
      <c r="AC3" s="14"/>
      <c r="AD3" s="12" t="s">
        <v>12</v>
      </c>
      <c r="AE3" s="13"/>
      <c r="AF3" s="13"/>
      <c r="AG3" s="13"/>
      <c r="AH3" s="13" t="s">
        <v>13</v>
      </c>
      <c r="AI3" s="13"/>
      <c r="AJ3" s="13"/>
      <c r="AK3" s="14"/>
      <c r="AL3" s="25" t="s">
        <v>14</v>
      </c>
      <c r="AM3" s="26"/>
      <c r="AN3" s="27"/>
    </row>
    <row r="4" customHeight="1" spans="1:40">
      <c r="A4" s="28" t="s">
        <v>15</v>
      </c>
      <c r="B4" s="28" t="s">
        <v>16</v>
      </c>
      <c r="C4" s="29" t="s">
        <v>17</v>
      </c>
      <c r="D4" s="30" t="s">
        <v>18</v>
      </c>
      <c r="E4" s="31" t="s">
        <v>19</v>
      </c>
      <c r="F4" s="31" t="s">
        <v>20</v>
      </c>
      <c r="G4" s="31" t="s">
        <v>21</v>
      </c>
      <c r="H4" s="32" t="s">
        <v>22</v>
      </c>
      <c r="I4" s="33" t="s">
        <v>23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 t="s">
        <v>24</v>
      </c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6"/>
    </row>
    <row r="5" ht="13.5" customHeight="1" spans="1:40">
      <c r="A5" s="37"/>
      <c r="B5" s="38"/>
      <c r="C5" s="29"/>
      <c r="D5" s="30"/>
      <c r="E5" s="31"/>
      <c r="F5" s="31"/>
      <c r="G5" s="31"/>
      <c r="H5" s="29"/>
      <c r="I5" s="33" t="s">
        <v>25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9" t="s">
        <v>26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ht="14.1" customHeight="1" spans="1:40">
      <c r="A6" s="37"/>
      <c r="B6" s="38"/>
      <c r="C6" s="29"/>
      <c r="D6" s="30"/>
      <c r="E6" s="31"/>
      <c r="F6" s="31"/>
      <c r="G6" s="31"/>
      <c r="H6" s="29"/>
      <c r="I6" s="40">
        <v>1</v>
      </c>
      <c r="J6" s="40">
        <v>2</v>
      </c>
      <c r="K6" s="40">
        <v>3</v>
      </c>
      <c r="L6" s="40">
        <v>4</v>
      </c>
      <c r="M6" s="40">
        <v>5</v>
      </c>
      <c r="N6" s="40">
        <v>6</v>
      </c>
      <c r="O6" s="40">
        <v>7</v>
      </c>
      <c r="P6" s="40">
        <v>8</v>
      </c>
      <c r="Q6" s="40">
        <v>9</v>
      </c>
      <c r="R6" s="33">
        <v>10</v>
      </c>
      <c r="S6" s="40">
        <v>11</v>
      </c>
      <c r="T6" s="40">
        <v>12</v>
      </c>
      <c r="U6" s="40">
        <v>13</v>
      </c>
      <c r="V6" s="40">
        <v>14</v>
      </c>
      <c r="W6" s="40">
        <v>15</v>
      </c>
      <c r="X6" s="40">
        <v>16</v>
      </c>
      <c r="Y6" s="41">
        <f t="shared" ref="Y6:AN6" si="0">I6</f>
        <v>1</v>
      </c>
      <c r="Z6" s="41">
        <f t="shared" si="0"/>
        <v>2</v>
      </c>
      <c r="AA6" s="41">
        <f t="shared" si="0"/>
        <v>3</v>
      </c>
      <c r="AB6" s="41">
        <f t="shared" si="0"/>
        <v>4</v>
      </c>
      <c r="AC6" s="41">
        <f t="shared" si="0"/>
        <v>5</v>
      </c>
      <c r="AD6" s="41">
        <f t="shared" si="0"/>
        <v>6</v>
      </c>
      <c r="AE6" s="41">
        <f t="shared" si="0"/>
        <v>7</v>
      </c>
      <c r="AF6" s="41">
        <f t="shared" si="0"/>
        <v>8</v>
      </c>
      <c r="AG6" s="41">
        <f t="shared" si="0"/>
        <v>9</v>
      </c>
      <c r="AH6" s="41">
        <f t="shared" si="0"/>
        <v>10</v>
      </c>
      <c r="AI6" s="41">
        <f t="shared" si="0"/>
        <v>11</v>
      </c>
      <c r="AJ6" s="41">
        <f t="shared" si="0"/>
        <v>12</v>
      </c>
      <c r="AK6" s="41">
        <f t="shared" si="0"/>
        <v>13</v>
      </c>
      <c r="AL6" s="41">
        <f t="shared" si="0"/>
        <v>14</v>
      </c>
      <c r="AM6" s="41">
        <f t="shared" si="0"/>
        <v>15</v>
      </c>
      <c r="AN6" s="41">
        <f t="shared" si="0"/>
        <v>16</v>
      </c>
    </row>
    <row r="7" spans="1:40">
      <c r="A7" s="42">
        <v>46183</v>
      </c>
      <c r="B7" s="43" t="s">
        <v>27</v>
      </c>
      <c r="C7" s="43">
        <v>0</v>
      </c>
      <c r="D7" s="43">
        <v>0.1</v>
      </c>
      <c r="E7" s="43">
        <v>0</v>
      </c>
      <c r="F7" s="44">
        <f>C7+D7</f>
        <v>0.1</v>
      </c>
      <c r="G7" s="44">
        <f>C7+E7</f>
        <v>0</v>
      </c>
      <c r="H7" s="45" t="s">
        <v>28</v>
      </c>
      <c r="I7" s="46">
        <v>0.0876</v>
      </c>
      <c r="J7" s="46">
        <v>0.0879</v>
      </c>
      <c r="K7" s="46">
        <v>0.0563</v>
      </c>
      <c r="L7" s="46">
        <v>0.0523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7" t="str">
        <f t="shared" ref="Y7:AF7" si="1">IF(I7="","",IF(I7&gt;($C7+$D7),(I7-$C7-$D7),IF(I7&lt;($C7+$E7),(I7-$C7-$E7),"√")))</f>
        <v>√</v>
      </c>
      <c r="Z7" s="47" t="str">
        <f t="shared" si="1"/>
        <v>√</v>
      </c>
      <c r="AA7" s="47" t="str">
        <f t="shared" si="1"/>
        <v>√</v>
      </c>
      <c r="AB7" s="47" t="str">
        <f t="shared" si="1"/>
        <v>√</v>
      </c>
      <c r="AC7" s="47" t="str">
        <f t="shared" si="1"/>
        <v/>
      </c>
      <c r="AD7" s="47" t="str">
        <f t="shared" si="1"/>
        <v/>
      </c>
      <c r="AE7" s="47" t="str">
        <f t="shared" si="1"/>
        <v/>
      </c>
      <c r="AF7" s="47" t="str">
        <f t="shared" si="1"/>
        <v/>
      </c>
      <c r="AG7" s="47" t="str">
        <f t="shared" ref="AG7:AN7" si="2">IF(Q7="","",IF(Q7&gt;($C7+$D7),(Q7-$C7-$D7),IF(Q7&lt;($C7+$E7),(Q7-$C7-$E7),"√")))</f>
        <v/>
      </c>
      <c r="AH7" s="47" t="str">
        <f t="shared" si="2"/>
        <v/>
      </c>
      <c r="AI7" s="47" t="str">
        <f t="shared" si="2"/>
        <v/>
      </c>
      <c r="AJ7" s="47" t="str">
        <f t="shared" si="2"/>
        <v/>
      </c>
      <c r="AK7" s="47" t="str">
        <f t="shared" si="2"/>
        <v/>
      </c>
      <c r="AL7" s="47" t="str">
        <f t="shared" si="2"/>
        <v/>
      </c>
      <c r="AM7" s="47" t="str">
        <f t="shared" si="2"/>
        <v/>
      </c>
      <c r="AN7" s="47" t="str">
        <f t="shared" si="2"/>
        <v/>
      </c>
    </row>
    <row r="8" spans="1:40">
      <c r="A8" s="43"/>
      <c r="B8" s="43" t="s">
        <v>29</v>
      </c>
      <c r="C8" s="43"/>
      <c r="D8" s="43"/>
      <c r="E8" s="43"/>
      <c r="F8" s="44">
        <f>C8+D8</f>
        <v>0</v>
      </c>
      <c r="G8" s="44">
        <f>C8+E8</f>
        <v>0</v>
      </c>
      <c r="H8" s="45" t="s">
        <v>28</v>
      </c>
      <c r="I8" s="46">
        <v>-0.0375</v>
      </c>
      <c r="J8" s="46">
        <v>-0.0421</v>
      </c>
      <c r="K8" s="46">
        <v>-0.0278</v>
      </c>
      <c r="L8" s="46">
        <v>-0.017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</row>
    <row r="9" spans="1:40">
      <c r="A9" s="43"/>
      <c r="B9" s="43" t="s">
        <v>30</v>
      </c>
      <c r="C9" s="43"/>
      <c r="D9" s="43"/>
      <c r="E9" s="43"/>
      <c r="F9" s="44">
        <f>C9+D9</f>
        <v>0</v>
      </c>
      <c r="G9" s="44">
        <f>C9+E9</f>
        <v>0</v>
      </c>
      <c r="H9" s="45" t="s">
        <v>28</v>
      </c>
      <c r="I9" s="46">
        <v>0.0226</v>
      </c>
      <c r="J9" s="46">
        <v>-0.0127</v>
      </c>
      <c r="K9" s="46">
        <v>-0.0048</v>
      </c>
      <c r="L9" s="46">
        <v>-0.0198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</row>
    <row r="10" spans="1:40">
      <c r="A10" s="43"/>
      <c r="B10" s="43" t="s">
        <v>31</v>
      </c>
      <c r="C10" s="43">
        <v>0</v>
      </c>
      <c r="D10" s="43">
        <v>0.2</v>
      </c>
      <c r="E10" s="43">
        <v>0</v>
      </c>
      <c r="F10" s="44">
        <f>C10+D10</f>
        <v>0.2</v>
      </c>
      <c r="G10" s="44">
        <f>C10+E10</f>
        <v>0</v>
      </c>
      <c r="H10" s="45" t="s">
        <v>28</v>
      </c>
      <c r="I10" s="46">
        <v>0.173</v>
      </c>
      <c r="J10" s="46">
        <v>0.1546</v>
      </c>
      <c r="K10" s="46">
        <v>0.1617</v>
      </c>
      <c r="L10" s="46">
        <v>0.1956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 t="str">
        <f t="shared" ref="Y10:AB11" si="3">IF(I10="","",IF(I10&gt;($C10+$D10),(I10-$C10-$D10),IF(I10&lt;($C10+$E10),(I10-$C10-$E10),"√")))</f>
        <v>√</v>
      </c>
      <c r="Z10" s="47" t="str">
        <f t="shared" si="3"/>
        <v>√</v>
      </c>
      <c r="AA10" s="47" t="str">
        <f t="shared" si="3"/>
        <v>√</v>
      </c>
      <c r="AB10" s="47" t="str">
        <f t="shared" si="3"/>
        <v>√</v>
      </c>
      <c r="AC10" s="47" t="str">
        <f t="shared" ref="AC10:AN10" si="4">IF(M10="","",IF(M10&gt;($C10+$D10),(M10-$C10-$D10),IF(M10&lt;($C10+$E10),(M10-$C10-$E10),"√")))</f>
        <v/>
      </c>
      <c r="AD10" s="47" t="str">
        <f t="shared" si="4"/>
        <v/>
      </c>
      <c r="AE10" s="47" t="str">
        <f t="shared" si="4"/>
        <v/>
      </c>
      <c r="AF10" s="47" t="str">
        <f t="shared" si="4"/>
        <v/>
      </c>
      <c r="AG10" s="47" t="str">
        <f t="shared" si="4"/>
        <v/>
      </c>
      <c r="AH10" s="47" t="str">
        <f t="shared" si="4"/>
        <v/>
      </c>
      <c r="AI10" s="47" t="str">
        <f t="shared" si="4"/>
        <v/>
      </c>
      <c r="AJ10" s="47" t="str">
        <f t="shared" si="4"/>
        <v/>
      </c>
      <c r="AK10" s="47" t="str">
        <f t="shared" si="4"/>
        <v/>
      </c>
      <c r="AL10" s="47" t="str">
        <f t="shared" si="4"/>
        <v/>
      </c>
      <c r="AM10" s="47" t="str">
        <f t="shared" si="4"/>
        <v/>
      </c>
      <c r="AN10" s="47" t="str">
        <f t="shared" si="4"/>
        <v/>
      </c>
    </row>
    <row r="11" spans="1:40">
      <c r="A11" s="43"/>
      <c r="B11" s="43" t="s">
        <v>32</v>
      </c>
      <c r="C11" s="43">
        <v>0</v>
      </c>
      <c r="D11" s="43">
        <v>0.1</v>
      </c>
      <c r="E11" s="43">
        <v>0</v>
      </c>
      <c r="F11" s="44">
        <f>C11+D11</f>
        <v>0.1</v>
      </c>
      <c r="G11" s="44">
        <f>C11+E11</f>
        <v>0</v>
      </c>
      <c r="H11" s="45" t="s">
        <v>28</v>
      </c>
      <c r="I11" s="46">
        <v>0.0201</v>
      </c>
      <c r="J11" s="46">
        <v>0.0215</v>
      </c>
      <c r="K11" s="46">
        <v>0.0142</v>
      </c>
      <c r="L11" s="46">
        <v>0.0261</v>
      </c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7" t="str">
        <f t="shared" si="3"/>
        <v>√</v>
      </c>
      <c r="Z11" s="47" t="str">
        <f t="shared" si="3"/>
        <v>√</v>
      </c>
      <c r="AA11" s="47" t="str">
        <f t="shared" si="3"/>
        <v>√</v>
      </c>
      <c r="AB11" s="47" t="str">
        <f t="shared" si="3"/>
        <v>√</v>
      </c>
      <c r="AC11" s="47" t="str">
        <f t="shared" ref="AC11:AN11" si="5">IF(M11="","",IF(M11&gt;($C11+$D11),(M11-$C11-$D11),IF(M11&lt;($C11+$E11),(M11-$C11-$E11),"√")))</f>
        <v/>
      </c>
      <c r="AD11" s="47" t="str">
        <f t="shared" si="5"/>
        <v/>
      </c>
      <c r="AE11" s="47" t="str">
        <f t="shared" si="5"/>
        <v/>
      </c>
      <c r="AF11" s="47" t="str">
        <f t="shared" si="5"/>
        <v/>
      </c>
      <c r="AG11" s="47" t="str">
        <f t="shared" si="5"/>
        <v/>
      </c>
      <c r="AH11" s="47" t="str">
        <f t="shared" si="5"/>
        <v/>
      </c>
      <c r="AI11" s="47" t="str">
        <f t="shared" si="5"/>
        <v/>
      </c>
      <c r="AJ11" s="47" t="str">
        <f t="shared" si="5"/>
        <v/>
      </c>
      <c r="AK11" s="47" t="str">
        <f t="shared" si="5"/>
        <v/>
      </c>
      <c r="AL11" s="47" t="str">
        <f t="shared" si="5"/>
        <v/>
      </c>
      <c r="AM11" s="47" t="str">
        <f t="shared" si="5"/>
        <v/>
      </c>
      <c r="AN11" s="47" t="str">
        <f t="shared" si="5"/>
        <v/>
      </c>
    </row>
    <row r="12" spans="1:40">
      <c r="A12" s="43"/>
      <c r="B12" s="43" t="s">
        <v>33</v>
      </c>
      <c r="C12" s="48">
        <v>0.4</v>
      </c>
      <c r="D12" s="48">
        <v>0.1</v>
      </c>
      <c r="E12" s="49">
        <v>-0.1</v>
      </c>
      <c r="F12" s="44">
        <v>0.5</v>
      </c>
      <c r="G12" s="44">
        <v>0.3</v>
      </c>
      <c r="H12" s="45" t="s">
        <v>34</v>
      </c>
      <c r="I12" s="46">
        <v>0.455</v>
      </c>
      <c r="J12" s="46">
        <v>0.448</v>
      </c>
      <c r="K12" s="46">
        <v>0.4545</v>
      </c>
      <c r="L12" s="46">
        <v>0.4648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7" t="str">
        <f>IF(I12="","",IF(I12&gt;($C12+$D12),(I12-$C12-$D12),IF(I12&lt;($C12+$E12),(I12-$C12-$E12),"√")))</f>
        <v>√</v>
      </c>
      <c r="Z12" s="47" t="str">
        <f>IF(J12="","",IF(J12&gt;($C12+$D12),(J12-$C12-$D12),IF(J12&lt;($C12+$E12),(J12-$C12-$E12),"√")))</f>
        <v>√</v>
      </c>
      <c r="AA12" s="47" t="str">
        <f>IF(K12="","",IF(K12&gt;($C12+$D12),(K12-$C12-$D12),IF(K12&lt;($C12+$E12),(K12-$C12-$E12),"√")))</f>
        <v>√</v>
      </c>
      <c r="AB12" s="47" t="str">
        <f>IF(L12="","",IF(L12&gt;($C12+$D12),(L12-$C12-$D12),IF(L12&lt;($C12+$E12),(L12-$C12-$E12),"√")))</f>
        <v>√</v>
      </c>
      <c r="AC12" s="47" t="str">
        <f>IF(M12="","",IF(M12&gt;($C12+$D12),(M12-$C12-$D12),IF(M12&lt;($C12+$E12),(M12-$C12-$E12),"√")))</f>
        <v/>
      </c>
      <c r="AD12" s="47" t="str">
        <f t="shared" ref="AD12:AD22" si="6">IF(N12="","",IF(N12&gt;($C12+$D12),(N12-$C12-$D12),IF(N12&lt;($C12+$E12),(N12-$C12-$E12),"√")))</f>
        <v/>
      </c>
      <c r="AE12" s="47" t="str">
        <f t="shared" ref="AE12:AE22" si="7">IF(O12="","",IF(O12&gt;($C12+$D12),(O12-$C12-$D12),IF(O12&lt;($C12+$E12),(O12-$C12-$E12),"√")))</f>
        <v/>
      </c>
      <c r="AF12" s="47" t="str">
        <f t="shared" ref="AF12:AF22" si="8">IF(P12="","",IF(P12&gt;($C12+$D12),(P12-$C12-$D12),IF(P12&lt;($C12+$E12),(P12-$C12-$E12),"√")))</f>
        <v/>
      </c>
      <c r="AG12" s="47" t="str">
        <f t="shared" ref="AG12:AN12" si="9">IF(Q12="","",IF(Q12&gt;($C12+$D12),(Q12-$C12-$D12),IF(Q12&lt;($C12+$E12),(Q12-$C12-$E12),"√")))</f>
        <v/>
      </c>
      <c r="AH12" s="47" t="str">
        <f t="shared" si="9"/>
        <v/>
      </c>
      <c r="AI12" s="47" t="str">
        <f t="shared" si="9"/>
        <v/>
      </c>
      <c r="AJ12" s="47" t="str">
        <f t="shared" si="9"/>
        <v/>
      </c>
      <c r="AK12" s="47" t="str">
        <f t="shared" si="9"/>
        <v/>
      </c>
      <c r="AL12" s="47" t="str">
        <f t="shared" si="9"/>
        <v/>
      </c>
      <c r="AM12" s="47" t="str">
        <f t="shared" si="9"/>
        <v/>
      </c>
      <c r="AN12" s="47" t="str">
        <f t="shared" si="9"/>
        <v/>
      </c>
    </row>
    <row r="13" spans="1:40">
      <c r="A13" s="43"/>
      <c r="B13" s="43" t="s">
        <v>35</v>
      </c>
      <c r="C13" s="48"/>
      <c r="D13" s="48"/>
      <c r="E13" s="49"/>
      <c r="F13" s="44"/>
      <c r="G13" s="44"/>
      <c r="H13" s="45" t="s">
        <v>34</v>
      </c>
      <c r="I13" s="46">
        <v>0.4458</v>
      </c>
      <c r="J13" s="46">
        <v>0.4316</v>
      </c>
      <c r="K13" s="46">
        <v>0.4525</v>
      </c>
      <c r="L13" s="46">
        <v>0.4371</v>
      </c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</row>
    <row r="14" spans="1:40">
      <c r="A14" s="43"/>
      <c r="B14" s="43" t="s">
        <v>36</v>
      </c>
      <c r="C14" s="48"/>
      <c r="D14" s="48"/>
      <c r="E14" s="49"/>
      <c r="F14" s="44"/>
      <c r="G14" s="44"/>
      <c r="H14" s="45" t="s">
        <v>34</v>
      </c>
      <c r="I14" s="46">
        <v>0.4343</v>
      </c>
      <c r="J14" s="46">
        <v>0.4186</v>
      </c>
      <c r="K14" s="46">
        <v>0.4159</v>
      </c>
      <c r="L14" s="46">
        <v>0.4521</v>
      </c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</row>
    <row r="15" spans="1:40">
      <c r="A15" s="43"/>
      <c r="B15" s="43" t="s">
        <v>37</v>
      </c>
      <c r="C15" s="48"/>
      <c r="D15" s="48"/>
      <c r="E15" s="49"/>
      <c r="F15" s="44"/>
      <c r="G15" s="44"/>
      <c r="H15" s="45" t="s">
        <v>34</v>
      </c>
      <c r="I15" s="46">
        <v>0.4681</v>
      </c>
      <c r="J15" s="46">
        <v>0.4699</v>
      </c>
      <c r="K15" s="46">
        <v>0.4757</v>
      </c>
      <c r="L15" s="46">
        <v>0.4882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spans="1:40">
      <c r="A16" s="43"/>
      <c r="B16" s="43" t="s">
        <v>38</v>
      </c>
      <c r="C16" s="48"/>
      <c r="D16" s="48"/>
      <c r="E16" s="49"/>
      <c r="F16" s="44"/>
      <c r="G16" s="44"/>
      <c r="H16" s="45" t="s">
        <v>34</v>
      </c>
      <c r="I16" s="46">
        <v>0.4718</v>
      </c>
      <c r="J16" s="46">
        <v>0.4717</v>
      </c>
      <c r="K16" s="46">
        <v>0.4737</v>
      </c>
      <c r="L16" s="46">
        <v>0.4819</v>
      </c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</row>
    <row r="17" spans="1:40">
      <c r="A17" s="43"/>
      <c r="B17" s="43" t="s">
        <v>39</v>
      </c>
      <c r="C17" s="48">
        <v>0.95</v>
      </c>
      <c r="D17" s="48">
        <v>0.05</v>
      </c>
      <c r="E17" s="49">
        <v>-0.05</v>
      </c>
      <c r="F17" s="44">
        <v>1</v>
      </c>
      <c r="G17" s="44">
        <v>0.9</v>
      </c>
      <c r="H17" s="45" t="s">
        <v>34</v>
      </c>
      <c r="I17" s="46">
        <v>0.9858</v>
      </c>
      <c r="J17" s="46">
        <v>0.9817</v>
      </c>
      <c r="K17" s="46">
        <v>0.9916</v>
      </c>
      <c r="L17" s="46">
        <v>0.9825</v>
      </c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7" t="str">
        <f>IF(I17="","",IF(I17&gt;($C17+$D17),(I17-$C17-$D17),IF(I17&lt;($C17+$E17),(I17-$C17-$E17),"√")))</f>
        <v>√</v>
      </c>
      <c r="Z17" s="47" t="str">
        <f>IF(J17="","",IF(J17&gt;($C17+$D17),(J17-$C17-$D17),IF(J17&lt;($C17+$E17),(J17-$C17-$E17),"√")))</f>
        <v>√</v>
      </c>
      <c r="AA17" s="47" t="str">
        <f>IF(K17="","",IF(K17&gt;($C17+$D17),(K17-$C17-$D17),IF(K17&lt;($C17+$E17),(K17-$C17-$E17),"√")))</f>
        <v>√</v>
      </c>
      <c r="AB17" s="47" t="str">
        <f>IF(L17="","",IF(L17&gt;($C17+$D17),(L17-$C17-$D17),IF(L17&lt;($C17+$E17),(L17-$C17-$E17),"√")))</f>
        <v>√</v>
      </c>
      <c r="AC17" s="47" t="str">
        <f>IF(M17="","",IF(M17&gt;($C17+$D17),(M17-$C17-$D17),IF(M17&lt;($C17+$E17),(M17-$C17-$E17),"√")))</f>
        <v/>
      </c>
      <c r="AD17" s="47" t="str">
        <f t="shared" si="6"/>
        <v/>
      </c>
      <c r="AE17" s="47" t="str">
        <f t="shared" si="7"/>
        <v/>
      </c>
      <c r="AF17" s="47" t="str">
        <f t="shared" si="8"/>
        <v/>
      </c>
      <c r="AG17" s="47" t="str">
        <f t="shared" ref="AG17:AN17" si="10">IF(Q17="","",IF(Q17&gt;($C17+$D17),(Q17-$C17-$D17),IF(Q17&lt;($C17+$E17),(Q17-$C17-$E17),"√")))</f>
        <v/>
      </c>
      <c r="AH17" s="47" t="str">
        <f t="shared" si="10"/>
        <v/>
      </c>
      <c r="AI17" s="47" t="str">
        <f t="shared" si="10"/>
        <v/>
      </c>
      <c r="AJ17" s="47" t="str">
        <f t="shared" si="10"/>
        <v/>
      </c>
      <c r="AK17" s="47" t="str">
        <f t="shared" si="10"/>
        <v/>
      </c>
      <c r="AL17" s="47" t="str">
        <f t="shared" si="10"/>
        <v/>
      </c>
      <c r="AM17" s="47" t="str">
        <f t="shared" si="10"/>
        <v/>
      </c>
      <c r="AN17" s="47" t="str">
        <f t="shared" si="10"/>
        <v/>
      </c>
    </row>
    <row r="18" spans="1:40">
      <c r="A18" s="43"/>
      <c r="B18" s="43" t="s">
        <v>40</v>
      </c>
      <c r="C18" s="48"/>
      <c r="D18" s="48"/>
      <c r="E18" s="49"/>
      <c r="F18" s="44"/>
      <c r="G18" s="44"/>
      <c r="H18" s="45" t="s">
        <v>34</v>
      </c>
      <c r="I18" s="46">
        <v>0.9867</v>
      </c>
      <c r="J18" s="46">
        <v>0.9855</v>
      </c>
      <c r="K18" s="46">
        <v>0.988</v>
      </c>
      <c r="L18" s="46">
        <v>0.9871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</row>
    <row r="19" spans="1:40">
      <c r="A19" s="43"/>
      <c r="B19" s="43" t="s">
        <v>41</v>
      </c>
      <c r="C19" s="48"/>
      <c r="D19" s="48"/>
      <c r="E19" s="49"/>
      <c r="F19" s="44"/>
      <c r="G19" s="44"/>
      <c r="H19" s="45" t="s">
        <v>34</v>
      </c>
      <c r="I19" s="46">
        <v>1.0131</v>
      </c>
      <c r="J19" s="46">
        <v>1.0078</v>
      </c>
      <c r="K19" s="46">
        <v>1.0279</v>
      </c>
      <c r="L19" s="46">
        <v>0.9999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</row>
    <row r="20" spans="1:40">
      <c r="A20" s="43"/>
      <c r="B20" s="43" t="s">
        <v>42</v>
      </c>
      <c r="C20" s="48"/>
      <c r="D20" s="48"/>
      <c r="E20" s="49"/>
      <c r="F20" s="44"/>
      <c r="G20" s="44"/>
      <c r="H20" s="45" t="s">
        <v>34</v>
      </c>
      <c r="I20" s="46">
        <v>0.9656</v>
      </c>
      <c r="J20" s="46">
        <v>0.9603</v>
      </c>
      <c r="K20" s="46">
        <v>0.9693</v>
      </c>
      <c r="L20" s="46">
        <v>0.9661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</row>
    <row r="21" spans="1:40">
      <c r="A21" s="43"/>
      <c r="B21" s="43" t="s">
        <v>43</v>
      </c>
      <c r="C21" s="48"/>
      <c r="D21" s="48"/>
      <c r="E21" s="49"/>
      <c r="F21" s="44"/>
      <c r="G21" s="44"/>
      <c r="H21" s="45" t="s">
        <v>34</v>
      </c>
      <c r="I21" s="46">
        <v>0.9779</v>
      </c>
      <c r="J21" s="46">
        <v>0.9734</v>
      </c>
      <c r="K21" s="46">
        <v>0.981</v>
      </c>
      <c r="L21" s="46">
        <v>0.9767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</row>
    <row r="22" spans="1:40">
      <c r="A22" s="43"/>
      <c r="B22" s="43" t="s">
        <v>44</v>
      </c>
      <c r="C22" s="48">
        <v>19.4</v>
      </c>
      <c r="D22" s="48">
        <v>0.05</v>
      </c>
      <c r="E22" s="49">
        <v>-0.05</v>
      </c>
      <c r="F22" s="44">
        <v>19.45</v>
      </c>
      <c r="G22" s="44">
        <v>19.35</v>
      </c>
      <c r="H22" s="45" t="s">
        <v>34</v>
      </c>
      <c r="I22" s="46">
        <v>19.3981</v>
      </c>
      <c r="J22" s="46">
        <v>19.3965</v>
      </c>
      <c r="K22" s="46">
        <v>19.398</v>
      </c>
      <c r="L22" s="46">
        <v>19.3994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7" t="str">
        <f t="shared" ref="Y22:AC23" si="11">IF(I22="","",IF(I22&gt;($C22+$D22),(I22-$C22-$D22),IF(I22&lt;($C22+$E22),(I22-$C22-$E22),"√")))</f>
        <v>√</v>
      </c>
      <c r="Z22" s="47" t="str">
        <f t="shared" si="11"/>
        <v>√</v>
      </c>
      <c r="AA22" s="47" t="str">
        <f t="shared" si="11"/>
        <v>√</v>
      </c>
      <c r="AB22" s="47" t="str">
        <f t="shared" si="11"/>
        <v>√</v>
      </c>
      <c r="AC22" s="47" t="str">
        <f t="shared" si="11"/>
        <v/>
      </c>
      <c r="AD22" s="47" t="str">
        <f t="shared" si="6"/>
        <v/>
      </c>
      <c r="AE22" s="47" t="str">
        <f t="shared" si="7"/>
        <v/>
      </c>
      <c r="AF22" s="47" t="str">
        <f t="shared" si="8"/>
        <v/>
      </c>
      <c r="AG22" s="47" t="str">
        <f t="shared" ref="AG22:AN22" si="12">IF(Q22="","",IF(Q22&gt;($C22+$D22),(Q22-$C22-$D22),IF(Q22&lt;($C22+$E22),(Q22-$C22-$E22),"√")))</f>
        <v/>
      </c>
      <c r="AH22" s="47" t="str">
        <f t="shared" si="12"/>
        <v/>
      </c>
      <c r="AI22" s="47" t="str">
        <f t="shared" si="12"/>
        <v/>
      </c>
      <c r="AJ22" s="47" t="str">
        <f t="shared" si="12"/>
        <v/>
      </c>
      <c r="AK22" s="47" t="str">
        <f t="shared" si="12"/>
        <v/>
      </c>
      <c r="AL22" s="47" t="str">
        <f t="shared" si="12"/>
        <v/>
      </c>
      <c r="AM22" s="47" t="str">
        <f t="shared" si="12"/>
        <v/>
      </c>
      <c r="AN22" s="47" t="str">
        <f t="shared" si="12"/>
        <v/>
      </c>
    </row>
    <row r="23" spans="1:40">
      <c r="A23" s="43"/>
      <c r="B23" s="43" t="s">
        <v>45</v>
      </c>
      <c r="C23" s="48">
        <v>0</v>
      </c>
      <c r="D23" s="48">
        <v>0.1</v>
      </c>
      <c r="E23" s="49">
        <v>0</v>
      </c>
      <c r="F23" s="44">
        <v>0.1</v>
      </c>
      <c r="G23" s="44">
        <v>0</v>
      </c>
      <c r="H23" s="45" t="s">
        <v>34</v>
      </c>
      <c r="I23" s="46">
        <v>0.0355</v>
      </c>
      <c r="J23" s="46">
        <v>0.0313</v>
      </c>
      <c r="K23" s="46">
        <v>0.0378</v>
      </c>
      <c r="L23" s="46">
        <v>0.0349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7" t="str">
        <f t="shared" si="11"/>
        <v>√</v>
      </c>
      <c r="Z23" s="47" t="str">
        <f t="shared" si="11"/>
        <v>√</v>
      </c>
      <c r="AA23" s="47" t="str">
        <f t="shared" si="11"/>
        <v>√</v>
      </c>
      <c r="AB23" s="47" t="str">
        <f t="shared" si="11"/>
        <v>√</v>
      </c>
      <c r="AC23" s="47" t="str">
        <f t="shared" si="11"/>
        <v/>
      </c>
      <c r="AD23" s="47" t="str">
        <f t="shared" ref="AD23" si="13">IF(N23="","",IF(N23&gt;($C23+$D23),(N23-$C23-$D23),IF(N23&lt;($C23+$E23),(N23-$C23-$E23),"√")))</f>
        <v/>
      </c>
      <c r="AE23" s="47" t="str">
        <f t="shared" ref="AE23" si="14">IF(O23="","",IF(O23&gt;($C23+$D23),(O23-$C23-$D23),IF(O23&lt;($C23+$E23),(O23-$C23-$E23),"√")))</f>
        <v/>
      </c>
      <c r="AF23" s="47" t="str">
        <f t="shared" ref="AF23" si="15">IF(P23="","",IF(P23&gt;($C23+$D23),(P23-$C23-$D23),IF(P23&lt;($C23+$E23),(P23-$C23-$E23),"√")))</f>
        <v/>
      </c>
      <c r="AG23" s="47" t="str">
        <f t="shared" ref="AG23:AN23" si="16">IF(Q23="","",IF(Q23&gt;($C23+$D23),(Q23-$C23-$D23),IF(Q23&lt;($C23+$E23),(Q23-$C23-$E23),"√")))</f>
        <v/>
      </c>
      <c r="AH23" s="47" t="str">
        <f t="shared" si="16"/>
        <v/>
      </c>
      <c r="AI23" s="47" t="str">
        <f t="shared" si="16"/>
        <v/>
      </c>
      <c r="AJ23" s="47" t="str">
        <f t="shared" si="16"/>
        <v/>
      </c>
      <c r="AK23" s="47" t="str">
        <f t="shared" si="16"/>
        <v/>
      </c>
      <c r="AL23" s="47" t="str">
        <f t="shared" si="16"/>
        <v/>
      </c>
      <c r="AM23" s="47" t="str">
        <f t="shared" si="16"/>
        <v/>
      </c>
      <c r="AN23" s="47" t="str">
        <f t="shared" si="16"/>
        <v/>
      </c>
    </row>
    <row r="24" spans="1:40">
      <c r="A24" s="43"/>
      <c r="B24" s="43">
        <v>1</v>
      </c>
      <c r="C24" s="48"/>
      <c r="D24" s="48"/>
      <c r="E24" s="49"/>
      <c r="F24" s="44"/>
      <c r="G24" s="44"/>
      <c r="H24" s="45" t="s">
        <v>34</v>
      </c>
      <c r="I24" s="46">
        <v>0.0001</v>
      </c>
      <c r="J24" s="46">
        <v>0.0001</v>
      </c>
      <c r="K24" s="46">
        <v>0.0001</v>
      </c>
      <c r="L24" s="46">
        <v>0.0001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</row>
    <row r="25" spans="1:40">
      <c r="A25" s="43"/>
      <c r="B25" s="43">
        <v>2</v>
      </c>
      <c r="C25" s="48"/>
      <c r="D25" s="48"/>
      <c r="E25" s="49"/>
      <c r="F25" s="44"/>
      <c r="G25" s="44"/>
      <c r="H25" s="45" t="s">
        <v>34</v>
      </c>
      <c r="I25" s="46">
        <v>-0.0178</v>
      </c>
      <c r="J25" s="46">
        <v>-0.0156</v>
      </c>
      <c r="K25" s="46">
        <v>-0.0189</v>
      </c>
      <c r="L25" s="46">
        <v>-0.0174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</row>
    <row r="26" s="1" customFormat="1" spans="1:40">
      <c r="A26" s="50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2"/>
      <c r="AK26" s="53"/>
      <c r="AL26" s="54"/>
      <c r="AM26" s="55"/>
      <c r="AN26" s="56"/>
    </row>
  </sheetData>
  <protectedRanges>
    <protectedRange sqref="I8:I9 J8:X9 I7 S7:X7 J7:R7" name="区域1_5_2"/>
    <protectedRange sqref="H7:H9" name="区域2_2"/>
    <protectedRange sqref="H7:H9" name="区域2_3"/>
  </protectedRanges>
  <mergeCells count="31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6:AJ26"/>
    <mergeCell ref="AK26:AL26"/>
    <mergeCell ref="AM26:AN26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2026-06-10T12:27:16Z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