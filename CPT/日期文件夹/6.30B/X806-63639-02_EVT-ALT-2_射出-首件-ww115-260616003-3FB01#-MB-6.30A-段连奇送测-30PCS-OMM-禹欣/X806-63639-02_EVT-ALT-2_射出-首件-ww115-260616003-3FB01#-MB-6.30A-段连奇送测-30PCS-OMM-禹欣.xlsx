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<sst xmlns="http://schemas.openxmlformats.org/spreadsheetml/2006/main" count="120" uniqueCount="62">
  <si>
    <t>安徽中耀智能科技有限公司首件尺寸报告</t>
  </si>
  <si>
    <t>料号</t>
  </si>
  <si>
    <t>X806-63639</t>
  </si>
  <si>
    <t>工单号</t>
  </si>
  <si>
    <t>ww115-260616003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</si>
  <si>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</si>
  <si>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</si>
  <si>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</si>
  <si>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</si>
  <si>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</si>
  <si>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</si>
  <si>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3FB010#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</si>
  <si>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</si>
  <si>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</si>
  <si>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</si>
  <si>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</si>
  <si>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</si>
  <si>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</si>
  <si>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</si>
  <si>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</si>
  <si>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</si>
  <si>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</si>
  <si>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</si>
  <si>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</si>
  <si>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</si>
  <si>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</si>
  <si>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</si>
  <si>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</si>
  <si>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</si>
  <si>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</si>
  <si>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</si>
  <si>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</si>
  <si>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</si>
  <si>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</si>
  <si>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</si>
  <si>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</si>
  <si>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</si>
  <si>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</si>
  <si>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1-12</t>
  </si>
  <si>
    <t>1-13</t>
  </si>
  <si>
    <t>1-14</t>
  </si>
  <si>
    <t>1-15</t>
  </si>
  <si>
    <t>1-16</t>
  </si>
  <si>
    <t>FAI 15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</si>
  <si>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</si>
  <si>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</si>
  <si>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</si>
  <si>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</si>
  <si>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</si>
  <si>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</si>
  <si>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</si>
  <si>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</si>
  <si>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</si>
  <si>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</si>
  <si>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</si>
  <si>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2-12</t>
  </si>
  <si>
    <t>2-13</t>
  </si>
  <si>
    <t>2-14</t>
  </si>
  <si>
    <t>2-15</t>
  </si>
  <si>
    <t>2-16</t>
  </si>
  <si>
    <r>
      <t>检测</t>
    </r>
    <r>
      <rPr>
        <b/>
        <sz val="9"/>
        <color rgb="FF000000"/>
        <rFont val="宋体"/>
        <charset val="134"/>
      </rPr>
      <t xml:space="preserve">
</t>
    </r>
    <r>
      <rPr>
        <b/>
        <sz val="9"/>
        <color rgb="FF000000"/>
        <rFont val="宋体"/>
        <charset val="134"/>
      </rPr>
      <t>工具</t>
    </r>
  </si>
  <si>
    <r>
      <t>复测</t>
    </r>
    <r>
      <rPr>
        <b/>
        <sz val="11"/>
        <color rgb="FF000000"/>
        <rFont val="Arial"/>
        <charset val="134"/>
      </rPr>
      <t>1-1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</si>
</sst>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42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b/>
      <sz val="9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Arial"/>
      <charset val="134"/>
    </font>
    <font>
      <sz val="10"/>
      <color rgb="FF000000"/>
      <name val="等线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sz val="8"/>
      <color rgb="FF00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19" applyNumberFormat="0" applyAlignment="0" applyProtection="0">
      <alignment vertical="center"/>
    </xf>
    <xf numFmtId="0" fontId="30" fillId="9" borderId="20" applyNumberFormat="0" applyAlignment="0" applyProtection="0">
      <alignment vertical="center"/>
    </xf>
    <xf numFmtId="0" fontId="31" fillId="9" borderId="19" applyNumberFormat="0" applyAlignment="0" applyProtection="0">
      <alignment vertical="center"/>
    </xf>
    <xf numFmtId="0" fontId="32" fillId="10" borderId="21" applyNumberForma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  <xf numFmtId="49" fontId="14" fillId="0" borderId="14" xfId="0" applyNumberFormat="1" applyFont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 applyProtection="1">
      <alignment horizontal="center" vertical="center"/>
      <protection locked="0"/>
    </xf>
    <xf numFmtId="177" fontId="14" fillId="0" borderId="14" xfId="0" applyNumberFormat="1" applyFont="1" applyBorder="1" applyAlignment="1">
      <alignment horizontal="center" vertical="center"/>
    </xf>
    <xf numFmtId="177" fontId="14" fillId="0" borderId="14" xfId="0" applyNumberFormat="1" applyFont="1" applyBorder="1" applyAlignment="1" applyProtection="1">
      <alignment horizontal="center" vertical="center"/>
      <protection locked="0"/>
    </xf>
    <xf numFmtId="0" fontId="14" fillId="0" borderId="14" xfId="0" applyFont="1" applyBorder="1" applyAlignment="1" applyProtection="1">
      <alignment horizontal="center" vertical="center" wrapText="1"/>
      <protection locked="0"/>
    </xf>
    <xf numFmtId="0" fontId="15" fillId="5" borderId="14" xfId="0" applyFont="1" applyFill="1" applyBorder="1" applyAlignment="1" applyProtection="1">
      <alignment horizontal="center" vertical="center"/>
      <protection locked="0"/>
    </xf>
    <xf numFmtId="0" fontId="15" fillId="6" borderId="14" xfId="0" applyFont="1" applyFill="1" applyBorder="1" applyAlignment="1">
      <alignment horizontal="center" vertical="center"/>
    </xf>
    <xf numFmtId="49" fontId="15" fillId="5" borderId="14" xfId="0" applyNumberFormat="1" applyFont="1" applyFill="1" applyBorder="1" applyAlignment="1" applyProtection="1">
      <alignment horizontal="center" vertical="center" wrapText="1"/>
      <protection locked="0"/>
    </xf>
    <xf numFmtId="49" fontId="16" fillId="5" borderId="14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14" xfId="0" applyFont="1" applyFill="1" applyBorder="1" applyAlignment="1" applyProtection="1">
      <alignment horizontal="center" vertical="center"/>
      <protection locked="0"/>
    </xf>
    <xf numFmtId="0" fontId="15" fillId="6" borderId="1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77" fontId="19" fillId="5" borderId="14" xfId="0" applyNumberFormat="1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topLeftCell="Q1" workbookViewId="0">
      <selection activeCell="Z18" sqref="Z18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22.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4">
        <v>16</v>
      </c>
      <c r="Z6" s="55" t="str">
        <f t="shared" ref="Z6:AO6" si="0">J6</f>
        <v>1-1</v>
      </c>
      <c r="AA6" s="55" t="str">
        <f t="shared" si="0"/>
        <v>1-2</v>
      </c>
      <c r="AB6" s="55" t="str">
        <f t="shared" si="0"/>
        <v>1-3</v>
      </c>
      <c r="AC6" s="55" t="str">
        <f t="shared" si="0"/>
        <v>1-4</v>
      </c>
      <c r="AD6" s="55" t="str">
        <f t="shared" si="0"/>
        <v>1-5</v>
      </c>
      <c r="AE6" s="55" t="str">
        <f t="shared" si="0"/>
        <v>1-6</v>
      </c>
      <c r="AF6" s="55" t="str">
        <f t="shared" si="0"/>
        <v>1-7</v>
      </c>
      <c r="AG6" s="55" t="str">
        <f t="shared" si="0"/>
        <v>1-8</v>
      </c>
      <c r="AH6" s="55" t="str">
        <f t="shared" si="0"/>
        <v>1-9</v>
      </c>
      <c r="AI6" s="55" t="str">
        <f t="shared" si="0"/>
        <v>1-10</v>
      </c>
      <c r="AJ6" s="55" t="str">
        <f t="shared" si="0"/>
        <v>1-12</v>
      </c>
      <c r="AK6" s="55" t="str">
        <f t="shared" si="0"/>
        <v>1-13</v>
      </c>
      <c r="AL6" s="55" t="str">
        <f t="shared" si="0"/>
        <v>1-14</v>
      </c>
      <c r="AM6" s="55" t="str">
        <f t="shared" si="0"/>
        <v>1-15</v>
      </c>
      <c r="AN6" s="55" t="str">
        <f t="shared" si="0"/>
        <v>1-16</v>
      </c>
      <c r="AO6" s="55">
        <f t="shared" si="0"/>
        <v>16</v>
      </c>
    </row>
    <row r="7" ht="15" customHeight="1" spans="1:41">
      <c r="A7" s="56">
        <v>46203</v>
      </c>
      <c r="B7" s="57" t="s">
        <v>43</v>
      </c>
      <c r="C7" s="57"/>
      <c r="D7" s="58">
        <v>6.26</v>
      </c>
      <c r="E7" s="58">
        <v>0.015</v>
      </c>
      <c r="F7" s="58">
        <v>-0.015</v>
      </c>
      <c r="G7" s="59">
        <f t="shared" ref="G7" si="1">D7+E7</f>
        <v>6.275</v>
      </c>
      <c r="H7" s="59">
        <f t="shared" ref="H7" si="2">D7+F7</f>
        <v>6.245</v>
      </c>
      <c r="I7" s="58" t="s">
        <v>44</v>
      </c>
      <c r="J7" s="60">
        <v>6.2695</v>
      </c>
      <c r="K7" s="60">
        <v>6.2594</v>
      </c>
      <c r="L7" s="60">
        <v>6.2833</v>
      </c>
      <c r="M7" s="60">
        <v>6.2719</v>
      </c>
      <c r="N7" s="60">
        <v>6.2723</v>
      </c>
      <c r="O7" s="60">
        <v>6.2674</v>
      </c>
      <c r="P7" s="60">
        <v>6.274</v>
      </c>
      <c r="Q7" s="60">
        <v>6.2623</v>
      </c>
      <c r="R7" s="60">
        <v>6.2671</v>
      </c>
      <c r="S7" s="60">
        <v>6.2783</v>
      </c>
      <c r="T7" s="60">
        <v>6.272</v>
      </c>
      <c r="U7" s="60">
        <v>6.2618</v>
      </c>
      <c r="V7" s="60">
        <v>6.2691</v>
      </c>
      <c r="W7" s="60">
        <v>6.2687</v>
      </c>
      <c r="X7" s="60">
        <v>6.2678</v>
      </c>
      <c r="Y7" s="60"/>
      <c r="Z7" s="61" t="str">
        <f t="shared" ref="Z7" si="3">IF(J7="","",IF(J7&gt;($D7+$E7),(J7-$D7-$E7),IF(J7&lt;($D7+$F7),(J7-$D7-$F7),"√")))</f>
        <v>√</v>
      </c>
      <c r="AA7" s="61" t="str">
        <f t="shared" ref="AA7" si="4">IF(K7="","",IF(K7&gt;($D7+$E7),(K7-$D7-$E7),IF(K7&lt;($D7+$F7),(K7-$D7-$F7),"√")))</f>
        <v>√</v>
      </c>
      <c r="AB7" s="61">
        <f t="shared" ref="AB7:AO7" si="5">IF(L7="","",IF(L7&gt;($D7+$E7),(L7-$D7-$E7),IF(L7&lt;($D7+$F7),(L7-$D7-$F7),"√")))</f>
        <v>0.00829999999999988</v>
      </c>
      <c r="AC7" s="61" t="str">
        <f t="shared" si="5"/>
        <v>√</v>
      </c>
      <c r="AD7" s="61" t="str">
        <f t="shared" si="5"/>
        <v>√</v>
      </c>
      <c r="AE7" s="61" t="str">
        <f t="shared" si="5"/>
        <v>√</v>
      </c>
      <c r="AF7" s="61" t="str">
        <f t="shared" si="5"/>
        <v>√</v>
      </c>
      <c r="AG7" s="61" t="str">
        <f t="shared" si="5"/>
        <v>√</v>
      </c>
      <c r="AH7" s="61" t="str">
        <f t="shared" si="5"/>
        <v>√</v>
      </c>
      <c r="AI7" s="61">
        <f t="shared" si="5"/>
        <v>0.00329999999999998</v>
      </c>
      <c r="AJ7" s="61" t="str">
        <f t="shared" si="5"/>
        <v>√</v>
      </c>
      <c r="AK7" s="61" t="str">
        <f t="shared" si="5"/>
        <v>√</v>
      </c>
      <c r="AL7" s="61" t="str">
        <f t="shared" si="5"/>
        <v>√</v>
      </c>
      <c r="AM7" s="61" t="str">
        <f t="shared" si="5"/>
        <v>√</v>
      </c>
      <c r="AN7" s="61" t="str">
        <f t="shared" si="5"/>
        <v>√</v>
      </c>
      <c r="AO7" s="61" t="str">
        <f t="shared" si="5"/>
        <v/>
      </c>
    </row>
    <row r="10" customHeight="1" spans="1:41">
      <c r="A10" s="38" t="s">
        <v>15</v>
      </c>
      <c r="B10" s="38" t="s">
        <v>16</v>
      </c>
      <c r="C10" s="39" t="s">
        <v>17</v>
      </c>
      <c r="D10" s="40" t="s">
        <v>18</v>
      </c>
      <c r="E10" s="41" t="s">
        <v>19</v>
      </c>
      <c r="F10" s="42" t="s">
        <v>20</v>
      </c>
      <c r="G10" s="42" t="s">
        <v>21</v>
      </c>
      <c r="H10" s="42" t="s">
        <v>22</v>
      </c>
      <c r="I10" s="43" t="s">
        <v>23</v>
      </c>
      <c r="J10" s="44" t="s">
        <v>24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5" t="s">
        <v>25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</row>
    <row r="11" ht="13.5" customHeight="1" spans="1:41">
      <c r="A11" s="48"/>
      <c r="B11" s="49"/>
      <c r="C11" s="50"/>
      <c r="D11" s="40"/>
      <c r="E11" s="41"/>
      <c r="F11" s="42"/>
      <c r="G11" s="42"/>
      <c r="H11" s="42"/>
      <c r="I11" s="40"/>
      <c r="J11" s="44" t="s">
        <v>26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51" t="s">
        <v>27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</row>
    <row r="12" customHeight="1" spans="1:41">
      <c r="A12" s="48"/>
      <c r="B12" s="49"/>
      <c r="C12" s="52"/>
      <c r="D12" s="40"/>
      <c r="E12" s="41"/>
      <c r="F12" s="42"/>
      <c r="G12" s="42"/>
      <c r="H12" s="42"/>
      <c r="I12" s="40"/>
      <c r="J12" s="53" t="s">
        <v>45</v>
      </c>
      <c r="K12" s="53" t="s">
        <v>46</v>
      </c>
      <c r="L12" s="53" t="s">
        <v>47</v>
      </c>
      <c r="M12" s="53" t="s">
        <v>48</v>
      </c>
      <c r="N12" s="53" t="s">
        <v>49</v>
      </c>
      <c r="O12" s="53" t="s">
        <v>50</v>
      </c>
      <c r="P12" s="53" t="s">
        <v>51</v>
      </c>
      <c r="Q12" s="53" t="s">
        <v>52</v>
      </c>
      <c r="R12" s="53" t="s">
        <v>53</v>
      </c>
      <c r="S12" s="53" t="s">
        <v>54</v>
      </c>
      <c r="T12" s="53" t="s">
        <v>55</v>
      </c>
      <c r="U12" s="53" t="s">
        <v>56</v>
      </c>
      <c r="V12" s="53" t="s">
        <v>57</v>
      </c>
      <c r="W12" s="53" t="s">
        <v>58</v>
      </c>
      <c r="X12" s="53" t="s">
        <v>59</v>
      </c>
      <c r="Y12" s="54">
        <v>16</v>
      </c>
      <c r="Z12" s="55" t="str">
        <f t="shared" ref="Z12:AO12" si="6">J12</f>
        <v>2-1</v>
      </c>
      <c r="AA12" s="55" t="str">
        <f t="shared" si="6"/>
        <v>2-2</v>
      </c>
      <c r="AB12" s="55" t="str">
        <f t="shared" si="6"/>
        <v>2-3</v>
      </c>
      <c r="AC12" s="55" t="str">
        <f t="shared" si="6"/>
        <v>2-4</v>
      </c>
      <c r="AD12" s="55" t="str">
        <f t="shared" si="6"/>
        <v>2-5</v>
      </c>
      <c r="AE12" s="55" t="str">
        <f t="shared" si="6"/>
        <v>2-6</v>
      </c>
      <c r="AF12" s="55" t="str">
        <f t="shared" si="6"/>
        <v>2-7</v>
      </c>
      <c r="AG12" s="55" t="str">
        <f t="shared" si="6"/>
        <v>2-8</v>
      </c>
      <c r="AH12" s="55" t="str">
        <f t="shared" si="6"/>
        <v>2-9</v>
      </c>
      <c r="AI12" s="55" t="str">
        <f t="shared" si="6"/>
        <v>2-10</v>
      </c>
      <c r="AJ12" s="55" t="str">
        <f t="shared" si="6"/>
        <v>2-12</v>
      </c>
      <c r="AK12" s="55" t="str">
        <f t="shared" si="6"/>
        <v>2-13</v>
      </c>
      <c r="AL12" s="55" t="str">
        <f t="shared" si="6"/>
        <v>2-14</v>
      </c>
      <c r="AM12" s="55" t="str">
        <f t="shared" si="6"/>
        <v>2-15</v>
      </c>
      <c r="AN12" s="55" t="str">
        <f t="shared" si="6"/>
        <v>2-16</v>
      </c>
      <c r="AO12" s="55">
        <f t="shared" si="6"/>
        <v>16</v>
      </c>
    </row>
    <row r="13" ht="15" customHeight="1" spans="1:41">
      <c r="A13" s="56">
        <v>46203</v>
      </c>
      <c r="B13" s="57" t="s">
        <v>43</v>
      </c>
      <c r="C13" s="57"/>
      <c r="D13" s="58">
        <v>6.26</v>
      </c>
      <c r="E13" s="58">
        <v>0.015</v>
      </c>
      <c r="F13" s="58">
        <v>-0.015</v>
      </c>
      <c r="G13" s="59">
        <f>D13+E13</f>
        <v>6.275</v>
      </c>
      <c r="H13" s="59">
        <f>D13+F13</f>
        <v>6.245</v>
      </c>
      <c r="I13" s="58" t="s">
        <v>44</v>
      </c>
      <c r="J13" s="60">
        <v>6.2733</v>
      </c>
      <c r="K13" s="60">
        <v>6.2618</v>
      </c>
      <c r="L13" s="60">
        <v>6.2667</v>
      </c>
      <c r="M13" s="60">
        <v>6.264</v>
      </c>
      <c r="N13" s="60">
        <v>6.2668</v>
      </c>
      <c r="O13" s="60">
        <v>6.2727</v>
      </c>
      <c r="P13" s="60">
        <v>6.264</v>
      </c>
      <c r="Q13" s="60">
        <v>6.2664</v>
      </c>
      <c r="R13" s="60">
        <v>6.265</v>
      </c>
      <c r="S13" s="60">
        <v>6.2668</v>
      </c>
      <c r="T13" s="60">
        <v>6.2639</v>
      </c>
      <c r="U13" s="60">
        <v>6.2665</v>
      </c>
      <c r="V13" s="60">
        <v>6.2727</v>
      </c>
      <c r="W13" s="60">
        <v>6.2727</v>
      </c>
      <c r="X13" s="60">
        <v>6.2801</v>
      </c>
      <c r="Y13" s="60"/>
      <c r="Z13" s="61" t="str">
        <f t="shared" ref="Z13:AO13" si="7">IF(J13="","",IF(J13&gt;($D13+$E13),(J13-$D13-$E13),IF(J13&lt;($D13+$F13),(J13-$D13-$F13),"√")))</f>
        <v>√</v>
      </c>
      <c r="AA13" s="61" t="str">
        <f t="shared" si="7"/>
        <v>√</v>
      </c>
      <c r="AB13" s="61" t="str">
        <f t="shared" si="7"/>
        <v>√</v>
      </c>
      <c r="AC13" s="61" t="str">
        <f t="shared" si="7"/>
        <v>√</v>
      </c>
      <c r="AD13" s="61" t="str">
        <f t="shared" si="7"/>
        <v>√</v>
      </c>
      <c r="AE13" s="61" t="str">
        <f t="shared" si="7"/>
        <v>√</v>
      </c>
      <c r="AF13" s="61" t="str">
        <f t="shared" si="7"/>
        <v>√</v>
      </c>
      <c r="AG13" s="61" t="str">
        <f t="shared" si="7"/>
        <v>√</v>
      </c>
      <c r="AH13" s="61" t="str">
        <f t="shared" si="7"/>
        <v>√</v>
      </c>
      <c r="AI13" s="61" t="str">
        <f t="shared" si="7"/>
        <v>√</v>
      </c>
      <c r="AJ13" s="61" t="str">
        <f t="shared" si="7"/>
        <v>√</v>
      </c>
      <c r="AK13" s="61" t="str">
        <f t="shared" si="7"/>
        <v>√</v>
      </c>
      <c r="AL13" s="61" t="str">
        <f t="shared" si="7"/>
        <v>√</v>
      </c>
      <c r="AM13" s="61" t="str">
        <f t="shared" si="7"/>
        <v>√</v>
      </c>
      <c r="AN13" s="61">
        <f t="shared" si="7"/>
        <v>0.00510000000000023</v>
      </c>
      <c r="AO13" s="61" t="str">
        <f t="shared" si="7"/>
        <v/>
      </c>
    </row>
    <row r="16" spans="1:41">
      <c r="A16" s="62" t="s">
        <v>15</v>
      </c>
      <c r="B16" s="62" t="s">
        <v>16</v>
      </c>
      <c r="C16" s="62" t="s">
        <v>17</v>
      </c>
      <c r="D16" s="63" t="s">
        <v>18</v>
      </c>
      <c r="E16" s="64" t="s">
        <v>19</v>
      </c>
      <c r="F16" s="65" t="s">
        <v>20</v>
      </c>
      <c r="G16" s="65" t="s">
        <v>21</v>
      </c>
      <c r="H16" s="65" t="s">
        <v>22</v>
      </c>
      <c r="I16" s="66" t="s">
        <v>60</v>
      </c>
      <c r="J16" s="67" t="s">
        <v>24</v>
      </c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8" t="s">
        <v>25</v>
      </c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</row>
    <row r="17" spans="1:41">
      <c r="A17" s="62"/>
      <c r="B17" s="62"/>
      <c r="C17" s="62"/>
      <c r="D17" s="63"/>
      <c r="E17" s="64"/>
      <c r="F17" s="65"/>
      <c r="G17" s="65"/>
      <c r="H17" s="65"/>
      <c r="I17" s="66"/>
      <c r="J17" s="67" t="s">
        <v>26</v>
      </c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8" t="s">
        <v>27</v>
      </c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</row>
    <row r="18" ht="15" spans="1:41">
      <c r="A18" s="62"/>
      <c r="B18" s="62"/>
      <c r="C18" s="62"/>
      <c r="D18" s="63"/>
      <c r="E18" s="64"/>
      <c r="F18" s="65"/>
      <c r="G18" s="65"/>
      <c r="H18" s="65"/>
      <c r="I18" s="66"/>
      <c r="J18" s="69" t="s">
        <v>61</v>
      </c>
      <c r="K18" s="70" t="s">
        <v>29</v>
      </c>
      <c r="L18" s="70" t="s">
        <v>30</v>
      </c>
      <c r="M18" s="70" t="s">
        <v>31</v>
      </c>
      <c r="N18" s="70" t="s">
        <v>32</v>
      </c>
      <c r="O18" s="70" t="s">
        <v>33</v>
      </c>
      <c r="P18" s="70" t="s">
        <v>34</v>
      </c>
      <c r="Q18" s="70" t="s">
        <v>35</v>
      </c>
      <c r="R18" s="70" t="s">
        <v>36</v>
      </c>
      <c r="S18" s="70" t="s">
        <v>37</v>
      </c>
      <c r="T18" s="70" t="s">
        <v>38</v>
      </c>
      <c r="U18" s="70" t="s">
        <v>39</v>
      </c>
      <c r="V18" s="70" t="s">
        <v>40</v>
      </c>
      <c r="W18" s="70" t="s">
        <v>41</v>
      </c>
      <c r="X18" s="70" t="s">
        <v>42</v>
      </c>
      <c r="Y18" s="71">
        <v>16</v>
      </c>
      <c r="Z18" s="72" t="s">
        <v>61</v>
      </c>
      <c r="AA18" s="73" t="s">
        <v>29</v>
      </c>
      <c r="AB18" s="73" t="s">
        <v>30</v>
      </c>
      <c r="AC18" s="73" t="s">
        <v>31</v>
      </c>
      <c r="AD18" s="73" t="s">
        <v>32</v>
      </c>
      <c r="AE18" s="73" t="s">
        <v>33</v>
      </c>
      <c r="AF18" s="73" t="s">
        <v>34</v>
      </c>
      <c r="AG18" s="73" t="s">
        <v>35</v>
      </c>
      <c r="AH18" s="73" t="s">
        <v>36</v>
      </c>
      <c r="AI18" s="73" t="s">
        <v>37</v>
      </c>
      <c r="AJ18" s="73" t="s">
        <v>38</v>
      </c>
      <c r="AK18" s="73" t="s">
        <v>39</v>
      </c>
      <c r="AL18" s="73" t="s">
        <v>40</v>
      </c>
      <c r="AM18" s="73" t="s">
        <v>41</v>
      </c>
      <c r="AN18" s="73" t="s">
        <v>42</v>
      </c>
      <c r="AO18" s="73">
        <v>16</v>
      </c>
    </row>
    <row r="19" spans="1:41">
      <c r="A19" s="74">
        <v>46203</v>
      </c>
      <c r="B19" s="75" t="s">
        <v>43</v>
      </c>
      <c r="C19" s="75"/>
      <c r="D19" s="76">
        <v>6.26</v>
      </c>
      <c r="E19" s="76">
        <v>0.015</v>
      </c>
      <c r="F19" s="76">
        <v>-0.015</v>
      </c>
      <c r="G19" s="76">
        <v>6.275</v>
      </c>
      <c r="H19" s="76">
        <v>6.245</v>
      </c>
      <c r="I19" s="76" t="s">
        <v>44</v>
      </c>
      <c r="J19" s="60">
        <v>6.2821</v>
      </c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61">
        <f>IF(J19="","",IF(J19&gt;($D19+$E19),(J19-$D19-$E19),IF(J19&lt;($D19+$F19),(J19-$D19-$F19),"√")))</f>
        <v>0.00710000000000001</v>
      </c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</row>
  </sheetData>
  <mergeCells count="54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J16:Y16"/>
    <mergeCell ref="Z16:AO16"/>
    <mergeCell ref="J17:Y17"/>
    <mergeCell ref="Z17:AO17"/>
    <mergeCell ref="A2:A3"/>
    <mergeCell ref="A4:A6"/>
    <mergeCell ref="A10:A12"/>
    <mergeCell ref="A16:A18"/>
    <mergeCell ref="B4:B6"/>
    <mergeCell ref="B10:B12"/>
    <mergeCell ref="B16:B18"/>
    <mergeCell ref="C4:C6"/>
    <mergeCell ref="C10:C12"/>
    <mergeCell ref="C16:C18"/>
    <mergeCell ref="D4:D6"/>
    <mergeCell ref="D10:D12"/>
    <mergeCell ref="D16:D18"/>
    <mergeCell ref="E4:E6"/>
    <mergeCell ref="E10:E12"/>
    <mergeCell ref="E16:E18"/>
    <mergeCell ref="F4:F6"/>
    <mergeCell ref="F10:F12"/>
    <mergeCell ref="F16:F18"/>
    <mergeCell ref="G4:G6"/>
    <mergeCell ref="G10:G12"/>
    <mergeCell ref="G16:G18"/>
    <mergeCell ref="H4:H6"/>
    <mergeCell ref="H10:H12"/>
    <mergeCell ref="H16:H18"/>
    <mergeCell ref="I4:I6"/>
    <mergeCell ref="I10:I12"/>
    <mergeCell ref="I16:I18"/>
    <mergeCell ref="H2:K3"/>
    <mergeCell ref="L2:R3"/>
    <mergeCell ref="B2:G3"/>
  </mergeCells>
  <conditionalFormatting sqref="J7:Y7">
    <cfRule type="cellIs" dxfId="0" priority="19" operator="notBetween">
      <formula>$G7</formula>
      <formula>$H7</formula>
    </cfRule>
  </conditionalFormatting>
  <conditionalFormatting sqref="J13:Y13">
    <cfRule type="cellIs" dxfId="0" priority="2" operator="notBetween">
      <formula>$G13</formula>
      <formula>$H13</formula>
    </cfRule>
  </conditionalFormatting>
  <conditionalFormatting sqref="J19">
    <cfRule type="cellIs" dxfId="0" priority="1" operator="notBetween">
      <formula>$G19</formula>
      <formula>$H19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2026-06-30T13:08:34Z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