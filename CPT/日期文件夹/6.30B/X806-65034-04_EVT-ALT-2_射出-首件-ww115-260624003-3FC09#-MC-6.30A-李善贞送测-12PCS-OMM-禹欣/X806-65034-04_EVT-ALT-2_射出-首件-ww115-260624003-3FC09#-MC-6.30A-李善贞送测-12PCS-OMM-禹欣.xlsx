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<sst xmlns="http://schemas.openxmlformats.org/spreadsheetml/2006/main" count="35" uniqueCount="33">
  <si>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</si>
  <si>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</si>
  <si>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</si>
  <si>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</si>
  <si>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ww115-260624003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</si>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</sst>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58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workbookViewId="0">
      <selection activeCell="E9" sqref="E9:K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46023</v>
      </c>
      <c r="K6" s="56">
        <v>2</v>
      </c>
      <c r="L6" s="56">
        <v>3</v>
      </c>
      <c r="M6" s="56">
        <v>4</v>
      </c>
      <c r="N6" s="56">
        <v>5</v>
      </c>
      <c r="O6" s="56">
        <v>6</v>
      </c>
      <c r="P6" s="56">
        <v>7</v>
      </c>
      <c r="Q6" s="56">
        <v>8</v>
      </c>
      <c r="R6" s="56">
        <v>9</v>
      </c>
      <c r="S6" s="56">
        <v>10</v>
      </c>
      <c r="T6" s="56">
        <v>11</v>
      </c>
      <c r="U6" s="56">
        <v>12</v>
      </c>
      <c r="V6" s="56">
        <v>13</v>
      </c>
      <c r="W6" s="56">
        <v>14</v>
      </c>
      <c r="X6" s="56">
        <v>15</v>
      </c>
      <c r="Y6" s="56">
        <v>16</v>
      </c>
      <c r="Z6" s="57">
        <f t="shared" ref="Z6" si="0">J6</f>
        <v>46023</v>
      </c>
      <c r="AA6" s="57">
        <f t="shared" ref="AA6:AO6" si="1">K6</f>
        <v>2</v>
      </c>
      <c r="AB6" s="57">
        <f t="shared" si="1"/>
        <v>3</v>
      </c>
      <c r="AC6" s="57">
        <f t="shared" si="1"/>
        <v>4</v>
      </c>
      <c r="AD6" s="57">
        <f t="shared" si="1"/>
        <v>5</v>
      </c>
      <c r="AE6" s="57">
        <f t="shared" si="1"/>
        <v>6</v>
      </c>
      <c r="AF6" s="57">
        <f t="shared" si="1"/>
        <v>7</v>
      </c>
      <c r="AG6" s="57">
        <f t="shared" si="1"/>
        <v>8</v>
      </c>
      <c r="AH6" s="57">
        <f t="shared" si="1"/>
        <v>9</v>
      </c>
      <c r="AI6" s="57">
        <f t="shared" si="1"/>
        <v>10</v>
      </c>
      <c r="AJ6" s="57">
        <f t="shared" si="1"/>
        <v>11</v>
      </c>
      <c r="AK6" s="57">
        <f t="shared" si="1"/>
        <v>12</v>
      </c>
      <c r="AL6" s="57">
        <f t="shared" si="1"/>
        <v>13</v>
      </c>
      <c r="AM6" s="57">
        <f t="shared" si="1"/>
        <v>14</v>
      </c>
      <c r="AN6" s="57">
        <f t="shared" si="1"/>
        <v>15</v>
      </c>
      <c r="AO6" s="57">
        <f t="shared" si="1"/>
        <v>16</v>
      </c>
    </row>
    <row r="7" spans="1:41">
      <c r="A7" s="58">
        <v>46203</v>
      </c>
      <c r="B7" s="59" t="s">
        <v>28</v>
      </c>
      <c r="C7" s="59"/>
      <c r="D7" s="60">
        <v>9.52</v>
      </c>
      <c r="E7" s="60">
        <v>0.05</v>
      </c>
      <c r="F7" s="60">
        <v>-0.05</v>
      </c>
      <c r="G7" s="61">
        <f>D7+E7</f>
        <v>9.57</v>
      </c>
      <c r="H7" s="61">
        <f>D7+F7</f>
        <v>9.47</v>
      </c>
      <c r="I7" s="62" t="s">
        <v>29</v>
      </c>
      <c r="J7" s="63">
        <v>9.5081</v>
      </c>
      <c r="K7" s="63">
        <v>9.5248</v>
      </c>
      <c r="L7" s="63">
        <v>9.5089</v>
      </c>
      <c r="M7" s="63">
        <v>9.5271</v>
      </c>
      <c r="N7" s="63">
        <v>9.5406</v>
      </c>
      <c r="O7" s="63">
        <v>9.5346</v>
      </c>
      <c r="P7" s="63">
        <v>9.5166</v>
      </c>
      <c r="Q7" s="63">
        <v>9.5356</v>
      </c>
      <c r="R7" s="63">
        <v>9.5167</v>
      </c>
      <c r="S7" s="63">
        <v>9.5233</v>
      </c>
      <c r="T7" s="63">
        <v>9.5236</v>
      </c>
      <c r="U7" s="63">
        <v>9.5443</v>
      </c>
      <c r="V7" s="63"/>
      <c r="W7" s="63"/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/>
      </c>
      <c r="AM7" s="64" t="str">
        <f t="shared" si="2"/>
        <v/>
      </c>
      <c r="AN7" s="64" t="str">
        <f t="shared" si="2"/>
        <v/>
      </c>
      <c r="AO7" s="64" t="str">
        <f t="shared" si="2"/>
        <v/>
      </c>
    </row>
    <row r="8" spans="1:41">
      <c r="A8" s="65"/>
      <c r="B8" s="59" t="s">
        <v>30</v>
      </c>
      <c r="C8" s="59" t="s">
        <v>31</v>
      </c>
      <c r="D8" s="60">
        <v>3.88</v>
      </c>
      <c r="E8" s="60">
        <v>0.01</v>
      </c>
      <c r="F8" s="60">
        <v>-0.01</v>
      </c>
      <c r="G8" s="61">
        <f>D8+E8</f>
        <v>3.89</v>
      </c>
      <c r="H8" s="61">
        <f>D8+F8</f>
        <v>3.87</v>
      </c>
      <c r="I8" s="62" t="s">
        <v>29</v>
      </c>
      <c r="J8" s="63">
        <v>3.8791</v>
      </c>
      <c r="K8" s="63">
        <v>3.8783</v>
      </c>
      <c r="L8" s="63">
        <v>3.8792</v>
      </c>
      <c r="M8" s="63">
        <v>3.8789</v>
      </c>
      <c r="N8" s="63">
        <v>3.8794</v>
      </c>
      <c r="O8" s="63">
        <v>3.8781</v>
      </c>
      <c r="P8" s="63">
        <v>3.8791</v>
      </c>
      <c r="Q8" s="63">
        <v>3.8783</v>
      </c>
      <c r="R8" s="63">
        <v>3.8873</v>
      </c>
      <c r="S8" s="63">
        <v>3.8857</v>
      </c>
      <c r="T8" s="63">
        <v>3.8724</v>
      </c>
      <c r="U8" s="63">
        <v>3.8803</v>
      </c>
      <c r="V8" s="63"/>
      <c r="W8" s="63"/>
      <c r="X8" s="63"/>
      <c r="Y8" s="63"/>
      <c r="Z8" s="64" t="str">
        <f t="shared" ref="Z8:AO8" si="3">IF(J8="","",IF(J8&gt;($D8+$E8),(J8-$D8-$E8),IF(J8&lt;($D8+$F8),(J8-$D8-$F8),"√")))</f>
        <v>√</v>
      </c>
      <c r="AA8" s="64" t="str">
        <f t="shared" si="3"/>
        <v>√</v>
      </c>
      <c r="AB8" s="64" t="str">
        <f t="shared" si="3"/>
        <v>√</v>
      </c>
      <c r="AC8" s="64" t="str">
        <f t="shared" si="3"/>
        <v>√</v>
      </c>
      <c r="AD8" s="64" t="str">
        <f t="shared" si="3"/>
        <v>√</v>
      </c>
      <c r="AE8" s="64" t="str">
        <f t="shared" si="3"/>
        <v>√</v>
      </c>
      <c r="AF8" s="64" t="str">
        <f t="shared" si="3"/>
        <v>√</v>
      </c>
      <c r="AG8" s="64" t="str">
        <f t="shared" si="3"/>
        <v>√</v>
      </c>
      <c r="AH8" s="64" t="str">
        <f t="shared" si="3"/>
        <v>√</v>
      </c>
      <c r="AI8" s="64" t="str">
        <f t="shared" si="3"/>
        <v>√</v>
      </c>
      <c r="AJ8" s="64" t="str">
        <f t="shared" si="3"/>
        <v>√</v>
      </c>
      <c r="AK8" s="64" t="str">
        <f t="shared" si="3"/>
        <v>√</v>
      </c>
      <c r="AL8" s="64" t="str">
        <f t="shared" si="3"/>
        <v/>
      </c>
      <c r="AM8" s="64" t="str">
        <f t="shared" si="3"/>
        <v/>
      </c>
      <c r="AN8" s="64" t="str">
        <f t="shared" si="3"/>
        <v/>
      </c>
      <c r="AO8" s="64" t="str">
        <f t="shared" si="3"/>
        <v/>
      </c>
    </row>
    <row r="9" spans="1:41">
      <c r="A9" s="66"/>
      <c r="B9" s="59" t="s">
        <v>32</v>
      </c>
      <c r="C9" s="59"/>
      <c r="D9" s="60">
        <v>6.48</v>
      </c>
      <c r="E9" s="60">
        <v>0.03</v>
      </c>
      <c r="F9" s="60">
        <v>-0.03</v>
      </c>
      <c r="G9" s="61">
        <f>D9+E9</f>
        <v>6.51</v>
      </c>
      <c r="H9" s="61">
        <f>D9+F9</f>
        <v>6.45</v>
      </c>
      <c r="I9" s="62" t="s">
        <v>29</v>
      </c>
      <c r="J9" s="63">
        <v>6.5004</v>
      </c>
      <c r="K9" s="63">
        <v>6.5034</v>
      </c>
      <c r="L9" s="63">
        <v>6.4679</v>
      </c>
      <c r="M9" s="63">
        <v>6.4951</v>
      </c>
      <c r="N9" s="63">
        <v>6.4736</v>
      </c>
      <c r="O9" s="63">
        <v>6.454</v>
      </c>
      <c r="P9" s="63">
        <v>6.5019</v>
      </c>
      <c r="Q9" s="63">
        <v>6.4664</v>
      </c>
      <c r="R9" s="63">
        <v>6.455</v>
      </c>
      <c r="S9" s="63">
        <v>6.4519</v>
      </c>
      <c r="T9" s="63">
        <v>6.5053</v>
      </c>
      <c r="U9" s="63">
        <v>6.4603</v>
      </c>
      <c r="V9" s="63"/>
      <c r="W9" s="63"/>
      <c r="X9" s="63"/>
      <c r="Y9" s="63"/>
      <c r="Z9" s="64" t="str">
        <f t="shared" ref="Z9:AO9" si="4">IF(J9="","",IF(J9&gt;($D9+$E9),(J9-$D9-$E9),IF(J9&lt;($D9+$F9),(J9-$D9-$F9),"√")))</f>
        <v>√</v>
      </c>
      <c r="AA9" s="64" t="str">
        <f t="shared" si="4"/>
        <v>√</v>
      </c>
      <c r="AB9" s="64" t="str">
        <f t="shared" si="4"/>
        <v>√</v>
      </c>
      <c r="AC9" s="64" t="str">
        <f t="shared" si="4"/>
        <v>√</v>
      </c>
      <c r="AD9" s="64" t="str">
        <f t="shared" si="4"/>
        <v>√</v>
      </c>
      <c r="AE9" s="64" t="str">
        <f t="shared" si="4"/>
        <v>√</v>
      </c>
      <c r="AF9" s="64" t="str">
        <f t="shared" si="4"/>
        <v>√</v>
      </c>
      <c r="AG9" s="64" t="str">
        <f t="shared" si="4"/>
        <v>√</v>
      </c>
      <c r="AH9" s="64" t="str">
        <f t="shared" si="4"/>
        <v>√</v>
      </c>
      <c r="AI9" s="64" t="str">
        <f t="shared" si="4"/>
        <v>√</v>
      </c>
      <c r="AJ9" s="64" t="str">
        <f t="shared" si="4"/>
        <v>√</v>
      </c>
      <c r="AK9" s="64" t="str">
        <f t="shared" si="4"/>
        <v>√</v>
      </c>
      <c r="AL9" s="64" t="str">
        <f t="shared" si="4"/>
        <v/>
      </c>
      <c r="AM9" s="64" t="str">
        <f t="shared" si="4"/>
        <v/>
      </c>
      <c r="AN9" s="64" t="str">
        <f t="shared" si="4"/>
        <v/>
      </c>
      <c r="AO9" s="64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