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13-41426" sheetId="8" r:id="rId1"/>
  </sheets>
  <definedNames>
    <definedName name="_xlnm.Print_Area" localSheetId="0">'613-41426'!$B$1:$AD$6</definedName>
    <definedName name="_xlnm.Print_Titles" localSheetId="0">'613-41426'!$1:$6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<sst xmlns="http://schemas.openxmlformats.org/spreadsheetml/2006/main" count="112" uniqueCount="60">
  <si>
    <t>安徽中耀智能科技有限公司首件尺寸报告</t>
  </si>
  <si>
    <t>料号</t>
  </si>
  <si>
    <t>613-41426</t>
  </si>
  <si>
    <t>工单号</t>
  </si>
  <si>
    <t>/</t>
  </si>
  <si>
    <t>工站</t>
  </si>
  <si>
    <t>炉号</t>
  </si>
  <si>
    <t>测量机台号</t>
  </si>
  <si>
    <t>测量人员</t>
  </si>
  <si>
    <t>审核</t>
  </si>
  <si>
    <t>焊接</t>
  </si>
  <si>
    <t>CMM6#/OMM5#</t>
  </si>
  <si>
    <t>张元庆/禹欣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</si>
  <si>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</si>
  <si>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</si>
  <si>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</si>
  <si>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</si>
  <si>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</si>
  <si>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</si>
  <si>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</si>
  <si>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</si>
  <si>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</si>
  <si>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</si>
  <si>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</si>
  <si>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</si>
  <si>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</si>
  <si>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14</t>
  </si>
  <si>
    <t>OMM</t>
  </si>
  <si>
    <t>FAI 6</t>
  </si>
  <si>
    <t>CMM</t>
  </si>
  <si>
    <t>FAI 12</t>
  </si>
  <si>
    <t>FAI 11.1</t>
  </si>
  <si>
    <t>FAI 11.2</t>
  </si>
  <si>
    <t>PL1_FLATNESS</t>
  </si>
  <si>
    <t>FAI-平面度</t>
  </si>
  <si>
    <t>ML_1</t>
  </si>
  <si>
    <t>ML_2</t>
  </si>
  <si>
    <t>ML_3</t>
  </si>
  <si>
    <t>ML_4</t>
  </si>
  <si>
    <t>ML_5</t>
  </si>
  <si>
    <t>ML_6</t>
  </si>
  <si>
    <t>ML_7</t>
  </si>
  <si>
    <t>ML_8</t>
  </si>
  <si>
    <t>ML_9</t>
  </si>
  <si>
    <t>ML_10</t>
  </si>
  <si>
    <t>ML_11</t>
  </si>
  <si>
    <t>ML_12</t>
  </si>
  <si>
    <t>ML_13</t>
  </si>
  <si>
    <t>ML_14</t>
  </si>
  <si>
    <t>ML_15</t>
  </si>
  <si>
    <t>ML_16</t>
  </si>
  <si>
    <t>ML_17</t>
  </si>
  <si>
    <t>ML_18</t>
  </si>
  <si>
    <t>ML_19</t>
  </si>
  <si>
    <t>ML_20</t>
  </si>
  <si>
    <t>ML_21</t>
  </si>
  <si>
    <t>ML_22</t>
  </si>
  <si>
    <t>ML_23</t>
  </si>
  <si>
    <t>ML_24</t>
  </si>
  <si>
    <t>FAI_9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</si>
</sst>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4" borderId="1" xfId="60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2" fillId="5" borderId="1" xfId="60" applyFont="1" applyFill="1" applyBorder="1" applyAlignment="1">
      <alignment horizontal="center" vertical="center"/>
    </xf>
    <xf numFmtId="0" fontId="12" fillId="6" borderId="1" xfId="60" applyFont="1" applyFill="1" applyBorder="1" applyAlignment="1">
      <alignment horizontal="center" vertical="center"/>
    </xf>
    <xf numFmtId="0" fontId="10" fillId="7" borderId="7" xfId="53" applyFont="1" applyFill="1" applyBorder="1" applyAlignment="1">
      <alignment horizontal="center" vertical="center"/>
    </xf>
    <xf numFmtId="0" fontId="11" fillId="7" borderId="1" xfId="59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0"/>
  <sheetViews>
    <sheetView tabSelected="1" topLeftCell="F1" workbookViewId="0">
      <selection activeCell="U13" sqref="U13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 t="s">
        <v>4</v>
      </c>
      <c r="L2" s="9"/>
      <c r="M2" s="9"/>
      <c r="N2" s="9"/>
      <c r="O2" s="9"/>
      <c r="P2" s="9"/>
      <c r="Q2" s="9"/>
      <c r="R2" s="10" t="s">
        <v>5</v>
      </c>
      <c r="S2" s="11"/>
      <c r="T2" s="11"/>
      <c r="U2" s="11"/>
      <c r="V2" s="11"/>
      <c r="W2" s="12"/>
      <c r="X2" s="13" t="s">
        <v>6</v>
      </c>
      <c r="Y2" s="14"/>
      <c r="Z2" s="14"/>
      <c r="AA2" s="14"/>
      <c r="AB2" s="14"/>
      <c r="AC2" s="15"/>
      <c r="AD2" s="13" t="s">
        <v>7</v>
      </c>
      <c r="AE2" s="14"/>
      <c r="AF2" s="14"/>
      <c r="AG2" s="14"/>
      <c r="AH2" s="15"/>
      <c r="AI2" s="16" t="s">
        <v>8</v>
      </c>
      <c r="AJ2" s="17"/>
      <c r="AK2" s="17"/>
      <c r="AL2" s="18"/>
      <c r="AM2" s="16" t="s">
        <v>9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10</v>
      </c>
      <c r="S3" s="26"/>
      <c r="T3" s="26"/>
      <c r="U3" s="26"/>
      <c r="V3" s="26"/>
      <c r="W3" s="27"/>
      <c r="X3" s="13" t="s">
        <v>4</v>
      </c>
      <c r="Y3" s="14"/>
      <c r="Z3" s="14"/>
      <c r="AA3" s="14"/>
      <c r="AB3" s="14"/>
      <c r="AC3" s="15"/>
      <c r="AD3" s="28" t="s">
        <v>11</v>
      </c>
      <c r="AE3" s="29"/>
      <c r="AF3" s="29"/>
      <c r="AG3" s="29"/>
      <c r="AH3" s="30"/>
      <c r="AI3" s="28" t="s">
        <v>12</v>
      </c>
      <c r="AJ3" s="29"/>
      <c r="AK3" s="29"/>
      <c r="AL3" s="30"/>
      <c r="AM3" s="28" t="s">
        <v>13</v>
      </c>
      <c r="AN3" s="30"/>
    </row>
    <row r="4" customHeight="1" spans="1:40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4" t="s">
        <v>19</v>
      </c>
      <c r="G4" s="34" t="s">
        <v>20</v>
      </c>
      <c r="H4" s="35" t="s">
        <v>21</v>
      </c>
      <c r="I4" s="36" t="s">
        <v>22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23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25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/>
      <c r="T6" s="43"/>
      <c r="U6" s="43"/>
      <c r="V6" s="44"/>
      <c r="W6" s="43"/>
      <c r="X6" s="43"/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/>
      <c r="AJ6" s="45"/>
      <c r="AK6" s="45"/>
      <c r="AL6" s="45"/>
      <c r="AM6" s="45"/>
      <c r="AN6" s="45"/>
    </row>
    <row r="7" ht="15" customHeight="1" spans="1:40">
      <c r="A7" s="46">
        <v>46203</v>
      </c>
      <c r="B7" s="47" t="s">
        <v>26</v>
      </c>
      <c r="C7" s="48">
        <v>0.5</v>
      </c>
      <c r="D7" s="48">
        <v>0.03</v>
      </c>
      <c r="E7" s="48">
        <v>-0.03</v>
      </c>
      <c r="F7" s="49">
        <f>C7+D7</f>
        <v>0.53</v>
      </c>
      <c r="G7" s="49">
        <f>C7+E7</f>
        <v>0.47</v>
      </c>
      <c r="H7" s="48" t="s">
        <v>27</v>
      </c>
      <c r="I7" s="50">
        <v>0.5024</v>
      </c>
      <c r="J7" s="50">
        <v>0.5042</v>
      </c>
      <c r="K7" s="50">
        <v>0.492</v>
      </c>
      <c r="L7" s="50">
        <v>0.4966</v>
      </c>
      <c r="M7" s="50">
        <v>0.5001</v>
      </c>
      <c r="N7" s="50">
        <v>0.4926</v>
      </c>
      <c r="O7" s="50">
        <v>0.492</v>
      </c>
      <c r="P7" s="50">
        <v>0.493</v>
      </c>
      <c r="Q7" s="50">
        <v>0.4984</v>
      </c>
      <c r="R7" s="50">
        <v>0.5192</v>
      </c>
      <c r="S7" s="50"/>
      <c r="T7" s="50"/>
      <c r="U7" s="50"/>
      <c r="V7" s="50"/>
      <c r="W7" s="50"/>
      <c r="X7" s="50"/>
      <c r="Y7" s="51" t="str">
        <f t="shared" ref="Y7:AN7" si="1">IF(I7="","",IF(I7&gt;($C7+$D7),(I7-$C7-$D7),IF(I7&lt;($C7+$E7),(I7-$C7-$E7),"√")))</f>
        <v>√</v>
      </c>
      <c r="Z7" s="51" t="str">
        <f t="shared" si="1"/>
        <v>√</v>
      </c>
      <c r="AA7" s="51" t="str">
        <f t="shared" si="1"/>
        <v>√</v>
      </c>
      <c r="AB7" s="51" t="str">
        <f t="shared" si="1"/>
        <v>√</v>
      </c>
      <c r="AC7" s="51" t="str">
        <f t="shared" si="1"/>
        <v>√</v>
      </c>
      <c r="AD7" s="51" t="str">
        <f t="shared" si="1"/>
        <v>√</v>
      </c>
      <c r="AE7" s="51" t="str">
        <f t="shared" si="1"/>
        <v>√</v>
      </c>
      <c r="AF7" s="51" t="str">
        <f t="shared" si="1"/>
        <v>√</v>
      </c>
      <c r="AG7" s="51" t="str">
        <f t="shared" si="1"/>
        <v>√</v>
      </c>
      <c r="AH7" s="51" t="str">
        <f t="shared" si="1"/>
        <v>√</v>
      </c>
      <c r="AI7" s="51"/>
      <c r="AJ7" s="51"/>
      <c r="AK7" s="51"/>
      <c r="AL7" s="51"/>
      <c r="AM7" s="51"/>
      <c r="AN7" s="51"/>
    </row>
    <row r="8" ht="15" customHeight="1" spans="1:40">
      <c r="A8" s="46"/>
      <c r="B8" s="47" t="s">
        <v>28</v>
      </c>
      <c r="C8" s="48">
        <v>1.3</v>
      </c>
      <c r="D8" s="48">
        <v>0.03</v>
      </c>
      <c r="E8" s="48">
        <v>-0.03</v>
      </c>
      <c r="F8" s="49">
        <f>C8+D8</f>
        <v>1.33</v>
      </c>
      <c r="G8" s="49">
        <f>C8+E8</f>
        <v>1.27</v>
      </c>
      <c r="H8" s="48" t="s">
        <v>29</v>
      </c>
      <c r="I8" s="50">
        <v>1.3069</v>
      </c>
      <c r="J8" s="50">
        <v>1.3149</v>
      </c>
      <c r="K8" s="50">
        <v>1.3262</v>
      </c>
      <c r="L8" s="50">
        <v>1.2926</v>
      </c>
      <c r="M8" s="50">
        <v>1.2844</v>
      </c>
      <c r="N8" s="50">
        <v>1.303</v>
      </c>
      <c r="O8" s="50">
        <v>1.3079</v>
      </c>
      <c r="P8" s="50">
        <v>1.3109</v>
      </c>
      <c r="Q8" s="50">
        <v>1.2885</v>
      </c>
      <c r="R8" s="50">
        <v>1.3396</v>
      </c>
      <c r="S8" s="50"/>
      <c r="T8" s="50"/>
      <c r="U8" s="50"/>
      <c r="V8" s="50"/>
      <c r="W8" s="50"/>
      <c r="X8" s="50"/>
      <c r="Y8" s="51" t="str">
        <f t="shared" ref="Y8:AN8" si="2">IF(I8="","",IF(I8&gt;($C8+$D8),(I8-$C8-$D8),IF(I8&lt;($C8+$E8),(I8-$C8-$E8),"√")))</f>
        <v>√</v>
      </c>
      <c r="Z8" s="51" t="str">
        <f t="shared" si="2"/>
        <v>√</v>
      </c>
      <c r="AA8" s="51" t="str">
        <f t="shared" si="2"/>
        <v>√</v>
      </c>
      <c r="AB8" s="51" t="str">
        <f t="shared" si="2"/>
        <v>√</v>
      </c>
      <c r="AC8" s="51" t="str">
        <f t="shared" si="2"/>
        <v>√</v>
      </c>
      <c r="AD8" s="51" t="str">
        <f t="shared" si="2"/>
        <v>√</v>
      </c>
      <c r="AE8" s="51" t="str">
        <f t="shared" si="2"/>
        <v>√</v>
      </c>
      <c r="AF8" s="51" t="str">
        <f t="shared" si="2"/>
        <v>√</v>
      </c>
      <c r="AG8" s="51" t="str">
        <f t="shared" si="2"/>
        <v>√</v>
      </c>
      <c r="AH8" s="51">
        <f t="shared" si="2"/>
        <v>0.00959999999999986</v>
      </c>
      <c r="AI8" s="51" t="str">
        <f t="shared" si="2"/>
        <v/>
      </c>
      <c r="AJ8" s="51" t="str">
        <f t="shared" si="2"/>
        <v/>
      </c>
      <c r="AK8" s="51" t="str">
        <f t="shared" si="2"/>
        <v/>
      </c>
      <c r="AL8" s="51" t="str">
        <f t="shared" si="2"/>
        <v/>
      </c>
      <c r="AM8" s="51" t="str">
        <f t="shared" si="2"/>
        <v/>
      </c>
      <c r="AN8" s="51" t="str">
        <f t="shared" si="2"/>
        <v/>
      </c>
    </row>
    <row r="9" ht="15" customHeight="1" spans="1:40">
      <c r="A9" s="46"/>
      <c r="B9" s="47" t="s">
        <v>30</v>
      </c>
      <c r="C9" s="48">
        <v>186.04</v>
      </c>
      <c r="D9" s="48">
        <v>1</v>
      </c>
      <c r="E9" s="48">
        <v>-1</v>
      </c>
      <c r="F9" s="49">
        <f>C9+D9</f>
        <v>187.04</v>
      </c>
      <c r="G9" s="49">
        <f>C9+E9</f>
        <v>185.04</v>
      </c>
      <c r="H9" s="48" t="s">
        <v>29</v>
      </c>
      <c r="I9" s="50">
        <v>186.4369</v>
      </c>
      <c r="J9" s="50">
        <v>186.4321</v>
      </c>
      <c r="K9" s="50">
        <v>186.4647</v>
      </c>
      <c r="L9" s="50">
        <v>186.2217</v>
      </c>
      <c r="M9" s="50">
        <v>186.289</v>
      </c>
      <c r="N9" s="50">
        <v>186.3435</v>
      </c>
      <c r="O9" s="50">
        <v>186.3846</v>
      </c>
      <c r="P9" s="50">
        <v>186.3629</v>
      </c>
      <c r="Q9" s="50">
        <v>186.3345</v>
      </c>
      <c r="R9" s="50">
        <v>186.4694</v>
      </c>
      <c r="S9" s="50"/>
      <c r="T9" s="50"/>
      <c r="U9" s="50"/>
      <c r="V9" s="50"/>
      <c r="W9" s="50"/>
      <c r="X9" s="50"/>
      <c r="Y9" s="51" t="str">
        <f t="shared" ref="Y9:AN9" si="3">IF(I9="","",IF(I9&gt;($C9+$D9),(I9-$C9-$D9),IF(I9&lt;($C9+$E9),(I9-$C9-$E9),"√")))</f>
        <v>√</v>
      </c>
      <c r="Z9" s="51" t="str">
        <f t="shared" si="3"/>
        <v>√</v>
      </c>
      <c r="AA9" s="51" t="str">
        <f t="shared" si="3"/>
        <v>√</v>
      </c>
      <c r="AB9" s="51" t="str">
        <f t="shared" si="3"/>
        <v>√</v>
      </c>
      <c r="AC9" s="51" t="str">
        <f t="shared" si="3"/>
        <v>√</v>
      </c>
      <c r="AD9" s="51" t="str">
        <f t="shared" si="3"/>
        <v>√</v>
      </c>
      <c r="AE9" s="51" t="str">
        <f t="shared" si="3"/>
        <v>√</v>
      </c>
      <c r="AF9" s="51" t="str">
        <f t="shared" si="3"/>
        <v>√</v>
      </c>
      <c r="AG9" s="51" t="str">
        <f t="shared" si="3"/>
        <v>√</v>
      </c>
      <c r="AH9" s="51" t="str">
        <f t="shared" si="3"/>
        <v>√</v>
      </c>
      <c r="AI9" s="51" t="str">
        <f t="shared" si="3"/>
        <v/>
      </c>
      <c r="AJ9" s="51" t="str">
        <f t="shared" si="3"/>
        <v/>
      </c>
      <c r="AK9" s="51" t="str">
        <f t="shared" si="3"/>
        <v/>
      </c>
      <c r="AL9" s="51" t="str">
        <f t="shared" si="3"/>
        <v/>
      </c>
      <c r="AM9" s="51" t="str">
        <f t="shared" si="3"/>
        <v/>
      </c>
      <c r="AN9" s="51" t="str">
        <f t="shared" si="3"/>
        <v/>
      </c>
    </row>
    <row r="10" ht="15" customHeight="1" spans="1:40">
      <c r="A10" s="46"/>
      <c r="B10" s="47" t="s">
        <v>31</v>
      </c>
      <c r="C10" s="48">
        <v>0</v>
      </c>
      <c r="D10" s="48">
        <v>0.03</v>
      </c>
      <c r="E10" s="48">
        <v>0</v>
      </c>
      <c r="F10" s="49">
        <f>C10+D10</f>
        <v>0.03</v>
      </c>
      <c r="G10" s="49">
        <f>C10+E10</f>
        <v>0</v>
      </c>
      <c r="H10" s="48" t="s">
        <v>29</v>
      </c>
      <c r="I10" s="50">
        <v>0.002</v>
      </c>
      <c r="J10" s="50">
        <v>0.006</v>
      </c>
      <c r="K10" s="50">
        <v>0.005</v>
      </c>
      <c r="L10" s="50">
        <v>0.0107</v>
      </c>
      <c r="M10" s="50">
        <v>0.0035</v>
      </c>
      <c r="N10" s="50">
        <v>0.0033</v>
      </c>
      <c r="O10" s="50">
        <v>0.0024</v>
      </c>
      <c r="P10" s="50">
        <v>0.0036</v>
      </c>
      <c r="Q10" s="50">
        <v>0.0047</v>
      </c>
      <c r="R10" s="50">
        <v>0.0067</v>
      </c>
      <c r="S10" s="50"/>
      <c r="T10" s="50"/>
      <c r="U10" s="50"/>
      <c r="V10" s="50"/>
      <c r="W10" s="50"/>
      <c r="X10" s="50"/>
      <c r="Y10" s="51" t="str">
        <f t="shared" ref="Y10:AN10" si="4">IF(I10="","",IF(I10&gt;($C10+$D10),(I10-$C10-$D10),IF(I10&lt;($C10+$E10),(I10-$C10-$E10),"√")))</f>
        <v>√</v>
      </c>
      <c r="Z10" s="51" t="str">
        <f t="shared" si="4"/>
        <v>√</v>
      </c>
      <c r="AA10" s="51" t="str">
        <f t="shared" si="4"/>
        <v>√</v>
      </c>
      <c r="AB10" s="51" t="str">
        <f t="shared" si="4"/>
        <v>√</v>
      </c>
      <c r="AC10" s="51" t="str">
        <f t="shared" si="4"/>
        <v>√</v>
      </c>
      <c r="AD10" s="51" t="str">
        <f t="shared" si="4"/>
        <v>√</v>
      </c>
      <c r="AE10" s="51" t="str">
        <f t="shared" si="4"/>
        <v>√</v>
      </c>
      <c r="AF10" s="51" t="str">
        <f t="shared" si="4"/>
        <v>√</v>
      </c>
      <c r="AG10" s="51" t="str">
        <f t="shared" si="4"/>
        <v>√</v>
      </c>
      <c r="AH10" s="51" t="str">
        <f t="shared" si="4"/>
        <v>√</v>
      </c>
      <c r="AI10" s="51" t="str">
        <f t="shared" si="4"/>
        <v/>
      </c>
      <c r="AJ10" s="51" t="str">
        <f t="shared" si="4"/>
        <v/>
      </c>
      <c r="AK10" s="51" t="str">
        <f t="shared" si="4"/>
        <v/>
      </c>
      <c r="AL10" s="51" t="str">
        <f t="shared" si="4"/>
        <v/>
      </c>
      <c r="AM10" s="51" t="str">
        <f t="shared" si="4"/>
        <v/>
      </c>
      <c r="AN10" s="51" t="str">
        <f t="shared" si="4"/>
        <v/>
      </c>
    </row>
    <row r="11" ht="15" customHeight="1" spans="1:40">
      <c r="A11" s="46"/>
      <c r="B11" s="47">
        <v>1</v>
      </c>
      <c r="C11" s="48"/>
      <c r="D11" s="48"/>
      <c r="E11" s="48"/>
      <c r="F11" s="49"/>
      <c r="G11" s="49"/>
      <c r="H11" s="48" t="s">
        <v>29</v>
      </c>
      <c r="I11" s="50">
        <v>-0.001</v>
      </c>
      <c r="J11" s="50">
        <v>-0.0017</v>
      </c>
      <c r="K11" s="50">
        <v>0.0025</v>
      </c>
      <c r="L11" s="50">
        <v>-0.0028</v>
      </c>
      <c r="M11" s="50">
        <v>0.0017</v>
      </c>
      <c r="N11" s="50">
        <v>0.0017</v>
      </c>
      <c r="O11" s="50">
        <v>0.0012</v>
      </c>
      <c r="P11" s="50">
        <v>-0.0018</v>
      </c>
      <c r="Q11" s="50">
        <v>0.0023</v>
      </c>
      <c r="R11" s="50">
        <v>0.0033</v>
      </c>
      <c r="S11" s="50"/>
      <c r="T11" s="50"/>
      <c r="U11" s="50"/>
      <c r="V11" s="50"/>
      <c r="W11" s="50"/>
      <c r="X11" s="50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</row>
    <row r="12" ht="15" customHeight="1" spans="1:40">
      <c r="A12" s="46"/>
      <c r="B12" s="47">
        <v>2</v>
      </c>
      <c r="C12" s="48"/>
      <c r="D12" s="48"/>
      <c r="E12" s="48"/>
      <c r="F12" s="49"/>
      <c r="G12" s="49"/>
      <c r="H12" s="48" t="s">
        <v>29</v>
      </c>
      <c r="I12" s="50">
        <v>0.001</v>
      </c>
      <c r="J12" s="50">
        <v>-0.003</v>
      </c>
      <c r="K12" s="50">
        <v>-0.0025</v>
      </c>
      <c r="L12" s="50">
        <v>-0.0053</v>
      </c>
      <c r="M12" s="50">
        <v>-0.0016</v>
      </c>
      <c r="N12" s="50">
        <v>-0.0017</v>
      </c>
      <c r="O12" s="50">
        <v>-0.0012</v>
      </c>
      <c r="P12" s="50">
        <v>0.0018</v>
      </c>
      <c r="Q12" s="50">
        <v>-0.0023</v>
      </c>
      <c r="R12" s="50">
        <v>0.001</v>
      </c>
      <c r="S12" s="50"/>
      <c r="T12" s="50"/>
      <c r="U12" s="50"/>
      <c r="V12" s="50"/>
      <c r="W12" s="50"/>
      <c r="X12" s="50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</row>
    <row r="13" ht="15" customHeight="1" spans="1:40">
      <c r="A13" s="46"/>
      <c r="B13" s="47">
        <v>3</v>
      </c>
      <c r="C13" s="48"/>
      <c r="D13" s="48"/>
      <c r="E13" s="48"/>
      <c r="F13" s="49"/>
      <c r="G13" s="49"/>
      <c r="H13" s="48" t="s">
        <v>29</v>
      </c>
      <c r="I13" s="50">
        <v>0.0006</v>
      </c>
      <c r="J13" s="50">
        <v>0.003</v>
      </c>
      <c r="K13" s="50">
        <v>0.0005</v>
      </c>
      <c r="L13" s="50">
        <v>0.0053</v>
      </c>
      <c r="M13" s="50">
        <v>-0.0017</v>
      </c>
      <c r="N13" s="50">
        <v>0.0003</v>
      </c>
      <c r="O13" s="50">
        <v>0.0006</v>
      </c>
      <c r="P13" s="50">
        <v>-0.0015</v>
      </c>
      <c r="Q13" s="50">
        <v>0.0006</v>
      </c>
      <c r="R13" s="50">
        <v>-0.0033</v>
      </c>
      <c r="S13" s="50"/>
      <c r="T13" s="50"/>
      <c r="U13" s="50"/>
      <c r="V13" s="50"/>
      <c r="W13" s="50"/>
      <c r="X13" s="50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</row>
    <row r="14" ht="15" customHeight="1" spans="1:40">
      <c r="A14" s="46"/>
      <c r="B14" s="47">
        <v>4</v>
      </c>
      <c r="C14" s="48"/>
      <c r="D14" s="48"/>
      <c r="E14" s="48"/>
      <c r="F14" s="49"/>
      <c r="G14" s="49"/>
      <c r="H14" s="48" t="s">
        <v>29</v>
      </c>
      <c r="I14" s="50">
        <v>-0.001</v>
      </c>
      <c r="J14" s="50">
        <v>-0.003</v>
      </c>
      <c r="K14" s="50">
        <v>0.0025</v>
      </c>
      <c r="L14" s="50">
        <v>-0.0053</v>
      </c>
      <c r="M14" s="50">
        <v>0.0017</v>
      </c>
      <c r="N14" s="50">
        <v>0.0017</v>
      </c>
      <c r="O14" s="50">
        <v>0.0012</v>
      </c>
      <c r="P14" s="50">
        <v>-0.0018</v>
      </c>
      <c r="Q14" s="50">
        <v>0.0023</v>
      </c>
      <c r="R14" s="50">
        <v>0.0033</v>
      </c>
      <c r="S14" s="50"/>
      <c r="T14" s="50"/>
      <c r="U14" s="50"/>
      <c r="V14" s="50"/>
      <c r="W14" s="50"/>
      <c r="X14" s="50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</row>
    <row r="15" ht="15" customHeight="1" spans="1:40">
      <c r="A15" s="46"/>
      <c r="B15" s="47" t="s">
        <v>32</v>
      </c>
      <c r="C15" s="48">
        <v>0</v>
      </c>
      <c r="D15" s="48">
        <v>0.03</v>
      </c>
      <c r="E15" s="48">
        <v>0</v>
      </c>
      <c r="F15" s="49">
        <f>C15+D15</f>
        <v>0.03</v>
      </c>
      <c r="G15" s="49">
        <f>C15+E15</f>
        <v>0</v>
      </c>
      <c r="H15" s="48" t="s">
        <v>29</v>
      </c>
      <c r="I15" s="50">
        <v>0.0008</v>
      </c>
      <c r="J15" s="50">
        <v>0.0024</v>
      </c>
      <c r="K15" s="50">
        <v>0.0061</v>
      </c>
      <c r="L15" s="50">
        <v>0.0022</v>
      </c>
      <c r="M15" s="50">
        <v>0.0036</v>
      </c>
      <c r="N15" s="50">
        <v>0.0032</v>
      </c>
      <c r="O15" s="50">
        <v>0.0048</v>
      </c>
      <c r="P15" s="50">
        <v>0.0022</v>
      </c>
      <c r="Q15" s="50">
        <v>0.0033</v>
      </c>
      <c r="R15" s="50">
        <v>0.0048</v>
      </c>
      <c r="S15" s="50"/>
      <c r="T15" s="50"/>
      <c r="U15" s="50"/>
      <c r="V15" s="50"/>
      <c r="W15" s="50"/>
      <c r="X15" s="50"/>
      <c r="Y15" s="51" t="str">
        <f t="shared" ref="Y15:AN15" si="5">IF(I15="","",IF(I15&gt;($C15+$D15),(I15-$C15-$D15),IF(I15&lt;($C15+$E15),(I15-$C15-$E15),"√")))</f>
        <v>√</v>
      </c>
      <c r="Z15" s="51" t="str">
        <f t="shared" si="5"/>
        <v>√</v>
      </c>
      <c r="AA15" s="51" t="str">
        <f t="shared" si="5"/>
        <v>√</v>
      </c>
      <c r="AB15" s="51" t="str">
        <f t="shared" si="5"/>
        <v>√</v>
      </c>
      <c r="AC15" s="51" t="str">
        <f t="shared" si="5"/>
        <v>√</v>
      </c>
      <c r="AD15" s="51" t="str">
        <f t="shared" si="5"/>
        <v>√</v>
      </c>
      <c r="AE15" s="51" t="str">
        <f t="shared" si="5"/>
        <v>√</v>
      </c>
      <c r="AF15" s="51" t="str">
        <f t="shared" si="5"/>
        <v>√</v>
      </c>
      <c r="AG15" s="51" t="str">
        <f t="shared" si="5"/>
        <v>√</v>
      </c>
      <c r="AH15" s="51" t="str">
        <f t="shared" si="5"/>
        <v>√</v>
      </c>
      <c r="AI15" s="51" t="str">
        <f t="shared" si="5"/>
        <v/>
      </c>
      <c r="AJ15" s="51" t="str">
        <f t="shared" si="5"/>
        <v/>
      </c>
      <c r="AK15" s="51" t="str">
        <f t="shared" si="5"/>
        <v/>
      </c>
      <c r="AL15" s="51" t="str">
        <f t="shared" si="5"/>
        <v/>
      </c>
      <c r="AM15" s="51" t="str">
        <f t="shared" si="5"/>
        <v/>
      </c>
      <c r="AN15" s="51" t="str">
        <f t="shared" si="5"/>
        <v/>
      </c>
    </row>
    <row r="16" ht="15" customHeight="1" spans="1:40">
      <c r="A16" s="46"/>
      <c r="B16" s="47">
        <v>1</v>
      </c>
      <c r="C16" s="48"/>
      <c r="D16" s="48"/>
      <c r="E16" s="48"/>
      <c r="F16" s="49"/>
      <c r="G16" s="49"/>
      <c r="H16" s="48" t="s">
        <v>29</v>
      </c>
      <c r="I16" s="50">
        <v>-0.0004</v>
      </c>
      <c r="J16" s="50">
        <v>0.0012</v>
      </c>
      <c r="K16" s="50">
        <v>0.003</v>
      </c>
      <c r="L16" s="50">
        <v>0.0011</v>
      </c>
      <c r="M16" s="50">
        <v>0.0018</v>
      </c>
      <c r="N16" s="50">
        <v>0.0016</v>
      </c>
      <c r="O16" s="50">
        <v>0.0024</v>
      </c>
      <c r="P16" s="50">
        <v>-0.0011</v>
      </c>
      <c r="Q16" s="50">
        <v>0.0017</v>
      </c>
      <c r="R16" s="50">
        <v>0.0024</v>
      </c>
      <c r="S16" s="50"/>
      <c r="T16" s="50"/>
      <c r="U16" s="50"/>
      <c r="V16" s="50"/>
      <c r="W16" s="50"/>
      <c r="X16" s="50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</row>
    <row r="17" ht="15" customHeight="1" spans="1:40">
      <c r="A17" s="46"/>
      <c r="B17" s="47">
        <v>2</v>
      </c>
      <c r="C17" s="48"/>
      <c r="D17" s="48"/>
      <c r="E17" s="48"/>
      <c r="F17" s="49"/>
      <c r="G17" s="49"/>
      <c r="H17" s="48" t="s">
        <v>29</v>
      </c>
      <c r="I17" s="50">
        <v>-0.0001</v>
      </c>
      <c r="J17" s="50">
        <v>-0.0012</v>
      </c>
      <c r="K17" s="50">
        <v>-0.003</v>
      </c>
      <c r="L17" s="50">
        <v>-0.0011</v>
      </c>
      <c r="M17" s="50">
        <v>-0.0018</v>
      </c>
      <c r="N17" s="50">
        <v>-0.0016</v>
      </c>
      <c r="O17" s="50">
        <v>-0.0024</v>
      </c>
      <c r="P17" s="50">
        <v>0.0004</v>
      </c>
      <c r="Q17" s="50">
        <v>-0.0017</v>
      </c>
      <c r="R17" s="50">
        <v>-0.0024</v>
      </c>
      <c r="S17" s="50"/>
      <c r="T17" s="50"/>
      <c r="U17" s="50"/>
      <c r="V17" s="50"/>
      <c r="W17" s="50"/>
      <c r="X17" s="50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</row>
    <row r="18" ht="15" customHeight="1" spans="1:40">
      <c r="A18" s="46"/>
      <c r="B18" s="47">
        <v>3</v>
      </c>
      <c r="C18" s="48"/>
      <c r="D18" s="48"/>
      <c r="E18" s="48"/>
      <c r="F18" s="49"/>
      <c r="G18" s="49"/>
      <c r="H18" s="48" t="s">
        <v>29</v>
      </c>
      <c r="I18" s="50">
        <v>0.0004</v>
      </c>
      <c r="J18" s="50">
        <v>0.0012</v>
      </c>
      <c r="K18" s="50">
        <v>-0.0021</v>
      </c>
      <c r="L18" s="50">
        <v>0.0007</v>
      </c>
      <c r="M18" s="50">
        <v>-0.0012</v>
      </c>
      <c r="N18" s="50">
        <v>0.0013</v>
      </c>
      <c r="O18" s="50">
        <v>-0.0015</v>
      </c>
      <c r="P18" s="50">
        <v>0.0011</v>
      </c>
      <c r="Q18" s="50">
        <v>-0.0005</v>
      </c>
      <c r="R18" s="50">
        <v>-0.001</v>
      </c>
      <c r="S18" s="50"/>
      <c r="T18" s="50"/>
      <c r="U18" s="50"/>
      <c r="V18" s="50"/>
      <c r="W18" s="50"/>
      <c r="X18" s="50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</row>
    <row r="19" ht="15" customHeight="1" spans="1:40">
      <c r="A19" s="46"/>
      <c r="B19" s="47">
        <v>4</v>
      </c>
      <c r="C19" s="48"/>
      <c r="D19" s="48"/>
      <c r="E19" s="48"/>
      <c r="F19" s="49"/>
      <c r="G19" s="49"/>
      <c r="H19" s="48" t="s">
        <v>29</v>
      </c>
      <c r="I19" s="50">
        <v>-0.0004</v>
      </c>
      <c r="J19" s="50">
        <v>0.0002</v>
      </c>
      <c r="K19" s="50">
        <v>0.003</v>
      </c>
      <c r="L19" s="50">
        <v>0.0011</v>
      </c>
      <c r="M19" s="50">
        <v>0.0018</v>
      </c>
      <c r="N19" s="50">
        <v>0.0016</v>
      </c>
      <c r="O19" s="50">
        <v>0.0024</v>
      </c>
      <c r="P19" s="50">
        <v>-0.0011</v>
      </c>
      <c r="Q19" s="50">
        <v>0.0017</v>
      </c>
      <c r="R19" s="50">
        <v>0.0024</v>
      </c>
      <c r="S19" s="50"/>
      <c r="T19" s="50"/>
      <c r="U19" s="50"/>
      <c r="V19" s="50"/>
      <c r="W19" s="50"/>
      <c r="X19" s="50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</row>
    <row r="20" ht="15" customHeight="1" spans="1:40">
      <c r="A20" s="46"/>
      <c r="B20" s="52" t="s">
        <v>33</v>
      </c>
      <c r="C20" s="48">
        <v>0</v>
      </c>
      <c r="D20" s="48">
        <v>0.01</v>
      </c>
      <c r="E20" s="48">
        <v>0</v>
      </c>
      <c r="F20" s="49">
        <f>C20+D20</f>
        <v>0.01</v>
      </c>
      <c r="G20" s="49">
        <f>C20+E20</f>
        <v>0</v>
      </c>
      <c r="H20" s="48" t="s">
        <v>29</v>
      </c>
      <c r="I20" s="50">
        <v>0.0051</v>
      </c>
      <c r="J20" s="50">
        <v>0.0075</v>
      </c>
      <c r="K20" s="50">
        <v>0.0068</v>
      </c>
      <c r="L20" s="50">
        <v>0.0081</v>
      </c>
      <c r="M20" s="50">
        <v>0.006</v>
      </c>
      <c r="N20" s="50">
        <v>0.0068</v>
      </c>
      <c r="O20" s="50">
        <v>0.0068</v>
      </c>
      <c r="P20" s="50">
        <v>0.0077</v>
      </c>
      <c r="Q20" s="50">
        <v>0.006</v>
      </c>
      <c r="R20" s="50">
        <v>0.0068</v>
      </c>
      <c r="S20" s="50"/>
      <c r="T20" s="50"/>
      <c r="U20" s="50"/>
      <c r="V20" s="50"/>
      <c r="W20" s="50"/>
      <c r="X20" s="50"/>
      <c r="Y20" s="53" t="str">
        <f t="shared" ref="Y20:AN20" si="6">IF(I20="","",IF(I20&gt;($C20+$D20),(I20-$C20-$D20),IF(I20&lt;($C20+$E20),(I20-$C20-$E20),"√")))</f>
        <v>√</v>
      </c>
      <c r="Z20" s="53" t="str">
        <f t="shared" si="6"/>
        <v>√</v>
      </c>
      <c r="AA20" s="53" t="str">
        <f t="shared" si="6"/>
        <v>√</v>
      </c>
      <c r="AB20" s="53" t="str">
        <f t="shared" si="6"/>
        <v>√</v>
      </c>
      <c r="AC20" s="53" t="str">
        <f t="shared" si="6"/>
        <v>√</v>
      </c>
      <c r="AD20" s="53" t="str">
        <f t="shared" si="6"/>
        <v>√</v>
      </c>
      <c r="AE20" s="53" t="str">
        <f t="shared" si="6"/>
        <v>√</v>
      </c>
      <c r="AF20" s="53" t="str">
        <f t="shared" si="6"/>
        <v>√</v>
      </c>
      <c r="AG20" s="53" t="str">
        <f t="shared" si="6"/>
        <v>√</v>
      </c>
      <c r="AH20" s="53" t="str">
        <f t="shared" si="6"/>
        <v>√</v>
      </c>
      <c r="AI20" s="53" t="str">
        <f t="shared" si="6"/>
        <v/>
      </c>
      <c r="AJ20" s="53" t="str">
        <f t="shared" si="6"/>
        <v/>
      </c>
      <c r="AK20" s="53" t="str">
        <f t="shared" si="6"/>
        <v/>
      </c>
      <c r="AL20" s="53" t="str">
        <f t="shared" si="6"/>
        <v/>
      </c>
      <c r="AM20" s="53" t="str">
        <f t="shared" si="6"/>
        <v/>
      </c>
      <c r="AN20" s="53" t="str">
        <f t="shared" si="6"/>
        <v/>
      </c>
    </row>
    <row r="21" ht="15" customHeight="1" spans="1:40">
      <c r="A21" s="46"/>
      <c r="B21" s="52">
        <v>1</v>
      </c>
      <c r="C21" s="48"/>
      <c r="D21" s="48"/>
      <c r="E21" s="48"/>
      <c r="F21" s="49"/>
      <c r="G21" s="49"/>
      <c r="H21" s="48" t="s">
        <v>29</v>
      </c>
      <c r="I21" s="50">
        <v>0.0011</v>
      </c>
      <c r="J21" s="50">
        <v>0.003</v>
      </c>
      <c r="K21" s="50">
        <v>0.0034</v>
      </c>
      <c r="L21" s="50">
        <v>0.004</v>
      </c>
      <c r="M21" s="50">
        <v>0.0021</v>
      </c>
      <c r="N21" s="50">
        <v>0.003</v>
      </c>
      <c r="O21" s="50">
        <v>0.0015</v>
      </c>
      <c r="P21" s="50">
        <v>-0.0005</v>
      </c>
      <c r="Q21" s="50">
        <v>0.0008</v>
      </c>
      <c r="R21" s="50">
        <v>0.0002</v>
      </c>
      <c r="S21" s="50"/>
      <c r="T21" s="50"/>
      <c r="U21" s="50"/>
      <c r="V21" s="50"/>
      <c r="W21" s="50"/>
      <c r="X21" s="50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ht="15" customHeight="1" spans="1:40">
      <c r="A22" s="46"/>
      <c r="B22" s="52">
        <v>2</v>
      </c>
      <c r="C22" s="48"/>
      <c r="D22" s="48"/>
      <c r="E22" s="48"/>
      <c r="F22" s="49"/>
      <c r="G22" s="49"/>
      <c r="H22" s="48" t="s">
        <v>29</v>
      </c>
      <c r="I22" s="50">
        <v>-0.0025</v>
      </c>
      <c r="J22" s="50">
        <v>-0.0038</v>
      </c>
      <c r="K22" s="50">
        <v>-0.0034</v>
      </c>
      <c r="L22" s="50">
        <v>-0.003</v>
      </c>
      <c r="M22" s="50">
        <v>-0.003</v>
      </c>
      <c r="N22" s="50">
        <v>-0.0034</v>
      </c>
      <c r="O22" s="50">
        <v>-0.0034</v>
      </c>
      <c r="P22" s="50">
        <v>-0.0039</v>
      </c>
      <c r="Q22" s="50">
        <v>-0.003</v>
      </c>
      <c r="R22" s="50">
        <v>-0.0034</v>
      </c>
      <c r="S22" s="50"/>
      <c r="T22" s="50"/>
      <c r="U22" s="50"/>
      <c r="V22" s="50"/>
      <c r="W22" s="50"/>
      <c r="X22" s="50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</row>
    <row r="23" ht="15" customHeight="1" spans="1:40">
      <c r="A23" s="46"/>
      <c r="B23" s="52">
        <v>3</v>
      </c>
      <c r="C23" s="48"/>
      <c r="D23" s="48"/>
      <c r="E23" s="48"/>
      <c r="F23" s="49"/>
      <c r="G23" s="49"/>
      <c r="H23" s="48" t="s">
        <v>29</v>
      </c>
      <c r="I23" s="50">
        <v>-0.0002</v>
      </c>
      <c r="J23" s="50">
        <v>0.0002</v>
      </c>
      <c r="K23" s="50">
        <v>0.0018</v>
      </c>
      <c r="L23" s="50">
        <v>0.0016</v>
      </c>
      <c r="M23" s="50">
        <v>-0.0001</v>
      </c>
      <c r="N23" s="50">
        <v>0.0011</v>
      </c>
      <c r="O23" s="50">
        <v>0.0017</v>
      </c>
      <c r="P23" s="50">
        <v>-0.0025</v>
      </c>
      <c r="Q23" s="50">
        <v>0.0005</v>
      </c>
      <c r="R23" s="50">
        <v>0.001</v>
      </c>
      <c r="S23" s="50"/>
      <c r="T23" s="50"/>
      <c r="U23" s="50"/>
      <c r="V23" s="50"/>
      <c r="W23" s="50"/>
      <c r="X23" s="50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</row>
    <row r="24" ht="15" customHeight="1" spans="1:40">
      <c r="A24" s="46"/>
      <c r="B24" s="52">
        <v>4</v>
      </c>
      <c r="C24" s="48"/>
      <c r="D24" s="48"/>
      <c r="E24" s="48"/>
      <c r="F24" s="49"/>
      <c r="G24" s="49"/>
      <c r="H24" s="48" t="s">
        <v>29</v>
      </c>
      <c r="I24" s="50">
        <v>0.0025</v>
      </c>
      <c r="J24" s="50">
        <v>0.0013</v>
      </c>
      <c r="K24" s="50">
        <v>0.0015</v>
      </c>
      <c r="L24" s="50">
        <v>0.0024</v>
      </c>
      <c r="M24" s="50">
        <v>0.0019</v>
      </c>
      <c r="N24" s="50">
        <v>0.0032</v>
      </c>
      <c r="O24" s="50">
        <v>0.0021</v>
      </c>
      <c r="P24" s="50">
        <v>-0.0009</v>
      </c>
      <c r="Q24" s="50">
        <v>0.0028</v>
      </c>
      <c r="R24" s="50">
        <v>0.0003</v>
      </c>
      <c r="S24" s="50"/>
      <c r="T24" s="50"/>
      <c r="U24" s="50"/>
      <c r="V24" s="50"/>
      <c r="W24" s="50"/>
      <c r="X24" s="50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</row>
    <row r="25" ht="15" customHeight="1" spans="1:40">
      <c r="A25" s="46"/>
      <c r="B25" s="52">
        <v>5</v>
      </c>
      <c r="C25" s="48"/>
      <c r="D25" s="48"/>
      <c r="E25" s="48"/>
      <c r="F25" s="49"/>
      <c r="G25" s="49"/>
      <c r="H25" s="48" t="s">
        <v>29</v>
      </c>
      <c r="I25" s="50">
        <v>-0.001</v>
      </c>
      <c r="J25" s="50">
        <v>-0.0023</v>
      </c>
      <c r="K25" s="50">
        <v>-0.0008</v>
      </c>
      <c r="L25" s="50">
        <v>-0.004</v>
      </c>
      <c r="M25" s="50">
        <v>0.0003</v>
      </c>
      <c r="N25" s="50">
        <v>-0.0005</v>
      </c>
      <c r="O25" s="50">
        <v>0.0013</v>
      </c>
      <c r="P25" s="50">
        <v>-0.0027</v>
      </c>
      <c r="Q25" s="50">
        <v>0.0006</v>
      </c>
      <c r="R25" s="50">
        <v>-0.0027</v>
      </c>
      <c r="S25" s="50"/>
      <c r="T25" s="50"/>
      <c r="U25" s="50"/>
      <c r="V25" s="50"/>
      <c r="W25" s="50"/>
      <c r="X25" s="50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</row>
    <row r="26" ht="15" customHeight="1" spans="1:40">
      <c r="A26" s="46"/>
      <c r="B26" s="52">
        <v>6</v>
      </c>
      <c r="C26" s="48"/>
      <c r="D26" s="48"/>
      <c r="E26" s="48"/>
      <c r="F26" s="49"/>
      <c r="G26" s="49"/>
      <c r="H26" s="48" t="s">
        <v>29</v>
      </c>
      <c r="I26" s="50">
        <v>0.0019</v>
      </c>
      <c r="J26" s="50">
        <v>0.003</v>
      </c>
      <c r="K26" s="50">
        <v>0.0001</v>
      </c>
      <c r="L26" s="50">
        <v>0.004</v>
      </c>
      <c r="M26" s="50">
        <v>0.0022</v>
      </c>
      <c r="N26" s="50">
        <v>0.0034</v>
      </c>
      <c r="O26" s="50">
        <v>0.0011</v>
      </c>
      <c r="P26" s="50">
        <v>0.0007</v>
      </c>
      <c r="Q26" s="50">
        <v>0.003</v>
      </c>
      <c r="R26" s="50">
        <v>0.0003</v>
      </c>
      <c r="S26" s="50"/>
      <c r="T26" s="50"/>
      <c r="U26" s="50"/>
      <c r="V26" s="50"/>
      <c r="W26" s="50"/>
      <c r="X26" s="50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</row>
    <row r="27" ht="15" customHeight="1" spans="1:40">
      <c r="A27" s="46"/>
      <c r="B27" s="52">
        <v>7</v>
      </c>
      <c r="C27" s="48"/>
      <c r="D27" s="48"/>
      <c r="E27" s="48"/>
      <c r="F27" s="49"/>
      <c r="G27" s="49"/>
      <c r="H27" s="48" t="s">
        <v>29</v>
      </c>
      <c r="I27" s="50">
        <v>-0.0022</v>
      </c>
      <c r="J27" s="50">
        <v>-0.0031</v>
      </c>
      <c r="K27" s="50">
        <v>-0.0034</v>
      </c>
      <c r="L27" s="50">
        <v>-0.0033</v>
      </c>
      <c r="M27" s="50">
        <v>-0.003</v>
      </c>
      <c r="N27" s="50">
        <v>-0.0032</v>
      </c>
      <c r="O27" s="50">
        <v>-0.0034</v>
      </c>
      <c r="P27" s="50">
        <v>-0.0039</v>
      </c>
      <c r="Q27" s="50">
        <v>-0.003</v>
      </c>
      <c r="R27" s="50">
        <v>-0.0034</v>
      </c>
      <c r="S27" s="50"/>
      <c r="T27" s="50"/>
      <c r="U27" s="50"/>
      <c r="V27" s="50"/>
      <c r="W27" s="50"/>
      <c r="X27" s="50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ht="15" customHeight="1" spans="1:40">
      <c r="A28" s="46"/>
      <c r="B28" s="52">
        <v>8</v>
      </c>
      <c r="C28" s="48"/>
      <c r="D28" s="48"/>
      <c r="E28" s="48"/>
      <c r="F28" s="49"/>
      <c r="G28" s="49"/>
      <c r="H28" s="48" t="s">
        <v>29</v>
      </c>
      <c r="I28" s="50">
        <v>0.0025</v>
      </c>
      <c r="J28" s="50">
        <v>0.0038</v>
      </c>
      <c r="K28" s="50">
        <v>0.0034</v>
      </c>
      <c r="L28" s="50">
        <v>0.004</v>
      </c>
      <c r="M28" s="50">
        <v>0.003</v>
      </c>
      <c r="N28" s="50">
        <v>0.0034</v>
      </c>
      <c r="O28" s="50">
        <v>0.0034</v>
      </c>
      <c r="P28" s="50">
        <v>-0.0006</v>
      </c>
      <c r="Q28" s="50">
        <v>0.003</v>
      </c>
      <c r="R28" s="50">
        <v>0.0034</v>
      </c>
      <c r="S28" s="50"/>
      <c r="T28" s="50"/>
      <c r="U28" s="50"/>
      <c r="V28" s="50"/>
      <c r="W28" s="50"/>
      <c r="X28" s="50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</row>
    <row r="29" ht="15" customHeight="1" spans="1:40">
      <c r="A29" s="46"/>
      <c r="B29" s="52">
        <v>9</v>
      </c>
      <c r="C29" s="48"/>
      <c r="D29" s="48"/>
      <c r="E29" s="48"/>
      <c r="F29" s="49"/>
      <c r="G29" s="49"/>
      <c r="H29" s="48" t="s">
        <v>29</v>
      </c>
      <c r="I29" s="50">
        <v>0.0004</v>
      </c>
      <c r="J29" s="50">
        <v>0.0036</v>
      </c>
      <c r="K29" s="50">
        <v>0.0033</v>
      </c>
      <c r="L29" s="50">
        <v>0.0024</v>
      </c>
      <c r="M29" s="50">
        <v>0.0022</v>
      </c>
      <c r="N29" s="50">
        <v>0.0021</v>
      </c>
      <c r="O29" s="50">
        <v>0.0019</v>
      </c>
      <c r="P29" s="50">
        <v>0.0039</v>
      </c>
      <c r="Q29" s="50">
        <v>0.0022</v>
      </c>
      <c r="R29" s="50">
        <v>0.0026</v>
      </c>
      <c r="S29" s="50"/>
      <c r="T29" s="50"/>
      <c r="U29" s="50"/>
      <c r="V29" s="50"/>
      <c r="W29" s="50"/>
      <c r="X29" s="50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</row>
    <row r="30" ht="15" customHeight="1" spans="1:40">
      <c r="A30" s="46"/>
      <c r="B30" s="52">
        <v>10</v>
      </c>
      <c r="C30" s="48"/>
      <c r="D30" s="48"/>
      <c r="E30" s="48"/>
      <c r="F30" s="49"/>
      <c r="G30" s="49"/>
      <c r="H30" s="48" t="s">
        <v>29</v>
      </c>
      <c r="I30" s="50">
        <v>-0.0025</v>
      </c>
      <c r="J30" s="50">
        <v>-0.0038</v>
      </c>
      <c r="K30" s="50">
        <v>-0.0014</v>
      </c>
      <c r="L30" s="50">
        <v>-0.004</v>
      </c>
      <c r="M30" s="50">
        <v>-0.0008</v>
      </c>
      <c r="N30" s="50">
        <v>-0.0034</v>
      </c>
      <c r="O30" s="50">
        <v>-0.0006</v>
      </c>
      <c r="P30" s="50">
        <v>-0.0039</v>
      </c>
      <c r="Q30" s="50">
        <v>-0.0016</v>
      </c>
      <c r="R30" s="50">
        <v>-0.0008</v>
      </c>
      <c r="S30" s="50"/>
      <c r="T30" s="50"/>
      <c r="U30" s="50"/>
      <c r="V30" s="50"/>
      <c r="W30" s="50"/>
      <c r="X30" s="50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</row>
    <row r="31" ht="15" customHeight="1" spans="1:40">
      <c r="A31" s="46"/>
      <c r="B31" s="52">
        <v>11</v>
      </c>
      <c r="C31" s="48"/>
      <c r="D31" s="48"/>
      <c r="E31" s="48"/>
      <c r="F31" s="49"/>
      <c r="G31" s="49"/>
      <c r="H31" s="48" t="s">
        <v>29</v>
      </c>
      <c r="I31" s="50">
        <v>-0.0001</v>
      </c>
      <c r="J31" s="50">
        <v>0.0038</v>
      </c>
      <c r="K31" s="50">
        <v>0.0034</v>
      </c>
      <c r="L31" s="50">
        <v>0.0024</v>
      </c>
      <c r="M31" s="50">
        <v>0.003</v>
      </c>
      <c r="N31" s="50">
        <v>0.0029</v>
      </c>
      <c r="O31" s="50">
        <v>0.0034</v>
      </c>
      <c r="P31" s="50">
        <v>0.0014</v>
      </c>
      <c r="Q31" s="50">
        <v>0.0026</v>
      </c>
      <c r="R31" s="50">
        <v>0.0034</v>
      </c>
      <c r="S31" s="50"/>
      <c r="T31" s="50"/>
      <c r="U31" s="50"/>
      <c r="V31" s="50"/>
      <c r="W31" s="50"/>
      <c r="X31" s="50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</row>
    <row r="32" ht="15" customHeight="1" spans="1:40">
      <c r="A32" s="46"/>
      <c r="B32" s="52">
        <v>12</v>
      </c>
      <c r="C32" s="48"/>
      <c r="D32" s="48"/>
      <c r="E32" s="48"/>
      <c r="F32" s="49"/>
      <c r="G32" s="49"/>
      <c r="H32" s="48" t="s">
        <v>29</v>
      </c>
      <c r="I32" s="50">
        <v>-0.0002</v>
      </c>
      <c r="J32" s="50">
        <v>0.0023</v>
      </c>
      <c r="K32" s="50">
        <v>0.003</v>
      </c>
      <c r="L32" s="50">
        <v>0.0023</v>
      </c>
      <c r="M32" s="50">
        <v>0.0028</v>
      </c>
      <c r="N32" s="50">
        <v>0.0019</v>
      </c>
      <c r="O32" s="50">
        <v>0.0029</v>
      </c>
      <c r="P32" s="50">
        <v>0.0006</v>
      </c>
      <c r="Q32" s="50">
        <v>0.0022</v>
      </c>
      <c r="R32" s="50">
        <v>0.0022</v>
      </c>
      <c r="S32" s="50"/>
      <c r="T32" s="50"/>
      <c r="U32" s="50"/>
      <c r="V32" s="50"/>
      <c r="W32" s="50"/>
      <c r="X32" s="50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ht="15" customHeight="1" spans="1:40">
      <c r="A33" s="46"/>
      <c r="B33" s="52">
        <v>13</v>
      </c>
      <c r="C33" s="48"/>
      <c r="D33" s="48"/>
      <c r="E33" s="48"/>
      <c r="F33" s="49"/>
      <c r="G33" s="49"/>
      <c r="H33" s="48" t="s">
        <v>29</v>
      </c>
      <c r="I33" s="50">
        <v>-0.0001</v>
      </c>
      <c r="J33" s="50">
        <v>0.0037</v>
      </c>
      <c r="K33" s="50">
        <v>0.0025</v>
      </c>
      <c r="L33" s="50">
        <v>0.0023</v>
      </c>
      <c r="M33" s="50">
        <v>0.0027</v>
      </c>
      <c r="N33" s="50">
        <v>0.0019</v>
      </c>
      <c r="O33" s="50">
        <v>0.0018</v>
      </c>
      <c r="P33" s="50">
        <v>0.0009</v>
      </c>
      <c r="Q33" s="50">
        <v>0.0014</v>
      </c>
      <c r="R33" s="50">
        <v>0.0024</v>
      </c>
      <c r="S33" s="50"/>
      <c r="T33" s="50"/>
      <c r="U33" s="50"/>
      <c r="V33" s="50"/>
      <c r="W33" s="50"/>
      <c r="X33" s="50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</row>
    <row r="34" ht="15" customHeight="1" spans="1:40">
      <c r="A34" s="46"/>
      <c r="B34" s="52" t="s">
        <v>34</v>
      </c>
      <c r="C34" s="48">
        <v>0</v>
      </c>
      <c r="D34" s="48">
        <v>0.01</v>
      </c>
      <c r="E34" s="48">
        <v>0</v>
      </c>
      <c r="F34" s="49">
        <f>C34+D34</f>
        <v>0.01</v>
      </c>
      <c r="G34" s="49">
        <f>C34+E34</f>
        <v>0</v>
      </c>
      <c r="H34" s="48" t="s">
        <v>29</v>
      </c>
      <c r="I34" s="50">
        <v>0.0051</v>
      </c>
      <c r="J34" s="50">
        <v>0.0075</v>
      </c>
      <c r="K34" s="50">
        <v>0.0068</v>
      </c>
      <c r="L34" s="50">
        <v>0.0081</v>
      </c>
      <c r="M34" s="50">
        <v>0.006</v>
      </c>
      <c r="N34" s="50">
        <v>0.0068</v>
      </c>
      <c r="O34" s="50">
        <v>0.0068</v>
      </c>
      <c r="P34" s="50">
        <v>0.0077</v>
      </c>
      <c r="Q34" s="50">
        <v>0.006</v>
      </c>
      <c r="R34" s="50">
        <v>0.0068</v>
      </c>
      <c r="S34" s="50"/>
      <c r="T34" s="50"/>
      <c r="U34" s="50"/>
      <c r="V34" s="50"/>
      <c r="W34" s="50"/>
      <c r="X34" s="50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ht="15" customHeight="1" spans="1:40">
      <c r="A35" s="46"/>
      <c r="B35" s="52" t="s">
        <v>35</v>
      </c>
      <c r="C35" s="48"/>
      <c r="D35" s="48"/>
      <c r="E35" s="48"/>
      <c r="F35" s="49"/>
      <c r="G35" s="49"/>
      <c r="H35" s="48" t="s">
        <v>29</v>
      </c>
      <c r="I35" s="50">
        <v>-0.3861</v>
      </c>
      <c r="J35" s="50">
        <v>-0.3873</v>
      </c>
      <c r="K35" s="50">
        <v>-0.3918</v>
      </c>
      <c r="L35" s="50">
        <v>-0.3925</v>
      </c>
      <c r="M35" s="50">
        <v>-0.3888</v>
      </c>
      <c r="N35" s="50">
        <v>-0.3945</v>
      </c>
      <c r="O35" s="50">
        <v>-0.3937</v>
      </c>
      <c r="P35" s="50">
        <v>-0.3793</v>
      </c>
      <c r="Q35" s="50">
        <v>-0.3922</v>
      </c>
      <c r="R35" s="50">
        <v>-0.388</v>
      </c>
      <c r="S35" s="50"/>
      <c r="T35" s="50"/>
      <c r="U35" s="50"/>
      <c r="V35" s="50"/>
      <c r="W35" s="50"/>
      <c r="X35" s="50"/>
      <c r="Y35" s="54"/>
      <c r="Z35" s="54"/>
      <c r="AA35" s="54"/>
      <c r="AB35" s="54"/>
      <c r="AC35" s="54"/>
      <c r="AD35" s="54"/>
      <c r="AE35" s="53"/>
      <c r="AF35" s="54"/>
      <c r="AG35" s="54"/>
      <c r="AH35" s="54"/>
      <c r="AI35" s="54"/>
      <c r="AJ35" s="54"/>
      <c r="AK35" s="54"/>
      <c r="AL35" s="54"/>
      <c r="AM35" s="54"/>
      <c r="AN35" s="54"/>
    </row>
    <row r="36" ht="15" customHeight="1" spans="1:40">
      <c r="A36" s="46"/>
      <c r="B36" s="52" t="s">
        <v>36</v>
      </c>
      <c r="C36" s="48"/>
      <c r="D36" s="48"/>
      <c r="E36" s="48"/>
      <c r="F36" s="49"/>
      <c r="G36" s="49"/>
      <c r="H36" s="48" t="s">
        <v>29</v>
      </c>
      <c r="I36" s="50">
        <v>-0.373</v>
      </c>
      <c r="J36" s="50">
        <v>-0.3683</v>
      </c>
      <c r="K36" s="50">
        <v>-0.3738</v>
      </c>
      <c r="L36" s="50">
        <v>-0.3709</v>
      </c>
      <c r="M36" s="50">
        <v>-0.3713</v>
      </c>
      <c r="N36" s="50">
        <v>-0.3736</v>
      </c>
      <c r="O36" s="50">
        <v>-0.3767</v>
      </c>
      <c r="P36" s="50">
        <v>-0.3647</v>
      </c>
      <c r="Q36" s="50">
        <v>-0.3744</v>
      </c>
      <c r="R36" s="50">
        <v>-0.3709</v>
      </c>
      <c r="S36" s="50"/>
      <c r="T36" s="50"/>
      <c r="U36" s="50"/>
      <c r="V36" s="50"/>
      <c r="W36" s="50"/>
      <c r="X36" s="50"/>
      <c r="Y36" s="54"/>
      <c r="Z36" s="54"/>
      <c r="AA36" s="54"/>
      <c r="AB36" s="54"/>
      <c r="AC36" s="54"/>
      <c r="AD36" s="54"/>
      <c r="AE36" s="53"/>
      <c r="AF36" s="54"/>
      <c r="AG36" s="54"/>
      <c r="AH36" s="54"/>
      <c r="AI36" s="54"/>
      <c r="AJ36" s="54"/>
      <c r="AK36" s="54"/>
      <c r="AL36" s="54"/>
      <c r="AM36" s="54"/>
      <c r="AN36" s="54"/>
    </row>
    <row r="37" ht="15" customHeight="1" spans="1:40">
      <c r="A37" s="46"/>
      <c r="B37" s="52" t="s">
        <v>37</v>
      </c>
      <c r="C37" s="48"/>
      <c r="D37" s="48"/>
      <c r="E37" s="48"/>
      <c r="F37" s="49"/>
      <c r="G37" s="49"/>
      <c r="H37" s="48" t="s">
        <v>29</v>
      </c>
      <c r="I37" s="50">
        <v>-0.3904</v>
      </c>
      <c r="J37" s="50">
        <v>-0.3905</v>
      </c>
      <c r="K37" s="50">
        <v>-0.3923</v>
      </c>
      <c r="L37" s="50">
        <v>-0.3946</v>
      </c>
      <c r="M37" s="50">
        <v>-0.388</v>
      </c>
      <c r="N37" s="50">
        <v>-0.3945</v>
      </c>
      <c r="O37" s="50">
        <v>-0.3942</v>
      </c>
      <c r="P37" s="50">
        <v>-0.3873</v>
      </c>
      <c r="Q37" s="50">
        <v>-0.3915</v>
      </c>
      <c r="R37" s="50">
        <v>-0.3871</v>
      </c>
      <c r="S37" s="50"/>
      <c r="T37" s="50"/>
      <c r="U37" s="50"/>
      <c r="V37" s="50"/>
      <c r="W37" s="50"/>
      <c r="X37" s="50"/>
      <c r="Y37" s="54"/>
      <c r="Z37" s="54"/>
      <c r="AA37" s="54"/>
      <c r="AB37" s="54"/>
      <c r="AC37" s="54"/>
      <c r="AD37" s="54"/>
      <c r="AE37" s="53"/>
      <c r="AF37" s="54"/>
      <c r="AG37" s="54"/>
      <c r="AH37" s="54"/>
      <c r="AI37" s="54"/>
      <c r="AJ37" s="54"/>
      <c r="AK37" s="54"/>
      <c r="AL37" s="54"/>
      <c r="AM37" s="54"/>
      <c r="AN37" s="54"/>
    </row>
    <row r="38" ht="15" customHeight="1" spans="1:40">
      <c r="A38" s="46"/>
      <c r="B38" s="52" t="s">
        <v>38</v>
      </c>
      <c r="C38" s="48"/>
      <c r="D38" s="48"/>
      <c r="E38" s="48"/>
      <c r="F38" s="49"/>
      <c r="G38" s="49"/>
      <c r="H38" s="48" t="s">
        <v>29</v>
      </c>
      <c r="I38" s="50">
        <v>-0.3829</v>
      </c>
      <c r="J38" s="50">
        <v>-0.3799</v>
      </c>
      <c r="K38" s="50">
        <v>-0.3834</v>
      </c>
      <c r="L38" s="50">
        <v>-0.3796</v>
      </c>
      <c r="M38" s="50">
        <v>-0.3809</v>
      </c>
      <c r="N38" s="50">
        <v>-0.3838</v>
      </c>
      <c r="O38" s="50">
        <v>-0.3861</v>
      </c>
      <c r="P38" s="50">
        <v>-0.3835</v>
      </c>
      <c r="Q38" s="50">
        <v>-0.3818</v>
      </c>
      <c r="R38" s="50">
        <v>-0.3824</v>
      </c>
      <c r="S38" s="50"/>
      <c r="T38" s="50"/>
      <c r="U38" s="50"/>
      <c r="V38" s="50"/>
      <c r="W38" s="50"/>
      <c r="X38" s="50"/>
      <c r="Y38" s="54"/>
      <c r="Z38" s="54"/>
      <c r="AA38" s="54"/>
      <c r="AB38" s="54"/>
      <c r="AC38" s="54"/>
      <c r="AD38" s="54"/>
      <c r="AE38" s="53"/>
      <c r="AF38" s="54"/>
      <c r="AG38" s="54"/>
      <c r="AH38" s="54"/>
      <c r="AI38" s="54"/>
      <c r="AJ38" s="54"/>
      <c r="AK38" s="54"/>
      <c r="AL38" s="54"/>
      <c r="AM38" s="54"/>
      <c r="AN38" s="54"/>
    </row>
    <row r="39" ht="15" customHeight="1" spans="1:40">
      <c r="A39" s="46"/>
      <c r="B39" s="52" t="s">
        <v>39</v>
      </c>
      <c r="C39" s="48"/>
      <c r="D39" s="48"/>
      <c r="E39" s="48"/>
      <c r="F39" s="49"/>
      <c r="G39" s="49"/>
      <c r="H39" s="48" t="s">
        <v>29</v>
      </c>
      <c r="I39" s="50">
        <v>-0.386</v>
      </c>
      <c r="J39" s="50">
        <v>-0.3835</v>
      </c>
      <c r="K39" s="50">
        <v>-0.3869</v>
      </c>
      <c r="L39" s="50">
        <v>-0.388</v>
      </c>
      <c r="M39" s="50">
        <v>-0.3819</v>
      </c>
      <c r="N39" s="50">
        <v>-0.386</v>
      </c>
      <c r="O39" s="50">
        <v>-0.3876</v>
      </c>
      <c r="P39" s="50">
        <v>-0.3853</v>
      </c>
      <c r="Q39" s="50">
        <v>-0.3834</v>
      </c>
      <c r="R39" s="50">
        <v>-0.3836</v>
      </c>
      <c r="S39" s="50"/>
      <c r="T39" s="50"/>
      <c r="U39" s="50"/>
      <c r="V39" s="50"/>
      <c r="W39" s="50"/>
      <c r="X39" s="50"/>
      <c r="Y39" s="54"/>
      <c r="Z39" s="54"/>
      <c r="AA39" s="54"/>
      <c r="AB39" s="54"/>
      <c r="AC39" s="54"/>
      <c r="AD39" s="54"/>
      <c r="AE39" s="53"/>
      <c r="AF39" s="54"/>
      <c r="AG39" s="54"/>
      <c r="AH39" s="54"/>
      <c r="AI39" s="54"/>
      <c r="AJ39" s="54"/>
      <c r="AK39" s="54"/>
      <c r="AL39" s="54"/>
      <c r="AM39" s="54"/>
      <c r="AN39" s="54"/>
    </row>
    <row r="40" ht="15" customHeight="1" spans="1:40">
      <c r="A40" s="46"/>
      <c r="B40" s="52" t="s">
        <v>40</v>
      </c>
      <c r="C40" s="48"/>
      <c r="D40" s="48"/>
      <c r="E40" s="48"/>
      <c r="F40" s="49"/>
      <c r="G40" s="49"/>
      <c r="H40" s="48" t="s">
        <v>29</v>
      </c>
      <c r="I40" s="50">
        <v>-0.3869</v>
      </c>
      <c r="J40" s="50">
        <v>-0.388</v>
      </c>
      <c r="K40" s="50">
        <v>-0.3879</v>
      </c>
      <c r="L40" s="50">
        <v>-0.3947</v>
      </c>
      <c r="M40" s="50">
        <v>-0.3811</v>
      </c>
      <c r="N40" s="50">
        <v>-0.3873</v>
      </c>
      <c r="O40" s="50">
        <v>-0.3908</v>
      </c>
      <c r="P40" s="50">
        <v>-0.3871</v>
      </c>
      <c r="Q40" s="50">
        <v>-0.385</v>
      </c>
      <c r="R40" s="50">
        <v>-0.3822</v>
      </c>
      <c r="S40" s="50"/>
      <c r="T40" s="50"/>
      <c r="U40" s="50"/>
      <c r="V40" s="50"/>
      <c r="W40" s="50"/>
      <c r="X40" s="50"/>
      <c r="Y40" s="54"/>
      <c r="Z40" s="54"/>
      <c r="AA40" s="54"/>
      <c r="AB40" s="54"/>
      <c r="AC40" s="54"/>
      <c r="AD40" s="54"/>
      <c r="AE40" s="53"/>
      <c r="AF40" s="54"/>
      <c r="AG40" s="54"/>
      <c r="AH40" s="54"/>
      <c r="AI40" s="54"/>
      <c r="AJ40" s="54"/>
      <c r="AK40" s="54"/>
      <c r="AL40" s="54"/>
      <c r="AM40" s="54"/>
      <c r="AN40" s="54"/>
    </row>
    <row r="41" ht="15" customHeight="1" spans="1:40">
      <c r="A41" s="46"/>
      <c r="B41" s="52" t="s">
        <v>41</v>
      </c>
      <c r="C41" s="48"/>
      <c r="D41" s="48"/>
      <c r="E41" s="48"/>
      <c r="F41" s="49"/>
      <c r="G41" s="49"/>
      <c r="H41" s="48" t="s">
        <v>29</v>
      </c>
      <c r="I41" s="50">
        <v>-0.3817</v>
      </c>
      <c r="J41" s="50">
        <v>-0.3777</v>
      </c>
      <c r="K41" s="50">
        <v>-0.3847</v>
      </c>
      <c r="L41" s="50">
        <v>-0.3792</v>
      </c>
      <c r="M41" s="50">
        <v>-0.3793</v>
      </c>
      <c r="N41" s="50">
        <v>-0.3834</v>
      </c>
      <c r="O41" s="50">
        <v>-0.3846</v>
      </c>
      <c r="P41" s="50">
        <v>-0.3849</v>
      </c>
      <c r="Q41" s="50">
        <v>-0.3799</v>
      </c>
      <c r="R41" s="50">
        <v>-0.3812</v>
      </c>
      <c r="S41" s="50"/>
      <c r="T41" s="50"/>
      <c r="U41" s="50"/>
      <c r="V41" s="50"/>
      <c r="W41" s="50"/>
      <c r="X41" s="50"/>
      <c r="Y41" s="54"/>
      <c r="Z41" s="54"/>
      <c r="AA41" s="54"/>
      <c r="AB41" s="54"/>
      <c r="AC41" s="54"/>
      <c r="AD41" s="54"/>
      <c r="AE41" s="53"/>
      <c r="AF41" s="54"/>
      <c r="AG41" s="54"/>
      <c r="AH41" s="54"/>
      <c r="AI41" s="54"/>
      <c r="AJ41" s="54"/>
      <c r="AK41" s="54"/>
      <c r="AL41" s="54"/>
      <c r="AM41" s="54"/>
      <c r="AN41" s="54"/>
    </row>
    <row r="42" ht="15" customHeight="1" spans="1:40">
      <c r="A42" s="46"/>
      <c r="B42" s="52" t="s">
        <v>42</v>
      </c>
      <c r="C42" s="48"/>
      <c r="D42" s="48"/>
      <c r="E42" s="48"/>
      <c r="F42" s="49"/>
      <c r="G42" s="49"/>
      <c r="H42" s="48" t="s">
        <v>29</v>
      </c>
      <c r="I42" s="50">
        <v>-0.3834</v>
      </c>
      <c r="J42" s="50">
        <v>-0.3832</v>
      </c>
      <c r="K42" s="50">
        <v>-0.3902</v>
      </c>
      <c r="L42" s="50">
        <v>-0.3897</v>
      </c>
      <c r="M42" s="50">
        <v>-0.3808</v>
      </c>
      <c r="N42" s="50">
        <v>-0.3851</v>
      </c>
      <c r="O42" s="50">
        <v>-0.388</v>
      </c>
      <c r="P42" s="50">
        <v>-0.3849</v>
      </c>
      <c r="Q42" s="50">
        <v>-0.3826</v>
      </c>
      <c r="R42" s="50">
        <v>-0.3832</v>
      </c>
      <c r="S42" s="50"/>
      <c r="T42" s="50"/>
      <c r="U42" s="50"/>
      <c r="V42" s="50"/>
      <c r="W42" s="50"/>
      <c r="X42" s="50"/>
      <c r="Y42" s="54"/>
      <c r="Z42" s="54"/>
      <c r="AA42" s="54"/>
      <c r="AB42" s="54"/>
      <c r="AC42" s="54"/>
      <c r="AD42" s="54"/>
      <c r="AE42" s="53"/>
      <c r="AF42" s="54"/>
      <c r="AG42" s="54"/>
      <c r="AH42" s="54"/>
      <c r="AI42" s="54"/>
      <c r="AJ42" s="54"/>
      <c r="AK42" s="54"/>
      <c r="AL42" s="54"/>
      <c r="AM42" s="54"/>
      <c r="AN42" s="54"/>
    </row>
    <row r="43" ht="15" customHeight="1" spans="1:40">
      <c r="A43" s="46"/>
      <c r="B43" s="52" t="s">
        <v>43</v>
      </c>
      <c r="C43" s="48"/>
      <c r="D43" s="48"/>
      <c r="E43" s="48"/>
      <c r="F43" s="49"/>
      <c r="G43" s="49"/>
      <c r="H43" s="48" t="s">
        <v>29</v>
      </c>
      <c r="I43" s="50">
        <v>-0.3832</v>
      </c>
      <c r="J43" s="50">
        <v>-0.3838</v>
      </c>
      <c r="K43" s="50">
        <v>-0.391</v>
      </c>
      <c r="L43" s="50">
        <v>-0.3897</v>
      </c>
      <c r="M43" s="50">
        <v>-0.3792</v>
      </c>
      <c r="N43" s="50">
        <v>-0.3839</v>
      </c>
      <c r="O43" s="50">
        <v>-0.3887</v>
      </c>
      <c r="P43" s="50">
        <v>-0.3852</v>
      </c>
      <c r="Q43" s="50">
        <v>-0.3831</v>
      </c>
      <c r="R43" s="50">
        <v>-0.3812</v>
      </c>
      <c r="S43" s="50"/>
      <c r="T43" s="50"/>
      <c r="U43" s="50"/>
      <c r="V43" s="50"/>
      <c r="W43" s="50"/>
      <c r="X43" s="50"/>
      <c r="Y43" s="54"/>
      <c r="Z43" s="54"/>
      <c r="AA43" s="54"/>
      <c r="AB43" s="54"/>
      <c r="AC43" s="54"/>
      <c r="AD43" s="54"/>
      <c r="AE43" s="53"/>
      <c r="AF43" s="54"/>
      <c r="AG43" s="54"/>
      <c r="AH43" s="54"/>
      <c r="AI43" s="54"/>
      <c r="AJ43" s="54"/>
      <c r="AK43" s="54"/>
      <c r="AL43" s="54"/>
      <c r="AM43" s="54"/>
      <c r="AN43" s="54"/>
    </row>
    <row r="44" ht="15" customHeight="1" spans="1:40">
      <c r="A44" s="46"/>
      <c r="B44" s="52" t="s">
        <v>44</v>
      </c>
      <c r="C44" s="48"/>
      <c r="D44" s="48"/>
      <c r="E44" s="48"/>
      <c r="F44" s="49"/>
      <c r="G44" s="49"/>
      <c r="H44" s="48" t="s">
        <v>29</v>
      </c>
      <c r="I44" s="50">
        <v>-0.381</v>
      </c>
      <c r="J44" s="50">
        <v>-0.375</v>
      </c>
      <c r="K44" s="50">
        <v>-0.389</v>
      </c>
      <c r="L44" s="50">
        <v>-0.3768</v>
      </c>
      <c r="M44" s="50">
        <v>-0.3811</v>
      </c>
      <c r="N44" s="50">
        <v>-0.3823</v>
      </c>
      <c r="O44" s="50">
        <v>-0.3872</v>
      </c>
      <c r="P44" s="50">
        <v>-0.3863</v>
      </c>
      <c r="Q44" s="50">
        <v>-0.3828</v>
      </c>
      <c r="R44" s="50">
        <v>-0.3838</v>
      </c>
      <c r="S44" s="50"/>
      <c r="T44" s="50"/>
      <c r="U44" s="50"/>
      <c r="V44" s="50"/>
      <c r="W44" s="50"/>
      <c r="X44" s="50"/>
      <c r="Y44" s="54"/>
      <c r="Z44" s="54"/>
      <c r="AA44" s="54"/>
      <c r="AB44" s="54"/>
      <c r="AC44" s="54"/>
      <c r="AD44" s="54"/>
      <c r="AE44" s="53"/>
      <c r="AF44" s="54"/>
      <c r="AG44" s="54"/>
      <c r="AH44" s="54"/>
      <c r="AI44" s="54"/>
      <c r="AJ44" s="54"/>
      <c r="AK44" s="54"/>
      <c r="AL44" s="54"/>
      <c r="AM44" s="54"/>
      <c r="AN44" s="54"/>
    </row>
    <row r="45" ht="15" customHeight="1" spans="1:40">
      <c r="A45" s="46"/>
      <c r="B45" s="52" t="s">
        <v>45</v>
      </c>
      <c r="C45" s="48"/>
      <c r="D45" s="48"/>
      <c r="E45" s="48"/>
      <c r="F45" s="49"/>
      <c r="G45" s="49"/>
      <c r="H45" s="48" t="s">
        <v>29</v>
      </c>
      <c r="I45" s="50">
        <v>-0.3803</v>
      </c>
      <c r="J45" s="50">
        <v>-0.3759</v>
      </c>
      <c r="K45" s="50">
        <v>-0.3904</v>
      </c>
      <c r="L45" s="50">
        <v>-0.3794</v>
      </c>
      <c r="M45" s="50">
        <v>-0.379</v>
      </c>
      <c r="N45" s="50">
        <v>-0.3827</v>
      </c>
      <c r="O45" s="50">
        <v>-0.3898</v>
      </c>
      <c r="P45" s="50">
        <v>-0.3851</v>
      </c>
      <c r="Q45" s="50">
        <v>-0.3815</v>
      </c>
      <c r="R45" s="50">
        <v>-0.3841</v>
      </c>
      <c r="S45" s="50"/>
      <c r="T45" s="50"/>
      <c r="U45" s="50"/>
      <c r="V45" s="50"/>
      <c r="W45" s="50"/>
      <c r="X45" s="50"/>
      <c r="Y45" s="54"/>
      <c r="Z45" s="54"/>
      <c r="AA45" s="54"/>
      <c r="AB45" s="54"/>
      <c r="AC45" s="54"/>
      <c r="AD45" s="54"/>
      <c r="AE45" s="53"/>
      <c r="AF45" s="54"/>
      <c r="AG45" s="54"/>
      <c r="AH45" s="54"/>
      <c r="AI45" s="54"/>
      <c r="AJ45" s="54"/>
      <c r="AK45" s="54"/>
      <c r="AL45" s="54"/>
      <c r="AM45" s="54"/>
      <c r="AN45" s="54"/>
    </row>
    <row r="46" ht="15" customHeight="1" spans="1:40">
      <c r="A46" s="46"/>
      <c r="B46" s="52" t="s">
        <v>46</v>
      </c>
      <c r="C46" s="48"/>
      <c r="D46" s="48"/>
      <c r="E46" s="48"/>
      <c r="F46" s="49"/>
      <c r="G46" s="49"/>
      <c r="H46" s="48" t="s">
        <v>29</v>
      </c>
      <c r="I46" s="50">
        <v>-0.3794</v>
      </c>
      <c r="J46" s="50">
        <v>-0.3732</v>
      </c>
      <c r="K46" s="50">
        <v>-0.3865</v>
      </c>
      <c r="L46" s="50">
        <v>-0.3743</v>
      </c>
      <c r="M46" s="50">
        <v>-0.3808</v>
      </c>
      <c r="N46" s="50">
        <v>-0.3833</v>
      </c>
      <c r="O46" s="50">
        <v>-0.39</v>
      </c>
      <c r="P46" s="50">
        <v>-0.3835</v>
      </c>
      <c r="Q46" s="50">
        <v>-0.3816</v>
      </c>
      <c r="R46" s="50">
        <v>-0.381</v>
      </c>
      <c r="S46" s="50"/>
      <c r="T46" s="50"/>
      <c r="U46" s="50"/>
      <c r="V46" s="50"/>
      <c r="W46" s="50"/>
      <c r="X46" s="50"/>
      <c r="Y46" s="54"/>
      <c r="Z46" s="54"/>
      <c r="AA46" s="54"/>
      <c r="AB46" s="54"/>
      <c r="AC46" s="54"/>
      <c r="AD46" s="54"/>
      <c r="AE46" s="53"/>
      <c r="AF46" s="54"/>
      <c r="AG46" s="54"/>
      <c r="AH46" s="54"/>
      <c r="AI46" s="54"/>
      <c r="AJ46" s="54"/>
      <c r="AK46" s="54"/>
      <c r="AL46" s="54"/>
      <c r="AM46" s="54"/>
      <c r="AN46" s="54"/>
    </row>
    <row r="47" ht="15" customHeight="1" spans="1:40">
      <c r="A47" s="46"/>
      <c r="B47" s="52" t="s">
        <v>47</v>
      </c>
      <c r="C47" s="48"/>
      <c r="D47" s="48"/>
      <c r="E47" s="48"/>
      <c r="F47" s="49"/>
      <c r="G47" s="49"/>
      <c r="H47" s="48" t="s">
        <v>29</v>
      </c>
      <c r="I47" s="50">
        <v>-0.3688</v>
      </c>
      <c r="J47" s="50">
        <v>-0.3677</v>
      </c>
      <c r="K47" s="50">
        <v>-0.3796</v>
      </c>
      <c r="L47" s="50">
        <v>-0.3678</v>
      </c>
      <c r="M47" s="50">
        <v>-0.3743</v>
      </c>
      <c r="N47" s="50">
        <v>-0.3727</v>
      </c>
      <c r="O47" s="50">
        <v>-0.3806</v>
      </c>
      <c r="P47" s="50">
        <v>-0.3644</v>
      </c>
      <c r="Q47" s="50">
        <v>-0.3742</v>
      </c>
      <c r="R47" s="50">
        <v>-0.3767</v>
      </c>
      <c r="S47" s="50"/>
      <c r="T47" s="50"/>
      <c r="U47" s="50"/>
      <c r="V47" s="50"/>
      <c r="W47" s="50"/>
      <c r="X47" s="50"/>
      <c r="Y47" s="54"/>
      <c r="Z47" s="54"/>
      <c r="AA47" s="54"/>
      <c r="AB47" s="54"/>
      <c r="AC47" s="54"/>
      <c r="AD47" s="54"/>
      <c r="AE47" s="53"/>
      <c r="AF47" s="54"/>
      <c r="AG47" s="54"/>
      <c r="AH47" s="54"/>
      <c r="AI47" s="54"/>
      <c r="AJ47" s="54"/>
      <c r="AK47" s="54"/>
      <c r="AL47" s="54"/>
      <c r="AM47" s="54"/>
      <c r="AN47" s="54"/>
    </row>
    <row r="48" ht="15" customHeight="1" spans="1:40">
      <c r="A48" s="46"/>
      <c r="B48" s="52" t="s">
        <v>48</v>
      </c>
      <c r="C48" s="48"/>
      <c r="D48" s="48"/>
      <c r="E48" s="48"/>
      <c r="F48" s="49"/>
      <c r="G48" s="49"/>
      <c r="H48" s="48" t="s">
        <v>29</v>
      </c>
      <c r="I48" s="50">
        <v>-0.3792</v>
      </c>
      <c r="J48" s="50">
        <v>-0.3841</v>
      </c>
      <c r="K48" s="50">
        <v>-0.3926</v>
      </c>
      <c r="L48" s="50">
        <v>-0.3883</v>
      </c>
      <c r="M48" s="50">
        <v>-0.386</v>
      </c>
      <c r="N48" s="50">
        <v>-0.389</v>
      </c>
      <c r="O48" s="50">
        <v>-0.3914</v>
      </c>
      <c r="P48" s="50">
        <v>-0.3754</v>
      </c>
      <c r="Q48" s="50">
        <v>-0.3874</v>
      </c>
      <c r="R48" s="50">
        <v>-0.3869</v>
      </c>
      <c r="S48" s="50"/>
      <c r="T48" s="50"/>
      <c r="U48" s="50"/>
      <c r="V48" s="50"/>
      <c r="W48" s="50"/>
      <c r="X48" s="50"/>
      <c r="Y48" s="54"/>
      <c r="Z48" s="54"/>
      <c r="AA48" s="54"/>
      <c r="AB48" s="54"/>
      <c r="AC48" s="54"/>
      <c r="AD48" s="54"/>
      <c r="AE48" s="53"/>
      <c r="AF48" s="54"/>
      <c r="AG48" s="54"/>
      <c r="AH48" s="54"/>
      <c r="AI48" s="54"/>
      <c r="AJ48" s="54"/>
      <c r="AK48" s="54"/>
      <c r="AL48" s="54"/>
      <c r="AM48" s="54"/>
      <c r="AN48" s="54"/>
    </row>
    <row r="49" ht="15" customHeight="1" spans="1:40">
      <c r="A49" s="46"/>
      <c r="B49" s="52" t="s">
        <v>49</v>
      </c>
      <c r="C49" s="48"/>
      <c r="D49" s="48"/>
      <c r="E49" s="48"/>
      <c r="F49" s="49"/>
      <c r="G49" s="49"/>
      <c r="H49" s="48" t="s">
        <v>29</v>
      </c>
      <c r="I49" s="50">
        <v>-0.3859</v>
      </c>
      <c r="J49" s="50">
        <v>-0.389</v>
      </c>
      <c r="K49" s="50">
        <v>-0.3929</v>
      </c>
      <c r="L49" s="50">
        <v>-0.3938</v>
      </c>
      <c r="M49" s="50">
        <v>-0.3867</v>
      </c>
      <c r="N49" s="50">
        <v>-0.3917</v>
      </c>
      <c r="O49" s="50">
        <v>-0.3926</v>
      </c>
      <c r="P49" s="50">
        <v>-0.384</v>
      </c>
      <c r="Q49" s="50">
        <v>-0.3891</v>
      </c>
      <c r="R49" s="50">
        <v>-0.3879</v>
      </c>
      <c r="S49" s="50"/>
      <c r="T49" s="50"/>
      <c r="U49" s="50"/>
      <c r="V49" s="50"/>
      <c r="W49" s="50"/>
      <c r="X49" s="50"/>
      <c r="Y49" s="54"/>
      <c r="Z49" s="54"/>
      <c r="AA49" s="54"/>
      <c r="AB49" s="54"/>
      <c r="AC49" s="54"/>
      <c r="AD49" s="54"/>
      <c r="AE49" s="53"/>
      <c r="AF49" s="54"/>
      <c r="AG49" s="54"/>
      <c r="AH49" s="54"/>
      <c r="AI49" s="54"/>
      <c r="AJ49" s="54"/>
      <c r="AK49" s="54"/>
      <c r="AL49" s="54"/>
      <c r="AM49" s="54"/>
      <c r="AN49" s="54"/>
    </row>
    <row r="50" ht="15" customHeight="1" spans="1:40">
      <c r="A50" s="46"/>
      <c r="B50" s="52" t="s">
        <v>50</v>
      </c>
      <c r="C50" s="48"/>
      <c r="D50" s="48"/>
      <c r="E50" s="48"/>
      <c r="F50" s="49"/>
      <c r="G50" s="49"/>
      <c r="H50" s="48" t="s">
        <v>29</v>
      </c>
      <c r="I50" s="50">
        <v>-0.3815</v>
      </c>
      <c r="J50" s="50">
        <v>-0.378</v>
      </c>
      <c r="K50" s="50">
        <v>-0.3845</v>
      </c>
      <c r="L50" s="50">
        <v>-0.3799</v>
      </c>
      <c r="M50" s="50">
        <v>-0.3818</v>
      </c>
      <c r="N50" s="50">
        <v>-0.3844</v>
      </c>
      <c r="O50" s="50">
        <v>-0.3863</v>
      </c>
      <c r="P50" s="50">
        <v>-0.3806</v>
      </c>
      <c r="Q50" s="50">
        <v>-0.3825</v>
      </c>
      <c r="R50" s="50">
        <v>-0.3831</v>
      </c>
      <c r="S50" s="50"/>
      <c r="T50" s="50"/>
      <c r="U50" s="50"/>
      <c r="V50" s="50"/>
      <c r="W50" s="50"/>
      <c r="X50" s="50"/>
      <c r="Y50" s="54"/>
      <c r="Z50" s="54"/>
      <c r="AA50" s="54"/>
      <c r="AB50" s="54"/>
      <c r="AC50" s="54"/>
      <c r="AD50" s="54"/>
      <c r="AE50" s="53"/>
      <c r="AF50" s="54"/>
      <c r="AG50" s="54"/>
      <c r="AH50" s="54"/>
      <c r="AI50" s="54"/>
      <c r="AJ50" s="54"/>
      <c r="AK50" s="54"/>
      <c r="AL50" s="54"/>
      <c r="AM50" s="54"/>
      <c r="AN50" s="54"/>
    </row>
    <row r="51" ht="15" customHeight="1" spans="1:40">
      <c r="A51" s="46"/>
      <c r="B51" s="52" t="s">
        <v>51</v>
      </c>
      <c r="C51" s="48"/>
      <c r="D51" s="48"/>
      <c r="E51" s="48"/>
      <c r="F51" s="49"/>
      <c r="G51" s="49"/>
      <c r="H51" s="48" t="s">
        <v>29</v>
      </c>
      <c r="I51" s="50">
        <v>-0.383</v>
      </c>
      <c r="J51" s="50">
        <v>-0.3831</v>
      </c>
      <c r="K51" s="50">
        <v>-0.3871</v>
      </c>
      <c r="L51" s="50">
        <v>-0.386</v>
      </c>
      <c r="M51" s="50">
        <v>-0.3826</v>
      </c>
      <c r="N51" s="50">
        <v>-0.3859</v>
      </c>
      <c r="O51" s="50">
        <v>-0.3859</v>
      </c>
      <c r="P51" s="50">
        <v>-0.3823</v>
      </c>
      <c r="Q51" s="50">
        <v>-0.3834</v>
      </c>
      <c r="R51" s="50">
        <v>-0.383</v>
      </c>
      <c r="S51" s="50"/>
      <c r="T51" s="50"/>
      <c r="U51" s="50"/>
      <c r="V51" s="50"/>
      <c r="W51" s="50"/>
      <c r="X51" s="50"/>
      <c r="Y51" s="54"/>
      <c r="Z51" s="54"/>
      <c r="AA51" s="54"/>
      <c r="AB51" s="54"/>
      <c r="AC51" s="54"/>
      <c r="AD51" s="54"/>
      <c r="AE51" s="53"/>
      <c r="AF51" s="54"/>
      <c r="AG51" s="54"/>
      <c r="AH51" s="54"/>
      <c r="AI51" s="54"/>
      <c r="AJ51" s="54"/>
      <c r="AK51" s="54"/>
      <c r="AL51" s="54"/>
      <c r="AM51" s="54"/>
      <c r="AN51" s="54"/>
    </row>
    <row r="52" ht="15" customHeight="1" spans="1:40">
      <c r="A52" s="46"/>
      <c r="B52" s="52" t="s">
        <v>52</v>
      </c>
      <c r="C52" s="48"/>
      <c r="D52" s="48"/>
      <c r="E52" s="48"/>
      <c r="F52" s="49"/>
      <c r="G52" s="49"/>
      <c r="H52" s="48" t="s">
        <v>29</v>
      </c>
      <c r="I52" s="50">
        <v>-0.3839</v>
      </c>
      <c r="J52" s="50">
        <v>-0.3894</v>
      </c>
      <c r="K52" s="50">
        <v>-0.3894</v>
      </c>
      <c r="L52" s="50">
        <v>-0.3928</v>
      </c>
      <c r="M52" s="50">
        <v>-0.3838</v>
      </c>
      <c r="N52" s="50">
        <v>-0.3906</v>
      </c>
      <c r="O52" s="50">
        <v>-0.3883</v>
      </c>
      <c r="P52" s="50">
        <v>-0.3832</v>
      </c>
      <c r="Q52" s="50">
        <v>-0.3866</v>
      </c>
      <c r="R52" s="50">
        <v>-0.3779</v>
      </c>
      <c r="S52" s="50"/>
      <c r="T52" s="50"/>
      <c r="U52" s="50"/>
      <c r="V52" s="50"/>
      <c r="W52" s="50"/>
      <c r="X52" s="50"/>
      <c r="Y52" s="54"/>
      <c r="Z52" s="54"/>
      <c r="AA52" s="54"/>
      <c r="AB52" s="54"/>
      <c r="AC52" s="54"/>
      <c r="AD52" s="54"/>
      <c r="AE52" s="53"/>
      <c r="AF52" s="54"/>
      <c r="AG52" s="54"/>
      <c r="AH52" s="54"/>
      <c r="AI52" s="54"/>
      <c r="AJ52" s="54"/>
      <c r="AK52" s="54"/>
      <c r="AL52" s="54"/>
      <c r="AM52" s="54"/>
      <c r="AN52" s="54"/>
    </row>
    <row r="53" ht="15" customHeight="1" spans="1:40">
      <c r="A53" s="46"/>
      <c r="B53" s="52" t="s">
        <v>53</v>
      </c>
      <c r="C53" s="48"/>
      <c r="D53" s="48"/>
      <c r="E53" s="48"/>
      <c r="F53" s="49"/>
      <c r="G53" s="49"/>
      <c r="H53" s="48" t="s">
        <v>29</v>
      </c>
      <c r="I53" s="50">
        <v>-0.3819</v>
      </c>
      <c r="J53" s="50">
        <v>-0.3801</v>
      </c>
      <c r="K53" s="50">
        <v>-0.3857</v>
      </c>
      <c r="L53" s="50">
        <v>-0.3815</v>
      </c>
      <c r="M53" s="50">
        <v>-0.3815</v>
      </c>
      <c r="N53" s="50">
        <v>-0.384</v>
      </c>
      <c r="O53" s="50">
        <v>-0.3853</v>
      </c>
      <c r="P53" s="50">
        <v>-0.3823</v>
      </c>
      <c r="Q53" s="50">
        <v>-0.382</v>
      </c>
      <c r="R53" s="50">
        <v>-0.381</v>
      </c>
      <c r="S53" s="50"/>
      <c r="T53" s="50"/>
      <c r="U53" s="50"/>
      <c r="V53" s="50"/>
      <c r="W53" s="50"/>
      <c r="X53" s="50"/>
      <c r="Y53" s="54"/>
      <c r="Z53" s="54"/>
      <c r="AA53" s="54"/>
      <c r="AB53" s="54"/>
      <c r="AC53" s="54"/>
      <c r="AD53" s="54"/>
      <c r="AE53" s="53"/>
      <c r="AF53" s="54"/>
      <c r="AG53" s="54"/>
      <c r="AH53" s="54"/>
      <c r="AI53" s="54"/>
      <c r="AJ53" s="54"/>
      <c r="AK53" s="54"/>
      <c r="AL53" s="54"/>
      <c r="AM53" s="54"/>
      <c r="AN53" s="54"/>
    </row>
    <row r="54" ht="15" customHeight="1" spans="1:40">
      <c r="A54" s="46"/>
      <c r="B54" s="52" t="s">
        <v>54</v>
      </c>
      <c r="C54" s="48"/>
      <c r="D54" s="48"/>
      <c r="E54" s="48"/>
      <c r="F54" s="49"/>
      <c r="G54" s="49"/>
      <c r="H54" s="48" t="s">
        <v>29</v>
      </c>
      <c r="I54" s="50">
        <v>-0.3849</v>
      </c>
      <c r="J54" s="50">
        <v>-0.3888</v>
      </c>
      <c r="K54" s="50">
        <v>-0.3893</v>
      </c>
      <c r="L54" s="50">
        <v>-0.391</v>
      </c>
      <c r="M54" s="50">
        <v>-0.3834</v>
      </c>
      <c r="N54" s="50">
        <v>-0.3902</v>
      </c>
      <c r="O54" s="50">
        <v>-0.388</v>
      </c>
      <c r="P54" s="50">
        <v>-0.3831</v>
      </c>
      <c r="Q54" s="50">
        <v>-0.3863</v>
      </c>
      <c r="R54" s="50">
        <v>-0.3802</v>
      </c>
      <c r="S54" s="50"/>
      <c r="T54" s="50"/>
      <c r="U54" s="50"/>
      <c r="V54" s="50"/>
      <c r="W54" s="50"/>
      <c r="X54" s="50"/>
      <c r="Y54" s="54"/>
      <c r="Z54" s="54"/>
      <c r="AA54" s="54"/>
      <c r="AB54" s="54"/>
      <c r="AC54" s="54"/>
      <c r="AD54" s="54"/>
      <c r="AE54" s="53"/>
      <c r="AF54" s="54"/>
      <c r="AG54" s="54"/>
      <c r="AH54" s="54"/>
      <c r="AI54" s="54"/>
      <c r="AJ54" s="54"/>
      <c r="AK54" s="54"/>
      <c r="AL54" s="54"/>
      <c r="AM54" s="54"/>
      <c r="AN54" s="54"/>
    </row>
    <row r="55" ht="15" customHeight="1" spans="1:40">
      <c r="A55" s="46"/>
      <c r="B55" s="52" t="s">
        <v>55</v>
      </c>
      <c r="C55" s="48"/>
      <c r="D55" s="48"/>
      <c r="E55" s="48"/>
      <c r="F55" s="49"/>
      <c r="G55" s="49"/>
      <c r="H55" s="48" t="s">
        <v>29</v>
      </c>
      <c r="I55" s="50">
        <v>-0.384</v>
      </c>
      <c r="J55" s="50">
        <v>-0.3913</v>
      </c>
      <c r="K55" s="50">
        <v>-0.3888</v>
      </c>
      <c r="L55" s="50">
        <v>-0.3955</v>
      </c>
      <c r="M55" s="50">
        <v>-0.3826</v>
      </c>
      <c r="N55" s="50">
        <v>-0.3915</v>
      </c>
      <c r="O55" s="50">
        <v>-0.3874</v>
      </c>
      <c r="P55" s="50">
        <v>-0.3814</v>
      </c>
      <c r="Q55" s="50">
        <v>-0.3877</v>
      </c>
      <c r="R55" s="50">
        <v>-0.3757</v>
      </c>
      <c r="S55" s="50"/>
      <c r="T55" s="50"/>
      <c r="U55" s="50"/>
      <c r="V55" s="50"/>
      <c r="W55" s="50"/>
      <c r="X55" s="50"/>
      <c r="Y55" s="54"/>
      <c r="Z55" s="54"/>
      <c r="AA55" s="54"/>
      <c r="AB55" s="54"/>
      <c r="AC55" s="54"/>
      <c r="AD55" s="54"/>
      <c r="AE55" s="53"/>
      <c r="AF55" s="54"/>
      <c r="AG55" s="54"/>
      <c r="AH55" s="54"/>
      <c r="AI55" s="54"/>
      <c r="AJ55" s="54"/>
      <c r="AK55" s="54"/>
      <c r="AL55" s="54"/>
      <c r="AM55" s="54"/>
      <c r="AN55" s="54"/>
    </row>
    <row r="56" ht="15" customHeight="1" spans="1:40">
      <c r="A56" s="46"/>
      <c r="B56" s="52" t="s">
        <v>56</v>
      </c>
      <c r="C56" s="48"/>
      <c r="D56" s="48"/>
      <c r="E56" s="48"/>
      <c r="F56" s="49"/>
      <c r="G56" s="49"/>
      <c r="H56" s="48" t="s">
        <v>29</v>
      </c>
      <c r="I56" s="50">
        <v>-0.3839</v>
      </c>
      <c r="J56" s="50">
        <v>-0.3804</v>
      </c>
      <c r="K56" s="50">
        <v>-0.3858</v>
      </c>
      <c r="L56" s="50">
        <v>-0.3816</v>
      </c>
      <c r="M56" s="50">
        <v>-0.3837</v>
      </c>
      <c r="N56" s="50">
        <v>-0.3844</v>
      </c>
      <c r="O56" s="50">
        <v>-0.3861</v>
      </c>
      <c r="P56" s="50">
        <v>-0.3813</v>
      </c>
      <c r="Q56" s="50">
        <v>-0.3858</v>
      </c>
      <c r="R56" s="50">
        <v>-0.3828</v>
      </c>
      <c r="S56" s="50"/>
      <c r="T56" s="50"/>
      <c r="U56" s="50"/>
      <c r="V56" s="50"/>
      <c r="W56" s="50"/>
      <c r="X56" s="50"/>
      <c r="Y56" s="54"/>
      <c r="Z56" s="54"/>
      <c r="AA56" s="54"/>
      <c r="AB56" s="54"/>
      <c r="AC56" s="54"/>
      <c r="AD56" s="54"/>
      <c r="AE56" s="53"/>
      <c r="AF56" s="54"/>
      <c r="AG56" s="54"/>
      <c r="AH56" s="54"/>
      <c r="AI56" s="54"/>
      <c r="AJ56" s="54"/>
      <c r="AK56" s="54"/>
      <c r="AL56" s="54"/>
      <c r="AM56" s="54"/>
      <c r="AN56" s="54"/>
    </row>
    <row r="57" ht="15" customHeight="1" spans="1:40">
      <c r="A57" s="46"/>
      <c r="B57" s="52" t="s">
        <v>57</v>
      </c>
      <c r="C57" s="48"/>
      <c r="D57" s="48"/>
      <c r="E57" s="48"/>
      <c r="F57" s="49"/>
      <c r="G57" s="49"/>
      <c r="H57" s="48" t="s">
        <v>29</v>
      </c>
      <c r="I57" s="50">
        <v>-0.3804</v>
      </c>
      <c r="J57" s="50">
        <v>-0.3786</v>
      </c>
      <c r="K57" s="50">
        <v>-0.3847</v>
      </c>
      <c r="L57" s="50">
        <v>-0.3794</v>
      </c>
      <c r="M57" s="50">
        <v>-0.3804</v>
      </c>
      <c r="N57" s="50">
        <v>-0.3829</v>
      </c>
      <c r="O57" s="50">
        <v>-0.3863</v>
      </c>
      <c r="P57" s="50">
        <v>-0.379</v>
      </c>
      <c r="Q57" s="50">
        <v>-0.382</v>
      </c>
      <c r="R57" s="50">
        <v>-0.3758</v>
      </c>
      <c r="S57" s="50"/>
      <c r="T57" s="50"/>
      <c r="U57" s="50"/>
      <c r="V57" s="50"/>
      <c r="W57" s="50"/>
      <c r="X57" s="50"/>
      <c r="Y57" s="54"/>
      <c r="Z57" s="54"/>
      <c r="AA57" s="54"/>
      <c r="AB57" s="54"/>
      <c r="AC57" s="54"/>
      <c r="AD57" s="54"/>
      <c r="AE57" s="53"/>
      <c r="AF57" s="54"/>
      <c r="AG57" s="54"/>
      <c r="AH57" s="54"/>
      <c r="AI57" s="54"/>
      <c r="AJ57" s="54"/>
      <c r="AK57" s="54"/>
      <c r="AL57" s="54"/>
      <c r="AM57" s="54"/>
      <c r="AN57" s="54"/>
    </row>
    <row r="58" ht="15" customHeight="1" spans="1:40">
      <c r="A58" s="46"/>
      <c r="B58" s="52" t="s">
        <v>58</v>
      </c>
      <c r="C58" s="48"/>
      <c r="D58" s="48"/>
      <c r="E58" s="48"/>
      <c r="F58" s="49"/>
      <c r="G58" s="49"/>
      <c r="H58" s="48" t="s">
        <v>29</v>
      </c>
      <c r="I58" s="50">
        <v>-0.3814</v>
      </c>
      <c r="J58" s="50">
        <v>-0.3857</v>
      </c>
      <c r="K58" s="50">
        <v>-0.3872</v>
      </c>
      <c r="L58" s="50">
        <v>-0.3873</v>
      </c>
      <c r="M58" s="50">
        <v>-0.381</v>
      </c>
      <c r="N58" s="50">
        <v>-0.3865</v>
      </c>
      <c r="O58" s="50">
        <v>-0.3858</v>
      </c>
      <c r="P58" s="50">
        <v>-0.3818</v>
      </c>
      <c r="Q58" s="50">
        <v>-0.3852</v>
      </c>
      <c r="R58" s="50">
        <v>-0.3749</v>
      </c>
      <c r="S58" s="50"/>
      <c r="T58" s="50"/>
      <c r="U58" s="50"/>
      <c r="V58" s="50"/>
      <c r="W58" s="50"/>
      <c r="X58" s="50"/>
      <c r="Y58" s="54"/>
      <c r="Z58" s="54"/>
      <c r="AA58" s="54"/>
      <c r="AB58" s="54"/>
      <c r="AC58" s="54"/>
      <c r="AD58" s="54"/>
      <c r="AE58" s="53"/>
      <c r="AF58" s="54"/>
      <c r="AG58" s="54"/>
      <c r="AH58" s="54"/>
      <c r="AI58" s="54"/>
      <c r="AJ58" s="54"/>
      <c r="AK58" s="54"/>
      <c r="AL58" s="54"/>
      <c r="AM58" s="54"/>
      <c r="AN58" s="54"/>
    </row>
    <row r="59" ht="15" customHeight="1" spans="1:40">
      <c r="A59" s="46"/>
      <c r="B59" s="55" t="s">
        <v>59</v>
      </c>
      <c r="C59" s="56">
        <v>0.4</v>
      </c>
      <c r="D59" s="56">
        <v>0.03</v>
      </c>
      <c r="E59" s="56">
        <v>-0.03</v>
      </c>
      <c r="F59" s="56">
        <f>C59+D59</f>
        <v>0.43</v>
      </c>
      <c r="G59" s="56">
        <f>C59+E59</f>
        <v>0.37</v>
      </c>
      <c r="H59" s="48" t="s">
        <v>29</v>
      </c>
      <c r="I59" s="50" cm="1">
        <f t="array" ref="I59">(I34/2)+MAX(ABS(I35:I58))</f>
        <v>0.39295</v>
      </c>
      <c r="J59" s="50" cm="1">
        <f t="array" ref="J59">(J34/2)+MAX(ABS(J35:J58))</f>
        <v>0.39505</v>
      </c>
      <c r="K59" s="50" cm="1">
        <f t="array" ref="K59">(K34/2)+MAX(ABS(K35:K58))</f>
        <v>0.3963</v>
      </c>
      <c r="L59" s="50">
        <v>0.0107</v>
      </c>
      <c r="M59" s="50" cm="1">
        <f t="array" ref="M59">(M34/2)+MAX(ABS(M35:M58))</f>
        <v>0.3918</v>
      </c>
      <c r="N59" s="50" cm="1">
        <f t="array" ref="N59">(N34/2)+MAX(ABS(N35:N58))</f>
        <v>0.3979</v>
      </c>
      <c r="O59" s="50" cm="1">
        <f t="array" ref="O59">(O34/2)+MAX(ABS(O35:O58))</f>
        <v>0.3976</v>
      </c>
      <c r="P59" s="50" cm="1">
        <f t="array" ref="P59">(P34/2)+MAX(ABS(P35:P58))</f>
        <v>0.39115</v>
      </c>
      <c r="Q59" s="50" cm="1">
        <f t="array" ref="Q59">(Q34/2)+MAX(ABS(Q35:Q58))</f>
        <v>0.3952</v>
      </c>
      <c r="R59" s="50" cm="1">
        <f t="array" ref="R59">(R34/2)+MAX(ABS(R35:R58))</f>
        <v>0.3914</v>
      </c>
      <c r="S59" s="50" cm="1">
        <f t="array" ref="S59">(S34/2)+MAX(ABS(S35:S58))</f>
        <v>0</v>
      </c>
      <c r="T59" s="50" cm="1">
        <f t="array" ref="T59">(T34/2)+MAX(ABS(T35:T58))</f>
        <v>0</v>
      </c>
      <c r="U59" s="50" cm="1">
        <f t="array" ref="U59">(U34/2)+MAX(ABS(U35:U58))</f>
        <v>0</v>
      </c>
      <c r="V59" s="50" cm="1">
        <f t="array" ref="V59">(V34/2)+MAX(ABS(V35:V58))</f>
        <v>0</v>
      </c>
      <c r="W59" s="50" cm="1">
        <f t="array" ref="W59">(W34/2)+MAX(ABS(W35:W58))</f>
        <v>0</v>
      </c>
      <c r="X59" s="50" cm="1">
        <f t="array" ref="X59">(X34/2)+MAX(ABS(X35:X58))</f>
        <v>0</v>
      </c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</row>
    <row r="60" spans="1:40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9"/>
      <c r="AK60" s="60"/>
      <c r="AL60" s="61"/>
      <c r="AM60" s="62"/>
      <c r="AN60" s="63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60:AJ60"/>
    <mergeCell ref="AK60:AL60"/>
    <mergeCell ref="AM60:AN60"/>
    <mergeCell ref="A2:A3"/>
    <mergeCell ref="A4:A6"/>
    <mergeCell ref="A7:A59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">
    <cfRule type="cellIs" dxfId="0" priority="29" operator="notBetween">
      <formula>$F7</formula>
      <formula>$G7</formula>
    </cfRule>
  </conditionalFormatting>
  <conditionalFormatting sqref="J7:X7">
    <cfRule type="cellIs" dxfId="0" priority="28" operator="notBetween">
      <formula>$F7</formula>
      <formula>$G7</formula>
    </cfRule>
  </conditionalFormatting>
  <conditionalFormatting sqref="J8:X8">
    <cfRule type="cellIs" dxfId="0" priority="32" operator="notBetween">
      <formula>$F8</formula>
      <formula>$G8</formula>
    </cfRule>
  </conditionalFormatting>
  <conditionalFormatting sqref="J9:X9">
    <cfRule type="cellIs" dxfId="0" priority="33" operator="notBetween">
      <formula>$F9</formula>
      <formula>$G9</formula>
    </cfRule>
  </conditionalFormatting>
  <conditionalFormatting sqref="I10">
    <cfRule type="cellIs" dxfId="0" priority="39" operator="notBetween">
      <formula>$F10</formula>
      <formula>$G10</formula>
    </cfRule>
  </conditionalFormatting>
  <conditionalFormatting sqref="J10:X10">
    <cfRule type="cellIs" dxfId="0" priority="38" operator="notBetween">
      <formula>$F10</formula>
      <formula>$G10</formula>
    </cfRule>
  </conditionalFormatting>
  <conditionalFormatting sqref="I15">
    <cfRule type="cellIs" dxfId="0" priority="31" operator="notBetween">
      <formula>$F15</formula>
      <formula>$G15</formula>
    </cfRule>
  </conditionalFormatting>
  <conditionalFormatting sqref="J15:X15">
    <cfRule type="cellIs" dxfId="0" priority="30" operator="notBetween">
      <formula>$F15</formula>
      <formula>$G15</formula>
    </cfRule>
  </conditionalFormatting>
  <conditionalFormatting sqref="S20">
    <cfRule type="cellIs" dxfId="0" priority="14" operator="notBetween">
      <formula>$F20</formula>
      <formula>$G20</formula>
    </cfRule>
  </conditionalFormatting>
  <conditionalFormatting sqref="I59:X59">
    <cfRule type="cellIs" dxfId="0" priority="13" operator="notBetween">
      <formula>$F59</formula>
      <formula>$G59</formula>
    </cfRule>
  </conditionalFormatting>
  <conditionalFormatting sqref="I8:I9">
    <cfRule type="cellIs" dxfId="0" priority="34" operator="notBetween">
      <formula>$F8</formula>
      <formula>$G8</formula>
    </cfRule>
  </conditionalFormatting>
  <conditionalFormatting sqref="I20:R20 T20:X20">
    <cfRule type="cellIs" dxfId="0" priority="17" operator="notBetween">
      <formula>$F20</formula>
      <formula>$G20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613-41426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