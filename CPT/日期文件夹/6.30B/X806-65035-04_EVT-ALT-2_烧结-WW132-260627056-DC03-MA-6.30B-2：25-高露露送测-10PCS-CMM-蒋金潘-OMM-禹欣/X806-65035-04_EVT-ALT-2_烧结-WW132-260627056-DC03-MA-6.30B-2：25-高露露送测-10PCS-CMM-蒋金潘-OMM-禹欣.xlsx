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<sst xmlns="http://schemas.openxmlformats.org/spreadsheetml/2006/main" count="49" uniqueCount="39">
  <si>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</si>
  <si>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</si>
  <si>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806-65035</t>
  </si>
  <si>
    <t>工单号</t>
  </si>
  <si>
    <t>WW132-260627056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</si>
  <si>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</si>
  <si>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</si>
  <si>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</si>
  <si>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</si>
  <si>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</si>
  <si>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</si>
  <si>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</si>
  <si>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CMM4#/OMM5#</t>
  </si>
  <si>
    <t>蒋金潘/禹欣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</si>
  <si>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</si>
  <si>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</si>
  <si>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</si>
  <si>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</si>
  <si>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</si>
  <si>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</si>
  <si>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</si>
  <si>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</si>
  <si>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</si>
  <si>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</si>
  <si>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</si>
  <si>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</si>
  <si>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</si>
  <si>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</si>
  <si>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</si>
  <si>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</si>
  <si>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</si>
  <si>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FAI23</t>
  </si>
  <si>
    <t>W</t>
  </si>
  <si>
    <t>CMM</t>
  </si>
  <si>
    <t>FAI24</t>
  </si>
  <si>
    <t>FA45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</si>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</sst>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U12" sqref="U12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/>
      <c r="U6" s="46"/>
      <c r="V6" s="46"/>
      <c r="W6" s="37"/>
      <c r="X6" s="46"/>
      <c r="Y6" s="46"/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0</v>
      </c>
      <c r="AK6" s="47">
        <f t="shared" si="0"/>
        <v>0</v>
      </c>
      <c r="AL6" s="47">
        <f t="shared" si="0"/>
        <v>0</v>
      </c>
      <c r="AM6" s="47">
        <f t="shared" si="0"/>
        <v>0</v>
      </c>
      <c r="AN6" s="47">
        <f t="shared" si="0"/>
        <v>0</v>
      </c>
      <c r="AO6" s="47">
        <f t="shared" si="0"/>
        <v>0</v>
      </c>
    </row>
    <row r="7" ht="15" customHeight="1" spans="1:41">
      <c r="A7" s="48">
        <v>46203</v>
      </c>
      <c r="B7" s="49" t="s">
        <v>28</v>
      </c>
      <c r="C7" s="50" t="s">
        <v>29</v>
      </c>
      <c r="D7" s="51">
        <v>0.5</v>
      </c>
      <c r="E7" s="51">
        <v>0.03</v>
      </c>
      <c r="F7" s="51">
        <v>-0.03</v>
      </c>
      <c r="G7" s="51">
        <f t="shared" ref="G7:G12" si="1">D7+E7</f>
        <v>0.53</v>
      </c>
      <c r="H7" s="51">
        <f t="shared" ref="H7:H12" si="2">D7+F7</f>
        <v>0.47</v>
      </c>
      <c r="I7" s="51" t="s">
        <v>30</v>
      </c>
      <c r="J7" s="52">
        <v>0.4989</v>
      </c>
      <c r="K7" s="52">
        <v>0.4956</v>
      </c>
      <c r="L7" s="52">
        <v>0.499</v>
      </c>
      <c r="M7" s="52">
        <v>0.49</v>
      </c>
      <c r="N7" s="52">
        <v>0.4793</v>
      </c>
      <c r="O7" s="52">
        <v>0.518</v>
      </c>
      <c r="P7" s="52">
        <v>0.4878</v>
      </c>
      <c r="Q7" s="52">
        <v>0.4899</v>
      </c>
      <c r="R7" s="52">
        <v>0.4742</v>
      </c>
      <c r="S7" s="52">
        <v>0.4823</v>
      </c>
      <c r="T7" s="52"/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/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31</v>
      </c>
      <c r="C8" s="50" t="s">
        <v>32</v>
      </c>
      <c r="D8" s="51">
        <v>2.76</v>
      </c>
      <c r="E8" s="51">
        <v>0.03</v>
      </c>
      <c r="F8" s="51">
        <v>-0.03</v>
      </c>
      <c r="G8" s="51">
        <f t="shared" si="1"/>
        <v>2.79</v>
      </c>
      <c r="H8" s="51">
        <f t="shared" si="2"/>
        <v>2.73</v>
      </c>
      <c r="I8" s="51" t="s">
        <v>33</v>
      </c>
      <c r="J8" s="52">
        <v>2.7383</v>
      </c>
      <c r="K8" s="52">
        <v>2.7441</v>
      </c>
      <c r="L8" s="52">
        <v>2.7456</v>
      </c>
      <c r="M8" s="52">
        <v>2.7423</v>
      </c>
      <c r="N8" s="52">
        <v>2.7424</v>
      </c>
      <c r="O8" s="52">
        <v>2.7413</v>
      </c>
      <c r="P8" s="52">
        <v>2.745</v>
      </c>
      <c r="Q8" s="52">
        <v>2.7456</v>
      </c>
      <c r="R8" s="52">
        <v>2.7381</v>
      </c>
      <c r="S8" s="52">
        <v>2.7361</v>
      </c>
      <c r="T8" s="52"/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/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34</v>
      </c>
      <c r="C9" s="50"/>
      <c r="D9" s="51">
        <v>3.6</v>
      </c>
      <c r="E9" s="51">
        <v>0.05</v>
      </c>
      <c r="F9" s="51">
        <v>-0.05</v>
      </c>
      <c r="G9" s="51">
        <f t="shared" si="1"/>
        <v>3.65</v>
      </c>
      <c r="H9" s="51">
        <f t="shared" si="2"/>
        <v>3.55</v>
      </c>
      <c r="I9" s="51" t="s">
        <v>33</v>
      </c>
      <c r="J9" s="52">
        <v>3.6146</v>
      </c>
      <c r="K9" s="52">
        <v>3.6137</v>
      </c>
      <c r="L9" s="52">
        <v>3.6296</v>
      </c>
      <c r="M9" s="52">
        <v>3.6249</v>
      </c>
      <c r="N9" s="52">
        <v>3.5947</v>
      </c>
      <c r="O9" s="52">
        <v>3.6183</v>
      </c>
      <c r="P9" s="52">
        <v>3.6341</v>
      </c>
      <c r="Q9" s="52">
        <v>3.6024</v>
      </c>
      <c r="R9" s="52">
        <v>3.6217</v>
      </c>
      <c r="S9" s="52">
        <v>3.6249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35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33</v>
      </c>
      <c r="J10" s="52">
        <v>8.1876</v>
      </c>
      <c r="K10" s="52">
        <v>8.1824</v>
      </c>
      <c r="L10" s="52">
        <v>8.1912</v>
      </c>
      <c r="M10" s="52">
        <v>8.1807</v>
      </c>
      <c r="N10" s="52">
        <v>8.178</v>
      </c>
      <c r="O10" s="52">
        <v>8.184</v>
      </c>
      <c r="P10" s="52">
        <v>8.1936</v>
      </c>
      <c r="Q10" s="52">
        <v>8.185</v>
      </c>
      <c r="R10" s="52">
        <v>8.1811</v>
      </c>
      <c r="S10" s="52">
        <v>8.1815</v>
      </c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36</v>
      </c>
      <c r="C11" s="50"/>
      <c r="D11" s="51">
        <v>0.6</v>
      </c>
      <c r="E11" s="51">
        <v>0.02</v>
      </c>
      <c r="F11" s="51">
        <v>-0.02</v>
      </c>
      <c r="G11" s="51">
        <f t="shared" si="1"/>
        <v>0.62</v>
      </c>
      <c r="H11" s="51">
        <f t="shared" si="2"/>
        <v>0.58</v>
      </c>
      <c r="I11" s="51" t="s">
        <v>33</v>
      </c>
      <c r="J11" s="52">
        <v>0.5992</v>
      </c>
      <c r="K11" s="52">
        <v>0.6019</v>
      </c>
      <c r="L11" s="52">
        <v>0.5966</v>
      </c>
      <c r="M11" s="52">
        <v>0.5992</v>
      </c>
      <c r="N11" s="52">
        <v>0.5994</v>
      </c>
      <c r="O11" s="52">
        <v>0.597</v>
      </c>
      <c r="P11" s="52">
        <v>0.5958</v>
      </c>
      <c r="Q11" s="52">
        <v>0.5996</v>
      </c>
      <c r="R11" s="52">
        <v>0.5987</v>
      </c>
      <c r="S11" s="52">
        <v>0.5989</v>
      </c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37</v>
      </c>
      <c r="C12" s="50" t="s">
        <v>38</v>
      </c>
      <c r="D12" s="51">
        <v>0</v>
      </c>
      <c r="E12" s="51">
        <v>0.05</v>
      </c>
      <c r="F12" s="51">
        <v>0</v>
      </c>
      <c r="G12" s="51">
        <f t="shared" si="1"/>
        <v>0.05</v>
      </c>
      <c r="H12" s="51">
        <f t="shared" si="2"/>
        <v>0</v>
      </c>
      <c r="I12" s="51" t="s">
        <v>33</v>
      </c>
      <c r="J12" s="52">
        <v>0.0029</v>
      </c>
      <c r="K12" s="52">
        <v>0.0032</v>
      </c>
      <c r="L12" s="52">
        <v>0.0047</v>
      </c>
      <c r="M12" s="52">
        <v>0.0014</v>
      </c>
      <c r="N12" s="52">
        <v>0.0046</v>
      </c>
      <c r="O12" s="52">
        <v>0.0059</v>
      </c>
      <c r="P12" s="52">
        <v>0.0028</v>
      </c>
      <c r="Q12" s="52">
        <v>0.0042</v>
      </c>
      <c r="R12" s="52">
        <v>0.0044</v>
      </c>
      <c r="S12" s="52">
        <v>0.0038</v>
      </c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50">
        <v>1</v>
      </c>
      <c r="C13" s="50"/>
      <c r="D13" s="51"/>
      <c r="E13" s="51"/>
      <c r="F13" s="51"/>
      <c r="G13" s="51"/>
      <c r="H13" s="51"/>
      <c r="I13" s="51" t="s">
        <v>33</v>
      </c>
      <c r="J13" s="52">
        <v>0.0002</v>
      </c>
      <c r="K13" s="52">
        <v>0.0005</v>
      </c>
      <c r="L13" s="52">
        <v>0.0016</v>
      </c>
      <c r="M13" s="52">
        <v>0.0003</v>
      </c>
      <c r="N13" s="52">
        <v>0.0024</v>
      </c>
      <c r="O13" s="52">
        <v>0.0028</v>
      </c>
      <c r="P13" s="52">
        <v>0.0016</v>
      </c>
      <c r="Q13" s="52">
        <v>0.0001</v>
      </c>
      <c r="R13" s="52">
        <v>-0.0005</v>
      </c>
      <c r="S13" s="52">
        <v>0.0007</v>
      </c>
      <c r="T13" s="52"/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50">
        <v>2</v>
      </c>
      <c r="C14" s="50"/>
      <c r="D14" s="51"/>
      <c r="E14" s="51"/>
      <c r="F14" s="51"/>
      <c r="G14" s="51"/>
      <c r="H14" s="51"/>
      <c r="I14" s="51" t="s">
        <v>33</v>
      </c>
      <c r="J14" s="52">
        <v>-0.0004</v>
      </c>
      <c r="K14" s="52">
        <v>-0.002</v>
      </c>
      <c r="L14" s="52">
        <v>-0.003</v>
      </c>
      <c r="M14" s="52">
        <v>-0.0009</v>
      </c>
      <c r="N14" s="52">
        <v>-0.0009</v>
      </c>
      <c r="O14" s="52">
        <v>-0.0014</v>
      </c>
      <c r="P14" s="52">
        <v>-0.0008</v>
      </c>
      <c r="Q14" s="52">
        <v>-0.0024</v>
      </c>
      <c r="R14" s="52">
        <v>-0.0011</v>
      </c>
      <c r="S14" s="52">
        <v>-0.0024</v>
      </c>
      <c r="T14" s="52"/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50">
        <v>3</v>
      </c>
      <c r="C15" s="50"/>
      <c r="D15" s="51"/>
      <c r="E15" s="51"/>
      <c r="F15" s="51"/>
      <c r="G15" s="51"/>
      <c r="H15" s="51"/>
      <c r="I15" s="51" t="s">
        <v>33</v>
      </c>
      <c r="J15" s="52">
        <v>-0.0002</v>
      </c>
      <c r="K15" s="52">
        <v>0.0011</v>
      </c>
      <c r="L15" s="52">
        <v>0.001</v>
      </c>
      <c r="M15" s="52">
        <v>0.0004</v>
      </c>
      <c r="N15" s="52">
        <v>-0.0018</v>
      </c>
      <c r="O15" s="52">
        <v>-0.0019</v>
      </c>
      <c r="P15" s="52">
        <v>-0.0009</v>
      </c>
      <c r="Q15" s="52">
        <v>0.0019</v>
      </c>
      <c r="R15" s="52">
        <v>0.001</v>
      </c>
      <c r="S15" s="52">
        <v>0.0014</v>
      </c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4</v>
      </c>
      <c r="C16" s="50"/>
      <c r="D16" s="51"/>
      <c r="E16" s="51"/>
      <c r="F16" s="51"/>
      <c r="G16" s="51"/>
      <c r="H16" s="51"/>
      <c r="I16" s="51" t="s">
        <v>33</v>
      </c>
      <c r="J16" s="52">
        <v>0.0007</v>
      </c>
      <c r="K16" s="52">
        <v>0.0012</v>
      </c>
      <c r="L16" s="52">
        <v>0.0005</v>
      </c>
      <c r="M16" s="52">
        <v>0.0005</v>
      </c>
      <c r="N16" s="52">
        <v>-0.0015</v>
      </c>
      <c r="O16" s="52">
        <v>-0.0011</v>
      </c>
      <c r="P16" s="52">
        <v>-0.0012</v>
      </c>
      <c r="Q16" s="52">
        <v>0.0017</v>
      </c>
      <c r="R16" s="52">
        <v>0.002</v>
      </c>
      <c r="S16" s="52">
        <v>0.0009</v>
      </c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5</v>
      </c>
      <c r="C17" s="50"/>
      <c r="D17" s="51"/>
      <c r="E17" s="51"/>
      <c r="F17" s="51"/>
      <c r="G17" s="51"/>
      <c r="H17" s="51"/>
      <c r="I17" s="51" t="s">
        <v>33</v>
      </c>
      <c r="J17" s="52">
        <v>-0.0016</v>
      </c>
      <c r="K17" s="52">
        <v>-0.0016</v>
      </c>
      <c r="L17" s="52">
        <v>-0.0016</v>
      </c>
      <c r="M17" s="52">
        <v>-0.0008</v>
      </c>
      <c r="N17" s="52">
        <v>-0.0011</v>
      </c>
      <c r="O17" s="52">
        <v>-0.0021</v>
      </c>
      <c r="P17" s="52">
        <v>-0.0001</v>
      </c>
      <c r="Q17" s="52">
        <v>-0.0017</v>
      </c>
      <c r="R17" s="52">
        <v>-0.0024</v>
      </c>
      <c r="S17" s="52">
        <v>-0.0012</v>
      </c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50">
        <v>6</v>
      </c>
      <c r="C18" s="50"/>
      <c r="D18" s="51"/>
      <c r="E18" s="51"/>
      <c r="F18" s="51"/>
      <c r="G18" s="51"/>
      <c r="H18" s="51"/>
      <c r="I18" s="51" t="s">
        <v>33</v>
      </c>
      <c r="J18" s="52">
        <v>0.0013</v>
      </c>
      <c r="K18" s="52">
        <v>0.0009</v>
      </c>
      <c r="L18" s="52">
        <v>0.0015</v>
      </c>
      <c r="M18" s="52">
        <v>0.0005</v>
      </c>
      <c r="N18" s="52">
        <v>0.0028</v>
      </c>
      <c r="O18" s="52">
        <v>0.0037</v>
      </c>
      <c r="P18" s="52">
        <v>0.0013</v>
      </c>
      <c r="Q18" s="52">
        <v>0.0004</v>
      </c>
      <c r="R18" s="52">
        <v>0.001</v>
      </c>
      <c r="S18" s="52">
        <v>0.0005</v>
      </c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spans="1:4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9:AO19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Q11">
    <cfRule type="cellIs" dxfId="0" priority="5" operator="notBetween">
      <formula>$G11</formula>
      <formula>$H11</formula>
    </cfRule>
  </conditionalFormatting>
  <conditionalFormatting sqref="O12">
    <cfRule type="cellIs" dxfId="0" priority="233" operator="notBetween">
      <formula>$G12</formula>
      <formula>$H12</formula>
    </cfRule>
  </conditionalFormatting>
  <conditionalFormatting sqref="P12">
    <cfRule type="cellIs" dxfId="0" priority="232" operator="notBetween">
      <formula>$G12</formula>
      <formula>$H12</formula>
    </cfRule>
  </conditionalFormatting>
  <conditionalFormatting sqref="Q12">
    <cfRule type="cellIs" dxfId="0" priority="6" operator="notBetween">
      <formula>$G12</formula>
      <formula>$H12</formula>
    </cfRule>
  </conditionalFormatting>
  <conditionalFormatting sqref="R12">
    <cfRule type="cellIs" dxfId="0" priority="230" operator="notBetween">
      <formula>$G12</formula>
      <formula>$H12</formula>
    </cfRule>
  </conditionalFormatting>
  <conditionalFormatting sqref="S12">
    <cfRule type="cellIs" dxfId="0" priority="229" operator="notBetween">
      <formula>$G12</formula>
      <formula>$H12</formula>
    </cfRule>
  </conditionalFormatting>
  <conditionalFormatting sqref="T12">
    <cfRule type="cellIs" dxfId="0" priority="228" operator="notBetween">
      <formula>$G12</formula>
      <formula>$H12</formula>
    </cfRule>
  </conditionalFormatting>
  <conditionalFormatting sqref="U12">
    <cfRule type="cellIs" dxfId="0" priority="227" operator="notBetween">
      <formula>$G12</formula>
      <formula>$H12</formula>
    </cfRule>
  </conditionalFormatting>
  <conditionalFormatting sqref="V12">
    <cfRule type="cellIs" dxfId="0" priority="226" operator="notBetween">
      <formula>$G12</formula>
      <formula>$H12</formula>
    </cfRule>
  </conditionalFormatting>
  <conditionalFormatting sqref="W12">
    <cfRule type="cellIs" dxfId="0" priority="225" operator="notBetween">
      <formula>$G12</formula>
      <formula>$H12</formula>
    </cfRule>
  </conditionalFormatting>
  <conditionalFormatting sqref="X12">
    <cfRule type="cellIs" dxfId="0" priority="224" operator="notBetween">
      <formula>$G12</formula>
      <formula>$H12</formula>
    </cfRule>
  </conditionalFormatting>
  <conditionalFormatting sqref="Y12">
    <cfRule type="cellIs" dxfId="0" priority="223" operator="notBetween">
      <formula>$G12</formula>
      <formula>$H12</formula>
    </cfRule>
  </conditionalFormatting>
  <conditionalFormatting sqref="Q8:Q9">
    <cfRule type="cellIs" dxfId="0" priority="7" operator="notBetween">
      <formula>$G8</formula>
      <formula>$H8</formula>
    </cfRule>
  </conditionalFormatting>
  <conditionalFormatting sqref="J7:Y7 J10:Y10">
    <cfRule type="cellIs" dxfId="0" priority="316" operator="notBetween">
      <formula>$G7</formula>
      <formula>$H7</formula>
    </cfRule>
  </conditionalFormatting>
  <conditionalFormatting sqref="J8:N9 J11:N12">
    <cfRule type="cellIs" dxfId="0" priority="8" operator="notBetween">
      <formula>$G8</formula>
      <formula>$H8</formula>
    </cfRule>
  </conditionalFormatting>
  <conditionalFormatting sqref="O8:P9 R8:Y9">
    <cfRule type="cellIs" dxfId="0" priority="269" operator="notBetween">
      <formula>$G8</formula>
      <formula>$H8</formula>
    </cfRule>
  </conditionalFormatting>
  <conditionalFormatting sqref="O11:P11 R11:Y11">
    <cfRule type="cellIs" dxfId="0" priority="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