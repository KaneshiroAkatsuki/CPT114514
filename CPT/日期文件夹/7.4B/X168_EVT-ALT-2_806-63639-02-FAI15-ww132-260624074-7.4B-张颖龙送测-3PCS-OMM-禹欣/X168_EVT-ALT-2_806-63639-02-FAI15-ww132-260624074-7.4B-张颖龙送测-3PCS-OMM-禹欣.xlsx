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3639" sheetId="8" r:id="rId1"/>
  </sheets>
  <definedNames>
    <definedName name="_xlnm.Print_Area" localSheetId="0">'806-63639'!$B$1:$AE$5</definedName>
    <definedName name="_xlnm.Print_Titles" localSheetId="0">'806-63639'!$1:$5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<sst xmlns="http://schemas.openxmlformats.org/spreadsheetml/2006/main" count="29" uniqueCount="28">
  <si>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安徽中耀智能科技有限公司首件尺寸报告</t>
  </si>
  <si>
    <t>料号</t>
  </si>
  <si>
    <r>
      <rPr>
        <b/>
        <sz val="12"/>
        <rFont val="宋体"/>
        <charset val="134"/>
      </rPr>
      <t>806-6</t>
    </r>
    <r>
      <rPr>
        <b/>
        <sz val="12"/>
        <rFont val="宋体"/>
        <charset val="134"/>
      </rPr>
      <t>3639</t>
    </r>
  </si>
  <si>
    <t>工单号</t>
  </si>
  <si>
    <t>ww132-260624074</t>
  </si>
  <si>
    <t>工站</t>
  </si>
  <si>
    <t>烧结炉号</t>
  </si>
  <si>
    <t>量测机台号</t>
  </si>
  <si>
    <t>测量人员</t>
  </si>
  <si>
    <t>烧结</t>
  </si>
  <si>
    <t>OMM5#</t>
  </si>
  <si>
    <t>禹欣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</si>
  <si>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</si>
  <si>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</si>
  <si>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</si>
  <si>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</si>
  <si>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</si>
  <si>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</si>
  <si>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</si>
  <si>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</si>
  <si>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</si>
  <si>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</si>
  <si>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</si>
  <si>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</si>
  <si>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</si>
  <si>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FAI5_1</t>
  </si>
  <si>
    <t>OMM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</si>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</sst>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7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3" fillId="0" borderId="1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1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7" xfId="53" applyFont="1" applyFill="1" applyBorder="1" applyAlignment="1">
      <alignment horizontal="center" vertical="center"/>
    </xf>
    <xf numFmtId="0" fontId="9" fillId="0" borderId="7" xfId="53" applyFont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12" fillId="0" borderId="0" xfId="0" applyFont="1" applyFill="1" applyAlignment="1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tabSelected="1" zoomScale="110" zoomScaleNormal="110" workbookViewId="0">
      <selection activeCell="N14" sqref="N14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6" t="s">
        <v>7</v>
      </c>
      <c r="AF2" s="16"/>
      <c r="AG2" s="16"/>
      <c r="AH2" s="16"/>
      <c r="AI2" s="16"/>
      <c r="AJ2" s="16"/>
      <c r="AK2" s="17" t="s">
        <v>8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9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10</v>
      </c>
      <c r="AF3" s="27"/>
      <c r="AG3" s="27"/>
      <c r="AH3" s="27"/>
      <c r="AI3" s="27"/>
      <c r="AJ3" s="27"/>
      <c r="AK3" s="27" t="s">
        <v>11</v>
      </c>
      <c r="AL3" s="27"/>
      <c r="AM3" s="27"/>
      <c r="AN3" s="27"/>
      <c r="AO3" s="27"/>
    </row>
    <row r="4" customHeight="1" spans="1:41">
      <c r="A4" s="28" t="s">
        <v>12</v>
      </c>
      <c r="B4" s="28" t="s">
        <v>13</v>
      </c>
      <c r="C4" s="29" t="s">
        <v>14</v>
      </c>
      <c r="D4" s="30" t="s">
        <v>15</v>
      </c>
      <c r="E4" s="31" t="s">
        <v>16</v>
      </c>
      <c r="F4" s="32" t="s">
        <v>17</v>
      </c>
      <c r="G4" s="32" t="s">
        <v>18</v>
      </c>
      <c r="H4" s="32" t="s">
        <v>19</v>
      </c>
      <c r="I4" s="33" t="s">
        <v>20</v>
      </c>
      <c r="J4" s="34" t="s">
        <v>21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22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23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24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ht="15" customHeight="1" spans="1:41">
      <c r="A6" s="42">
        <v>46207</v>
      </c>
      <c r="B6" s="43" t="s">
        <v>25</v>
      </c>
      <c r="C6" s="44"/>
      <c r="D6" s="45">
        <v>0.82</v>
      </c>
      <c r="E6" s="45">
        <v>0.05</v>
      </c>
      <c r="F6" s="45">
        <v>-0.05</v>
      </c>
      <c r="G6" s="45">
        <f>E6+D6</f>
        <v>0.87</v>
      </c>
      <c r="H6" s="45">
        <f>F6+D6</f>
        <v>0.77</v>
      </c>
      <c r="I6" s="45" t="s">
        <v>26</v>
      </c>
      <c r="J6" s="46">
        <v>0.8294</v>
      </c>
      <c r="K6" s="46">
        <v>0.8239</v>
      </c>
      <c r="L6" s="46">
        <v>0.8098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7" t="str">
        <f t="shared" ref="Z6:AO6" si="0">IF(J6="","",IF(J6&gt;($D6+$E6),(J6-$D6-$E6),IF(J6&lt;($D6+$F6),(J6-$D6-$F6),"√")))</f>
        <v>√</v>
      </c>
      <c r="AA6" s="47" t="str">
        <f t="shared" si="0"/>
        <v>√</v>
      </c>
      <c r="AB6" s="47" t="str">
        <f t="shared" si="0"/>
        <v>√</v>
      </c>
      <c r="AC6" s="47" t="str">
        <f t="shared" si="0"/>
        <v/>
      </c>
      <c r="AD6" s="47" t="str">
        <f t="shared" si="0"/>
        <v/>
      </c>
      <c r="AE6" s="47" t="str">
        <f t="shared" si="0"/>
        <v/>
      </c>
      <c r="AF6" s="47" t="str">
        <f t="shared" si="0"/>
        <v/>
      </c>
      <c r="AG6" s="47" t="str">
        <f t="shared" si="0"/>
        <v/>
      </c>
      <c r="AH6" s="47" t="str">
        <f t="shared" si="0"/>
        <v/>
      </c>
      <c r="AI6" s="47" t="str">
        <f t="shared" si="0"/>
        <v/>
      </c>
      <c r="AJ6" s="47" t="str">
        <f t="shared" si="0"/>
        <v/>
      </c>
      <c r="AK6" s="47" t="str">
        <f t="shared" si="0"/>
        <v/>
      </c>
      <c r="AL6" s="47" t="str">
        <f t="shared" si="0"/>
        <v/>
      </c>
      <c r="AM6" s="47" t="str">
        <f t="shared" si="0"/>
        <v/>
      </c>
      <c r="AN6" s="47" t="str">
        <f t="shared" si="0"/>
        <v/>
      </c>
      <c r="AO6" s="47" t="str">
        <f t="shared" si="0"/>
        <v/>
      </c>
    </row>
    <row r="7" ht="15" customHeight="1" spans="1:41">
      <c r="A7" s="42"/>
      <c r="B7" s="43" t="s">
        <v>27</v>
      </c>
      <c r="C7" s="44"/>
      <c r="D7" s="45">
        <v>0.82</v>
      </c>
      <c r="E7" s="45">
        <v>0.05</v>
      </c>
      <c r="F7" s="45">
        <v>-0.05</v>
      </c>
      <c r="G7" s="45">
        <f>E7+D7</f>
        <v>0.87</v>
      </c>
      <c r="H7" s="45">
        <f>F7+D7</f>
        <v>0.77</v>
      </c>
      <c r="I7" s="45" t="s">
        <v>26</v>
      </c>
      <c r="J7" s="46">
        <v>0.8628</v>
      </c>
      <c r="K7" s="46">
        <v>0.8179</v>
      </c>
      <c r="L7" s="46">
        <v>0.8135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7" t="str">
        <f t="shared" ref="Z7:AO7" si="1">IF(J7="","",IF(J7&gt;($D7+$E7),(J7-$D7-$E7),IF(J7&lt;($D7+$F7),(J7-$D7-$F7),"√")))</f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si="1"/>
        <v/>
      </c>
      <c r="AH7" s="47" t="str">
        <f t="shared" si="1"/>
        <v/>
      </c>
      <c r="AI7" s="47" t="str">
        <f t="shared" si="1"/>
        <v/>
      </c>
      <c r="AJ7" s="47" t="str">
        <f t="shared" si="1"/>
        <v/>
      </c>
      <c r="AK7" s="47" t="str">
        <f t="shared" si="1"/>
        <v/>
      </c>
      <c r="AL7" s="47" t="str">
        <f t="shared" si="1"/>
        <v/>
      </c>
      <c r="AM7" s="47" t="str">
        <f t="shared" si="1"/>
        <v/>
      </c>
      <c r="AN7" s="47" t="str">
        <f t="shared" si="1"/>
        <v/>
      </c>
      <c r="AO7" s="47" t="str">
        <f t="shared" si="1"/>
        <v/>
      </c>
    </row>
    <row r="8" ht="15" spans="1:41">
      <c r="A8" s="48"/>
    </row>
    <row r="9" ht="15" spans="1:41">
      <c r="A9" s="48"/>
    </row>
    <row r="10" ht="15" spans="1:41">
      <c r="A10" s="48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5"/>
    <mergeCell ref="A6:A7"/>
    <mergeCell ref="B4:B5"/>
    <mergeCell ref="C4:C5"/>
    <mergeCell ref="D4:D5"/>
    <mergeCell ref="E4:E5"/>
    <mergeCell ref="F4:F5"/>
    <mergeCell ref="G4:G5"/>
    <mergeCell ref="H4:H5"/>
    <mergeCell ref="I4:I5"/>
    <mergeCell ref="B2:G3"/>
    <mergeCell ref="H2:K3"/>
    <mergeCell ref="L2:R3"/>
  </mergeCells>
  <conditionalFormatting sqref="J6:J7">
    <cfRule type="cellIs" dxfId="0" priority="136" operator="notBetween">
      <formula>$G6</formula>
      <formula>$H6</formula>
    </cfRule>
  </conditionalFormatting>
  <conditionalFormatting sqref="K6:K7">
    <cfRule type="cellIs" dxfId="0" priority="75" operator="notBetween">
      <formula>$G6</formula>
      <formula>$H6</formula>
    </cfRule>
  </conditionalFormatting>
  <conditionalFormatting sqref="L6:L7">
    <cfRule type="cellIs" dxfId="0" priority="74" operator="notBetween">
      <formula>$G6</formula>
      <formula>$H6</formula>
    </cfRule>
  </conditionalFormatting>
  <conditionalFormatting sqref="M6:M7">
    <cfRule type="cellIs" dxfId="0" priority="73" operator="notBetween">
      <formula>$G6</formula>
      <formula>$H6</formula>
    </cfRule>
  </conditionalFormatting>
  <conditionalFormatting sqref="N6:N7">
    <cfRule type="cellIs" dxfId="0" priority="72" operator="notBetween">
      <formula>$G6</formula>
      <formula>$H6</formula>
    </cfRule>
  </conditionalFormatting>
  <conditionalFormatting sqref="O6:O7">
    <cfRule type="cellIs" dxfId="0" priority="71" operator="notBetween">
      <formula>$G6</formula>
      <formula>$H6</formula>
    </cfRule>
  </conditionalFormatting>
  <conditionalFormatting sqref="P6:P7">
    <cfRule type="cellIs" dxfId="0" priority="70" operator="notBetween">
      <formula>$G6</formula>
      <formula>$H6</formula>
    </cfRule>
  </conditionalFormatting>
  <conditionalFormatting sqref="Q6:Q7">
    <cfRule type="cellIs" dxfId="0" priority="69" operator="notBetween">
      <formula>$G6</formula>
      <formula>$H6</formula>
    </cfRule>
  </conditionalFormatting>
  <conditionalFormatting sqref="R6:R7">
    <cfRule type="cellIs" dxfId="0" priority="68" operator="notBetween">
      <formula>$G6</formula>
      <formula>$H6</formula>
    </cfRule>
  </conditionalFormatting>
  <conditionalFormatting sqref="S6:S7">
    <cfRule type="cellIs" dxfId="0" priority="67" operator="notBetween">
      <formula>$G6</formula>
      <formula>$H6</formula>
    </cfRule>
  </conditionalFormatting>
  <conditionalFormatting sqref="T6:T7">
    <cfRule type="cellIs" dxfId="0" priority="66" operator="notBetween">
      <formula>$G6</formula>
      <formula>$H6</formula>
    </cfRule>
  </conditionalFormatting>
  <conditionalFormatting sqref="U6:U7">
    <cfRule type="cellIs" dxfId="0" priority="65" operator="notBetween">
      <formula>$G6</formula>
      <formula>$H6</formula>
    </cfRule>
  </conditionalFormatting>
  <conditionalFormatting sqref="V6:V7">
    <cfRule type="cellIs" dxfId="0" priority="64" operator="notBetween">
      <formula>$G6</formula>
      <formula>$H6</formula>
    </cfRule>
  </conditionalFormatting>
  <conditionalFormatting sqref="W6:W7">
    <cfRule type="cellIs" dxfId="0" priority="63" operator="notBetween">
      <formula>$G6</formula>
      <formula>$H6</formula>
    </cfRule>
  </conditionalFormatting>
  <conditionalFormatting sqref="X6:X7">
    <cfRule type="cellIs" dxfId="0" priority="62" operator="notBetween">
      <formula>$G6</formula>
      <formula>$H6</formula>
    </cfRule>
  </conditionalFormatting>
  <conditionalFormatting sqref="Y6:Y7">
    <cfRule type="cellIs" dxfId="0" priority="61" operator="notBetween">
      <formula>$G6</formula>
      <formula>$H6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2026-07-04T18:14:51Z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