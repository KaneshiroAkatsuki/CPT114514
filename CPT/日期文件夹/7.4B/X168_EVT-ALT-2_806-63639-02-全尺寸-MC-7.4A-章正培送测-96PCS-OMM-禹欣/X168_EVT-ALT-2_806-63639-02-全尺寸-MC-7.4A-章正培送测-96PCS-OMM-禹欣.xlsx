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7"/>
  </bookViews>
  <sheets>
    <sheet name="1-2" sheetId="8" r:id="rId1"/>
    <sheet name="3-4" sheetId="9" r:id="rId2"/>
    <sheet name="5-6" sheetId="10" r:id="rId3"/>
    <sheet name="7-8" sheetId="11" r:id="rId4"/>
    <sheet name="9-10" sheetId="12" r:id="rId5"/>
    <sheet name="11-12" sheetId="13" r:id="rId6"/>
    <sheet name="13-14" sheetId="14" r:id="rId7"/>
    <sheet name="15-16" sheetId="15" r:id="rId8"/>
  </sheets>
  <definedNames>
    <definedName name="_xlnm.Print_Area" localSheetId="0">'1-2'!$B$1:$AE$6</definedName>
    <definedName name="_xlnm.Print_Titles" localSheetId="0">'1-2'!$1:$6</definedName>
    <definedName name="_xlnm.Print_Area" localSheetId="1">'3-4'!$B$1:$AE$6</definedName>
    <definedName name="_xlnm.Print_Titles" localSheetId="1">'3-4'!$1:$6</definedName>
    <definedName name="_xlnm.Print_Area" localSheetId="2">'5-6'!$B$1:$AE$6</definedName>
    <definedName name="_xlnm.Print_Titles" localSheetId="2">'5-6'!$1:$6</definedName>
    <definedName name="_xlnm.Print_Area" localSheetId="3">'7-8'!$B$1:$AE$6</definedName>
    <definedName name="_xlnm.Print_Titles" localSheetId="3">'7-8'!$1:$6</definedName>
    <definedName name="_xlnm.Print_Area" localSheetId="4">'9-10'!$B$1:$AE$6</definedName>
    <definedName name="_xlnm.Print_Titles" localSheetId="4">'9-10'!$1:$6</definedName>
    <definedName name="_xlnm.Print_Area" localSheetId="5">'11-12'!$B$1:$AE$6</definedName>
    <definedName name="_xlnm.Print_Titles" localSheetId="5">'11-12'!$1:$6</definedName>
    <definedName name="_xlnm.Print_Area" localSheetId="6">'13-14'!$B$1:$AE$6</definedName>
    <definedName name="_xlnm.Print_Titles" localSheetId="6">'13-14'!$1:$6</definedName>
    <definedName name="_xlnm.Print_Area" localSheetId="7">'15-16'!$B$1:$AE$6</definedName>
    <definedName name="_xlnm.Print_Titles" localSheetId="7">'15-16'!$1:$6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<sst xmlns="http://schemas.openxmlformats.org/spreadsheetml/2006/main" count="912" uniqueCount="153">
  <si>
    <t>安徽中耀智能科技有限公司首件尺寸报告</t>
  </si>
  <si>
    <t>料号</t>
  </si>
  <si>
    <r>
      <rPr>
        <b/>
        <sz val="12"/>
        <rFont val="宋体"/>
        <charset val="134"/>
      </rPr>
      <t>806-6</t>
    </r>
    <r>
      <rPr>
        <b/>
        <sz val="12"/>
        <rFont val="宋体"/>
        <charset val="134"/>
      </rPr>
      <t>3639</t>
    </r>
  </si>
  <si>
    <t>工单号</t>
  </si>
  <si>
    <t>工站</t>
  </si>
  <si>
    <t>烧结炉号</t>
  </si>
  <si>
    <t>量测机台号</t>
  </si>
  <si>
    <t>测量人员</t>
  </si>
  <si>
    <t>烧结</t>
  </si>
  <si>
    <t>OMM5#</t>
  </si>
  <si>
    <t>禹欣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</si>
  <si>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</si>
  <si>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</si>
  <si>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</si>
  <si>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</si>
  <si>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</si>
  <si>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</si>
  <si>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</si>
  <si>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</si>
  <si>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</si>
  <si>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</si>
  <si>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</si>
  <si>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</si>
  <si>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</si>
  <si>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</si>
  <si>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</si>
  <si>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</si>
  <si>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</si>
  <si>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</si>
  <si>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</si>
  <si>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</si>
  <si>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</si>
  <si>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</si>
  <si>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</si>
  <si>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</si>
  <si>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</si>
  <si>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FAI4_1</t>
  </si>
  <si>
    <t>OMM</t>
  </si>
  <si>
    <t>FAI4_2</t>
  </si>
  <si>
    <t>FAI5_1</t>
  </si>
  <si>
    <t>FAI5_2</t>
  </si>
  <si>
    <t>FAI19_1</t>
  </si>
  <si>
    <t>FAI19_2</t>
  </si>
  <si>
    <t>FAI6_1</t>
  </si>
  <si>
    <t>CMM</t>
  </si>
  <si>
    <t>FAI12_1</t>
  </si>
  <si>
    <t>F</t>
  </si>
  <si>
    <t>FAI12_2</t>
  </si>
  <si>
    <t>FAI15</t>
  </si>
  <si>
    <t>I</t>
  </si>
  <si>
    <t>FAI11</t>
  </si>
  <si>
    <t>E</t>
  </si>
  <si>
    <t>FAI13_X</t>
  </si>
  <si>
    <t>FAI13_Z</t>
  </si>
  <si>
    <t>FAI13_1</t>
  </si>
  <si>
    <t>G</t>
  </si>
  <si>
    <t>FAI13_2</t>
  </si>
  <si>
    <t>FAI17_1</t>
  </si>
  <si>
    <t>L</t>
  </si>
  <si>
    <t>FAI17_2</t>
  </si>
  <si>
    <t>FAI10_1</t>
  </si>
  <si>
    <t>D</t>
  </si>
  <si>
    <t>MIC</t>
  </si>
  <si>
    <t>FAI10_2</t>
  </si>
  <si>
    <t>FAI14_1</t>
  </si>
  <si>
    <t>H</t>
  </si>
  <si>
    <t>PIN</t>
  </si>
  <si>
    <t>FAI14_2</t>
  </si>
  <si>
    <t>FAI18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</si>
  <si>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</si>
  <si>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</si>
  <si>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</si>
  <si>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</si>
  <si>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</si>
  <si>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</si>
  <si>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</si>
  <si>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</si>
  <si>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</si>
  <si>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</si>
  <si>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</si>
  <si>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</si>
  <si>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</si>
  <si>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</si>
  <si>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</si>
  <si>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</si>
  <si>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</si>
  <si>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</si>
  <si>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</si>
  <si>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</si>
  <si>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</si>
  <si>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</si>
  <si>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</si>
  <si>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6-6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</si>
  <si>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</si>
  <si>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</si>
  <si>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</si>
  <si>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</si>
  <si>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</si>
  <si>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</si>
  <si>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</si>
  <si>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</si>
  <si>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</si>
  <si>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</si>
  <si>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</si>
  <si>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</si>
  <si>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</si>
  <si>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</si>
  <si>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</si>
  <si>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</si>
  <si>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</si>
  <si>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</si>
  <si>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10-1</t>
  </si>
  <si>
    <t>10-2</t>
  </si>
  <si>
    <t>10-3</t>
  </si>
  <si>
    <t>10-4</t>
  </si>
  <si>
    <t>10-5</t>
  </si>
  <si>
    <t>10-6</t>
  </si>
  <si>
    <t>11-1</t>
  </si>
  <si>
    <t>11-2</t>
  </si>
  <si>
    <t>11-3</t>
  </si>
  <si>
    <t>11-4</t>
  </si>
  <si>
    <t>11-5</t>
  </si>
  <si>
    <t>11-6</t>
  </si>
  <si>
    <t>12-1</t>
  </si>
  <si>
    <t>12-2</t>
  </si>
  <si>
    <t>12-3</t>
  </si>
  <si>
    <t>12-4</t>
  </si>
  <si>
    <t>12-5</t>
  </si>
  <si>
    <t>12-6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</si>
  <si>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</si>
  <si>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</si>
  <si>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</si>
  <si>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</si>
  <si>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</si>
  <si>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</si>
  <si>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</si>
  <si>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</si>
  <si>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</si>
  <si>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</si>
  <si>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</si>
  <si>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</si>
  <si>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</si>
  <si>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</si>
  <si>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</si>
  <si>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</si>
  <si>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</si>
  <si>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</si>
  <si>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16-1</t>
  </si>
  <si>
    <t>16-2</t>
  </si>
  <si>
    <t>16-3</t>
  </si>
  <si>
    <t>16-4</t>
  </si>
  <si>
    <t>16-5</t>
  </si>
  <si>
    <t>16-6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</si>
</sst>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3" fillId="0" borderId="1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1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0" xfId="0" applyFont="1" applyFill="1" applyAlignment="1"/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J7" sqref="J7:U12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24</v>
      </c>
      <c r="K6" s="43" t="s">
        <v>25</v>
      </c>
      <c r="L6" s="43" t="s">
        <v>26</v>
      </c>
      <c r="M6" s="43" t="s">
        <v>27</v>
      </c>
      <c r="N6" s="43" t="s">
        <v>28</v>
      </c>
      <c r="O6" s="43" t="s">
        <v>29</v>
      </c>
      <c r="P6" s="43" t="s">
        <v>30</v>
      </c>
      <c r="Q6" s="43" t="s">
        <v>31</v>
      </c>
      <c r="R6" s="43" t="s">
        <v>32</v>
      </c>
      <c r="S6" s="43" t="s">
        <v>33</v>
      </c>
      <c r="T6" s="43" t="s">
        <v>34</v>
      </c>
      <c r="U6" s="43" t="s">
        <v>35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1-1</v>
      </c>
      <c r="AA6" s="45" t="str">
        <f t="shared" si="0"/>
        <v>1-2</v>
      </c>
      <c r="AB6" s="45" t="str">
        <f t="shared" si="0"/>
        <v>1-3</v>
      </c>
      <c r="AC6" s="45" t="str">
        <f t="shared" si="0"/>
        <v>1-4</v>
      </c>
      <c r="AD6" s="45" t="str">
        <f t="shared" si="0"/>
        <v>1-5</v>
      </c>
      <c r="AE6" s="45" t="str">
        <f t="shared" si="0"/>
        <v>1-6</v>
      </c>
      <c r="AF6" s="45" t="str">
        <f t="shared" si="0"/>
        <v>2-1</v>
      </c>
      <c r="AG6" s="45" t="str">
        <f t="shared" si="0"/>
        <v>2-2</v>
      </c>
      <c r="AH6" s="45" t="str">
        <f t="shared" si="0"/>
        <v>2-3</v>
      </c>
      <c r="AI6" s="45" t="str">
        <f t="shared" si="0"/>
        <v>2-4</v>
      </c>
      <c r="AJ6" s="45" t="str">
        <f t="shared" si="0"/>
        <v>2-5</v>
      </c>
      <c r="AK6" s="45" t="str">
        <f t="shared" si="0"/>
        <v>2-6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2.0965</v>
      </c>
      <c r="K7" s="50">
        <v>2.0812</v>
      </c>
      <c r="L7" s="50">
        <v>2.0803</v>
      </c>
      <c r="M7" s="50">
        <v>2.0824</v>
      </c>
      <c r="N7" s="50">
        <v>2.0808</v>
      </c>
      <c r="O7" s="50">
        <v>2.0816</v>
      </c>
      <c r="P7" s="50">
        <v>2.0853</v>
      </c>
      <c r="Q7" s="50">
        <v>2.0821</v>
      </c>
      <c r="R7" s="50">
        <v>2.084</v>
      </c>
      <c r="S7" s="50">
        <v>2.0848</v>
      </c>
      <c r="T7" s="50">
        <v>2.0819</v>
      </c>
      <c r="U7" s="50">
        <v>2.0869</v>
      </c>
      <c r="V7" s="50"/>
      <c r="W7" s="50"/>
      <c r="X7" s="50"/>
      <c r="Y7" s="50"/>
      <c r="Z7" s="51" t="str">
        <f>IF(J7="","",IF(J7&gt;($D7+$E7),(J7-$D7-$E7),IF(J7&lt;($D7+$F7),(J7-$D7-$F7),"√")))</f>
        <v>√</v>
      </c>
      <c r="AA7" s="51" t="str">
        <f>IF(K7="","",IF(K7&gt;($D7+$E7),(K7-$D7-$E7),IF(K7&lt;($D7+$F7),(K7-$D7-$F7),"√")))</f>
        <v>√</v>
      </c>
      <c r="AB7" s="51" t="str">
        <f t="shared" ref="AB7:AO7" si="3">IF(L7="","",IF(L7&gt;($D7+$E7),(L7-$D7-$E7),IF(L7&lt;($D7+$F7),(L7-$D7-$F7),"√")))</f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2.0926</v>
      </c>
      <c r="K8" s="50">
        <v>2.0793</v>
      </c>
      <c r="L8" s="50">
        <v>2.0816</v>
      </c>
      <c r="M8" s="50">
        <v>2.0805</v>
      </c>
      <c r="N8" s="50">
        <v>2.0797</v>
      </c>
      <c r="O8" s="50">
        <v>2.0786</v>
      </c>
      <c r="P8" s="50">
        <v>2.0807</v>
      </c>
      <c r="Q8" s="50">
        <v>2.0817</v>
      </c>
      <c r="R8" s="50">
        <v>2.0841</v>
      </c>
      <c r="S8" s="50">
        <v>2.0822</v>
      </c>
      <c r="T8" s="50">
        <v>2.0822</v>
      </c>
      <c r="U8" s="50">
        <v>2.0869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0.8661</v>
      </c>
      <c r="K9" s="50">
        <v>0.8062</v>
      </c>
      <c r="L9" s="50">
        <v>0.8038</v>
      </c>
      <c r="M9" s="50">
        <v>0.8042</v>
      </c>
      <c r="N9" s="50">
        <v>0.8026</v>
      </c>
      <c r="O9" s="50">
        <v>0.8054</v>
      </c>
      <c r="P9" s="50">
        <v>0.8054</v>
      </c>
      <c r="Q9" s="50">
        <v>0.8043</v>
      </c>
      <c r="R9" s="50">
        <v>0.807</v>
      </c>
      <c r="S9" s="50">
        <v>0.8107</v>
      </c>
      <c r="T9" s="50">
        <v>0.8044</v>
      </c>
      <c r="U9" s="50">
        <v>0.8143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0.8369</v>
      </c>
      <c r="K10" s="50">
        <v>0.8042</v>
      </c>
      <c r="L10" s="50">
        <v>0.8023</v>
      </c>
      <c r="M10" s="50">
        <v>0.8014</v>
      </c>
      <c r="N10" s="50">
        <v>0.8011</v>
      </c>
      <c r="O10" s="50">
        <v>0.8041</v>
      </c>
      <c r="P10" s="50">
        <v>0.8092</v>
      </c>
      <c r="Q10" s="50">
        <v>0.8302</v>
      </c>
      <c r="R10" s="50">
        <v>0.8081</v>
      </c>
      <c r="S10" s="50">
        <v>0.809</v>
      </c>
      <c r="T10" s="50">
        <v>0.8076</v>
      </c>
      <c r="U10" s="50">
        <v>0.8161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1.105</v>
      </c>
      <c r="K11" s="50">
        <v>1.1007</v>
      </c>
      <c r="L11" s="50">
        <v>1.1038</v>
      </c>
      <c r="M11" s="50">
        <v>1.1038</v>
      </c>
      <c r="N11" s="50">
        <v>1.1038</v>
      </c>
      <c r="O11" s="50">
        <v>1.1017</v>
      </c>
      <c r="P11" s="50">
        <v>1.1023</v>
      </c>
      <c r="Q11" s="50">
        <v>1.0998</v>
      </c>
      <c r="R11" s="50">
        <v>1.1015</v>
      </c>
      <c r="S11" s="50">
        <v>1.1057</v>
      </c>
      <c r="T11" s="50">
        <v>1.1022</v>
      </c>
      <c r="U11" s="50">
        <v>1.0956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1.1026</v>
      </c>
      <c r="K12" s="50">
        <v>1.1014</v>
      </c>
      <c r="L12" s="50">
        <v>1.1041</v>
      </c>
      <c r="M12" s="50">
        <v>1.1044</v>
      </c>
      <c r="N12" s="50">
        <v>1.1045</v>
      </c>
      <c r="O12" s="50">
        <v>1.1007</v>
      </c>
      <c r="P12" s="50">
        <v>1.0985</v>
      </c>
      <c r="Q12" s="50">
        <v>1.0994</v>
      </c>
      <c r="R12" s="50">
        <v>1.0989</v>
      </c>
      <c r="S12" s="50">
        <v>1.0993</v>
      </c>
      <c r="T12" s="50">
        <v>1.0984</v>
      </c>
      <c r="U12" s="50">
        <v>1.0943</v>
      </c>
      <c r="V12" s="50"/>
      <c r="W12" s="50"/>
      <c r="X12" s="50"/>
      <c r="Y12" s="50"/>
      <c r="Z12" s="51" t="str">
        <f t="shared" ref="Z12:AO13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>IF(J13="","",IF(J13&gt;($D13+$E13),(J13-$D13-$E13),IF(J13&lt;($D13+$F13),(J13-$D13-$F13),"√")))</f>
        <v/>
      </c>
      <c r="AA13" s="51" t="str">
        <f>IF(K13="","",IF(K13&gt;($D13+$E13),(K13-$D13-$E13),IF(K13&lt;($D13+$F13),(K13-$D13-$F13),"√")))</f>
        <v/>
      </c>
      <c r="AB13" s="51" t="str">
        <f>IF(L13="","",IF(L13&gt;($D13+$E13),(L13-$D13-$E13),IF(L13&lt;($D13+$F13),(L13-$D13-$F13),"√")))</f>
        <v/>
      </c>
      <c r="AC13" s="51" t="str">
        <f t="shared" si="8"/>
        <v/>
      </c>
      <c r="AD13" s="51" t="str">
        <f t="shared" si="8"/>
        <v/>
      </c>
      <c r="AE13" s="51" t="str">
        <f t="shared" si="8"/>
        <v/>
      </c>
      <c r="AF13" s="51" t="str">
        <f t="shared" si="8"/>
        <v/>
      </c>
      <c r="AG13" s="51" t="str">
        <f t="shared" si="8"/>
        <v/>
      </c>
      <c r="AH13" s="51" t="str">
        <f t="shared" si="8"/>
        <v/>
      </c>
      <c r="AI13" s="51" t="str">
        <f t="shared" si="8"/>
        <v/>
      </c>
      <c r="AJ13" s="51" t="str">
        <f t="shared" si="8"/>
        <v/>
      </c>
      <c r="AK13" s="51" t="str">
        <f t="shared" si="8"/>
        <v/>
      </c>
      <c r="AL13" s="51" t="str">
        <f t="shared" si="8"/>
        <v/>
      </c>
      <c r="AM13" s="51" t="str">
        <f t="shared" si="8"/>
        <v/>
      </c>
      <c r="AN13" s="51" t="str">
        <f t="shared" si="8"/>
        <v/>
      </c>
      <c r="AO13" s="51" t="str">
        <f t="shared" si="8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N14" si="9">IF(J14="","",IF(J14&gt;($D14+$E14),(J14-$D14-$E14),IF(J14&lt;($D14+$F14),(J14-$D14-$F14),"√")))</f>
        <v/>
      </c>
      <c r="AA14" s="51" t="str">
        <f t="shared" si="9"/>
        <v/>
      </c>
      <c r="AB14" s="51" t="str">
        <f t="shared" si="9"/>
        <v/>
      </c>
      <c r="AC14" s="51" t="str">
        <f t="shared" si="9"/>
        <v/>
      </c>
      <c r="AD14" s="51" t="str">
        <f t="shared" si="9"/>
        <v/>
      </c>
      <c r="AE14" s="51" t="str">
        <f t="shared" si="9"/>
        <v/>
      </c>
      <c r="AF14" s="51" t="str">
        <f t="shared" si="9"/>
        <v/>
      </c>
      <c r="AG14" s="51" t="str">
        <f t="shared" si="9"/>
        <v/>
      </c>
      <c r="AH14" s="51" t="str">
        <f t="shared" si="9"/>
        <v/>
      </c>
      <c r="AI14" s="51" t="str">
        <f t="shared" si="9"/>
        <v/>
      </c>
      <c r="AJ14" s="51" t="str">
        <f t="shared" si="9"/>
        <v/>
      </c>
      <c r="AK14" s="51" t="str">
        <f t="shared" si="9"/>
        <v/>
      </c>
      <c r="AL14" s="51" t="str">
        <f t="shared" si="9"/>
        <v/>
      </c>
      <c r="AM14" s="51" t="str">
        <f t="shared" si="9"/>
        <v/>
      </c>
      <c r="AN14" s="51" t="str">
        <f t="shared" si="9"/>
        <v/>
      </c>
      <c r="AO14" s="51" t="str">
        <f t="shared" ref="AO14" si="10">IF(Y14="","",IF(Y14&gt;($D14+$E14),(Y14-$D14-$E14),IF(Y14&lt;($D14+$F14),(Y14-$D14-$F14),"√")))</f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Z16" si="11">IF(J15="","",IF(J15&gt;($D15+$E15),(J15-$D15-$E15),IF(J15&lt;($D15+$F15),(J15-$D15-$F15),"√")))</f>
        <v/>
      </c>
      <c r="AA15" s="51" t="str">
        <f t="shared" ref="AA15:AA16" si="12">IF(K15="","",IF(K15&gt;($D15+$E15),(K15-$D15-$E15),IF(K15&lt;($D15+$F15),(K15-$D15-$F15),"√")))</f>
        <v/>
      </c>
      <c r="AB15" s="51" t="str">
        <f t="shared" ref="AB15:AB16" si="13">IF(L15="","",IF(L15&gt;($D15+$E15),(L15-$D15-$E15),IF(L15&lt;($D15+$F15),(L15-$D15-$F15),"√")))</f>
        <v/>
      </c>
      <c r="AC15" s="51" t="str">
        <f t="shared" ref="AC15:AC16" si="14">IF(M15="","",IF(M15&gt;($D15+$E15),(M15-$D15-$E15),IF(M15&lt;($D15+$F15),(M15-$D15-$F15),"√")))</f>
        <v/>
      </c>
      <c r="AD15" s="51" t="str">
        <f t="shared" ref="AD15:AD16" si="15">IF(N15="","",IF(N15&gt;($D15+$E15),(N15-$D15-$E15),IF(N15&lt;($D15+$F15),(N15-$D15-$F15),"√")))</f>
        <v/>
      </c>
      <c r="AE15" s="51" t="str">
        <f t="shared" ref="AE15:AE16" si="16">IF(O15="","",IF(O15&gt;($D15+$E15),(O15-$D15-$E15),IF(O15&lt;($D15+$F15),(O15-$D15-$F15),"√")))</f>
        <v/>
      </c>
      <c r="AF15" s="51" t="str">
        <f t="shared" ref="AF15:AF16" si="17">IF(P15="","",IF(P15&gt;($D15+$E15),(P15-$D15-$E15),IF(P15&lt;($D15+$F15),(P15-$D15-$F15),"√")))</f>
        <v/>
      </c>
      <c r="AG15" s="51" t="str">
        <f t="shared" ref="AG15:AG16" si="18">IF(Q15="","",IF(Q15&gt;($D15+$E15),(Q15-$D15-$E15),IF(Q15&lt;($D15+$F15),(Q15-$D15-$F15),"√")))</f>
        <v/>
      </c>
      <c r="AH15" s="51" t="str">
        <f t="shared" ref="AH15:AH16" si="19">IF(R15="","",IF(R15&gt;($D15+$E15),(R15-$D15-$E15),IF(R15&lt;($D15+$F15),(R15-$D15-$F15),"√")))</f>
        <v/>
      </c>
      <c r="AI15" s="51" t="str">
        <f t="shared" ref="AI15:AI16" si="20">IF(S15="","",IF(S15&gt;($D15+$E15),(S15-$D15-$E15),IF(S15&lt;($D15+$F15),(S15-$D15-$F15),"√")))</f>
        <v/>
      </c>
      <c r="AJ15" s="51" t="str">
        <f t="shared" ref="AJ15:AJ16" si="21">IF(T15="","",IF(T15&gt;($D15+$E15),(T15-$D15-$E15),IF(T15&lt;($D15+$F15),(T15-$D15-$F15),"√")))</f>
        <v/>
      </c>
      <c r="AK15" s="51" t="str">
        <f t="shared" ref="AK15:AK16" si="22">IF(U15="","",IF(U15&gt;($D15+$E15),(U15-$D15-$E15),IF(U15&lt;($D15+$F15),(U15-$D15-$F15),"√")))</f>
        <v/>
      </c>
      <c r="AL15" s="51" t="str">
        <f t="shared" ref="AL15:AL16" si="23">IF(V15="","",IF(V15&gt;($D15+$E15),(V15-$D15-$E15),IF(V15&lt;($D15+$F15),(V15-$D15-$F15),"√")))</f>
        <v/>
      </c>
      <c r="AM15" s="51" t="str">
        <f t="shared" ref="AM15:AM16" si="24">IF(W15="","",IF(W15&gt;($D15+$E15),(W15-$D15-$E15),IF(W15&lt;($D15+$F15),(W15-$D15-$F15),"√")))</f>
        <v/>
      </c>
      <c r="AN15" s="51" t="str">
        <f t="shared" ref="AN15:AN16" si="25">IF(X15="","",IF(X15&gt;($D15+$E15),(X15-$D15-$E15),IF(X15&lt;($D15+$F15),(X15-$D15-$F15),"√")))</f>
        <v/>
      </c>
      <c r="AO15" s="51" t="str">
        <f t="shared" ref="AO15:AO16" si="26">IF(Y15="","",IF(Y15&gt;($D15+$E15),(Y15-$D15-$E15),IF(Y15&lt;($D15+$F15),(Y15-$D15-$F15),"√")))</f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si="11"/>
        <v/>
      </c>
      <c r="AA16" s="51" t="str">
        <f t="shared" si="12"/>
        <v/>
      </c>
      <c r="AB16" s="51" t="str">
        <f t="shared" si="13"/>
        <v/>
      </c>
      <c r="AC16" s="51" t="str">
        <f t="shared" si="14"/>
        <v/>
      </c>
      <c r="AD16" s="51" t="str">
        <f t="shared" si="15"/>
        <v/>
      </c>
      <c r="AE16" s="51" t="str">
        <f t="shared" si="16"/>
        <v/>
      </c>
      <c r="AF16" s="51" t="str">
        <f t="shared" si="17"/>
        <v/>
      </c>
      <c r="AG16" s="51" t="str">
        <f t="shared" si="18"/>
        <v/>
      </c>
      <c r="AH16" s="51" t="str">
        <f t="shared" si="19"/>
        <v/>
      </c>
      <c r="AI16" s="51" t="str">
        <f t="shared" si="20"/>
        <v/>
      </c>
      <c r="AJ16" s="51" t="str">
        <f t="shared" si="21"/>
        <v/>
      </c>
      <c r="AK16" s="51" t="str">
        <f t="shared" si="22"/>
        <v/>
      </c>
      <c r="AL16" s="51" t="str">
        <f t="shared" si="23"/>
        <v/>
      </c>
      <c r="AM16" s="51" t="str">
        <f t="shared" si="24"/>
        <v/>
      </c>
      <c r="AN16" s="51" t="str">
        <f t="shared" si="25"/>
        <v/>
      </c>
      <c r="AO16" s="51" t="str">
        <f t="shared" si="26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27">IF(J17="","",IF(J17&gt;($D17+$E17),(J17-$D17-$E17),IF(J17&lt;($D17+$F17),(J17-$D17-$F17),"√")))</f>
        <v/>
      </c>
      <c r="AA17" s="51" t="str">
        <f t="shared" si="27"/>
        <v/>
      </c>
      <c r="AB17" s="51" t="str">
        <f t="shared" si="27"/>
        <v/>
      </c>
      <c r="AC17" s="51" t="str">
        <f t="shared" si="27"/>
        <v/>
      </c>
      <c r="AD17" s="51" t="str">
        <f t="shared" si="27"/>
        <v/>
      </c>
      <c r="AE17" s="51" t="str">
        <f t="shared" si="27"/>
        <v/>
      </c>
      <c r="AF17" s="51" t="str">
        <f t="shared" si="27"/>
        <v/>
      </c>
      <c r="AG17" s="51" t="str">
        <f t="shared" si="27"/>
        <v/>
      </c>
      <c r="AH17" s="51" t="str">
        <f t="shared" si="27"/>
        <v/>
      </c>
      <c r="AI17" s="51" t="str">
        <f t="shared" si="27"/>
        <v/>
      </c>
      <c r="AJ17" s="51" t="str">
        <f t="shared" si="27"/>
        <v/>
      </c>
      <c r="AK17" s="51" t="str">
        <f t="shared" si="27"/>
        <v/>
      </c>
      <c r="AL17" s="51" t="str">
        <f t="shared" si="27"/>
        <v/>
      </c>
      <c r="AM17" s="51" t="str">
        <f t="shared" si="27"/>
        <v/>
      </c>
      <c r="AN17" s="51" t="str">
        <f t="shared" si="27"/>
        <v/>
      </c>
      <c r="AO17" s="51" t="str">
        <f t="shared" si="27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N18" si="28">IF(J18="","",IF(J18&gt;($D18+$E18),(J18-$D18-$E18),IF(J18&lt;($D18+$F18),(J18-$D18-$F18),"√")))</f>
        <v/>
      </c>
      <c r="AA18" s="51" t="str">
        <f t="shared" si="28"/>
        <v/>
      </c>
      <c r="AB18" s="51" t="str">
        <f t="shared" si="28"/>
        <v/>
      </c>
      <c r="AC18" s="51" t="str">
        <f t="shared" si="28"/>
        <v/>
      </c>
      <c r="AD18" s="51" t="str">
        <f t="shared" si="28"/>
        <v/>
      </c>
      <c r="AE18" s="51" t="str">
        <f t="shared" si="28"/>
        <v/>
      </c>
      <c r="AF18" s="51" t="str">
        <f t="shared" si="28"/>
        <v/>
      </c>
      <c r="AG18" s="51" t="str">
        <f t="shared" si="28"/>
        <v/>
      </c>
      <c r="AH18" s="51" t="str">
        <f t="shared" si="28"/>
        <v/>
      </c>
      <c r="AI18" s="51" t="str">
        <f t="shared" si="28"/>
        <v/>
      </c>
      <c r="AJ18" s="51" t="str">
        <f t="shared" si="28"/>
        <v/>
      </c>
      <c r="AK18" s="51" t="str">
        <f t="shared" si="28"/>
        <v/>
      </c>
      <c r="AL18" s="51" t="str">
        <f t="shared" si="28"/>
        <v/>
      </c>
      <c r="AM18" s="51" t="str">
        <f t="shared" si="28"/>
        <v/>
      </c>
      <c r="AN18" s="51" t="str">
        <f t="shared" si="28"/>
        <v/>
      </c>
      <c r="AO18" s="51" t="str">
        <f t="shared" ref="AO18" si="29">IF(Y18="","",IF(Y18&gt;($D18+$E18),(Y18-$D18-$E18),IF(Y18&lt;($D18+$F18),(Y18-$D18-$F18),"√")))</f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30">E31+D31</f>
        <v>0</v>
      </c>
      <c r="H31" s="49">
        <f t="shared" ref="H31:H37" si="31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30"/>
        <v>0</v>
      </c>
      <c r="H32" s="49">
        <f t="shared" si="31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30"/>
        <v>0.1</v>
      </c>
      <c r="H33" s="49">
        <f t="shared" si="31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32">IF(J33="","",IF(J33&gt;($D33+$E33),(J33-$D33-$E33),IF(J33&lt;($D33+$F33),(J33-$D33-$F33),"√")))</f>
        <v/>
      </c>
      <c r="AA33" s="51" t="str">
        <f t="shared" si="32"/>
        <v/>
      </c>
      <c r="AB33" s="51" t="str">
        <f t="shared" si="32"/>
        <v/>
      </c>
      <c r="AC33" s="51" t="str">
        <f t="shared" si="32"/>
        <v/>
      </c>
      <c r="AD33" s="51" t="str">
        <f t="shared" si="32"/>
        <v/>
      </c>
      <c r="AE33" s="51" t="str">
        <f t="shared" si="32"/>
        <v/>
      </c>
      <c r="AF33" s="51" t="str">
        <f t="shared" si="32"/>
        <v/>
      </c>
      <c r="AG33" s="51" t="str">
        <f t="shared" si="32"/>
        <v/>
      </c>
      <c r="AH33" s="51" t="str">
        <f t="shared" si="32"/>
        <v/>
      </c>
      <c r="AI33" s="51" t="str">
        <f t="shared" si="32"/>
        <v/>
      </c>
      <c r="AJ33" s="51" t="str">
        <f t="shared" si="32"/>
        <v/>
      </c>
      <c r="AK33" s="51" t="str">
        <f t="shared" si="32"/>
        <v/>
      </c>
      <c r="AL33" s="51" t="str">
        <f t="shared" si="32"/>
        <v/>
      </c>
      <c r="AM33" s="51" t="str">
        <f t="shared" si="32"/>
        <v/>
      </c>
      <c r="AN33" s="51" t="str">
        <f t="shared" si="32"/>
        <v/>
      </c>
      <c r="AO33" s="51" t="str">
        <f t="shared" si="32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30"/>
        <v>0</v>
      </c>
      <c r="H34" s="49">
        <f t="shared" si="31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30"/>
        <v>0</v>
      </c>
      <c r="H35" s="49">
        <f t="shared" si="31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30"/>
        <v>0.1</v>
      </c>
      <c r="H36" s="49">
        <f t="shared" si="31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33">IF(J36="","",IF(J36&gt;($D36+$E36),(J36-$D36-$E36),IF(J36&lt;($D36+$F36),(J36-$D36-$F36),"√")))</f>
        <v/>
      </c>
      <c r="AA36" s="51" t="str">
        <f t="shared" si="33"/>
        <v/>
      </c>
      <c r="AB36" s="51" t="str">
        <f t="shared" si="33"/>
        <v/>
      </c>
      <c r="AC36" s="51" t="str">
        <f t="shared" si="33"/>
        <v/>
      </c>
      <c r="AD36" s="51" t="str">
        <f t="shared" si="33"/>
        <v/>
      </c>
      <c r="AE36" s="51" t="str">
        <f t="shared" si="33"/>
        <v/>
      </c>
      <c r="AF36" s="51" t="str">
        <f t="shared" si="33"/>
        <v/>
      </c>
      <c r="AG36" s="51" t="str">
        <f t="shared" si="33"/>
        <v/>
      </c>
      <c r="AH36" s="51" t="str">
        <f t="shared" si="33"/>
        <v/>
      </c>
      <c r="AI36" s="51" t="str">
        <f t="shared" si="33"/>
        <v/>
      </c>
      <c r="AJ36" s="51" t="str">
        <f t="shared" si="33"/>
        <v/>
      </c>
      <c r="AK36" s="51" t="str">
        <f t="shared" si="33"/>
        <v/>
      </c>
      <c r="AL36" s="51" t="str">
        <f t="shared" si="33"/>
        <v/>
      </c>
      <c r="AM36" s="51" t="str">
        <f t="shared" si="33"/>
        <v/>
      </c>
      <c r="AN36" s="51" t="str">
        <f t="shared" si="33"/>
        <v/>
      </c>
      <c r="AO36" s="51" t="str">
        <f t="shared" si="33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30"/>
        <v>0.05</v>
      </c>
      <c r="H37" s="49">
        <f t="shared" si="31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34">IF(J37="","",IF(J37&gt;($D37+$E37),(J37-$D37-$E37),IF(J37&lt;($D37+$F37),(J37-$D37-$F37),"√")))</f>
        <v/>
      </c>
      <c r="AA37" s="51" t="str">
        <f t="shared" si="34"/>
        <v/>
      </c>
      <c r="AB37" s="51" t="str">
        <f t="shared" si="34"/>
        <v/>
      </c>
      <c r="AC37" s="51" t="str">
        <f t="shared" si="34"/>
        <v/>
      </c>
      <c r="AD37" s="51" t="str">
        <f t="shared" si="34"/>
        <v/>
      </c>
      <c r="AE37" s="51" t="str">
        <f t="shared" si="34"/>
        <v/>
      </c>
      <c r="AF37" s="51" t="str">
        <f t="shared" si="34"/>
        <v/>
      </c>
      <c r="AG37" s="51" t="str">
        <f t="shared" si="34"/>
        <v/>
      </c>
      <c r="AH37" s="51" t="str">
        <f t="shared" si="34"/>
        <v/>
      </c>
      <c r="AI37" s="51" t="str">
        <f t="shared" si="34"/>
        <v/>
      </c>
      <c r="AJ37" s="51" t="str">
        <f t="shared" si="34"/>
        <v/>
      </c>
      <c r="AK37" s="51" t="str">
        <f t="shared" si="34"/>
        <v/>
      </c>
      <c r="AL37" s="51" t="str">
        <f t="shared" si="34"/>
        <v/>
      </c>
      <c r="AM37" s="51" t="str">
        <f t="shared" si="34"/>
        <v/>
      </c>
      <c r="AN37" s="51" t="str">
        <f t="shared" si="34"/>
        <v/>
      </c>
      <c r="AO37" s="51" t="str">
        <f t="shared" si="34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>E40+D40</f>
        <v>0.05</v>
      </c>
      <c r="H40" s="49">
        <f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N40" si="35">IF(J40="","",IF(J40&gt;($D40+$E40),(J40-$D40-$E40),IF(J40&lt;($D40+$F40),(J40-$D40-$F40),"√")))</f>
        <v/>
      </c>
      <c r="AA40" s="51" t="str">
        <f t="shared" si="35"/>
        <v/>
      </c>
      <c r="AB40" s="51" t="str">
        <f t="shared" si="35"/>
        <v/>
      </c>
      <c r="AC40" s="51" t="str">
        <f t="shared" si="35"/>
        <v/>
      </c>
      <c r="AD40" s="51" t="str">
        <f t="shared" si="35"/>
        <v/>
      </c>
      <c r="AE40" s="51" t="str">
        <f t="shared" si="35"/>
        <v/>
      </c>
      <c r="AF40" s="51" t="str">
        <f t="shared" si="35"/>
        <v/>
      </c>
      <c r="AG40" s="51" t="str">
        <f t="shared" si="35"/>
        <v/>
      </c>
      <c r="AH40" s="51" t="str">
        <f t="shared" si="35"/>
        <v/>
      </c>
      <c r="AI40" s="51" t="str">
        <f t="shared" si="35"/>
        <v/>
      </c>
      <c r="AJ40" s="51" t="str">
        <f t="shared" si="35"/>
        <v/>
      </c>
      <c r="AK40" s="51" t="str">
        <f t="shared" si="35"/>
        <v/>
      </c>
      <c r="AL40" s="51" t="str">
        <f t="shared" si="35"/>
        <v/>
      </c>
      <c r="AM40" s="51" t="str">
        <f t="shared" si="35"/>
        <v/>
      </c>
      <c r="AN40" s="51" t="str">
        <f t="shared" si="35"/>
        <v/>
      </c>
      <c r="AO40" s="51" t="str">
        <f t="shared" ref="AO40" si="36">IF(Y40="","",IF(Y40&gt;($D40+$E40),(Y40-$D40-$E40),IF(Y40&lt;($D40+$F40),(Y40-$D40-$F40),"√")))</f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>E43+D43</f>
        <v>0.62</v>
      </c>
      <c r="H43" s="49">
        <f>F43+D43</f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" si="37">IF(J43="","",IF(J43&gt;($D43+$E43),(J43-$D43-$E43),IF(J43&lt;($D43+$F43),(J43-$D43-$F43),"√")))</f>
        <v/>
      </c>
      <c r="AA43" s="51" t="str">
        <f t="shared" ref="AA43" si="38">IF(K43="","",IF(K43&gt;($D43+$E43),(K43-$D43-$E43),IF(K43&lt;($D43+$F43),(K43-$D43-$F43),"√")))</f>
        <v/>
      </c>
      <c r="AB43" s="51" t="str">
        <f t="shared" ref="AB43" si="39">IF(L43="","",IF(L43&gt;($D43+$E43),(L43-$D43-$E43),IF(L43&lt;($D43+$F43),(L43-$D43-$F43),"√")))</f>
        <v/>
      </c>
      <c r="AC43" s="51" t="str">
        <f t="shared" ref="AC43" si="40">IF(M43="","",IF(M43&gt;($D43+$E43),(M43-$D43-$E43),IF(M43&lt;($D43+$F43),(M43-$D43-$F43),"√")))</f>
        <v/>
      </c>
      <c r="AD43" s="51" t="str">
        <f t="shared" ref="AD43" si="41">IF(N43="","",IF(N43&gt;($D43+$E43),(N43-$D43-$E43),IF(N43&lt;($D43+$F43),(N43-$D43-$F43),"√")))</f>
        <v/>
      </c>
      <c r="AE43" s="51" t="str">
        <f t="shared" ref="AE43" si="42">IF(O43="","",IF(O43&gt;($D43+$E43),(O43-$D43-$E43),IF(O43&lt;($D43+$F43),(O43-$D43-$F43),"√")))</f>
        <v/>
      </c>
      <c r="AF43" s="51" t="str">
        <f t="shared" ref="AF43" si="43">IF(P43="","",IF(P43&gt;($D43+$E43),(P43-$D43-$E43),IF(P43&lt;($D43+$F43),(P43-$D43-$F43),"√")))</f>
        <v/>
      </c>
      <c r="AG43" s="51" t="str">
        <f t="shared" ref="AG43" si="44">IF(Q43="","",IF(Q43&gt;($D43+$E43),(Q43-$D43-$E43),IF(Q43&lt;($D43+$F43),(Q43-$D43-$F43),"√")))</f>
        <v/>
      </c>
      <c r="AH43" s="51" t="str">
        <f t="shared" ref="AH43" si="45">IF(R43="","",IF(R43&gt;($D43+$E43),(R43-$D43-$E43),IF(R43&lt;($D43+$F43),(R43-$D43-$F43),"√")))</f>
        <v/>
      </c>
      <c r="AI43" s="51" t="str">
        <f t="shared" ref="AI43" si="46">IF(S43="","",IF(S43&gt;($D43+$E43),(S43-$D43-$E43),IF(S43&lt;($D43+$F43),(S43-$D43-$F43),"√")))</f>
        <v/>
      </c>
      <c r="AJ43" s="51" t="str">
        <f t="shared" ref="AJ43" si="47">IF(T43="","",IF(T43&gt;($D43+$E43),(T43-$D43-$E43),IF(T43&lt;($D43+$F43),(T43-$D43-$F43),"√")))</f>
        <v/>
      </c>
      <c r="AK43" s="51" t="str">
        <f t="shared" ref="AK43" si="48">IF(U43="","",IF(U43&gt;($D43+$E43),(U43-$D43-$E43),IF(U43&lt;($D43+$F43),(U43-$D43-$F43),"√")))</f>
        <v/>
      </c>
      <c r="AL43" s="51" t="str">
        <f t="shared" ref="AL43" si="49">IF(V43="","",IF(V43&gt;($D43+$E43),(V43-$D43-$E43),IF(V43&lt;($D43+$F43),(V43-$D43-$F43),"√")))</f>
        <v/>
      </c>
      <c r="AM43" s="51" t="str">
        <f t="shared" ref="AM43" si="50">IF(W43="","",IF(W43&gt;($D43+$E43),(W43-$D43-$E43),IF(W43&lt;($D43+$F43),(W43-$D43-$F43),"√")))</f>
        <v/>
      </c>
      <c r="AN43" s="51" t="str">
        <f t="shared" ref="AN43" si="51">IF(X43="","",IF(X43&gt;($D43+$E43),(X43-$D43-$E43),IF(X43&lt;($D43+$F43),(X43-$D43-$F43),"√")))</f>
        <v/>
      </c>
      <c r="AO43" s="51" t="str">
        <f t="shared" ref="AO43" si="52">IF(Y43="","",IF(Y43&gt;($D43+$E43),(Y43-$D43-$E43),IF(Y43&lt;($D43+$F43),(Y43-$D43-$F43),"√")))</f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>E44+D44</f>
        <v>0.62</v>
      </c>
      <c r="H44" s="49">
        <f>F44+D44</f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" si="53">IF(J44="","",IF(J44&gt;($D44+$E44),(J44-$D44-$E44),IF(J44&lt;($D44+$F44),(J44-$D44-$F44),"√")))</f>
        <v/>
      </c>
      <c r="AA44" s="51" t="str">
        <f t="shared" ref="AA44" si="54">IF(K44="","",IF(K44&gt;($D44+$E44),(K44-$D44-$E44),IF(K44&lt;($D44+$F44),(K44-$D44-$F44),"√")))</f>
        <v/>
      </c>
      <c r="AB44" s="51" t="str">
        <f t="shared" ref="AB44" si="55">IF(L44="","",IF(L44&gt;($D44+$E44),(L44-$D44-$E44),IF(L44&lt;($D44+$F44),(L44-$D44-$F44),"√")))</f>
        <v/>
      </c>
      <c r="AC44" s="51" t="str">
        <f t="shared" ref="AC44" si="56">IF(M44="","",IF(M44&gt;($D44+$E44),(M44-$D44-$E44),IF(M44&lt;($D44+$F44),(M44-$D44-$F44),"√")))</f>
        <v/>
      </c>
      <c r="AD44" s="51" t="str">
        <f t="shared" ref="AD44" si="57">IF(N44="","",IF(N44&gt;($D44+$E44),(N44-$D44-$E44),IF(N44&lt;($D44+$F44),(N44-$D44-$F44),"√")))</f>
        <v/>
      </c>
      <c r="AE44" s="51" t="str">
        <f t="shared" ref="AE44" si="58">IF(O44="","",IF(O44&gt;($D44+$E44),(O44-$D44-$E44),IF(O44&lt;($D44+$F44),(O44-$D44-$F44),"√")))</f>
        <v/>
      </c>
      <c r="AF44" s="51" t="str">
        <f t="shared" ref="AF44" si="59">IF(P44="","",IF(P44&gt;($D44+$E44),(P44-$D44-$E44),IF(P44&lt;($D44+$F44),(P44-$D44-$F44),"√")))</f>
        <v/>
      </c>
      <c r="AG44" s="51" t="str">
        <f t="shared" ref="AG44" si="60">IF(Q44="","",IF(Q44&gt;($D44+$E44),(Q44-$D44-$E44),IF(Q44&lt;($D44+$F44),(Q44-$D44-$F44),"√")))</f>
        <v/>
      </c>
      <c r="AH44" s="51" t="str">
        <f t="shared" ref="AH44" si="61">IF(R44="","",IF(R44&gt;($D44+$E44),(R44-$D44-$E44),IF(R44&lt;($D44+$F44),(R44-$D44-$F44),"√")))</f>
        <v/>
      </c>
      <c r="AI44" s="51" t="str">
        <f t="shared" ref="AI44" si="62">IF(S44="","",IF(S44&gt;($D44+$E44),(S44-$D44-$E44),IF(S44&lt;($D44+$F44),(S44-$D44-$F44),"√")))</f>
        <v/>
      </c>
      <c r="AJ44" s="51" t="str">
        <f t="shared" ref="AJ44" si="63">IF(T44="","",IF(T44&gt;($D44+$E44),(T44-$D44-$E44),IF(T44&lt;($D44+$F44),(T44-$D44-$F44),"√")))</f>
        <v/>
      </c>
      <c r="AK44" s="51" t="str">
        <f t="shared" ref="AK44" si="64">IF(U44="","",IF(U44&gt;($D44+$E44),(U44-$D44-$E44),IF(U44&lt;($D44+$F44),(U44-$D44-$F44),"√")))</f>
        <v/>
      </c>
      <c r="AL44" s="51" t="str">
        <f t="shared" ref="AL44" si="65">IF(V44="","",IF(V44&gt;($D44+$E44),(V44-$D44-$E44),IF(V44&lt;($D44+$F44),(V44-$D44-$F44),"√")))</f>
        <v/>
      </c>
      <c r="AM44" s="51" t="str">
        <f t="shared" ref="AM44" si="66">IF(W44="","",IF(W44&gt;($D44+$E44),(W44-$D44-$E44),IF(W44&lt;($D44+$F44),(W44-$D44-$F44),"√")))</f>
        <v/>
      </c>
      <c r="AN44" s="51" t="str">
        <f t="shared" ref="AN44" si="67">IF(X44="","",IF(X44&gt;($D44+$E44),(X44-$D44-$E44),IF(X44&lt;($D44+$F44),(X44-$D44-$F44),"√")))</f>
        <v/>
      </c>
      <c r="AO44" s="51" t="str">
        <f t="shared" ref="AO44" si="68">IF(Y44="","",IF(Y44&gt;($D44+$E44),(Y44-$D44-$E44),IF(Y44&lt;($D44+$F44),(Y44-$D44-$F44),"√")))</f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>E45+D45</f>
        <v>0.93</v>
      </c>
      <c r="H45" s="49">
        <f>F45+D45</f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" si="69">IF(J45="","",IF(J45&gt;($D45+$E45),(J45-$D45-$E45),IF(J45&lt;($D45+$F45),(J45-$D45-$F45),"√")))</f>
        <v/>
      </c>
      <c r="AA45" s="51" t="str">
        <f t="shared" ref="AA45" si="70">IF(K45="","",IF(K45&gt;($D45+$E45),(K45-$D45-$E45),IF(K45&lt;($D45+$F45),(K45-$D45-$F45),"√")))</f>
        <v/>
      </c>
      <c r="AB45" s="51" t="str">
        <f t="shared" ref="AB45" si="71">IF(L45="","",IF(L45&gt;($D45+$E45),(L45-$D45-$E45),IF(L45&lt;($D45+$F45),(L45-$D45-$F45),"√")))</f>
        <v/>
      </c>
      <c r="AC45" s="51" t="str">
        <f t="shared" ref="AC45" si="72">IF(M45="","",IF(M45&gt;($D45+$E45),(M45-$D45-$E45),IF(M45&lt;($D45+$F45),(M45-$D45-$F45),"√")))</f>
        <v/>
      </c>
      <c r="AD45" s="51" t="str">
        <f t="shared" ref="AD45" si="73">IF(N45="","",IF(N45&gt;($D45+$E45),(N45-$D45-$E45),IF(N45&lt;($D45+$F45),(N45-$D45-$F45),"√")))</f>
        <v/>
      </c>
      <c r="AE45" s="51" t="str">
        <f t="shared" ref="AE45" si="74">IF(O45="","",IF(O45&gt;($D45+$E45),(O45-$D45-$E45),IF(O45&lt;($D45+$F45),(O45-$D45-$F45),"√")))</f>
        <v/>
      </c>
      <c r="AF45" s="51" t="str">
        <f t="shared" ref="AF45" si="75">IF(P45="","",IF(P45&gt;($D45+$E45),(P45-$D45-$E45),IF(P45&lt;($D45+$F45),(P45-$D45-$F45),"√")))</f>
        <v/>
      </c>
      <c r="AG45" s="51" t="str">
        <f t="shared" ref="AG45" si="76">IF(Q45="","",IF(Q45&gt;($D45+$E45),(Q45-$D45-$E45),IF(Q45&lt;($D45+$F45),(Q45-$D45-$F45),"√")))</f>
        <v/>
      </c>
      <c r="AH45" s="51" t="str">
        <f t="shared" ref="AH45" si="77">IF(R45="","",IF(R45&gt;($D45+$E45),(R45-$D45-$E45),IF(R45&lt;($D45+$F45),(R45-$D45-$F45),"√")))</f>
        <v/>
      </c>
      <c r="AI45" s="51" t="str">
        <f t="shared" ref="AI45" si="78">IF(S45="","",IF(S45&gt;($D45+$E45),(S45-$D45-$E45),IF(S45&lt;($D45+$F45),(S45-$D45-$F45),"√")))</f>
        <v/>
      </c>
      <c r="AJ45" s="51" t="str">
        <f t="shared" ref="AJ45" si="79">IF(T45="","",IF(T45&gt;($D45+$E45),(T45-$D45-$E45),IF(T45&lt;($D45+$F45),(T45-$D45-$F45),"√")))</f>
        <v/>
      </c>
      <c r="AK45" s="51" t="str">
        <f t="shared" ref="AK45" si="80">IF(U45="","",IF(U45&gt;($D45+$E45),(U45-$D45-$E45),IF(U45&lt;($D45+$F45),(U45-$D45-$F45),"√")))</f>
        <v/>
      </c>
      <c r="AL45" s="51" t="str">
        <f t="shared" ref="AL45" si="81">IF(V45="","",IF(V45&gt;($D45+$E45),(V45-$D45-$E45),IF(V45&lt;($D45+$F45),(V45-$D45-$F45),"√")))</f>
        <v/>
      </c>
      <c r="AM45" s="51" t="str">
        <f t="shared" ref="AM45" si="82">IF(W45="","",IF(W45&gt;($D45+$E45),(W45-$D45-$E45),IF(W45&lt;($D45+$F45),(W45-$D45-$F45),"√")))</f>
        <v/>
      </c>
      <c r="AN45" s="51" t="str">
        <f t="shared" ref="AN45" si="83">IF(X45="","",IF(X45&gt;($D45+$E45),(X45-$D45-$E45),IF(X45&lt;($D45+$F45),(X45-$D45-$F45),"√")))</f>
        <v/>
      </c>
      <c r="AO45" s="51" t="str">
        <f t="shared" ref="AO45" si="84">IF(Y45="","",IF(Y45&gt;($D45+$E45),(Y45-$D45-$E45),IF(Y45&lt;($D45+$F45),(Y45-$D45-$F45),"√")))</f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>E46+D46</f>
        <v>0.93</v>
      </c>
      <c r="H46" s="49">
        <f>F46+D46</f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" si="85">IF(J46="","",IF(J46&gt;($D46+$E46),(J46-$D46-$E46),IF(J46&lt;($D46+$F46),(J46-$D46-$F46),"√")))</f>
        <v/>
      </c>
      <c r="AA46" s="51" t="str">
        <f t="shared" ref="AA46" si="86">IF(K46="","",IF(K46&gt;($D46+$E46),(K46-$D46-$E46),IF(K46&lt;($D46+$F46),(K46-$D46-$F46),"√")))</f>
        <v/>
      </c>
      <c r="AB46" s="51" t="str">
        <f t="shared" ref="AB46" si="87">IF(L46="","",IF(L46&gt;($D46+$E46),(L46-$D46-$E46),IF(L46&lt;($D46+$F46),(L46-$D46-$F46),"√")))</f>
        <v/>
      </c>
      <c r="AC46" s="51" t="str">
        <f t="shared" ref="AC46" si="88">IF(M46="","",IF(M46&gt;($D46+$E46),(M46-$D46-$E46),IF(M46&lt;($D46+$F46),(M46-$D46-$F46),"√")))</f>
        <v/>
      </c>
      <c r="AD46" s="51" t="str">
        <f t="shared" ref="AD46" si="89">IF(N46="","",IF(N46&gt;($D46+$E46),(N46-$D46-$E46),IF(N46&lt;($D46+$F46),(N46-$D46-$F46),"√")))</f>
        <v/>
      </c>
      <c r="AE46" s="51" t="str">
        <f t="shared" ref="AE46" si="90">IF(O46="","",IF(O46&gt;($D46+$E46),(O46-$D46-$E46),IF(O46&lt;($D46+$F46),(O46-$D46-$F46),"√")))</f>
        <v/>
      </c>
      <c r="AF46" s="51" t="str">
        <f t="shared" ref="AF46" si="91">IF(P46="","",IF(P46&gt;($D46+$E46),(P46-$D46-$E46),IF(P46&lt;($D46+$F46),(P46-$D46-$F46),"√")))</f>
        <v/>
      </c>
      <c r="AG46" s="51" t="str">
        <f t="shared" ref="AG46" si="92">IF(Q46="","",IF(Q46&gt;($D46+$E46),(Q46-$D46-$E46),IF(Q46&lt;($D46+$F46),(Q46-$D46-$F46),"√")))</f>
        <v/>
      </c>
      <c r="AH46" s="51" t="str">
        <f t="shared" ref="AH46" si="93">IF(R46="","",IF(R46&gt;($D46+$E46),(R46-$D46-$E46),IF(R46&lt;($D46+$F46),(R46-$D46-$F46),"√")))</f>
        <v/>
      </c>
      <c r="AI46" s="51" t="str">
        <f t="shared" ref="AI46" si="94">IF(S46="","",IF(S46&gt;($D46+$E46),(S46-$D46-$E46),IF(S46&lt;($D46+$F46),(S46-$D46-$F46),"√")))</f>
        <v/>
      </c>
      <c r="AJ46" s="51" t="str">
        <f t="shared" ref="AJ46" si="95">IF(T46="","",IF(T46&gt;($D46+$E46),(T46-$D46-$E46),IF(T46&lt;($D46+$F46),(T46-$D46-$F46),"√")))</f>
        <v/>
      </c>
      <c r="AK46" s="51" t="str">
        <f t="shared" ref="AK46" si="96">IF(U46="","",IF(U46&gt;($D46+$E46),(U46-$D46-$E46),IF(U46&lt;($D46+$F46),(U46-$D46-$F46),"√")))</f>
        <v/>
      </c>
      <c r="AL46" s="51" t="str">
        <f t="shared" ref="AL46" si="97">IF(V46="","",IF(V46&gt;($D46+$E46),(V46-$D46-$E46),IF(V46&lt;($D46+$F46),(V46-$D46-$F46),"√")))</f>
        <v/>
      </c>
      <c r="AM46" s="51" t="str">
        <f t="shared" ref="AM46" si="98">IF(W46="","",IF(W46&gt;($D46+$E46),(W46-$D46-$E46),IF(W46&lt;($D46+$F46),(W46-$D46-$F46),"√")))</f>
        <v/>
      </c>
      <c r="AN46" s="51" t="str">
        <f t="shared" ref="AN46" si="99">IF(X46="","",IF(X46&gt;($D46+$E46),(X46-$D46-$E46),IF(X46&lt;($D46+$F46),(X46-$D46-$F46),"√")))</f>
        <v/>
      </c>
      <c r="AO46" s="51" t="str">
        <f t="shared" ref="AO46" si="100">IF(Y46="","",IF(Y46&gt;($D46+$E46),(Y46-$D46-$E46),IF(Y46&lt;($D46+$F46),(Y46-$D46-$F46),"√")))</f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>E47+D47</f>
        <v>0.84</v>
      </c>
      <c r="H47" s="49">
        <f>F47+D47</f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" si="101">IF(J47="","",IF(J47&gt;($D47+$E47),(J47-$D47-$E47),IF(J47&lt;($D47+$F47),(J47-$D47-$F47),"√")))</f>
        <v/>
      </c>
      <c r="AA47" s="51" t="str">
        <f t="shared" ref="AA47" si="102">IF(K47="","",IF(K47&gt;($D47+$E47),(K47-$D47-$E47),IF(K47&lt;($D47+$F47),(K47-$D47-$F47),"√")))</f>
        <v/>
      </c>
      <c r="AB47" s="51" t="str">
        <f t="shared" ref="AB47" si="103">IF(L47="","",IF(L47&gt;($D47+$E47),(L47-$D47-$E47),IF(L47&lt;($D47+$F47),(L47-$D47-$F47),"√")))</f>
        <v/>
      </c>
      <c r="AC47" s="51" t="str">
        <f t="shared" ref="AC47" si="104">IF(M47="","",IF(M47&gt;($D47+$E47),(M47-$D47-$E47),IF(M47&lt;($D47+$F47),(M47-$D47-$F47),"√")))</f>
        <v/>
      </c>
      <c r="AD47" s="51" t="str">
        <f t="shared" ref="AD47" si="105">IF(N47="","",IF(N47&gt;($D47+$E47),(N47-$D47-$E47),IF(N47&lt;($D47+$F47),(N47-$D47-$F47),"√")))</f>
        <v/>
      </c>
      <c r="AE47" s="51" t="str">
        <f t="shared" ref="AE47" si="106">IF(O47="","",IF(O47&gt;($D47+$E47),(O47-$D47-$E47),IF(O47&lt;($D47+$F47),(O47-$D47-$F47),"√")))</f>
        <v/>
      </c>
      <c r="AF47" s="51" t="str">
        <f t="shared" ref="AF47" si="107">IF(P47="","",IF(P47&gt;($D47+$E47),(P47-$D47-$E47),IF(P47&lt;($D47+$F47),(P47-$D47-$F47),"√")))</f>
        <v/>
      </c>
      <c r="AG47" s="51" t="str">
        <f t="shared" ref="AG47" si="108">IF(Q47="","",IF(Q47&gt;($D47+$E47),(Q47-$D47-$E47),IF(Q47&lt;($D47+$F47),(Q47-$D47-$F47),"√")))</f>
        <v/>
      </c>
      <c r="AH47" s="51" t="str">
        <f t="shared" ref="AH47" si="109">IF(R47="","",IF(R47&gt;($D47+$E47),(R47-$D47-$E47),IF(R47&lt;($D47+$F47),(R47-$D47-$F47),"√")))</f>
        <v/>
      </c>
      <c r="AI47" s="51" t="str">
        <f t="shared" ref="AI47" si="110">IF(S47="","",IF(S47&gt;($D47+$E47),(S47-$D47-$E47),IF(S47&lt;($D47+$F47),(S47-$D47-$F47),"√")))</f>
        <v/>
      </c>
      <c r="AJ47" s="51" t="str">
        <f t="shared" ref="AJ47" si="111">IF(T47="","",IF(T47&gt;($D47+$E47),(T47-$D47-$E47),IF(T47&lt;($D47+$F47),(T47-$D47-$F47),"√")))</f>
        <v/>
      </c>
      <c r="AK47" s="51" t="str">
        <f t="shared" ref="AK47" si="112">IF(U47="","",IF(U47&gt;($D47+$E47),(U47-$D47-$E47),IF(U47&lt;($D47+$F47),(U47-$D47-$F47),"√")))</f>
        <v/>
      </c>
      <c r="AL47" s="51" t="str">
        <f t="shared" ref="AL47" si="113">IF(V47="","",IF(V47&gt;($D47+$E47),(V47-$D47-$E47),IF(V47&lt;($D47+$F47),(V47-$D47-$F47),"√")))</f>
        <v/>
      </c>
      <c r="AM47" s="51" t="str">
        <f t="shared" ref="AM47" si="114">IF(W47="","",IF(W47&gt;($D47+$E47),(W47-$D47-$E47),IF(W47&lt;($D47+$F47),(W47-$D47-$F47),"√")))</f>
        <v/>
      </c>
      <c r="AN47" s="51" t="str">
        <f t="shared" ref="AN47" si="115">IF(X47="","",IF(X47&gt;($D47+$E47),(X47-$D47-$E47),IF(X47&lt;($D47+$F47),(X47-$D47-$F47),"√")))</f>
        <v/>
      </c>
      <c r="AO47" s="51" t="str">
        <f t="shared" ref="AO47" si="116">IF(Y47="","",IF(Y47&gt;($D47+$E47),(Y47-$D47-$E47),IF(Y47&lt;($D47+$F47),(Y47-$D47-$F47),"√")))</f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24" operator="notBetween">
      <formula>$G7</formula>
      <formula>$H7</formula>
    </cfRule>
  </conditionalFormatting>
  <conditionalFormatting sqref="K7">
    <cfRule type="cellIs" dxfId="0" priority="22" operator="notBetween">
      <formula>$G7</formula>
      <formula>$H7</formula>
    </cfRule>
  </conditionalFormatting>
  <conditionalFormatting sqref="L7">
    <cfRule type="cellIs" dxfId="0" priority="21" operator="notBetween">
      <formula>$G7</formula>
      <formula>$H7</formula>
    </cfRule>
  </conditionalFormatting>
  <conditionalFormatting sqref="M7">
    <cfRule type="cellIs" dxfId="0" priority="20" operator="notBetween">
      <formula>$G7</formula>
      <formula>$H7</formula>
    </cfRule>
  </conditionalFormatting>
  <conditionalFormatting sqref="N7">
    <cfRule type="cellIs" dxfId="0" priority="19" operator="notBetween">
      <formula>$G7</formula>
      <formula>$H7</formula>
    </cfRule>
  </conditionalFormatting>
  <conditionalFormatting sqref="O7">
    <cfRule type="cellIs" dxfId="0" priority="18" operator="notBetween">
      <formula>$G7</formula>
      <formula>$H7</formula>
    </cfRule>
  </conditionalFormatting>
  <conditionalFormatting sqref="P7">
    <cfRule type="cellIs" dxfId="0" priority="17" operator="notBetween">
      <formula>$G7</formula>
      <formula>$H7</formula>
    </cfRule>
  </conditionalFormatting>
  <conditionalFormatting sqref="Q7">
    <cfRule type="cellIs" dxfId="0" priority="16" operator="notBetween">
      <formula>$G7</formula>
      <formula>$H7</formula>
    </cfRule>
  </conditionalFormatting>
  <conditionalFormatting sqref="R7">
    <cfRule type="cellIs" dxfId="0" priority="15" operator="notBetween">
      <formula>$G7</formula>
      <formula>$H7</formula>
    </cfRule>
  </conditionalFormatting>
  <conditionalFormatting sqref="S7">
    <cfRule type="cellIs" dxfId="0" priority="14" operator="notBetween">
      <formula>$G7</formula>
      <formula>$H7</formula>
    </cfRule>
  </conditionalFormatting>
  <conditionalFormatting sqref="T7">
    <cfRule type="cellIs" dxfId="0" priority="13" operator="notBetween">
      <formula>$G7</formula>
      <formula>$H7</formula>
    </cfRule>
  </conditionalFormatting>
  <conditionalFormatting sqref="U7">
    <cfRule type="cellIs" dxfId="0" priority="12" operator="notBetween">
      <formula>$G7</formula>
      <formula>$H7</formula>
    </cfRule>
  </conditionalFormatting>
  <conditionalFormatting sqref="V7">
    <cfRule type="cellIs" dxfId="0" priority="148" operator="notBetween">
      <formula>$G7</formula>
      <formula>$H7</formula>
    </cfRule>
  </conditionalFormatting>
  <conditionalFormatting sqref="W7">
    <cfRule type="cellIs" dxfId="0" priority="147" operator="notBetween">
      <formula>$G7</formula>
      <formula>$H7</formula>
    </cfRule>
  </conditionalFormatting>
  <conditionalFormatting sqref="X7">
    <cfRule type="cellIs" dxfId="0" priority="146" operator="notBetween">
      <formula>$G7</formula>
      <formula>$H7</formula>
    </cfRule>
  </conditionalFormatting>
  <conditionalFormatting sqref="Y7">
    <cfRule type="cellIs" dxfId="0" priority="145" operator="notBetween">
      <formula>$G7</formula>
      <formula>$H7</formula>
    </cfRule>
  </conditionalFormatting>
  <conditionalFormatting sqref="J33">
    <cfRule type="cellIs" dxfId="0" priority="176" operator="notBetween">
      <formula>$G33</formula>
      <formula>$H33</formula>
    </cfRule>
  </conditionalFormatting>
  <conditionalFormatting sqref="K33">
    <cfRule type="cellIs" dxfId="0" priority="69" operator="notBetween">
      <formula>$G33</formula>
      <formula>$H33</formula>
    </cfRule>
  </conditionalFormatting>
  <conditionalFormatting sqref="L33">
    <cfRule type="cellIs" dxfId="0" priority="68" operator="notBetween">
      <formula>$G33</formula>
      <formula>$H33</formula>
    </cfRule>
  </conditionalFormatting>
  <conditionalFormatting sqref="M33">
    <cfRule type="cellIs" dxfId="0" priority="67" operator="notBetween">
      <formula>$G33</formula>
      <formula>$H33</formula>
    </cfRule>
  </conditionalFormatting>
  <conditionalFormatting sqref="N33">
    <cfRule type="cellIs" dxfId="0" priority="66" operator="notBetween">
      <formula>$G33</formula>
      <formula>$H33</formula>
    </cfRule>
  </conditionalFormatting>
  <conditionalFormatting sqref="O33">
    <cfRule type="cellIs" dxfId="0" priority="65" operator="notBetween">
      <formula>$G33</formula>
      <formula>$H33</formula>
    </cfRule>
  </conditionalFormatting>
  <conditionalFormatting sqref="P33">
    <cfRule type="cellIs" dxfId="0" priority="64" operator="notBetween">
      <formula>$G33</formula>
      <formula>$H33</formula>
    </cfRule>
  </conditionalFormatting>
  <conditionalFormatting sqref="Q33">
    <cfRule type="cellIs" dxfId="0" priority="63" operator="notBetween">
      <formula>$G33</formula>
      <formula>$H33</formula>
    </cfRule>
  </conditionalFormatting>
  <conditionalFormatting sqref="R33">
    <cfRule type="cellIs" dxfId="0" priority="62" operator="notBetween">
      <formula>$G33</formula>
      <formula>$H33</formula>
    </cfRule>
  </conditionalFormatting>
  <conditionalFormatting sqref="S33">
    <cfRule type="cellIs" dxfId="0" priority="61" operator="notBetween">
      <formula>$G33</formula>
      <formula>$H33</formula>
    </cfRule>
  </conditionalFormatting>
  <conditionalFormatting sqref="T33">
    <cfRule type="cellIs" dxfId="0" priority="60" operator="notBetween">
      <formula>$G33</formula>
      <formula>$H33</formula>
    </cfRule>
  </conditionalFormatting>
  <conditionalFormatting sqref="U33">
    <cfRule type="cellIs" dxfId="0" priority="59" operator="notBetween">
      <formula>$G33</formula>
      <formula>$H33</formula>
    </cfRule>
  </conditionalFormatting>
  <conditionalFormatting sqref="V33">
    <cfRule type="cellIs" dxfId="0" priority="58" operator="notBetween">
      <formula>$G33</formula>
      <formula>$H33</formula>
    </cfRule>
  </conditionalFormatting>
  <conditionalFormatting sqref="W33">
    <cfRule type="cellIs" dxfId="0" priority="57" operator="notBetween">
      <formula>$G33</formula>
      <formula>$H33</formula>
    </cfRule>
  </conditionalFormatting>
  <conditionalFormatting sqref="X33">
    <cfRule type="cellIs" dxfId="0" priority="56" operator="notBetween">
      <formula>$G33</formula>
      <formula>$H33</formula>
    </cfRule>
  </conditionalFormatting>
  <conditionalFormatting sqref="Y33">
    <cfRule type="cellIs" dxfId="0" priority="55" operator="notBetween">
      <formula>$G33</formula>
      <formula>$H33</formula>
    </cfRule>
  </conditionalFormatting>
  <conditionalFormatting sqref="J36">
    <cfRule type="cellIs" dxfId="0" priority="175" operator="notBetween">
      <formula>$G36</formula>
      <formula>$H36</formula>
    </cfRule>
  </conditionalFormatting>
  <conditionalFormatting sqref="K36">
    <cfRule type="cellIs" dxfId="0" priority="54" operator="notBetween">
      <formula>$G36</formula>
      <formula>$H36</formula>
    </cfRule>
  </conditionalFormatting>
  <conditionalFormatting sqref="L36">
    <cfRule type="cellIs" dxfId="0" priority="53" operator="notBetween">
      <formula>$G36</formula>
      <formula>$H36</formula>
    </cfRule>
  </conditionalFormatting>
  <conditionalFormatting sqref="M36">
    <cfRule type="cellIs" dxfId="0" priority="52" operator="notBetween">
      <formula>$G36</formula>
      <formula>$H36</formula>
    </cfRule>
  </conditionalFormatting>
  <conditionalFormatting sqref="N36">
    <cfRule type="cellIs" dxfId="0" priority="51" operator="notBetween">
      <formula>$G36</formula>
      <formula>$H36</formula>
    </cfRule>
  </conditionalFormatting>
  <conditionalFormatting sqref="O36">
    <cfRule type="cellIs" dxfId="0" priority="50" operator="notBetween">
      <formula>$G36</formula>
      <formula>$H36</formula>
    </cfRule>
  </conditionalFormatting>
  <conditionalFormatting sqref="P36">
    <cfRule type="cellIs" dxfId="0" priority="49" operator="notBetween">
      <formula>$G36</formula>
      <formula>$H36</formula>
    </cfRule>
  </conditionalFormatting>
  <conditionalFormatting sqref="Q36">
    <cfRule type="cellIs" dxfId="0" priority="48" operator="notBetween">
      <formula>$G36</formula>
      <formula>$H36</formula>
    </cfRule>
  </conditionalFormatting>
  <conditionalFormatting sqref="R36">
    <cfRule type="cellIs" dxfId="0" priority="47" operator="notBetween">
      <formula>$G36</formula>
      <formula>$H36</formula>
    </cfRule>
  </conditionalFormatting>
  <conditionalFormatting sqref="S36">
    <cfRule type="cellIs" dxfId="0" priority="46" operator="notBetween">
      <formula>$G36</formula>
      <formula>$H36</formula>
    </cfRule>
  </conditionalFormatting>
  <conditionalFormatting sqref="T36">
    <cfRule type="cellIs" dxfId="0" priority="45" operator="notBetween">
      <formula>$G36</formula>
      <formula>$H36</formula>
    </cfRule>
  </conditionalFormatting>
  <conditionalFormatting sqref="U36">
    <cfRule type="cellIs" dxfId="0" priority="44" operator="notBetween">
      <formula>$G36</formula>
      <formula>$H36</formula>
    </cfRule>
  </conditionalFormatting>
  <conditionalFormatting sqref="V36">
    <cfRule type="cellIs" dxfId="0" priority="43" operator="notBetween">
      <formula>$G36</formula>
      <formula>$H36</formula>
    </cfRule>
  </conditionalFormatting>
  <conditionalFormatting sqref="W36">
    <cfRule type="cellIs" dxfId="0" priority="42" operator="notBetween">
      <formula>$G36</formula>
      <formula>$H36</formula>
    </cfRule>
  </conditionalFormatting>
  <conditionalFormatting sqref="X36">
    <cfRule type="cellIs" dxfId="0" priority="41" operator="notBetween">
      <formula>$G36</formula>
      <formula>$H36</formula>
    </cfRule>
  </conditionalFormatting>
  <conditionalFormatting sqref="Y36">
    <cfRule type="cellIs" dxfId="0" priority="40" operator="notBetween">
      <formula>$G36</formula>
      <formula>$H36</formula>
    </cfRule>
  </conditionalFormatting>
  <conditionalFormatting sqref="J43:X43">
    <cfRule type="cellIs" dxfId="0" priority="170" operator="notBetween">
      <formula>$G43</formula>
      <formula>$H43</formula>
    </cfRule>
  </conditionalFormatting>
  <conditionalFormatting sqref="Y43">
    <cfRule type="cellIs" dxfId="0" priority="169" operator="notBetween">
      <formula>$G43</formula>
      <formula>$H43</formula>
    </cfRule>
  </conditionalFormatting>
  <conditionalFormatting sqref="J44:X44">
    <cfRule type="cellIs" dxfId="0" priority="164" operator="notBetween">
      <formula>$G44</formula>
      <formula>$H44</formula>
    </cfRule>
  </conditionalFormatting>
  <conditionalFormatting sqref="Y44">
    <cfRule type="cellIs" dxfId="0" priority="163" operator="notBetween">
      <formula>$G44</formula>
      <formula>$H44</formula>
    </cfRule>
  </conditionalFormatting>
  <conditionalFormatting sqref="J45:X45">
    <cfRule type="cellIs" dxfId="0" priority="168" operator="notBetween">
      <formula>$G45</formula>
      <formula>$H45</formula>
    </cfRule>
  </conditionalFormatting>
  <conditionalFormatting sqref="Y45">
    <cfRule type="cellIs" dxfId="0" priority="167" operator="notBetween">
      <formula>$G45</formula>
      <formula>$H45</formula>
    </cfRule>
  </conditionalFormatting>
  <conditionalFormatting sqref="J46:X46">
    <cfRule type="cellIs" dxfId="0" priority="162" operator="notBetween">
      <formula>$G46</formula>
      <formula>$H46</formula>
    </cfRule>
  </conditionalFormatting>
  <conditionalFormatting sqref="Y46">
    <cfRule type="cellIs" dxfId="0" priority="161" operator="notBetween">
      <formula>$G46</formula>
      <formula>$H46</formula>
    </cfRule>
  </conditionalFormatting>
  <conditionalFormatting sqref="J47:X47">
    <cfRule type="cellIs" dxfId="0" priority="166" operator="notBetween">
      <formula>$G47</formula>
      <formula>$H47</formula>
    </cfRule>
  </conditionalFormatting>
  <conditionalFormatting sqref="Y47">
    <cfRule type="cellIs" dxfId="0" priority="165" operator="notBetween">
      <formula>$G47</formula>
      <formula>$H47</formula>
    </cfRule>
  </conditionalFormatting>
  <conditionalFormatting sqref="J8:J12">
    <cfRule type="cellIs" dxfId="0" priority="23" operator="notBetween">
      <formula>$G8</formula>
      <formula>$H8</formula>
    </cfRule>
  </conditionalFormatting>
  <conditionalFormatting sqref="J13:J18">
    <cfRule type="cellIs" dxfId="0" priority="160" operator="notBetween">
      <formula>$G13</formula>
      <formula>$H13</formula>
    </cfRule>
  </conditionalFormatting>
  <conditionalFormatting sqref="K8:K12">
    <cfRule type="cellIs" dxfId="0" priority="11" operator="notBetween">
      <formula>$G8</formula>
      <formula>$H8</formula>
    </cfRule>
  </conditionalFormatting>
  <conditionalFormatting sqref="K13:K18">
    <cfRule type="cellIs" dxfId="0" priority="39" operator="notBetween">
      <formula>$G13</formula>
      <formula>$H13</formula>
    </cfRule>
  </conditionalFormatting>
  <conditionalFormatting sqref="L8:L12">
    <cfRule type="cellIs" dxfId="0" priority="10" operator="notBetween">
      <formula>$G8</formula>
      <formula>$H8</formula>
    </cfRule>
  </conditionalFormatting>
  <conditionalFormatting sqref="L13:L18">
    <cfRule type="cellIs" dxfId="0" priority="38" operator="notBetween">
      <formula>$G13</formula>
      <formula>$H13</formula>
    </cfRule>
  </conditionalFormatting>
  <conditionalFormatting sqref="M8:M12">
    <cfRule type="cellIs" dxfId="0" priority="9" operator="notBetween">
      <formula>$G8</formula>
      <formula>$H8</formula>
    </cfRule>
  </conditionalFormatting>
  <conditionalFormatting sqref="M13:M18">
    <cfRule type="cellIs" dxfId="0" priority="37" operator="notBetween">
      <formula>$G13</formula>
      <formula>$H13</formula>
    </cfRule>
  </conditionalFormatting>
  <conditionalFormatting sqref="N8:N12">
    <cfRule type="cellIs" dxfId="0" priority="8" operator="notBetween">
      <formula>$G8</formula>
      <formula>$H8</formula>
    </cfRule>
  </conditionalFormatting>
  <conditionalFormatting sqref="N13:N18">
    <cfRule type="cellIs" dxfId="0" priority="36" operator="notBetween">
      <formula>$G13</formula>
      <formula>$H13</formula>
    </cfRule>
  </conditionalFormatting>
  <conditionalFormatting sqref="O8:O12">
    <cfRule type="cellIs" dxfId="0" priority="7" operator="notBetween">
      <formula>$G8</formula>
      <formula>$H8</formula>
    </cfRule>
  </conditionalFormatting>
  <conditionalFormatting sqref="O13:O18">
    <cfRule type="cellIs" dxfId="0" priority="35" operator="notBetween">
      <formula>$G13</formula>
      <formula>$H13</formula>
    </cfRule>
  </conditionalFormatting>
  <conditionalFormatting sqref="P8:P12">
    <cfRule type="cellIs" dxfId="0" priority="6" operator="notBetween">
      <formula>$G8</formula>
      <formula>$H8</formula>
    </cfRule>
  </conditionalFormatting>
  <conditionalFormatting sqref="P13:P18">
    <cfRule type="cellIs" dxfId="0" priority="34" operator="notBetween">
      <formula>$G13</formula>
      <formula>$H13</formula>
    </cfRule>
  </conditionalFormatting>
  <conditionalFormatting sqref="Q8:Q12">
    <cfRule type="cellIs" dxfId="0" priority="5" operator="notBetween">
      <formula>$G8</formula>
      <formula>$H8</formula>
    </cfRule>
  </conditionalFormatting>
  <conditionalFormatting sqref="Q13:Q18">
    <cfRule type="cellIs" dxfId="0" priority="33" operator="notBetween">
      <formula>$G13</formula>
      <formula>$H13</formula>
    </cfRule>
  </conditionalFormatting>
  <conditionalFormatting sqref="R8:R12">
    <cfRule type="cellIs" dxfId="0" priority="4" operator="notBetween">
      <formula>$G8</formula>
      <formula>$H8</formula>
    </cfRule>
  </conditionalFormatting>
  <conditionalFormatting sqref="R13:R18">
    <cfRule type="cellIs" dxfId="0" priority="32" operator="notBetween">
      <formula>$G13</formula>
      <formula>$H13</formula>
    </cfRule>
  </conditionalFormatting>
  <conditionalFormatting sqref="S8:S12">
    <cfRule type="cellIs" dxfId="0" priority="3" operator="notBetween">
      <formula>$G8</formula>
      <formula>$H8</formula>
    </cfRule>
  </conditionalFormatting>
  <conditionalFormatting sqref="S13:S18">
    <cfRule type="cellIs" dxfId="0" priority="31" operator="notBetween">
      <formula>$G13</formula>
      <formula>$H13</formula>
    </cfRule>
  </conditionalFormatting>
  <conditionalFormatting sqref="T8:T12">
    <cfRule type="cellIs" dxfId="0" priority="2" operator="notBetween">
      <formula>$G8</formula>
      <formula>$H8</formula>
    </cfRule>
  </conditionalFormatting>
  <conditionalFormatting sqref="T13:T18">
    <cfRule type="cellIs" dxfId="0" priority="30" operator="notBetween">
      <formula>$G13</formula>
      <formula>$H13</formula>
    </cfRule>
  </conditionalFormatting>
  <conditionalFormatting sqref="U8:U12">
    <cfRule type="cellIs" dxfId="0" priority="1" operator="notBetween">
      <formula>$G8</formula>
      <formula>$H8</formula>
    </cfRule>
  </conditionalFormatting>
  <conditionalFormatting sqref="U13:U18">
    <cfRule type="cellIs" dxfId="0" priority="29" operator="notBetween">
      <formula>$G13</formula>
      <formula>$H13</formula>
    </cfRule>
  </conditionalFormatting>
  <conditionalFormatting sqref="V8:V12">
    <cfRule type="cellIs" dxfId="0" priority="88" operator="notBetween">
      <formula>$G8</formula>
      <formula>$H8</formula>
    </cfRule>
  </conditionalFormatting>
  <conditionalFormatting sqref="V13:V18">
    <cfRule type="cellIs" dxfId="0" priority="28" operator="notBetween">
      <formula>$G13</formula>
      <formula>$H13</formula>
    </cfRule>
  </conditionalFormatting>
  <conditionalFormatting sqref="W8:W12">
    <cfRule type="cellIs" dxfId="0" priority="87" operator="notBetween">
      <formula>$G8</formula>
      <formula>$H8</formula>
    </cfRule>
  </conditionalFormatting>
  <conditionalFormatting sqref="W13:W18">
    <cfRule type="cellIs" dxfId="0" priority="27" operator="notBetween">
      <formula>$G13</formula>
      <formula>$H13</formula>
    </cfRule>
  </conditionalFormatting>
  <conditionalFormatting sqref="X8:X12">
    <cfRule type="cellIs" dxfId="0" priority="86" operator="notBetween">
      <formula>$G8</formula>
      <formula>$H8</formula>
    </cfRule>
  </conditionalFormatting>
  <conditionalFormatting sqref="X13:X18">
    <cfRule type="cellIs" dxfId="0" priority="26" operator="notBetween">
      <formula>$G13</formula>
      <formula>$H13</formula>
    </cfRule>
  </conditionalFormatting>
  <conditionalFormatting sqref="Y8:Y12">
    <cfRule type="cellIs" dxfId="0" priority="85" operator="notBetween">
      <formula>$G8</formula>
      <formula>$H8</formula>
    </cfRule>
  </conditionalFormatting>
  <conditionalFormatting sqref="Y13:Y18">
    <cfRule type="cellIs" dxfId="0" priority="25" operator="notBetween">
      <formula>$G13</formula>
      <formula>$H13</formula>
    </cfRule>
  </conditionalFormatting>
  <conditionalFormatting sqref="J37 J40">
    <cfRule type="cellIs" dxfId="0" priority="180" operator="notBetween">
      <formula>$G37</formula>
      <formula>$H37</formula>
    </cfRule>
  </conditionalFormatting>
  <conditionalFormatting sqref="K37 K40">
    <cfRule type="cellIs" dxfId="0" priority="84" operator="notBetween">
      <formula>$G37</formula>
      <formula>$H37</formula>
    </cfRule>
  </conditionalFormatting>
  <conditionalFormatting sqref="L37 L40">
    <cfRule type="cellIs" dxfId="0" priority="83" operator="notBetween">
      <formula>$G37</formula>
      <formula>$H37</formula>
    </cfRule>
  </conditionalFormatting>
  <conditionalFormatting sqref="M37 M40">
    <cfRule type="cellIs" dxfId="0" priority="82" operator="notBetween">
      <formula>$G37</formula>
      <formula>$H37</formula>
    </cfRule>
  </conditionalFormatting>
  <conditionalFormatting sqref="N37 N40">
    <cfRule type="cellIs" dxfId="0" priority="81" operator="notBetween">
      <formula>$G37</formula>
      <formula>$H37</formula>
    </cfRule>
  </conditionalFormatting>
  <conditionalFormatting sqref="O37 O40">
    <cfRule type="cellIs" dxfId="0" priority="80" operator="notBetween">
      <formula>$G37</formula>
      <formula>$H37</formula>
    </cfRule>
  </conditionalFormatting>
  <conditionalFormatting sqref="P37 P40">
    <cfRule type="cellIs" dxfId="0" priority="79" operator="notBetween">
      <formula>$G37</formula>
      <formula>$H37</formula>
    </cfRule>
  </conditionalFormatting>
  <conditionalFormatting sqref="Q37 Q40">
    <cfRule type="cellIs" dxfId="0" priority="78" operator="notBetween">
      <formula>$G37</formula>
      <formula>$H37</formula>
    </cfRule>
  </conditionalFormatting>
  <conditionalFormatting sqref="R37 R40">
    <cfRule type="cellIs" dxfId="0" priority="77" operator="notBetween">
      <formula>$G37</formula>
      <formula>$H37</formula>
    </cfRule>
  </conditionalFormatting>
  <conditionalFormatting sqref="S37 S40">
    <cfRule type="cellIs" dxfId="0" priority="76" operator="notBetween">
      <formula>$G37</formula>
      <formula>$H37</formula>
    </cfRule>
  </conditionalFormatting>
  <conditionalFormatting sqref="T37 T40">
    <cfRule type="cellIs" dxfId="0" priority="75" operator="notBetween">
      <formula>$G37</formula>
      <formula>$H37</formula>
    </cfRule>
  </conditionalFormatting>
  <conditionalFormatting sqref="U37 U40">
    <cfRule type="cellIs" dxfId="0" priority="74" operator="notBetween">
      <formula>$G37</formula>
      <formula>$H37</formula>
    </cfRule>
  </conditionalFormatting>
  <conditionalFormatting sqref="V37 V40">
    <cfRule type="cellIs" dxfId="0" priority="73" operator="notBetween">
      <formula>$G37</formula>
      <formula>$H37</formula>
    </cfRule>
  </conditionalFormatting>
  <conditionalFormatting sqref="W37 W40">
    <cfRule type="cellIs" dxfId="0" priority="72" operator="notBetween">
      <formula>$G37</formula>
      <formula>$H37</formula>
    </cfRule>
  </conditionalFormatting>
  <conditionalFormatting sqref="X37 X40">
    <cfRule type="cellIs" dxfId="0" priority="71" operator="notBetween">
      <formula>$G37</formula>
      <formula>$H37</formula>
    </cfRule>
  </conditionalFormatting>
  <conditionalFormatting sqref="Y37 Y40">
    <cfRule type="cellIs" dxfId="0" priority="70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M22" sqref="M22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69</v>
      </c>
      <c r="K6" s="43" t="s">
        <v>70</v>
      </c>
      <c r="L6" s="43" t="s">
        <v>71</v>
      </c>
      <c r="M6" s="43" t="s">
        <v>72</v>
      </c>
      <c r="N6" s="43" t="s">
        <v>73</v>
      </c>
      <c r="O6" s="43" t="s">
        <v>74</v>
      </c>
      <c r="P6" s="43" t="s">
        <v>75</v>
      </c>
      <c r="Q6" s="43" t="s">
        <v>76</v>
      </c>
      <c r="R6" s="43" t="s">
        <v>77</v>
      </c>
      <c r="S6" s="43" t="s">
        <v>78</v>
      </c>
      <c r="T6" s="43" t="s">
        <v>79</v>
      </c>
      <c r="U6" s="43" t="s">
        <v>80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3-1</v>
      </c>
      <c r="AA6" s="45" t="str">
        <f t="shared" si="0"/>
        <v>3-2</v>
      </c>
      <c r="AB6" s="45" t="str">
        <f t="shared" si="0"/>
        <v>3-3</v>
      </c>
      <c r="AC6" s="45" t="str">
        <f t="shared" si="0"/>
        <v>3-4</v>
      </c>
      <c r="AD6" s="45" t="str">
        <f t="shared" si="0"/>
        <v>3-5</v>
      </c>
      <c r="AE6" s="45" t="str">
        <f t="shared" si="0"/>
        <v>3-6</v>
      </c>
      <c r="AF6" s="45" t="str">
        <f t="shared" si="0"/>
        <v>4-1</v>
      </c>
      <c r="AG6" s="45" t="str">
        <f t="shared" si="0"/>
        <v>4-2</v>
      </c>
      <c r="AH6" s="45" t="str">
        <f t="shared" si="0"/>
        <v>4-3</v>
      </c>
      <c r="AI6" s="45" t="str">
        <f t="shared" si="0"/>
        <v>4-4</v>
      </c>
      <c r="AJ6" s="45" t="str">
        <f t="shared" si="0"/>
        <v>4-5</v>
      </c>
      <c r="AK6" s="45" t="str">
        <f t="shared" si="0"/>
        <v>4-6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2.0774</v>
      </c>
      <c r="K7" s="50">
        <v>2.0829</v>
      </c>
      <c r="L7" s="50">
        <v>2.0818</v>
      </c>
      <c r="M7" s="50">
        <v>2.0842</v>
      </c>
      <c r="N7" s="50">
        <v>2.0828</v>
      </c>
      <c r="O7" s="50">
        <v>2.0817</v>
      </c>
      <c r="P7" s="50">
        <v>2.0864</v>
      </c>
      <c r="Q7" s="50">
        <v>2.0833</v>
      </c>
      <c r="R7" s="50">
        <v>2.0841</v>
      </c>
      <c r="S7" s="50">
        <v>2.0863</v>
      </c>
      <c r="T7" s="50">
        <v>2.0846</v>
      </c>
      <c r="U7" s="50">
        <v>2.0854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2.0807</v>
      </c>
      <c r="K8" s="50">
        <v>2.0812</v>
      </c>
      <c r="L8" s="50">
        <v>2.0812</v>
      </c>
      <c r="M8" s="50">
        <v>2.0832</v>
      </c>
      <c r="N8" s="50">
        <v>2.0814</v>
      </c>
      <c r="O8" s="50">
        <v>2.0819</v>
      </c>
      <c r="P8" s="50">
        <v>2.0836</v>
      </c>
      <c r="Q8" s="50">
        <v>2.0831</v>
      </c>
      <c r="R8" s="50">
        <v>2.0841</v>
      </c>
      <c r="S8" s="50">
        <v>2.0844</v>
      </c>
      <c r="T8" s="50">
        <v>2.0858</v>
      </c>
      <c r="U8" s="50">
        <v>2.0854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0.7979</v>
      </c>
      <c r="K9" s="50">
        <v>0.802</v>
      </c>
      <c r="L9" s="50">
        <v>0.7989</v>
      </c>
      <c r="M9" s="50">
        <v>0.8015</v>
      </c>
      <c r="N9" s="50">
        <v>0.8004</v>
      </c>
      <c r="O9" s="50">
        <v>0.8011</v>
      </c>
      <c r="P9" s="50">
        <v>0.811</v>
      </c>
      <c r="Q9" s="50">
        <v>0.8093</v>
      </c>
      <c r="R9" s="50">
        <v>0.812</v>
      </c>
      <c r="S9" s="50">
        <v>0.811</v>
      </c>
      <c r="T9" s="50">
        <v>0.8109</v>
      </c>
      <c r="U9" s="50">
        <v>0.8127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0.8021</v>
      </c>
      <c r="K10" s="50">
        <v>0.801</v>
      </c>
      <c r="L10" s="50">
        <v>0.8005</v>
      </c>
      <c r="M10" s="50">
        <v>0.8016</v>
      </c>
      <c r="N10" s="50">
        <v>0.8017</v>
      </c>
      <c r="O10" s="50">
        <v>0.8043</v>
      </c>
      <c r="P10" s="50">
        <v>0.8529</v>
      </c>
      <c r="Q10" s="50">
        <v>0.8135</v>
      </c>
      <c r="R10" s="50">
        <v>0.8111</v>
      </c>
      <c r="S10" s="50">
        <v>0.8118</v>
      </c>
      <c r="T10" s="50">
        <v>0.8164</v>
      </c>
      <c r="U10" s="50">
        <v>0.8148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1.1073</v>
      </c>
      <c r="K11" s="50">
        <v>1.1084</v>
      </c>
      <c r="L11" s="50">
        <v>1.1102</v>
      </c>
      <c r="M11" s="50">
        <v>1.1077</v>
      </c>
      <c r="N11" s="50">
        <v>1.1083</v>
      </c>
      <c r="O11" s="50">
        <v>1.1076</v>
      </c>
      <c r="P11" s="50">
        <v>1.0976</v>
      </c>
      <c r="Q11" s="50">
        <v>1.0999</v>
      </c>
      <c r="R11" s="50">
        <v>1.0988</v>
      </c>
      <c r="S11" s="50">
        <v>1.0993</v>
      </c>
      <c r="T11" s="50">
        <v>1.0976</v>
      </c>
      <c r="U11" s="50">
        <v>1.0967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1.1054</v>
      </c>
      <c r="K12" s="50">
        <v>1.1066</v>
      </c>
      <c r="L12" s="50">
        <v>1.1057</v>
      </c>
      <c r="M12" s="50">
        <v>1.1062</v>
      </c>
      <c r="N12" s="50">
        <v>1.1058</v>
      </c>
      <c r="O12" s="50">
        <v>1.1083</v>
      </c>
      <c r="P12" s="50">
        <v>1.0983</v>
      </c>
      <c r="Q12" s="50">
        <v>1.0978</v>
      </c>
      <c r="R12" s="50">
        <v>1.0983</v>
      </c>
      <c r="S12" s="50">
        <v>1.0977</v>
      </c>
      <c r="T12" s="50">
        <v>1.0978</v>
      </c>
      <c r="U12" s="50">
        <v>1.0966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P7" sqref="P7:U12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81</v>
      </c>
      <c r="K6" s="43" t="s">
        <v>82</v>
      </c>
      <c r="L6" s="43" t="s">
        <v>83</v>
      </c>
      <c r="M6" s="43" t="s">
        <v>84</v>
      </c>
      <c r="N6" s="43" t="s">
        <v>85</v>
      </c>
      <c r="O6" s="43" t="s">
        <v>86</v>
      </c>
      <c r="P6" s="43" t="s">
        <v>87</v>
      </c>
      <c r="Q6" s="43" t="s">
        <v>88</v>
      </c>
      <c r="R6" s="43" t="s">
        <v>89</v>
      </c>
      <c r="S6" s="43" t="s">
        <v>90</v>
      </c>
      <c r="T6" s="43" t="s">
        <v>91</v>
      </c>
      <c r="U6" s="43" t="s">
        <v>92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5-1</v>
      </c>
      <c r="AA6" s="45" t="str">
        <f t="shared" si="0"/>
        <v>5-2</v>
      </c>
      <c r="AB6" s="45" t="str">
        <f t="shared" si="0"/>
        <v>5-3</v>
      </c>
      <c r="AC6" s="45" t="str">
        <f t="shared" si="0"/>
        <v>5-4</v>
      </c>
      <c r="AD6" s="45" t="str">
        <f t="shared" si="0"/>
        <v>5-5</v>
      </c>
      <c r="AE6" s="45" t="str">
        <f t="shared" si="0"/>
        <v>5-6</v>
      </c>
      <c r="AF6" s="45" t="str">
        <f t="shared" si="0"/>
        <v>6-1</v>
      </c>
      <c r="AG6" s="45" t="str">
        <f t="shared" si="0"/>
        <v>6-2</v>
      </c>
      <c r="AH6" s="45" t="str">
        <f t="shared" si="0"/>
        <v>6-3</v>
      </c>
      <c r="AI6" s="45" t="str">
        <f t="shared" si="0"/>
        <v>6-4</v>
      </c>
      <c r="AJ6" s="45" t="str">
        <f t="shared" si="0"/>
        <v>6-5</v>
      </c>
      <c r="AK6" s="45" t="str">
        <f t="shared" si="0"/>
        <v>6-6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2.0854</v>
      </c>
      <c r="K7" s="50">
        <v>2.086</v>
      </c>
      <c r="L7" s="50">
        <v>2.0859</v>
      </c>
      <c r="M7" s="50">
        <v>2.0884</v>
      </c>
      <c r="N7" s="50">
        <v>2.088</v>
      </c>
      <c r="O7" s="50">
        <v>2.0862</v>
      </c>
      <c r="P7" s="50">
        <v>2.0868</v>
      </c>
      <c r="Q7" s="50">
        <v>2.0893</v>
      </c>
      <c r="R7" s="50">
        <v>2.0903</v>
      </c>
      <c r="S7" s="50">
        <v>2.0861</v>
      </c>
      <c r="T7" s="50">
        <v>2.085</v>
      </c>
      <c r="U7" s="50">
        <v>2.0858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2.0881</v>
      </c>
      <c r="K8" s="50">
        <v>2.0861</v>
      </c>
      <c r="L8" s="50">
        <v>2.0901</v>
      </c>
      <c r="M8" s="50">
        <v>2.0872</v>
      </c>
      <c r="N8" s="50">
        <v>2.0865</v>
      </c>
      <c r="O8" s="50">
        <v>2.0868</v>
      </c>
      <c r="P8" s="50">
        <v>2.0852</v>
      </c>
      <c r="Q8" s="50">
        <v>2.0866</v>
      </c>
      <c r="R8" s="50">
        <v>2.0858</v>
      </c>
      <c r="S8" s="50">
        <v>2.0848</v>
      </c>
      <c r="T8" s="50">
        <v>2.0848</v>
      </c>
      <c r="U8" s="50">
        <v>2.0852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0.811</v>
      </c>
      <c r="K9" s="50">
        <v>0.8119</v>
      </c>
      <c r="L9" s="50">
        <v>0.8109</v>
      </c>
      <c r="M9" s="50">
        <v>0.8099</v>
      </c>
      <c r="N9" s="50">
        <v>0.8135</v>
      </c>
      <c r="O9" s="50">
        <v>0.8066</v>
      </c>
      <c r="P9" s="50">
        <v>0.8233</v>
      </c>
      <c r="Q9" s="50">
        <v>0.8235</v>
      </c>
      <c r="R9" s="50">
        <v>0.8265</v>
      </c>
      <c r="S9" s="50">
        <v>0.82</v>
      </c>
      <c r="T9" s="50">
        <v>0.8198</v>
      </c>
      <c r="U9" s="50">
        <v>0.8199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0.8117</v>
      </c>
      <c r="K10" s="50">
        <v>0.8116</v>
      </c>
      <c r="L10" s="50">
        <v>0.8165</v>
      </c>
      <c r="M10" s="50">
        <v>0.8129</v>
      </c>
      <c r="N10" s="50">
        <v>0.8296</v>
      </c>
      <c r="O10" s="50">
        <v>0.8083</v>
      </c>
      <c r="P10" s="50">
        <v>0.8248</v>
      </c>
      <c r="Q10" s="50">
        <v>0.8243</v>
      </c>
      <c r="R10" s="50">
        <v>0.8219</v>
      </c>
      <c r="S10" s="50">
        <v>0.8236</v>
      </c>
      <c r="T10" s="50">
        <v>0.8497</v>
      </c>
      <c r="U10" s="50">
        <v>0.8219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1.102</v>
      </c>
      <c r="K11" s="50">
        <v>1.1011</v>
      </c>
      <c r="L11" s="50">
        <v>1.1012</v>
      </c>
      <c r="M11" s="50">
        <v>1.1016</v>
      </c>
      <c r="N11" s="50">
        <v>1.0982</v>
      </c>
      <c r="O11" s="50">
        <v>1.1036</v>
      </c>
      <c r="P11" s="50">
        <v>1.0871</v>
      </c>
      <c r="Q11" s="50">
        <v>1.0896</v>
      </c>
      <c r="R11" s="50">
        <v>1.0918</v>
      </c>
      <c r="S11" s="50">
        <v>1.0886</v>
      </c>
      <c r="T11" s="50">
        <v>1.0887</v>
      </c>
      <c r="U11" s="50">
        <v>1.0905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1.0996</v>
      </c>
      <c r="K12" s="50">
        <v>1.0979</v>
      </c>
      <c r="L12" s="50">
        <v>1.1013</v>
      </c>
      <c r="M12" s="50">
        <v>1.1013</v>
      </c>
      <c r="N12" s="50">
        <v>1.0987</v>
      </c>
      <c r="O12" s="50">
        <v>1.1025</v>
      </c>
      <c r="P12" s="50">
        <v>1.0857</v>
      </c>
      <c r="Q12" s="50">
        <v>1.0904</v>
      </c>
      <c r="R12" s="50">
        <v>1.092</v>
      </c>
      <c r="S12" s="50">
        <v>1.0873</v>
      </c>
      <c r="T12" s="50">
        <v>1.0888</v>
      </c>
      <c r="U12" s="50">
        <v>1.0885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W18" sqref="W18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93</v>
      </c>
      <c r="K6" s="43" t="s">
        <v>94</v>
      </c>
      <c r="L6" s="43" t="s">
        <v>95</v>
      </c>
      <c r="M6" s="43" t="s">
        <v>96</v>
      </c>
      <c r="N6" s="43" t="s">
        <v>97</v>
      </c>
      <c r="O6" s="43" t="s">
        <v>98</v>
      </c>
      <c r="P6" s="43" t="s">
        <v>99</v>
      </c>
      <c r="Q6" s="43" t="s">
        <v>100</v>
      </c>
      <c r="R6" s="43" t="s">
        <v>101</v>
      </c>
      <c r="S6" s="43" t="s">
        <v>102</v>
      </c>
      <c r="T6" s="43" t="s">
        <v>103</v>
      </c>
      <c r="U6" s="43" t="s">
        <v>104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7-1</v>
      </c>
      <c r="AA6" s="45" t="str">
        <f t="shared" si="0"/>
        <v>7-2</v>
      </c>
      <c r="AB6" s="45" t="str">
        <f t="shared" si="0"/>
        <v>7-3</v>
      </c>
      <c r="AC6" s="45" t="str">
        <f t="shared" si="0"/>
        <v>7-4</v>
      </c>
      <c r="AD6" s="45" t="str">
        <f t="shared" si="0"/>
        <v>7-5</v>
      </c>
      <c r="AE6" s="45" t="str">
        <f t="shared" si="0"/>
        <v>7-6</v>
      </c>
      <c r="AF6" s="45" t="str">
        <f t="shared" si="0"/>
        <v>8-1</v>
      </c>
      <c r="AG6" s="45" t="str">
        <f t="shared" si="0"/>
        <v>8-2</v>
      </c>
      <c r="AH6" s="45" t="str">
        <f t="shared" si="0"/>
        <v>8-3</v>
      </c>
      <c r="AI6" s="45" t="str">
        <f t="shared" si="0"/>
        <v>8-4</v>
      </c>
      <c r="AJ6" s="45" t="str">
        <f t="shared" si="0"/>
        <v>8-5</v>
      </c>
      <c r="AK6" s="45" t="str">
        <f t="shared" si="0"/>
        <v>8-6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2.091</v>
      </c>
      <c r="K7" s="50">
        <v>2.0847</v>
      </c>
      <c r="L7" s="50">
        <v>2.0879</v>
      </c>
      <c r="M7" s="50">
        <v>2.0847</v>
      </c>
      <c r="N7" s="50">
        <v>2.0847</v>
      </c>
      <c r="O7" s="50">
        <v>2.0868</v>
      </c>
      <c r="P7" s="50">
        <v>2.0871</v>
      </c>
      <c r="Q7" s="50">
        <v>2.0882</v>
      </c>
      <c r="R7" s="50">
        <v>2.0859</v>
      </c>
      <c r="S7" s="50">
        <v>2.086</v>
      </c>
      <c r="T7" s="50">
        <v>2.0857</v>
      </c>
      <c r="U7" s="50">
        <v>2.086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2.082</v>
      </c>
      <c r="K8" s="50">
        <v>2.0839</v>
      </c>
      <c r="L8" s="50">
        <v>2.0854</v>
      </c>
      <c r="M8" s="50">
        <v>2.0856</v>
      </c>
      <c r="N8" s="50">
        <v>2.0824</v>
      </c>
      <c r="O8" s="50">
        <v>2.0848</v>
      </c>
      <c r="P8" s="50">
        <v>2.0849</v>
      </c>
      <c r="Q8" s="50">
        <v>2.0849</v>
      </c>
      <c r="R8" s="50">
        <v>2.0855</v>
      </c>
      <c r="S8" s="50">
        <v>2.085</v>
      </c>
      <c r="T8" s="50">
        <v>2.0842</v>
      </c>
      <c r="U8" s="50">
        <v>2.0844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0.8113</v>
      </c>
      <c r="K9" s="50">
        <v>0.8458</v>
      </c>
      <c r="L9" s="50">
        <v>0.8124</v>
      </c>
      <c r="M9" s="50">
        <v>0.815</v>
      </c>
      <c r="N9" s="50">
        <v>0.8228</v>
      </c>
      <c r="O9" s="50">
        <v>0.8148</v>
      </c>
      <c r="P9" s="50">
        <v>0.8229</v>
      </c>
      <c r="Q9" s="50">
        <v>0.822</v>
      </c>
      <c r="R9" s="50">
        <v>0.8232</v>
      </c>
      <c r="S9" s="50">
        <v>0.8408</v>
      </c>
      <c r="T9" s="50">
        <v>0.8207</v>
      </c>
      <c r="U9" s="50">
        <v>0.8204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0.8136</v>
      </c>
      <c r="K10" s="50">
        <v>0.8136</v>
      </c>
      <c r="L10" s="50">
        <v>0.8138</v>
      </c>
      <c r="M10" s="50">
        <v>0.8173</v>
      </c>
      <c r="N10" s="50">
        <v>0.814</v>
      </c>
      <c r="O10" s="50">
        <v>0.8164</v>
      </c>
      <c r="P10" s="50">
        <v>0.8229</v>
      </c>
      <c r="Q10" s="50">
        <v>0.8371</v>
      </c>
      <c r="R10" s="50">
        <v>0.8547</v>
      </c>
      <c r="S10" s="50">
        <v>0.8665</v>
      </c>
      <c r="T10" s="50">
        <v>0.8225</v>
      </c>
      <c r="U10" s="50">
        <v>0.8225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1.0988</v>
      </c>
      <c r="K11" s="50">
        <v>1.0986</v>
      </c>
      <c r="L11" s="50">
        <v>1.0988</v>
      </c>
      <c r="M11" s="50">
        <v>1.0958</v>
      </c>
      <c r="N11" s="50">
        <v>1.0973</v>
      </c>
      <c r="O11" s="50">
        <v>1.0968</v>
      </c>
      <c r="P11" s="50">
        <v>1.0891</v>
      </c>
      <c r="Q11" s="50">
        <v>1.0884</v>
      </c>
      <c r="R11" s="50">
        <v>1.0911</v>
      </c>
      <c r="S11" s="50">
        <v>1.0902</v>
      </c>
      <c r="T11" s="50">
        <v>1.0901</v>
      </c>
      <c r="U11" s="50">
        <v>1.0903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1.0963</v>
      </c>
      <c r="K12" s="50">
        <v>1.0955</v>
      </c>
      <c r="L12" s="50">
        <v>1.097</v>
      </c>
      <c r="M12" s="50">
        <v>1.0944</v>
      </c>
      <c r="N12" s="50">
        <v>1.0957</v>
      </c>
      <c r="O12" s="50">
        <v>1.0961</v>
      </c>
      <c r="P12" s="50">
        <v>1.0854</v>
      </c>
      <c r="Q12" s="50">
        <v>1.0864</v>
      </c>
      <c r="R12" s="50">
        <v>1.0871</v>
      </c>
      <c r="S12" s="50">
        <v>1.0873</v>
      </c>
      <c r="T12" s="50">
        <v>1.0858</v>
      </c>
      <c r="U12" s="50">
        <v>1.086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Q23" sqref="Q2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105</v>
      </c>
      <c r="K6" s="43" t="s">
        <v>106</v>
      </c>
      <c r="L6" s="43" t="s">
        <v>107</v>
      </c>
      <c r="M6" s="43" t="s">
        <v>108</v>
      </c>
      <c r="N6" s="43" t="s">
        <v>109</v>
      </c>
      <c r="O6" s="43" t="s">
        <v>110</v>
      </c>
      <c r="P6" s="43" t="s">
        <v>111</v>
      </c>
      <c r="Q6" s="43" t="s">
        <v>112</v>
      </c>
      <c r="R6" s="43" t="s">
        <v>113</v>
      </c>
      <c r="S6" s="43" t="s">
        <v>114</v>
      </c>
      <c r="T6" s="43" t="s">
        <v>115</v>
      </c>
      <c r="U6" s="43" t="s">
        <v>116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9-1</v>
      </c>
      <c r="AA6" s="45" t="str">
        <f t="shared" si="0"/>
        <v>9-2</v>
      </c>
      <c r="AB6" s="45" t="str">
        <f t="shared" si="0"/>
        <v>9-3</v>
      </c>
      <c r="AC6" s="45" t="str">
        <f t="shared" si="0"/>
        <v>9-4</v>
      </c>
      <c r="AD6" s="45" t="str">
        <f t="shared" si="0"/>
        <v>9-5</v>
      </c>
      <c r="AE6" s="45" t="str">
        <f t="shared" si="0"/>
        <v>9-6</v>
      </c>
      <c r="AF6" s="45" t="str">
        <f t="shared" si="0"/>
        <v>10-1</v>
      </c>
      <c r="AG6" s="45" t="str">
        <f t="shared" si="0"/>
        <v>10-2</v>
      </c>
      <c r="AH6" s="45" t="str">
        <f t="shared" si="0"/>
        <v>10-3</v>
      </c>
      <c r="AI6" s="45" t="str">
        <f t="shared" si="0"/>
        <v>10-4</v>
      </c>
      <c r="AJ6" s="45" t="str">
        <f t="shared" si="0"/>
        <v>10-5</v>
      </c>
      <c r="AK6" s="45" t="str">
        <f t="shared" si="0"/>
        <v>10-6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2.0859</v>
      </c>
      <c r="K7" s="50">
        <v>2.0834</v>
      </c>
      <c r="L7" s="50">
        <v>2.0845</v>
      </c>
      <c r="M7" s="50">
        <v>2.0842</v>
      </c>
      <c r="N7" s="50">
        <v>2.0838</v>
      </c>
      <c r="O7" s="50">
        <v>2.0891</v>
      </c>
      <c r="P7" s="50">
        <v>2.0844</v>
      </c>
      <c r="Q7" s="50">
        <v>2.0863</v>
      </c>
      <c r="R7" s="50">
        <v>2.0859</v>
      </c>
      <c r="S7" s="50">
        <v>2.0881</v>
      </c>
      <c r="T7" s="50">
        <v>2.0847</v>
      </c>
      <c r="U7" s="50">
        <v>2.0841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2.0863</v>
      </c>
      <c r="K8" s="50">
        <v>2.0842</v>
      </c>
      <c r="L8" s="50">
        <v>2.0855</v>
      </c>
      <c r="M8" s="50">
        <v>2.086</v>
      </c>
      <c r="N8" s="50">
        <v>2.086</v>
      </c>
      <c r="O8" s="50">
        <v>2.0873</v>
      </c>
      <c r="P8" s="50">
        <v>2.0856</v>
      </c>
      <c r="Q8" s="50">
        <v>2.0854</v>
      </c>
      <c r="R8" s="50">
        <v>2.0866</v>
      </c>
      <c r="S8" s="50">
        <v>2.088</v>
      </c>
      <c r="T8" s="50">
        <v>2.0867</v>
      </c>
      <c r="U8" s="50">
        <v>2.0848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0.8169</v>
      </c>
      <c r="K9" s="50">
        <v>0.8173</v>
      </c>
      <c r="L9" s="50">
        <v>0.8229</v>
      </c>
      <c r="M9" s="50">
        <v>0.8174</v>
      </c>
      <c r="N9" s="50">
        <v>0.8177</v>
      </c>
      <c r="O9" s="50">
        <v>0.8198</v>
      </c>
      <c r="P9" s="50">
        <v>0.8191</v>
      </c>
      <c r="Q9" s="50">
        <v>0.8227</v>
      </c>
      <c r="R9" s="50">
        <v>0.8223</v>
      </c>
      <c r="S9" s="50">
        <v>0.822</v>
      </c>
      <c r="T9" s="50">
        <v>0.8189</v>
      </c>
      <c r="U9" s="50">
        <v>0.819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0.8194</v>
      </c>
      <c r="K10" s="50">
        <v>0.8189</v>
      </c>
      <c r="L10" s="50">
        <v>0.8206</v>
      </c>
      <c r="M10" s="50">
        <v>0.8172</v>
      </c>
      <c r="N10" s="50">
        <v>0.8172</v>
      </c>
      <c r="O10" s="50">
        <v>0.8205</v>
      </c>
      <c r="P10" s="50">
        <v>0.8225</v>
      </c>
      <c r="Q10" s="50">
        <v>0.8201</v>
      </c>
      <c r="R10" s="50">
        <v>0.8209</v>
      </c>
      <c r="S10" s="50">
        <v>0.8196</v>
      </c>
      <c r="T10" s="50">
        <v>0.8185</v>
      </c>
      <c r="U10" s="50">
        <v>0.8167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1.094</v>
      </c>
      <c r="K11" s="50">
        <v>1.0903</v>
      </c>
      <c r="L11" s="50">
        <v>1.0923</v>
      </c>
      <c r="M11" s="50">
        <v>1.0927</v>
      </c>
      <c r="N11" s="50">
        <v>1.0925</v>
      </c>
      <c r="O11" s="50">
        <v>1.0948</v>
      </c>
      <c r="P11" s="50">
        <v>1.0925</v>
      </c>
      <c r="Q11" s="50">
        <v>1.0883</v>
      </c>
      <c r="R11" s="50">
        <v>1.0891</v>
      </c>
      <c r="S11" s="50">
        <v>1.0907</v>
      </c>
      <c r="T11" s="50">
        <v>1.0906</v>
      </c>
      <c r="U11" s="50">
        <v>1.0911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1.0909</v>
      </c>
      <c r="K12" s="50">
        <v>1.0902</v>
      </c>
      <c r="L12" s="50">
        <v>1.0895</v>
      </c>
      <c r="M12" s="50">
        <v>1.093</v>
      </c>
      <c r="N12" s="50">
        <v>1.093</v>
      </c>
      <c r="O12" s="50">
        <v>1.0902</v>
      </c>
      <c r="P12" s="50">
        <v>1.0903</v>
      </c>
      <c r="Q12" s="50">
        <v>1.091</v>
      </c>
      <c r="R12" s="50">
        <v>1.0902</v>
      </c>
      <c r="S12" s="50">
        <v>1.0931</v>
      </c>
      <c r="T12" s="50">
        <v>1.0924</v>
      </c>
      <c r="U12" s="50">
        <v>1.0949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S17" sqref="S1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117</v>
      </c>
      <c r="K6" s="43" t="s">
        <v>118</v>
      </c>
      <c r="L6" s="43" t="s">
        <v>119</v>
      </c>
      <c r="M6" s="43" t="s">
        <v>120</v>
      </c>
      <c r="N6" s="43" t="s">
        <v>121</v>
      </c>
      <c r="O6" s="43" t="s">
        <v>122</v>
      </c>
      <c r="P6" s="43" t="s">
        <v>123</v>
      </c>
      <c r="Q6" s="43" t="s">
        <v>124</v>
      </c>
      <c r="R6" s="43" t="s">
        <v>125</v>
      </c>
      <c r="S6" s="43" t="s">
        <v>126</v>
      </c>
      <c r="T6" s="43" t="s">
        <v>127</v>
      </c>
      <c r="U6" s="43" t="s">
        <v>128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11-1</v>
      </c>
      <c r="AA6" s="45" t="str">
        <f t="shared" si="0"/>
        <v>11-2</v>
      </c>
      <c r="AB6" s="45" t="str">
        <f t="shared" si="0"/>
        <v>11-3</v>
      </c>
      <c r="AC6" s="45" t="str">
        <f t="shared" si="0"/>
        <v>11-4</v>
      </c>
      <c r="AD6" s="45" t="str">
        <f t="shared" si="0"/>
        <v>11-5</v>
      </c>
      <c r="AE6" s="45" t="str">
        <f t="shared" si="0"/>
        <v>11-6</v>
      </c>
      <c r="AF6" s="45" t="str">
        <f t="shared" si="0"/>
        <v>12-1</v>
      </c>
      <c r="AG6" s="45" t="str">
        <f t="shared" si="0"/>
        <v>12-2</v>
      </c>
      <c r="AH6" s="45" t="str">
        <f t="shared" si="0"/>
        <v>12-3</v>
      </c>
      <c r="AI6" s="45" t="str">
        <f t="shared" si="0"/>
        <v>12-4</v>
      </c>
      <c r="AJ6" s="45" t="str">
        <f t="shared" si="0"/>
        <v>12-5</v>
      </c>
      <c r="AK6" s="45" t="str">
        <f t="shared" si="0"/>
        <v>12-6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2.0907</v>
      </c>
      <c r="K7" s="50">
        <v>2.0888</v>
      </c>
      <c r="L7" s="50">
        <v>2.0904</v>
      </c>
      <c r="M7" s="50">
        <v>2.089</v>
      </c>
      <c r="N7" s="50">
        <v>2.0893</v>
      </c>
      <c r="O7" s="50">
        <v>2.0897</v>
      </c>
      <c r="P7" s="50">
        <v>2.091</v>
      </c>
      <c r="Q7" s="50">
        <v>2.0908</v>
      </c>
      <c r="R7" s="50">
        <v>2.0855</v>
      </c>
      <c r="S7" s="50">
        <v>2.0853</v>
      </c>
      <c r="T7" s="50">
        <v>2.0848</v>
      </c>
      <c r="U7" s="50">
        <v>2.0869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2.0868</v>
      </c>
      <c r="K8" s="50">
        <v>2.0869</v>
      </c>
      <c r="L8" s="50">
        <v>2.0881</v>
      </c>
      <c r="M8" s="50">
        <v>2.0878</v>
      </c>
      <c r="N8" s="50">
        <v>2.0881</v>
      </c>
      <c r="O8" s="50">
        <v>2.0877</v>
      </c>
      <c r="P8" s="50">
        <v>2.0868</v>
      </c>
      <c r="Q8" s="50">
        <v>2.0874</v>
      </c>
      <c r="R8" s="50">
        <v>2.0881</v>
      </c>
      <c r="S8" s="50">
        <v>2.0892</v>
      </c>
      <c r="T8" s="50">
        <v>2.0866</v>
      </c>
      <c r="U8" s="50">
        <v>2.0836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0.8177</v>
      </c>
      <c r="K9" s="50">
        <v>0.816</v>
      </c>
      <c r="L9" s="50">
        <v>0.818</v>
      </c>
      <c r="M9" s="50">
        <v>0.816</v>
      </c>
      <c r="N9" s="50">
        <v>0.8173</v>
      </c>
      <c r="O9" s="50">
        <v>0.8169</v>
      </c>
      <c r="P9" s="50">
        <v>0.8184</v>
      </c>
      <c r="Q9" s="50">
        <v>0.8186</v>
      </c>
      <c r="R9" s="50">
        <v>0.8182</v>
      </c>
      <c r="S9" s="50">
        <v>0.8185</v>
      </c>
      <c r="T9" s="50">
        <v>0.8136</v>
      </c>
      <c r="U9" s="50">
        <v>0.8224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0.8169</v>
      </c>
      <c r="K10" s="50">
        <v>0.8167</v>
      </c>
      <c r="L10" s="50">
        <v>0.8195</v>
      </c>
      <c r="M10" s="50">
        <v>0.8148</v>
      </c>
      <c r="N10" s="50">
        <v>0.8163</v>
      </c>
      <c r="O10" s="50">
        <v>0.8158</v>
      </c>
      <c r="P10" s="50">
        <v>0.8177</v>
      </c>
      <c r="Q10" s="50">
        <v>0.8686</v>
      </c>
      <c r="R10" s="50">
        <v>0.8192</v>
      </c>
      <c r="S10" s="50">
        <v>0.8178</v>
      </c>
      <c r="T10" s="50">
        <v>0.815</v>
      </c>
      <c r="U10" s="50">
        <v>0.8245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1.0928</v>
      </c>
      <c r="K11" s="50">
        <v>1.0929</v>
      </c>
      <c r="L11" s="50">
        <v>1.0943</v>
      </c>
      <c r="M11" s="50">
        <v>1.096</v>
      </c>
      <c r="N11" s="50">
        <v>1.0934</v>
      </c>
      <c r="O11" s="50">
        <v>1.094</v>
      </c>
      <c r="P11" s="50">
        <v>1.0924</v>
      </c>
      <c r="Q11" s="50">
        <v>1.0936</v>
      </c>
      <c r="R11" s="50">
        <v>1.092</v>
      </c>
      <c r="S11" s="50">
        <v>1.093</v>
      </c>
      <c r="T11" s="50">
        <v>1.0978</v>
      </c>
      <c r="U11" s="50">
        <v>1.0921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1.0931</v>
      </c>
      <c r="K12" s="50">
        <v>1.0928</v>
      </c>
      <c r="L12" s="50">
        <v>1.0946</v>
      </c>
      <c r="M12" s="50">
        <v>1.0965</v>
      </c>
      <c r="N12" s="50">
        <v>1.0944</v>
      </c>
      <c r="O12" s="50">
        <v>1.0956</v>
      </c>
      <c r="P12" s="50">
        <v>1.0927</v>
      </c>
      <c r="Q12" s="50">
        <v>1.0935</v>
      </c>
      <c r="R12" s="50">
        <v>1.0913</v>
      </c>
      <c r="S12" s="50">
        <v>1.0925</v>
      </c>
      <c r="T12" s="50">
        <v>1.0954</v>
      </c>
      <c r="U12" s="50">
        <v>1.0849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workbookViewId="0">
      <selection activeCell="L17" sqref="L1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129</v>
      </c>
      <c r="K6" s="43" t="s">
        <v>130</v>
      </c>
      <c r="L6" s="43" t="s">
        <v>131</v>
      </c>
      <c r="M6" s="43" t="s">
        <v>132</v>
      </c>
      <c r="N6" s="43" t="s">
        <v>133</v>
      </c>
      <c r="O6" s="43" t="s">
        <v>134</v>
      </c>
      <c r="P6" s="43" t="s">
        <v>135</v>
      </c>
      <c r="Q6" s="43" t="s">
        <v>136</v>
      </c>
      <c r="R6" s="43" t="s">
        <v>137</v>
      </c>
      <c r="S6" s="43" t="s">
        <v>138</v>
      </c>
      <c r="T6" s="43" t="s">
        <v>139</v>
      </c>
      <c r="U6" s="43" t="s">
        <v>140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13-1</v>
      </c>
      <c r="AA6" s="45" t="str">
        <f t="shared" si="0"/>
        <v>13-2</v>
      </c>
      <c r="AB6" s="45" t="str">
        <f t="shared" si="0"/>
        <v>13-3</v>
      </c>
      <c r="AC6" s="45" t="str">
        <f t="shared" si="0"/>
        <v>13-4</v>
      </c>
      <c r="AD6" s="45" t="str">
        <f t="shared" si="0"/>
        <v>13-5</v>
      </c>
      <c r="AE6" s="45" t="str">
        <f t="shared" si="0"/>
        <v>13-6</v>
      </c>
      <c r="AF6" s="45" t="str">
        <f t="shared" si="0"/>
        <v>14-1</v>
      </c>
      <c r="AG6" s="45" t="str">
        <f t="shared" si="0"/>
        <v>14-2</v>
      </c>
      <c r="AH6" s="45" t="str">
        <f t="shared" si="0"/>
        <v>14-3</v>
      </c>
      <c r="AI6" s="45" t="str">
        <f t="shared" si="0"/>
        <v>14-4</v>
      </c>
      <c r="AJ6" s="45" t="str">
        <f t="shared" si="0"/>
        <v>14-5</v>
      </c>
      <c r="AK6" s="45" t="str">
        <f t="shared" si="0"/>
        <v>14-6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2.0868</v>
      </c>
      <c r="K7" s="50">
        <v>2.0869</v>
      </c>
      <c r="L7" s="50">
        <v>2.0869</v>
      </c>
      <c r="M7" s="50">
        <v>2.0871</v>
      </c>
      <c r="N7" s="50">
        <v>2.0918</v>
      </c>
      <c r="O7" s="50">
        <v>2.0852</v>
      </c>
      <c r="P7" s="50">
        <v>2.0894</v>
      </c>
      <c r="Q7" s="50">
        <v>2.0872</v>
      </c>
      <c r="R7" s="50">
        <v>2.0921</v>
      </c>
      <c r="S7" s="50">
        <v>2.087</v>
      </c>
      <c r="T7" s="50">
        <v>2.0882</v>
      </c>
      <c r="U7" s="50">
        <v>2.0874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2.0868</v>
      </c>
      <c r="K8" s="50">
        <v>2.0854</v>
      </c>
      <c r="L8" s="50">
        <v>2.087</v>
      </c>
      <c r="M8" s="50">
        <v>2.0861</v>
      </c>
      <c r="N8" s="50">
        <v>2.0846</v>
      </c>
      <c r="O8" s="50">
        <v>2.0866</v>
      </c>
      <c r="P8" s="50">
        <v>2.0863</v>
      </c>
      <c r="Q8" s="50">
        <v>2.0867</v>
      </c>
      <c r="R8" s="50">
        <v>2.0868</v>
      </c>
      <c r="S8" s="50">
        <v>2.0853</v>
      </c>
      <c r="T8" s="50">
        <v>2.0856</v>
      </c>
      <c r="U8" s="50">
        <v>2.086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0.8081</v>
      </c>
      <c r="K9" s="50">
        <v>0.8044</v>
      </c>
      <c r="L9" s="50">
        <v>0.8054</v>
      </c>
      <c r="M9" s="50">
        <v>0.8114</v>
      </c>
      <c r="N9" s="50">
        <v>0.8045</v>
      </c>
      <c r="O9" s="50">
        <v>0.8035</v>
      </c>
      <c r="P9" s="50">
        <v>0.8129</v>
      </c>
      <c r="Q9" s="50">
        <v>0.8126</v>
      </c>
      <c r="R9" s="50">
        <v>0.8121</v>
      </c>
      <c r="S9" s="50">
        <v>0.8255</v>
      </c>
      <c r="T9" s="50">
        <v>0.8133</v>
      </c>
      <c r="U9" s="50">
        <v>0.8098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0.8085</v>
      </c>
      <c r="K10" s="50">
        <v>0.806</v>
      </c>
      <c r="L10" s="50">
        <v>0.8072</v>
      </c>
      <c r="M10" s="50">
        <v>0.8064</v>
      </c>
      <c r="N10" s="50">
        <v>0.8044</v>
      </c>
      <c r="O10" s="50">
        <v>0.8047</v>
      </c>
      <c r="P10" s="50">
        <v>0.8126</v>
      </c>
      <c r="Q10" s="50">
        <v>0.8118</v>
      </c>
      <c r="R10" s="50">
        <v>0.8106</v>
      </c>
      <c r="S10" s="50">
        <v>0.8116</v>
      </c>
      <c r="T10" s="50">
        <v>0.8119</v>
      </c>
      <c r="U10" s="50">
        <v>0.8082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1.1022</v>
      </c>
      <c r="K11" s="50">
        <v>1.1047</v>
      </c>
      <c r="L11" s="50">
        <v>1.107</v>
      </c>
      <c r="M11" s="50">
        <v>1.1058</v>
      </c>
      <c r="N11" s="50">
        <v>1.105</v>
      </c>
      <c r="O11" s="50">
        <v>1.1066</v>
      </c>
      <c r="P11" s="50">
        <v>1.0981</v>
      </c>
      <c r="Q11" s="50">
        <v>1.0962</v>
      </c>
      <c r="R11" s="50">
        <v>1.0992</v>
      </c>
      <c r="S11" s="50">
        <v>1.0989</v>
      </c>
      <c r="T11" s="50">
        <v>1.0968</v>
      </c>
      <c r="U11" s="50">
        <v>1.0997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1.1003</v>
      </c>
      <c r="K12" s="50">
        <v>1.1029</v>
      </c>
      <c r="L12" s="50">
        <v>1.1023</v>
      </c>
      <c r="M12" s="50">
        <v>1.1029</v>
      </c>
      <c r="N12" s="50">
        <v>1.1031</v>
      </c>
      <c r="O12" s="50">
        <v>1.1042</v>
      </c>
      <c r="P12" s="50">
        <v>1.0977</v>
      </c>
      <c r="Q12" s="50">
        <v>1.0979</v>
      </c>
      <c r="R12" s="50">
        <v>1.1016</v>
      </c>
      <c r="S12" s="50">
        <v>1.0979</v>
      </c>
      <c r="T12" s="50">
        <v>1.0966</v>
      </c>
      <c r="U12" s="50">
        <v>1.1032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0"/>
  <sheetViews>
    <sheetView tabSelected="1" workbookViewId="0">
      <selection activeCell="R16" sqref="R1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6" t="s">
        <v>6</v>
      </c>
      <c r="AF2" s="16"/>
      <c r="AG2" s="16"/>
      <c r="AH2" s="16"/>
      <c r="AI2" s="16"/>
      <c r="AJ2" s="16"/>
      <c r="AK2" s="17" t="s">
        <v>7</v>
      </c>
      <c r="AL2" s="17"/>
      <c r="AM2" s="17"/>
      <c r="AN2" s="17"/>
      <c r="AO2" s="17"/>
    </row>
    <row r="3" ht="15" customHeight="1" spans="1:41">
      <c r="A3" s="2"/>
      <c r="B3" s="18"/>
      <c r="C3" s="19"/>
      <c r="D3" s="19"/>
      <c r="E3" s="19"/>
      <c r="F3" s="19"/>
      <c r="G3" s="20"/>
      <c r="H3" s="21"/>
      <c r="I3" s="22"/>
      <c r="J3" s="22"/>
      <c r="K3" s="23"/>
      <c r="L3" s="9"/>
      <c r="M3" s="9"/>
      <c r="N3" s="9"/>
      <c r="O3" s="9"/>
      <c r="P3" s="9"/>
      <c r="Q3" s="9"/>
      <c r="R3" s="9"/>
      <c r="S3" s="24" t="s">
        <v>8</v>
      </c>
      <c r="T3" s="25"/>
      <c r="U3" s="25"/>
      <c r="V3" s="25"/>
      <c r="W3" s="25"/>
      <c r="X3" s="26"/>
      <c r="Y3" s="13"/>
      <c r="Z3" s="14"/>
      <c r="AA3" s="14"/>
      <c r="AB3" s="14"/>
      <c r="AC3" s="14"/>
      <c r="AD3" s="15"/>
      <c r="AE3" s="27" t="s">
        <v>9</v>
      </c>
      <c r="AF3" s="27"/>
      <c r="AG3" s="27"/>
      <c r="AH3" s="27"/>
      <c r="AI3" s="27"/>
      <c r="AJ3" s="27"/>
      <c r="AK3" s="27" t="s">
        <v>10</v>
      </c>
      <c r="AL3" s="27"/>
      <c r="AM3" s="27"/>
      <c r="AN3" s="27"/>
      <c r="AO3" s="27"/>
    </row>
    <row r="4" customHeight="1" spans="1:41">
      <c r="A4" s="28" t="s">
        <v>11</v>
      </c>
      <c r="B4" s="28" t="s">
        <v>12</v>
      </c>
      <c r="C4" s="29" t="s">
        <v>13</v>
      </c>
      <c r="D4" s="30" t="s">
        <v>14</v>
      </c>
      <c r="E4" s="31" t="s">
        <v>15</v>
      </c>
      <c r="F4" s="32" t="s">
        <v>16</v>
      </c>
      <c r="G4" s="32" t="s">
        <v>17</v>
      </c>
      <c r="H4" s="32" t="s">
        <v>18</v>
      </c>
      <c r="I4" s="33" t="s">
        <v>19</v>
      </c>
      <c r="J4" s="34" t="s">
        <v>20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5" t="s">
        <v>21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</row>
    <row r="5" ht="13.5" customHeight="1" spans="1:41">
      <c r="A5" s="38"/>
      <c r="B5" s="39"/>
      <c r="C5" s="40"/>
      <c r="D5" s="30"/>
      <c r="E5" s="31"/>
      <c r="F5" s="32"/>
      <c r="G5" s="32"/>
      <c r="H5" s="32"/>
      <c r="I5" s="30"/>
      <c r="J5" s="34" t="s">
        <v>22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1" t="s">
        <v>23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</row>
    <row r="6" customHeight="1" spans="1:41">
      <c r="A6" s="38"/>
      <c r="B6" s="39"/>
      <c r="C6" s="42"/>
      <c r="D6" s="30"/>
      <c r="E6" s="31"/>
      <c r="F6" s="32"/>
      <c r="G6" s="32"/>
      <c r="H6" s="32"/>
      <c r="I6" s="30"/>
      <c r="J6" s="43" t="s">
        <v>141</v>
      </c>
      <c r="K6" s="43" t="s">
        <v>142</v>
      </c>
      <c r="L6" s="43" t="s">
        <v>143</v>
      </c>
      <c r="M6" s="43" t="s">
        <v>144</v>
      </c>
      <c r="N6" s="43" t="s">
        <v>145</v>
      </c>
      <c r="O6" s="43" t="s">
        <v>146</v>
      </c>
      <c r="P6" s="43" t="s">
        <v>147</v>
      </c>
      <c r="Q6" s="43" t="s">
        <v>148</v>
      </c>
      <c r="R6" s="43" t="s">
        <v>149</v>
      </c>
      <c r="S6" s="43" t="s">
        <v>150</v>
      </c>
      <c r="T6" s="43" t="s">
        <v>151</v>
      </c>
      <c r="U6" s="43" t="s">
        <v>152</v>
      </c>
      <c r="V6" s="44">
        <v>13</v>
      </c>
      <c r="W6" s="44">
        <v>14</v>
      </c>
      <c r="X6" s="44">
        <v>15</v>
      </c>
      <c r="Y6" s="44">
        <v>16</v>
      </c>
      <c r="Z6" s="45" t="str">
        <f t="shared" ref="Z6:AO6" si="0">J6</f>
        <v>15-1</v>
      </c>
      <c r="AA6" s="45" t="str">
        <f t="shared" si="0"/>
        <v>15-2</v>
      </c>
      <c r="AB6" s="45" t="str">
        <f t="shared" si="0"/>
        <v>15-3</v>
      </c>
      <c r="AC6" s="45" t="str">
        <f t="shared" si="0"/>
        <v>15-4</v>
      </c>
      <c r="AD6" s="45" t="str">
        <f t="shared" si="0"/>
        <v>15-5</v>
      </c>
      <c r="AE6" s="45" t="str">
        <f t="shared" si="0"/>
        <v>15-6</v>
      </c>
      <c r="AF6" s="45" t="str">
        <f t="shared" si="0"/>
        <v>16-1</v>
      </c>
      <c r="AG6" s="45" t="str">
        <f t="shared" si="0"/>
        <v>16-2</v>
      </c>
      <c r="AH6" s="45" t="str">
        <f t="shared" si="0"/>
        <v>16-3</v>
      </c>
      <c r="AI6" s="45" t="str">
        <f t="shared" si="0"/>
        <v>16-4</v>
      </c>
      <c r="AJ6" s="45" t="str">
        <f t="shared" si="0"/>
        <v>16-5</v>
      </c>
      <c r="AK6" s="45" t="str">
        <f t="shared" si="0"/>
        <v>16-6</v>
      </c>
      <c r="AL6" s="45">
        <f t="shared" si="0"/>
        <v>13</v>
      </c>
      <c r="AM6" s="45">
        <f t="shared" si="0"/>
        <v>14</v>
      </c>
      <c r="AN6" s="45">
        <f t="shared" si="0"/>
        <v>15</v>
      </c>
      <c r="AO6" s="45">
        <f t="shared" si="0"/>
        <v>16</v>
      </c>
    </row>
    <row r="7" ht="15" customHeight="1" spans="1:41">
      <c r="A7" s="46">
        <v>46207</v>
      </c>
      <c r="B7" s="47" t="s">
        <v>36</v>
      </c>
      <c r="C7" s="48"/>
      <c r="D7" s="49">
        <v>2.09</v>
      </c>
      <c r="E7" s="49">
        <v>0.03</v>
      </c>
      <c r="F7" s="49">
        <v>-0.03</v>
      </c>
      <c r="G7" s="49">
        <f t="shared" ref="G7:G18" si="1">E7+D7</f>
        <v>2.12</v>
      </c>
      <c r="H7" s="49">
        <f t="shared" ref="H7:H18" si="2">F7+D7</f>
        <v>2.06</v>
      </c>
      <c r="I7" s="49" t="s">
        <v>37</v>
      </c>
      <c r="J7" s="50">
        <v>2.0926</v>
      </c>
      <c r="K7" s="50">
        <v>2.0858</v>
      </c>
      <c r="L7" s="50">
        <v>2.0874</v>
      </c>
      <c r="M7" s="50">
        <v>2.0877</v>
      </c>
      <c r="N7" s="50">
        <v>2.0874</v>
      </c>
      <c r="O7" s="50">
        <v>2.0877</v>
      </c>
      <c r="P7" s="50">
        <v>2.0877</v>
      </c>
      <c r="Q7" s="50">
        <v>2.0864</v>
      </c>
      <c r="R7" s="50">
        <v>2.0852</v>
      </c>
      <c r="S7" s="50">
        <v>2.0861</v>
      </c>
      <c r="T7" s="50">
        <v>2.0865</v>
      </c>
      <c r="U7" s="50">
        <v>2.0858</v>
      </c>
      <c r="V7" s="50"/>
      <c r="W7" s="50"/>
      <c r="X7" s="50"/>
      <c r="Y7" s="50"/>
      <c r="Z7" s="51" t="str">
        <f t="shared" ref="Z7:AO7" si="3">IF(J7="","",IF(J7&gt;($D7+$E7),(J7-$D7-$E7),IF(J7&lt;($D7+$F7),(J7-$D7-$F7),"√")))</f>
        <v>√</v>
      </c>
      <c r="AA7" s="51" t="str">
        <f t="shared" si="3"/>
        <v>√</v>
      </c>
      <c r="AB7" s="51" t="str">
        <f t="shared" si="3"/>
        <v>√</v>
      </c>
      <c r="AC7" s="51" t="str">
        <f t="shared" si="3"/>
        <v>√</v>
      </c>
      <c r="AD7" s="51" t="str">
        <f t="shared" si="3"/>
        <v>√</v>
      </c>
      <c r="AE7" s="51" t="str">
        <f t="shared" si="3"/>
        <v>√</v>
      </c>
      <c r="AF7" s="51" t="str">
        <f t="shared" si="3"/>
        <v>√</v>
      </c>
      <c r="AG7" s="51" t="str">
        <f t="shared" si="3"/>
        <v>√</v>
      </c>
      <c r="AH7" s="51" t="str">
        <f t="shared" si="3"/>
        <v>√</v>
      </c>
      <c r="AI7" s="51" t="str">
        <f t="shared" si="3"/>
        <v>√</v>
      </c>
      <c r="AJ7" s="51" t="str">
        <f t="shared" si="3"/>
        <v>√</v>
      </c>
      <c r="AK7" s="51" t="str">
        <f t="shared" si="3"/>
        <v>√</v>
      </c>
      <c r="AL7" s="51" t="str">
        <f t="shared" si="3"/>
        <v/>
      </c>
      <c r="AM7" s="51" t="str">
        <f t="shared" si="3"/>
        <v/>
      </c>
      <c r="AN7" s="51" t="str">
        <f t="shared" si="3"/>
        <v/>
      </c>
      <c r="AO7" s="51" t="str">
        <f t="shared" si="3"/>
        <v/>
      </c>
    </row>
    <row r="8" ht="15" customHeight="1" spans="1:41">
      <c r="A8" s="46"/>
      <c r="B8" s="47" t="s">
        <v>38</v>
      </c>
      <c r="C8" s="48"/>
      <c r="D8" s="49">
        <v>2.09</v>
      </c>
      <c r="E8" s="49">
        <v>0.03</v>
      </c>
      <c r="F8" s="49">
        <v>-0.03</v>
      </c>
      <c r="G8" s="49">
        <f t="shared" si="1"/>
        <v>2.12</v>
      </c>
      <c r="H8" s="49">
        <f t="shared" si="2"/>
        <v>2.06</v>
      </c>
      <c r="I8" s="49" t="s">
        <v>37</v>
      </c>
      <c r="J8" s="50">
        <v>2.0865</v>
      </c>
      <c r="K8" s="50">
        <v>2.0885</v>
      </c>
      <c r="L8" s="50">
        <v>2.0892</v>
      </c>
      <c r="M8" s="50">
        <v>2.0882</v>
      </c>
      <c r="N8" s="50">
        <v>2.0871</v>
      </c>
      <c r="O8" s="50">
        <v>2.0871</v>
      </c>
      <c r="P8" s="50">
        <v>2.0845</v>
      </c>
      <c r="Q8" s="50">
        <v>2.0859</v>
      </c>
      <c r="R8" s="50">
        <v>2.0843</v>
      </c>
      <c r="S8" s="50">
        <v>2.0852</v>
      </c>
      <c r="T8" s="50">
        <v>2.0849</v>
      </c>
      <c r="U8" s="50">
        <v>2.0848</v>
      </c>
      <c r="V8" s="50"/>
      <c r="W8" s="50"/>
      <c r="X8" s="50"/>
      <c r="Y8" s="50"/>
      <c r="Z8" s="51" t="str">
        <f t="shared" ref="Z8:AO8" si="4">IF(J8="","",IF(J8&gt;($D8+$E8),(J8-$D8-$E8),IF(J8&lt;($D8+$F8),(J8-$D8-$F8),"√")))</f>
        <v>√</v>
      </c>
      <c r="AA8" s="51" t="str">
        <f t="shared" si="4"/>
        <v>√</v>
      </c>
      <c r="AB8" s="51" t="str">
        <f t="shared" si="4"/>
        <v>√</v>
      </c>
      <c r="AC8" s="51" t="str">
        <f t="shared" si="4"/>
        <v>√</v>
      </c>
      <c r="AD8" s="51" t="str">
        <f t="shared" si="4"/>
        <v>√</v>
      </c>
      <c r="AE8" s="51" t="str">
        <f t="shared" si="4"/>
        <v>√</v>
      </c>
      <c r="AF8" s="51" t="str">
        <f t="shared" si="4"/>
        <v>√</v>
      </c>
      <c r="AG8" s="51" t="str">
        <f t="shared" si="4"/>
        <v>√</v>
      </c>
      <c r="AH8" s="51" t="str">
        <f t="shared" si="4"/>
        <v>√</v>
      </c>
      <c r="AI8" s="51" t="str">
        <f t="shared" si="4"/>
        <v>√</v>
      </c>
      <c r="AJ8" s="51" t="str">
        <f t="shared" si="4"/>
        <v>√</v>
      </c>
      <c r="AK8" s="51" t="str">
        <f t="shared" si="4"/>
        <v>√</v>
      </c>
      <c r="AL8" s="51" t="str">
        <f t="shared" si="4"/>
        <v/>
      </c>
      <c r="AM8" s="51" t="str">
        <f t="shared" si="4"/>
        <v/>
      </c>
      <c r="AN8" s="51" t="str">
        <f t="shared" si="4"/>
        <v/>
      </c>
      <c r="AO8" s="51" t="str">
        <f t="shared" si="4"/>
        <v/>
      </c>
    </row>
    <row r="9" ht="15" customHeight="1" spans="1:41">
      <c r="A9" s="46"/>
      <c r="B9" s="47" t="s">
        <v>39</v>
      </c>
      <c r="C9" s="48"/>
      <c r="D9" s="49">
        <v>0.82</v>
      </c>
      <c r="E9" s="49">
        <v>0.05</v>
      </c>
      <c r="F9" s="49">
        <v>-0.05</v>
      </c>
      <c r="G9" s="49">
        <f t="shared" si="1"/>
        <v>0.87</v>
      </c>
      <c r="H9" s="49">
        <f t="shared" si="2"/>
        <v>0.77</v>
      </c>
      <c r="I9" s="49" t="s">
        <v>37</v>
      </c>
      <c r="J9" s="50">
        <v>0.8137</v>
      </c>
      <c r="K9" s="50">
        <v>0.8094</v>
      </c>
      <c r="L9" s="50">
        <v>0.8131</v>
      </c>
      <c r="M9" s="50">
        <v>0.8148</v>
      </c>
      <c r="N9" s="50">
        <v>0.8093</v>
      </c>
      <c r="O9" s="50">
        <v>0.8087</v>
      </c>
      <c r="P9" s="50">
        <v>0.8091</v>
      </c>
      <c r="Q9" s="50">
        <v>0.8132</v>
      </c>
      <c r="R9" s="50">
        <v>0.8091</v>
      </c>
      <c r="S9" s="50">
        <v>0.8112</v>
      </c>
      <c r="T9" s="50">
        <v>0.8087</v>
      </c>
      <c r="U9" s="50">
        <v>0.81</v>
      </c>
      <c r="V9" s="50"/>
      <c r="W9" s="50"/>
      <c r="X9" s="50"/>
      <c r="Y9" s="50"/>
      <c r="Z9" s="51" t="str">
        <f t="shared" ref="Z9:AO9" si="5">IF(J9="","",IF(J9&gt;($D9+$E9),(J9-$D9-$E9),IF(J9&lt;($D9+$F9),(J9-$D9-$F9),"√")))</f>
        <v>√</v>
      </c>
      <c r="AA9" s="51" t="str">
        <f t="shared" si="5"/>
        <v>√</v>
      </c>
      <c r="AB9" s="51" t="str">
        <f t="shared" si="5"/>
        <v>√</v>
      </c>
      <c r="AC9" s="51" t="str">
        <f t="shared" si="5"/>
        <v>√</v>
      </c>
      <c r="AD9" s="51" t="str">
        <f t="shared" si="5"/>
        <v>√</v>
      </c>
      <c r="AE9" s="51" t="str">
        <f t="shared" si="5"/>
        <v>√</v>
      </c>
      <c r="AF9" s="51" t="str">
        <f t="shared" si="5"/>
        <v>√</v>
      </c>
      <c r="AG9" s="51" t="str">
        <f t="shared" si="5"/>
        <v>√</v>
      </c>
      <c r="AH9" s="51" t="str">
        <f t="shared" si="5"/>
        <v>√</v>
      </c>
      <c r="AI9" s="51" t="str">
        <f t="shared" si="5"/>
        <v>√</v>
      </c>
      <c r="AJ9" s="51" t="str">
        <f t="shared" si="5"/>
        <v>√</v>
      </c>
      <c r="AK9" s="51" t="str">
        <f t="shared" si="5"/>
        <v>√</v>
      </c>
      <c r="AL9" s="51" t="str">
        <f t="shared" si="5"/>
        <v/>
      </c>
      <c r="AM9" s="51" t="str">
        <f t="shared" si="5"/>
        <v/>
      </c>
      <c r="AN9" s="51" t="str">
        <f t="shared" si="5"/>
        <v/>
      </c>
      <c r="AO9" s="51" t="str">
        <f t="shared" si="5"/>
        <v/>
      </c>
    </row>
    <row r="10" ht="15" customHeight="1" spans="1:41">
      <c r="A10" s="46"/>
      <c r="B10" s="47" t="s">
        <v>40</v>
      </c>
      <c r="C10" s="48"/>
      <c r="D10" s="49">
        <v>0.82</v>
      </c>
      <c r="E10" s="49">
        <v>0.05</v>
      </c>
      <c r="F10" s="49">
        <v>-0.05</v>
      </c>
      <c r="G10" s="49">
        <f t="shared" si="1"/>
        <v>0.87</v>
      </c>
      <c r="H10" s="49">
        <f t="shared" si="2"/>
        <v>0.77</v>
      </c>
      <c r="I10" s="49" t="s">
        <v>37</v>
      </c>
      <c r="J10" s="50">
        <v>0.8124</v>
      </c>
      <c r="K10" s="50">
        <v>0.8091</v>
      </c>
      <c r="L10" s="50">
        <v>0.8109</v>
      </c>
      <c r="M10" s="50">
        <v>0.8115</v>
      </c>
      <c r="N10" s="50">
        <v>0.8091</v>
      </c>
      <c r="O10" s="50">
        <v>0.8098</v>
      </c>
      <c r="P10" s="50">
        <v>0.8103</v>
      </c>
      <c r="Q10" s="50">
        <v>0.814</v>
      </c>
      <c r="R10" s="50">
        <v>0.8127</v>
      </c>
      <c r="S10" s="50">
        <v>0.812</v>
      </c>
      <c r="T10" s="50">
        <v>0.8101</v>
      </c>
      <c r="U10" s="50">
        <v>0.8096</v>
      </c>
      <c r="V10" s="50"/>
      <c r="W10" s="50"/>
      <c r="X10" s="50"/>
      <c r="Y10" s="50"/>
      <c r="Z10" s="51" t="str">
        <f t="shared" ref="Z10:AO10" si="6">IF(J10="","",IF(J10&gt;($D10+$E10),(J10-$D10-$E10),IF(J10&lt;($D10+$F10),(J10-$D10-$F10),"√")))</f>
        <v>√</v>
      </c>
      <c r="AA10" s="51" t="str">
        <f t="shared" si="6"/>
        <v>√</v>
      </c>
      <c r="AB10" s="51" t="str">
        <f t="shared" si="6"/>
        <v>√</v>
      </c>
      <c r="AC10" s="51" t="str">
        <f t="shared" si="6"/>
        <v>√</v>
      </c>
      <c r="AD10" s="51" t="str">
        <f t="shared" si="6"/>
        <v>√</v>
      </c>
      <c r="AE10" s="51" t="str">
        <f t="shared" si="6"/>
        <v>√</v>
      </c>
      <c r="AF10" s="51" t="str">
        <f t="shared" si="6"/>
        <v>√</v>
      </c>
      <c r="AG10" s="51" t="str">
        <f t="shared" si="6"/>
        <v>√</v>
      </c>
      <c r="AH10" s="51" t="str">
        <f t="shared" si="6"/>
        <v>√</v>
      </c>
      <c r="AI10" s="51" t="str">
        <f t="shared" si="6"/>
        <v>√</v>
      </c>
      <c r="AJ10" s="51" t="str">
        <f t="shared" si="6"/>
        <v>√</v>
      </c>
      <c r="AK10" s="51" t="str">
        <f t="shared" si="6"/>
        <v>√</v>
      </c>
      <c r="AL10" s="51" t="str">
        <f t="shared" si="6"/>
        <v/>
      </c>
      <c r="AM10" s="51" t="str">
        <f t="shared" si="6"/>
        <v/>
      </c>
      <c r="AN10" s="51" t="str">
        <f t="shared" si="6"/>
        <v/>
      </c>
      <c r="AO10" s="51" t="str">
        <f t="shared" si="6"/>
        <v/>
      </c>
    </row>
    <row r="11" ht="15" customHeight="1" spans="1:41">
      <c r="A11" s="46"/>
      <c r="B11" s="47" t="s">
        <v>41</v>
      </c>
      <c r="C11" s="48"/>
      <c r="D11" s="49">
        <v>1.09</v>
      </c>
      <c r="E11" s="49">
        <v>0.03</v>
      </c>
      <c r="F11" s="49">
        <v>-0.03</v>
      </c>
      <c r="G11" s="49">
        <f t="shared" si="1"/>
        <v>1.12</v>
      </c>
      <c r="H11" s="49">
        <f t="shared" si="2"/>
        <v>1.06</v>
      </c>
      <c r="I11" s="49" t="s">
        <v>37</v>
      </c>
      <c r="J11" s="50">
        <v>1.0967</v>
      </c>
      <c r="K11" s="50">
        <v>1.1001</v>
      </c>
      <c r="L11" s="50">
        <v>1.0986</v>
      </c>
      <c r="M11" s="50">
        <v>1.0991</v>
      </c>
      <c r="N11" s="50">
        <v>1.1013</v>
      </c>
      <c r="O11" s="50">
        <v>1.1003</v>
      </c>
      <c r="P11" s="50">
        <v>1.1014</v>
      </c>
      <c r="Q11" s="50">
        <v>1.0959</v>
      </c>
      <c r="R11" s="50">
        <v>1.1002</v>
      </c>
      <c r="S11" s="50">
        <v>1.0994</v>
      </c>
      <c r="T11" s="50">
        <v>1.1011</v>
      </c>
      <c r="U11" s="50">
        <v>1.0986</v>
      </c>
      <c r="V11" s="50"/>
      <c r="W11" s="50"/>
      <c r="X11" s="50"/>
      <c r="Y11" s="50"/>
      <c r="Z11" s="51" t="str">
        <f t="shared" ref="Z11:AO11" si="7">IF(J11="","",IF(J11&gt;($D11+$E11),(J11-$D11-$E11),IF(J11&lt;($D11+$F11),(J11-$D11-$F11),"√")))</f>
        <v>√</v>
      </c>
      <c r="AA11" s="51" t="str">
        <f t="shared" si="7"/>
        <v>√</v>
      </c>
      <c r="AB11" s="51" t="str">
        <f t="shared" si="7"/>
        <v>√</v>
      </c>
      <c r="AC11" s="51" t="str">
        <f t="shared" si="7"/>
        <v>√</v>
      </c>
      <c r="AD11" s="51" t="str">
        <f t="shared" si="7"/>
        <v>√</v>
      </c>
      <c r="AE11" s="51" t="str">
        <f t="shared" si="7"/>
        <v>√</v>
      </c>
      <c r="AF11" s="51" t="str">
        <f t="shared" si="7"/>
        <v>√</v>
      </c>
      <c r="AG11" s="51" t="str">
        <f t="shared" si="7"/>
        <v>√</v>
      </c>
      <c r="AH11" s="51" t="str">
        <f t="shared" si="7"/>
        <v>√</v>
      </c>
      <c r="AI11" s="51" t="str">
        <f t="shared" si="7"/>
        <v>√</v>
      </c>
      <c r="AJ11" s="51" t="str">
        <f t="shared" si="7"/>
        <v>√</v>
      </c>
      <c r="AK11" s="51" t="str">
        <f t="shared" si="7"/>
        <v>√</v>
      </c>
      <c r="AL11" s="51" t="str">
        <f t="shared" si="7"/>
        <v/>
      </c>
      <c r="AM11" s="51" t="str">
        <f t="shared" si="7"/>
        <v/>
      </c>
      <c r="AN11" s="51" t="str">
        <f t="shared" si="7"/>
        <v/>
      </c>
      <c r="AO11" s="51" t="str">
        <f t="shared" si="7"/>
        <v/>
      </c>
    </row>
    <row r="12" ht="15" customHeight="1" spans="1:41">
      <c r="A12" s="46"/>
      <c r="B12" s="47" t="s">
        <v>42</v>
      </c>
      <c r="C12" s="48"/>
      <c r="D12" s="49">
        <v>1.09</v>
      </c>
      <c r="E12" s="49">
        <v>0.03</v>
      </c>
      <c r="F12" s="49">
        <v>-0.03</v>
      </c>
      <c r="G12" s="49">
        <f t="shared" si="1"/>
        <v>1.12</v>
      </c>
      <c r="H12" s="49">
        <f t="shared" si="2"/>
        <v>1.06</v>
      </c>
      <c r="I12" s="49" t="s">
        <v>37</v>
      </c>
      <c r="J12" s="50">
        <v>1.0978</v>
      </c>
      <c r="K12" s="50">
        <v>1.1003</v>
      </c>
      <c r="L12" s="50">
        <v>1.101</v>
      </c>
      <c r="M12" s="50">
        <v>1.0999</v>
      </c>
      <c r="N12" s="50">
        <v>1.0998</v>
      </c>
      <c r="O12" s="50">
        <v>1.101</v>
      </c>
      <c r="P12" s="50">
        <v>1.1005</v>
      </c>
      <c r="Q12" s="50">
        <v>1.0957</v>
      </c>
      <c r="R12" s="50">
        <v>1.0975</v>
      </c>
      <c r="S12" s="50">
        <v>1.1</v>
      </c>
      <c r="T12" s="50">
        <v>1.0993</v>
      </c>
      <c r="U12" s="50">
        <v>1.0997</v>
      </c>
      <c r="V12" s="50"/>
      <c r="W12" s="50"/>
      <c r="X12" s="50"/>
      <c r="Y12" s="50"/>
      <c r="Z12" s="51" t="str">
        <f t="shared" ref="Z12:AO12" si="8">IF(J12="","",IF(J12&gt;($D12+$E12),(J12-$D12-$E12),IF(J12&lt;($D12+$F12),(J12-$D12-$F12),"√")))</f>
        <v>√</v>
      </c>
      <c r="AA12" s="51" t="str">
        <f t="shared" si="8"/>
        <v>√</v>
      </c>
      <c r="AB12" s="51" t="str">
        <f t="shared" si="8"/>
        <v>√</v>
      </c>
      <c r="AC12" s="51" t="str">
        <f t="shared" si="8"/>
        <v>√</v>
      </c>
      <c r="AD12" s="51" t="str">
        <f t="shared" si="8"/>
        <v>√</v>
      </c>
      <c r="AE12" s="51" t="str">
        <f t="shared" si="8"/>
        <v>√</v>
      </c>
      <c r="AF12" s="51" t="str">
        <f t="shared" si="8"/>
        <v>√</v>
      </c>
      <c r="AG12" s="51" t="str">
        <f t="shared" si="8"/>
        <v>√</v>
      </c>
      <c r="AH12" s="51" t="str">
        <f t="shared" si="8"/>
        <v>√</v>
      </c>
      <c r="AI12" s="51" t="str">
        <f t="shared" si="8"/>
        <v>√</v>
      </c>
      <c r="AJ12" s="51" t="str">
        <f t="shared" si="8"/>
        <v>√</v>
      </c>
      <c r="AK12" s="51" t="str">
        <f t="shared" si="8"/>
        <v>√</v>
      </c>
      <c r="AL12" s="51" t="str">
        <f t="shared" si="8"/>
        <v/>
      </c>
      <c r="AM12" s="51" t="str">
        <f t="shared" si="8"/>
        <v/>
      </c>
      <c r="AN12" s="51" t="str">
        <f t="shared" si="8"/>
        <v/>
      </c>
      <c r="AO12" s="51" t="str">
        <f t="shared" si="8"/>
        <v/>
      </c>
    </row>
    <row r="13" ht="15" customHeight="1" spans="1:41">
      <c r="A13" s="46"/>
      <c r="B13" s="47" t="s">
        <v>43</v>
      </c>
      <c r="C13" s="48"/>
      <c r="D13" s="49">
        <v>1.3</v>
      </c>
      <c r="E13" s="49">
        <v>0.05</v>
      </c>
      <c r="F13" s="49">
        <v>-0.05</v>
      </c>
      <c r="G13" s="49">
        <f t="shared" si="1"/>
        <v>1.35</v>
      </c>
      <c r="H13" s="49">
        <f t="shared" si="2"/>
        <v>1.25</v>
      </c>
      <c r="I13" s="49" t="s">
        <v>44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 t="str">
        <f t="shared" ref="Z13:AO13" si="9">IF(J13="","",IF(J13&gt;($D13+$E13),(J13-$D13-$E13),IF(J13&lt;($D13+$F13),(J13-$D13-$F13),"√")))</f>
        <v/>
      </c>
      <c r="AA13" s="51" t="str">
        <f t="shared" si="9"/>
        <v/>
      </c>
      <c r="AB13" s="51" t="str">
        <f t="shared" si="9"/>
        <v/>
      </c>
      <c r="AC13" s="51" t="str">
        <f t="shared" si="9"/>
        <v/>
      </c>
      <c r="AD13" s="51" t="str">
        <f t="shared" si="9"/>
        <v/>
      </c>
      <c r="AE13" s="51" t="str">
        <f t="shared" si="9"/>
        <v/>
      </c>
      <c r="AF13" s="51" t="str">
        <f t="shared" si="9"/>
        <v/>
      </c>
      <c r="AG13" s="51" t="str">
        <f t="shared" si="9"/>
        <v/>
      </c>
      <c r="AH13" s="51" t="str">
        <f t="shared" si="9"/>
        <v/>
      </c>
      <c r="AI13" s="51" t="str">
        <f t="shared" si="9"/>
        <v/>
      </c>
      <c r="AJ13" s="51" t="str">
        <f t="shared" si="9"/>
        <v/>
      </c>
      <c r="AK13" s="51" t="str">
        <f t="shared" si="9"/>
        <v/>
      </c>
      <c r="AL13" s="51" t="str">
        <f t="shared" si="9"/>
        <v/>
      </c>
      <c r="AM13" s="51" t="str">
        <f t="shared" si="9"/>
        <v/>
      </c>
      <c r="AN13" s="51" t="str">
        <f t="shared" si="9"/>
        <v/>
      </c>
      <c r="AO13" s="51" t="str">
        <f t="shared" si="9"/>
        <v/>
      </c>
    </row>
    <row r="14" ht="15" customHeight="1" spans="1:41">
      <c r="A14" s="46"/>
      <c r="B14" s="47" t="s">
        <v>43</v>
      </c>
      <c r="C14" s="48"/>
      <c r="D14" s="49">
        <v>1.3</v>
      </c>
      <c r="E14" s="49">
        <v>0.05</v>
      </c>
      <c r="F14" s="49">
        <v>-0.05</v>
      </c>
      <c r="G14" s="49">
        <f t="shared" si="1"/>
        <v>1.35</v>
      </c>
      <c r="H14" s="49">
        <f t="shared" si="2"/>
        <v>1.25</v>
      </c>
      <c r="I14" s="49" t="s">
        <v>44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 t="str">
        <f t="shared" ref="Z14:AO14" si="10">IF(J14="","",IF(J14&gt;($D14+$E14),(J14-$D14-$E14),IF(J14&lt;($D14+$F14),(J14-$D14-$F14),"√")))</f>
        <v/>
      </c>
      <c r="AA14" s="51" t="str">
        <f t="shared" si="10"/>
        <v/>
      </c>
      <c r="AB14" s="51" t="str">
        <f t="shared" si="10"/>
        <v/>
      </c>
      <c r="AC14" s="51" t="str">
        <f t="shared" si="10"/>
        <v/>
      </c>
      <c r="AD14" s="51" t="str">
        <f t="shared" si="10"/>
        <v/>
      </c>
      <c r="AE14" s="51" t="str">
        <f t="shared" si="10"/>
        <v/>
      </c>
      <c r="AF14" s="51" t="str">
        <f t="shared" si="10"/>
        <v/>
      </c>
      <c r="AG14" s="51" t="str">
        <f t="shared" si="10"/>
        <v/>
      </c>
      <c r="AH14" s="51" t="str">
        <f t="shared" si="10"/>
        <v/>
      </c>
      <c r="AI14" s="51" t="str">
        <f t="shared" si="10"/>
        <v/>
      </c>
      <c r="AJ14" s="51" t="str">
        <f t="shared" si="10"/>
        <v/>
      </c>
      <c r="AK14" s="51" t="str">
        <f t="shared" si="10"/>
        <v/>
      </c>
      <c r="AL14" s="51" t="str">
        <f t="shared" si="10"/>
        <v/>
      </c>
      <c r="AM14" s="51" t="str">
        <f t="shared" si="10"/>
        <v/>
      </c>
      <c r="AN14" s="51" t="str">
        <f t="shared" si="10"/>
        <v/>
      </c>
      <c r="AO14" s="51" t="str">
        <f t="shared" si="10"/>
        <v/>
      </c>
    </row>
    <row r="15" ht="15" customHeight="1" spans="1:41">
      <c r="A15" s="46"/>
      <c r="B15" s="47" t="s">
        <v>45</v>
      </c>
      <c r="C15" s="48" t="s">
        <v>46</v>
      </c>
      <c r="D15" s="49">
        <v>0.7</v>
      </c>
      <c r="E15" s="49">
        <v>0.03</v>
      </c>
      <c r="F15" s="49">
        <v>-0.03</v>
      </c>
      <c r="G15" s="49">
        <f t="shared" si="1"/>
        <v>0.73</v>
      </c>
      <c r="H15" s="49">
        <f t="shared" si="2"/>
        <v>0.67</v>
      </c>
      <c r="I15" s="49" t="s">
        <v>44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 t="str">
        <f t="shared" ref="Z15:AO15" si="11">IF(J15="","",IF(J15&gt;($D15+$E15),(J15-$D15-$E15),IF(J15&lt;($D15+$F15),(J15-$D15-$F15),"√")))</f>
        <v/>
      </c>
      <c r="AA15" s="51" t="str">
        <f t="shared" si="11"/>
        <v/>
      </c>
      <c r="AB15" s="51" t="str">
        <f t="shared" si="11"/>
        <v/>
      </c>
      <c r="AC15" s="51" t="str">
        <f t="shared" si="11"/>
        <v/>
      </c>
      <c r="AD15" s="51" t="str">
        <f t="shared" si="11"/>
        <v/>
      </c>
      <c r="AE15" s="51" t="str">
        <f t="shared" si="11"/>
        <v/>
      </c>
      <c r="AF15" s="51" t="str">
        <f t="shared" si="11"/>
        <v/>
      </c>
      <c r="AG15" s="51" t="str">
        <f t="shared" si="11"/>
        <v/>
      </c>
      <c r="AH15" s="51" t="str">
        <f t="shared" si="11"/>
        <v/>
      </c>
      <c r="AI15" s="51" t="str">
        <f t="shared" si="11"/>
        <v/>
      </c>
      <c r="AJ15" s="51" t="str">
        <f t="shared" si="11"/>
        <v/>
      </c>
      <c r="AK15" s="51" t="str">
        <f t="shared" si="11"/>
        <v/>
      </c>
      <c r="AL15" s="51" t="str">
        <f t="shared" si="11"/>
        <v/>
      </c>
      <c r="AM15" s="51" t="str">
        <f t="shared" si="11"/>
        <v/>
      </c>
      <c r="AN15" s="51" t="str">
        <f t="shared" si="11"/>
        <v/>
      </c>
      <c r="AO15" s="51" t="str">
        <f t="shared" si="11"/>
        <v/>
      </c>
    </row>
    <row r="16" ht="15" customHeight="1" spans="1:41">
      <c r="A16" s="46"/>
      <c r="B16" s="47" t="s">
        <v>47</v>
      </c>
      <c r="C16" s="48" t="s">
        <v>46</v>
      </c>
      <c r="D16" s="49">
        <v>0.7</v>
      </c>
      <c r="E16" s="49">
        <v>0.03</v>
      </c>
      <c r="F16" s="49">
        <v>-0.03</v>
      </c>
      <c r="G16" s="49">
        <f t="shared" si="1"/>
        <v>0.73</v>
      </c>
      <c r="H16" s="49">
        <f t="shared" si="2"/>
        <v>0.67</v>
      </c>
      <c r="I16" s="49" t="s">
        <v>44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 t="str">
        <f t="shared" ref="Z16:AO16" si="12">IF(J16="","",IF(J16&gt;($D16+$E16),(J16-$D16-$E16),IF(J16&lt;($D16+$F16),(J16-$D16-$F16),"√")))</f>
        <v/>
      </c>
      <c r="AA16" s="51" t="str">
        <f t="shared" si="12"/>
        <v/>
      </c>
      <c r="AB16" s="51" t="str">
        <f t="shared" si="12"/>
        <v/>
      </c>
      <c r="AC16" s="51" t="str">
        <f t="shared" si="12"/>
        <v/>
      </c>
      <c r="AD16" s="51" t="str">
        <f t="shared" si="12"/>
        <v/>
      </c>
      <c r="AE16" s="51" t="str">
        <f t="shared" si="12"/>
        <v/>
      </c>
      <c r="AF16" s="51" t="str">
        <f t="shared" si="12"/>
        <v/>
      </c>
      <c r="AG16" s="51" t="str">
        <f t="shared" si="12"/>
        <v/>
      </c>
      <c r="AH16" s="51" t="str">
        <f t="shared" si="12"/>
        <v/>
      </c>
      <c r="AI16" s="51" t="str">
        <f t="shared" si="12"/>
        <v/>
      </c>
      <c r="AJ16" s="51" t="str">
        <f t="shared" si="12"/>
        <v/>
      </c>
      <c r="AK16" s="51" t="str">
        <f t="shared" si="12"/>
        <v/>
      </c>
      <c r="AL16" s="51" t="str">
        <f t="shared" si="12"/>
        <v/>
      </c>
      <c r="AM16" s="51" t="str">
        <f t="shared" si="12"/>
        <v/>
      </c>
      <c r="AN16" s="51" t="str">
        <f t="shared" si="12"/>
        <v/>
      </c>
      <c r="AO16" s="51" t="str">
        <f t="shared" si="12"/>
        <v/>
      </c>
    </row>
    <row r="17" ht="15" customHeight="1" spans="1:41">
      <c r="A17" s="46"/>
      <c r="B17" s="47" t="s">
        <v>48</v>
      </c>
      <c r="C17" s="48" t="s">
        <v>49</v>
      </c>
      <c r="D17" s="49">
        <v>5.39</v>
      </c>
      <c r="E17" s="49">
        <v>0.015</v>
      </c>
      <c r="F17" s="49">
        <v>-0.015</v>
      </c>
      <c r="G17" s="49">
        <f t="shared" si="1"/>
        <v>5.405</v>
      </c>
      <c r="H17" s="49">
        <f t="shared" si="2"/>
        <v>5.375</v>
      </c>
      <c r="I17" s="49" t="s">
        <v>44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 t="str">
        <f t="shared" ref="Z17:AO17" si="13">IF(J17="","",IF(J17&gt;($D17+$E17),(J17-$D17-$E17),IF(J17&lt;($D17+$F17),(J17-$D17-$F17),"√")))</f>
        <v/>
      </c>
      <c r="AA17" s="51" t="str">
        <f t="shared" si="13"/>
        <v/>
      </c>
      <c r="AB17" s="51" t="str">
        <f t="shared" si="13"/>
        <v/>
      </c>
      <c r="AC17" s="51" t="str">
        <f t="shared" si="13"/>
        <v/>
      </c>
      <c r="AD17" s="51" t="str">
        <f t="shared" si="13"/>
        <v/>
      </c>
      <c r="AE17" s="51" t="str">
        <f t="shared" si="13"/>
        <v/>
      </c>
      <c r="AF17" s="51" t="str">
        <f t="shared" si="13"/>
        <v/>
      </c>
      <c r="AG17" s="51" t="str">
        <f t="shared" si="13"/>
        <v/>
      </c>
      <c r="AH17" s="51" t="str">
        <f t="shared" si="13"/>
        <v/>
      </c>
      <c r="AI17" s="51" t="str">
        <f t="shared" si="13"/>
        <v/>
      </c>
      <c r="AJ17" s="51" t="str">
        <f t="shared" si="13"/>
        <v/>
      </c>
      <c r="AK17" s="51" t="str">
        <f t="shared" si="13"/>
        <v/>
      </c>
      <c r="AL17" s="51" t="str">
        <f t="shared" si="13"/>
        <v/>
      </c>
      <c r="AM17" s="51" t="str">
        <f t="shared" si="13"/>
        <v/>
      </c>
      <c r="AN17" s="51" t="str">
        <f t="shared" si="13"/>
        <v/>
      </c>
      <c r="AO17" s="51" t="str">
        <f t="shared" si="13"/>
        <v/>
      </c>
    </row>
    <row r="18" ht="15" customHeight="1" spans="1:41">
      <c r="A18" s="46"/>
      <c r="B18" s="47" t="s">
        <v>50</v>
      </c>
      <c r="C18" s="48" t="s">
        <v>51</v>
      </c>
      <c r="D18" s="49">
        <v>0</v>
      </c>
      <c r="E18" s="49">
        <v>0.03</v>
      </c>
      <c r="F18" s="49">
        <v>0</v>
      </c>
      <c r="G18" s="49">
        <f t="shared" si="1"/>
        <v>0.03</v>
      </c>
      <c r="H18" s="49">
        <f t="shared" si="2"/>
        <v>0</v>
      </c>
      <c r="I18" s="49" t="s">
        <v>44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 t="str">
        <f t="shared" ref="Z18:AO18" si="14">IF(J18="","",IF(J18&gt;($D18+$E18),(J18-$D18-$E18),IF(J18&lt;($D18+$F18),(J18-$D18-$F18),"√")))</f>
        <v/>
      </c>
      <c r="AA18" s="51" t="str">
        <f t="shared" si="14"/>
        <v/>
      </c>
      <c r="AB18" s="51" t="str">
        <f t="shared" si="14"/>
        <v/>
      </c>
      <c r="AC18" s="51" t="str">
        <f t="shared" si="14"/>
        <v/>
      </c>
      <c r="AD18" s="51" t="str">
        <f t="shared" si="14"/>
        <v/>
      </c>
      <c r="AE18" s="51" t="str">
        <f t="shared" si="14"/>
        <v/>
      </c>
      <c r="AF18" s="51" t="str">
        <f t="shared" si="14"/>
        <v/>
      </c>
      <c r="AG18" s="51" t="str">
        <f t="shared" si="14"/>
        <v/>
      </c>
      <c r="AH18" s="51" t="str">
        <f t="shared" si="14"/>
        <v/>
      </c>
      <c r="AI18" s="51" t="str">
        <f t="shared" si="14"/>
        <v/>
      </c>
      <c r="AJ18" s="51" t="str">
        <f t="shared" si="14"/>
        <v/>
      </c>
      <c r="AK18" s="51" t="str">
        <f t="shared" si="14"/>
        <v/>
      </c>
      <c r="AL18" s="51" t="str">
        <f t="shared" si="14"/>
        <v/>
      </c>
      <c r="AM18" s="51" t="str">
        <f t="shared" si="14"/>
        <v/>
      </c>
      <c r="AN18" s="51" t="str">
        <f t="shared" si="14"/>
        <v/>
      </c>
      <c r="AO18" s="51" t="str">
        <f t="shared" si="14"/>
        <v/>
      </c>
    </row>
    <row r="19" ht="15" customHeight="1" spans="1:41">
      <c r="A19" s="46"/>
      <c r="B19" s="47">
        <v>1</v>
      </c>
      <c r="C19" s="48"/>
      <c r="D19" s="49"/>
      <c r="E19" s="49"/>
      <c r="F19" s="49"/>
      <c r="G19" s="49"/>
      <c r="H19" s="49"/>
      <c r="I19" s="49" t="s">
        <v>44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ht="15" customHeight="1" spans="1:41">
      <c r="A20" s="46"/>
      <c r="B20" s="47">
        <v>2</v>
      </c>
      <c r="C20" s="48"/>
      <c r="D20" s="49"/>
      <c r="E20" s="49"/>
      <c r="F20" s="49"/>
      <c r="G20" s="49"/>
      <c r="H20" s="49"/>
      <c r="I20" s="49" t="s">
        <v>44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ht="15" customHeight="1" spans="1:41">
      <c r="A21" s="46"/>
      <c r="B21" s="47">
        <v>3</v>
      </c>
      <c r="C21" s="48"/>
      <c r="D21" s="49"/>
      <c r="E21" s="49"/>
      <c r="F21" s="49"/>
      <c r="G21" s="49"/>
      <c r="H21" s="49"/>
      <c r="I21" s="49" t="s">
        <v>44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ht="15" customHeight="1" spans="1:41">
      <c r="A22" s="46"/>
      <c r="B22" s="47">
        <v>4</v>
      </c>
      <c r="C22" s="48"/>
      <c r="D22" s="49"/>
      <c r="E22" s="49"/>
      <c r="F22" s="49"/>
      <c r="G22" s="49"/>
      <c r="H22" s="49"/>
      <c r="I22" s="49" t="s">
        <v>44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ht="15" customHeight="1" spans="1:41">
      <c r="A23" s="46"/>
      <c r="B23" s="47">
        <v>5</v>
      </c>
      <c r="C23" s="48"/>
      <c r="D23" s="49"/>
      <c r="E23" s="49"/>
      <c r="F23" s="49"/>
      <c r="G23" s="49"/>
      <c r="H23" s="49"/>
      <c r="I23" s="49" t="s">
        <v>44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</row>
    <row r="24" ht="15" customHeight="1" spans="1:41">
      <c r="A24" s="46"/>
      <c r="B24" s="47">
        <v>6</v>
      </c>
      <c r="C24" s="48"/>
      <c r="D24" s="49"/>
      <c r="E24" s="49"/>
      <c r="F24" s="49"/>
      <c r="G24" s="49"/>
      <c r="H24" s="49"/>
      <c r="I24" s="49" t="s">
        <v>44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</row>
    <row r="25" ht="15" customHeight="1" spans="1:41">
      <c r="A25" s="46"/>
      <c r="B25" s="47">
        <v>7</v>
      </c>
      <c r="C25" s="48"/>
      <c r="D25" s="49"/>
      <c r="E25" s="49"/>
      <c r="F25" s="49"/>
      <c r="G25" s="49"/>
      <c r="H25" s="49"/>
      <c r="I25" s="49" t="s">
        <v>44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</row>
    <row r="26" ht="15" customHeight="1" spans="1:41">
      <c r="A26" s="46"/>
      <c r="B26" s="47">
        <v>8</v>
      </c>
      <c r="C26" s="48"/>
      <c r="D26" s="49"/>
      <c r="E26" s="49"/>
      <c r="F26" s="49"/>
      <c r="G26" s="49"/>
      <c r="H26" s="49"/>
      <c r="I26" s="49" t="s">
        <v>44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ht="15" customHeight="1" spans="1:41">
      <c r="A27" s="46"/>
      <c r="B27" s="47">
        <v>9</v>
      </c>
      <c r="C27" s="48"/>
      <c r="D27" s="49"/>
      <c r="E27" s="49"/>
      <c r="F27" s="49"/>
      <c r="G27" s="49"/>
      <c r="H27" s="49"/>
      <c r="I27" s="49" t="s">
        <v>44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ht="15" customHeight="1" spans="1:41">
      <c r="A28" s="46"/>
      <c r="B28" s="47">
        <v>10</v>
      </c>
      <c r="C28" s="48"/>
      <c r="D28" s="49"/>
      <c r="E28" s="49"/>
      <c r="F28" s="49"/>
      <c r="G28" s="49"/>
      <c r="H28" s="49"/>
      <c r="I28" s="49" t="s">
        <v>44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ht="15" customHeight="1" spans="1:41">
      <c r="A29" s="46"/>
      <c r="B29" s="47">
        <v>11</v>
      </c>
      <c r="C29" s="48"/>
      <c r="D29" s="49"/>
      <c r="E29" s="49"/>
      <c r="F29" s="49"/>
      <c r="G29" s="49"/>
      <c r="H29" s="49"/>
      <c r="I29" s="49" t="s">
        <v>44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</row>
    <row r="30" ht="15" customHeight="1" spans="1:41">
      <c r="A30" s="46"/>
      <c r="B30" s="47">
        <v>12</v>
      </c>
      <c r="C30" s="48"/>
      <c r="D30" s="49"/>
      <c r="E30" s="49"/>
      <c r="F30" s="49"/>
      <c r="G30" s="49"/>
      <c r="H30" s="49"/>
      <c r="I30" s="49" t="s">
        <v>44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</row>
    <row r="31" ht="15" customHeight="1" spans="1:41">
      <c r="A31" s="46"/>
      <c r="B31" s="47" t="s">
        <v>52</v>
      </c>
      <c r="C31" s="48"/>
      <c r="D31" s="49"/>
      <c r="E31" s="49"/>
      <c r="F31" s="49"/>
      <c r="G31" s="49">
        <f t="shared" ref="G31:G37" si="15">E31+D31</f>
        <v>0</v>
      </c>
      <c r="H31" s="49">
        <f t="shared" ref="H31:H37" si="16">F31+D31</f>
        <v>0</v>
      </c>
      <c r="I31" s="49" t="s">
        <v>44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</row>
    <row r="32" ht="15" customHeight="1" spans="1:41">
      <c r="A32" s="46"/>
      <c r="B32" s="47" t="s">
        <v>53</v>
      </c>
      <c r="C32" s="48"/>
      <c r="D32" s="49"/>
      <c r="E32" s="49"/>
      <c r="F32" s="49"/>
      <c r="G32" s="49">
        <f t="shared" si="15"/>
        <v>0</v>
      </c>
      <c r="H32" s="49">
        <f t="shared" si="16"/>
        <v>0</v>
      </c>
      <c r="I32" s="49" t="s">
        <v>44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ht="15" customHeight="1" spans="1:41">
      <c r="A33" s="46"/>
      <c r="B33" s="47" t="s">
        <v>54</v>
      </c>
      <c r="C33" s="48" t="s">
        <v>55</v>
      </c>
      <c r="D33" s="49">
        <v>0</v>
      </c>
      <c r="E33" s="49">
        <v>0.1</v>
      </c>
      <c r="F33" s="49">
        <v>0</v>
      </c>
      <c r="G33" s="49">
        <f t="shared" si="15"/>
        <v>0.1</v>
      </c>
      <c r="H33" s="49">
        <f t="shared" si="16"/>
        <v>0</v>
      </c>
      <c r="I33" s="49" t="s">
        <v>44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 t="str">
        <f t="shared" ref="Z33:AO33" si="17">IF(J33="","",IF(J33&gt;($D33+$E33),(J33-$D33-$E33),IF(J33&lt;($D33+$F33),(J33-$D33-$F33),"√")))</f>
        <v/>
      </c>
      <c r="AA33" s="51" t="str">
        <f t="shared" si="17"/>
        <v/>
      </c>
      <c r="AB33" s="51" t="str">
        <f t="shared" si="17"/>
        <v/>
      </c>
      <c r="AC33" s="51" t="str">
        <f t="shared" si="17"/>
        <v/>
      </c>
      <c r="AD33" s="51" t="str">
        <f t="shared" si="17"/>
        <v/>
      </c>
      <c r="AE33" s="51" t="str">
        <f t="shared" si="17"/>
        <v/>
      </c>
      <c r="AF33" s="51" t="str">
        <f t="shared" si="17"/>
        <v/>
      </c>
      <c r="AG33" s="51" t="str">
        <f t="shared" si="17"/>
        <v/>
      </c>
      <c r="AH33" s="51" t="str">
        <f t="shared" si="17"/>
        <v/>
      </c>
      <c r="AI33" s="51" t="str">
        <f t="shared" si="17"/>
        <v/>
      </c>
      <c r="AJ33" s="51" t="str">
        <f t="shared" si="17"/>
        <v/>
      </c>
      <c r="AK33" s="51" t="str">
        <f t="shared" si="17"/>
        <v/>
      </c>
      <c r="AL33" s="51" t="str">
        <f t="shared" si="17"/>
        <v/>
      </c>
      <c r="AM33" s="51" t="str">
        <f t="shared" si="17"/>
        <v/>
      </c>
      <c r="AN33" s="51" t="str">
        <f t="shared" si="17"/>
        <v/>
      </c>
      <c r="AO33" s="51" t="str">
        <f t="shared" si="17"/>
        <v/>
      </c>
    </row>
    <row r="34" ht="15" customHeight="1" spans="1:41">
      <c r="A34" s="46"/>
      <c r="B34" s="47" t="s">
        <v>52</v>
      </c>
      <c r="C34" s="48"/>
      <c r="D34" s="49"/>
      <c r="E34" s="49"/>
      <c r="F34" s="49"/>
      <c r="G34" s="49">
        <f t="shared" si="15"/>
        <v>0</v>
      </c>
      <c r="H34" s="49">
        <f t="shared" si="16"/>
        <v>0</v>
      </c>
      <c r="I34" s="49" t="s">
        <v>44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ht="15" customHeight="1" spans="1:41">
      <c r="A35" s="46"/>
      <c r="B35" s="47" t="s">
        <v>53</v>
      </c>
      <c r="C35" s="48"/>
      <c r="D35" s="49"/>
      <c r="E35" s="49"/>
      <c r="F35" s="49"/>
      <c r="G35" s="49">
        <f t="shared" si="15"/>
        <v>0</v>
      </c>
      <c r="H35" s="49">
        <f t="shared" si="16"/>
        <v>0</v>
      </c>
      <c r="I35" s="49" t="s">
        <v>44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ht="15" customHeight="1" spans="1:41">
      <c r="A36" s="46"/>
      <c r="B36" s="47" t="s">
        <v>56</v>
      </c>
      <c r="C36" s="48" t="s">
        <v>55</v>
      </c>
      <c r="D36" s="49">
        <v>0</v>
      </c>
      <c r="E36" s="49">
        <v>0.1</v>
      </c>
      <c r="F36" s="49">
        <v>0</v>
      </c>
      <c r="G36" s="49">
        <f t="shared" si="15"/>
        <v>0.1</v>
      </c>
      <c r="H36" s="49">
        <f t="shared" si="16"/>
        <v>0</v>
      </c>
      <c r="I36" s="49" t="s">
        <v>44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 t="str">
        <f t="shared" ref="Z36:AO36" si="18">IF(J36="","",IF(J36&gt;($D36+$E36),(J36-$D36-$E36),IF(J36&lt;($D36+$F36),(J36-$D36-$F36),"√")))</f>
        <v/>
      </c>
      <c r="AA36" s="51" t="str">
        <f t="shared" si="18"/>
        <v/>
      </c>
      <c r="AB36" s="51" t="str">
        <f t="shared" si="18"/>
        <v/>
      </c>
      <c r="AC36" s="51" t="str">
        <f t="shared" si="18"/>
        <v/>
      </c>
      <c r="AD36" s="51" t="str">
        <f t="shared" si="18"/>
        <v/>
      </c>
      <c r="AE36" s="51" t="str">
        <f t="shared" si="18"/>
        <v/>
      </c>
      <c r="AF36" s="51" t="str">
        <f t="shared" si="18"/>
        <v/>
      </c>
      <c r="AG36" s="51" t="str">
        <f t="shared" si="18"/>
        <v/>
      </c>
      <c r="AH36" s="51" t="str">
        <f t="shared" si="18"/>
        <v/>
      </c>
      <c r="AI36" s="51" t="str">
        <f t="shared" si="18"/>
        <v/>
      </c>
      <c r="AJ36" s="51" t="str">
        <f t="shared" si="18"/>
        <v/>
      </c>
      <c r="AK36" s="51" t="str">
        <f t="shared" si="18"/>
        <v/>
      </c>
      <c r="AL36" s="51" t="str">
        <f t="shared" si="18"/>
        <v/>
      </c>
      <c r="AM36" s="51" t="str">
        <f t="shared" si="18"/>
        <v/>
      </c>
      <c r="AN36" s="51" t="str">
        <f t="shared" si="18"/>
        <v/>
      </c>
      <c r="AO36" s="51" t="str">
        <f t="shared" si="18"/>
        <v/>
      </c>
    </row>
    <row r="37" ht="15" customHeight="1" spans="1:41">
      <c r="A37" s="46"/>
      <c r="B37" s="47" t="s">
        <v>57</v>
      </c>
      <c r="C37" s="48" t="s">
        <v>58</v>
      </c>
      <c r="D37" s="49">
        <v>0</v>
      </c>
      <c r="E37" s="49">
        <v>0.05</v>
      </c>
      <c r="F37" s="49">
        <v>0</v>
      </c>
      <c r="G37" s="49">
        <f t="shared" si="15"/>
        <v>0.05</v>
      </c>
      <c r="H37" s="49">
        <f t="shared" si="16"/>
        <v>0</v>
      </c>
      <c r="I37" s="49" t="s">
        <v>44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 t="str">
        <f t="shared" ref="Z37:AO37" si="19">IF(J37="","",IF(J37&gt;($D37+$E37),(J37-$D37-$E37),IF(J37&lt;($D37+$F37),(J37-$D37-$F37),"√")))</f>
        <v/>
      </c>
      <c r="AA37" s="51" t="str">
        <f t="shared" si="19"/>
        <v/>
      </c>
      <c r="AB37" s="51" t="str">
        <f t="shared" si="19"/>
        <v/>
      </c>
      <c r="AC37" s="51" t="str">
        <f t="shared" si="19"/>
        <v/>
      </c>
      <c r="AD37" s="51" t="str">
        <f t="shared" si="19"/>
        <v/>
      </c>
      <c r="AE37" s="51" t="str">
        <f t="shared" si="19"/>
        <v/>
      </c>
      <c r="AF37" s="51" t="str">
        <f t="shared" si="19"/>
        <v/>
      </c>
      <c r="AG37" s="51" t="str">
        <f t="shared" si="19"/>
        <v/>
      </c>
      <c r="AH37" s="51" t="str">
        <f t="shared" si="19"/>
        <v/>
      </c>
      <c r="AI37" s="51" t="str">
        <f t="shared" si="19"/>
        <v/>
      </c>
      <c r="AJ37" s="51" t="str">
        <f t="shared" si="19"/>
        <v/>
      </c>
      <c r="AK37" s="51" t="str">
        <f t="shared" si="19"/>
        <v/>
      </c>
      <c r="AL37" s="51" t="str">
        <f t="shared" si="19"/>
        <v/>
      </c>
      <c r="AM37" s="51" t="str">
        <f t="shared" si="19"/>
        <v/>
      </c>
      <c r="AN37" s="51" t="str">
        <f t="shared" si="19"/>
        <v/>
      </c>
      <c r="AO37" s="51" t="str">
        <f t="shared" si="19"/>
        <v/>
      </c>
    </row>
    <row r="38" ht="15" customHeight="1" spans="1:41">
      <c r="A38" s="46"/>
      <c r="B38" s="47">
        <v>1</v>
      </c>
      <c r="C38" s="48"/>
      <c r="D38" s="49"/>
      <c r="E38" s="49"/>
      <c r="F38" s="49"/>
      <c r="G38" s="49"/>
      <c r="H38" s="49"/>
      <c r="I38" s="49" t="s">
        <v>44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ht="15" customHeight="1" spans="1:41">
      <c r="A39" s="46"/>
      <c r="B39" s="47">
        <v>2</v>
      </c>
      <c r="C39" s="48"/>
      <c r="D39" s="49"/>
      <c r="E39" s="49"/>
      <c r="F39" s="49"/>
      <c r="G39" s="49"/>
      <c r="H39" s="49"/>
      <c r="I39" s="49" t="s">
        <v>44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ht="15" customHeight="1" spans="1:41">
      <c r="A40" s="46"/>
      <c r="B40" s="47" t="s">
        <v>59</v>
      </c>
      <c r="C40" s="48" t="s">
        <v>58</v>
      </c>
      <c r="D40" s="49">
        <v>0</v>
      </c>
      <c r="E40" s="49">
        <v>0.05</v>
      </c>
      <c r="F40" s="49">
        <v>0</v>
      </c>
      <c r="G40" s="49">
        <f t="shared" ref="G40:G47" si="20">E40+D40</f>
        <v>0.05</v>
      </c>
      <c r="H40" s="49">
        <f t="shared" ref="H40:H47" si="21">F40+D40</f>
        <v>0</v>
      </c>
      <c r="I40" s="49" t="s">
        <v>44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 t="str">
        <f t="shared" ref="Z40:AO40" si="22">IF(J40="","",IF(J40&gt;($D40+$E40),(J40-$D40-$E40),IF(J40&lt;($D40+$F40),(J40-$D40-$F40),"√")))</f>
        <v/>
      </c>
      <c r="AA40" s="51" t="str">
        <f t="shared" si="22"/>
        <v/>
      </c>
      <c r="AB40" s="51" t="str">
        <f t="shared" si="22"/>
        <v/>
      </c>
      <c r="AC40" s="51" t="str">
        <f t="shared" si="22"/>
        <v/>
      </c>
      <c r="AD40" s="51" t="str">
        <f t="shared" si="22"/>
        <v/>
      </c>
      <c r="AE40" s="51" t="str">
        <f t="shared" si="22"/>
        <v/>
      </c>
      <c r="AF40" s="51" t="str">
        <f t="shared" si="22"/>
        <v/>
      </c>
      <c r="AG40" s="51" t="str">
        <f t="shared" si="22"/>
        <v/>
      </c>
      <c r="AH40" s="51" t="str">
        <f t="shared" si="22"/>
        <v/>
      </c>
      <c r="AI40" s="51" t="str">
        <f t="shared" si="22"/>
        <v/>
      </c>
      <c r="AJ40" s="51" t="str">
        <f t="shared" si="22"/>
        <v/>
      </c>
      <c r="AK40" s="51" t="str">
        <f t="shared" si="22"/>
        <v/>
      </c>
      <c r="AL40" s="51" t="str">
        <f t="shared" si="22"/>
        <v/>
      </c>
      <c r="AM40" s="51" t="str">
        <f t="shared" si="22"/>
        <v/>
      </c>
      <c r="AN40" s="51" t="str">
        <f t="shared" si="22"/>
        <v/>
      </c>
      <c r="AO40" s="51" t="str">
        <f t="shared" si="22"/>
        <v/>
      </c>
    </row>
    <row r="41" ht="15" customHeight="1" spans="1:41">
      <c r="A41" s="46"/>
      <c r="B41" s="47">
        <v>1</v>
      </c>
      <c r="C41" s="48"/>
      <c r="D41" s="49"/>
      <c r="E41" s="49"/>
      <c r="F41" s="49"/>
      <c r="G41" s="49"/>
      <c r="H41" s="49"/>
      <c r="I41" s="49" t="s">
        <v>44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15" customHeight="1" spans="1:41">
      <c r="A42" s="46"/>
      <c r="B42" s="48">
        <v>2</v>
      </c>
      <c r="C42" s="48"/>
      <c r="D42" s="49"/>
      <c r="E42" s="49"/>
      <c r="F42" s="49"/>
      <c r="G42" s="49"/>
      <c r="H42" s="49"/>
      <c r="I42" s="49" t="s">
        <v>44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</row>
    <row r="43" ht="15" customHeight="1" spans="1:41">
      <c r="A43" s="46"/>
      <c r="B43" s="47" t="s">
        <v>60</v>
      </c>
      <c r="C43" s="48" t="s">
        <v>61</v>
      </c>
      <c r="D43" s="49">
        <v>0.6</v>
      </c>
      <c r="E43" s="49">
        <v>0.02</v>
      </c>
      <c r="F43" s="49">
        <v>-0.02</v>
      </c>
      <c r="G43" s="49">
        <f t="shared" si="20"/>
        <v>0.62</v>
      </c>
      <c r="H43" s="49">
        <f t="shared" si="21"/>
        <v>0.58</v>
      </c>
      <c r="I43" s="49" t="s">
        <v>62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 t="str">
        <f t="shared" ref="Z43:AO43" si="23">IF(J43="","",IF(J43&gt;($D43+$E43),(J43-$D43-$E43),IF(J43&lt;($D43+$F43),(J43-$D43-$F43),"√")))</f>
        <v/>
      </c>
      <c r="AA43" s="51" t="str">
        <f t="shared" si="23"/>
        <v/>
      </c>
      <c r="AB43" s="51" t="str">
        <f t="shared" si="23"/>
        <v/>
      </c>
      <c r="AC43" s="51" t="str">
        <f t="shared" si="23"/>
        <v/>
      </c>
      <c r="AD43" s="51" t="str">
        <f t="shared" si="23"/>
        <v/>
      </c>
      <c r="AE43" s="51" t="str">
        <f t="shared" si="23"/>
        <v/>
      </c>
      <c r="AF43" s="51" t="str">
        <f t="shared" si="23"/>
        <v/>
      </c>
      <c r="AG43" s="51" t="str">
        <f t="shared" si="23"/>
        <v/>
      </c>
      <c r="AH43" s="51" t="str">
        <f t="shared" si="23"/>
        <v/>
      </c>
      <c r="AI43" s="51" t="str">
        <f t="shared" si="23"/>
        <v/>
      </c>
      <c r="AJ43" s="51" t="str">
        <f t="shared" si="23"/>
        <v/>
      </c>
      <c r="AK43" s="51" t="str">
        <f t="shared" si="23"/>
        <v/>
      </c>
      <c r="AL43" s="51" t="str">
        <f t="shared" si="23"/>
        <v/>
      </c>
      <c r="AM43" s="51" t="str">
        <f t="shared" si="23"/>
        <v/>
      </c>
      <c r="AN43" s="51" t="str">
        <f t="shared" si="23"/>
        <v/>
      </c>
      <c r="AO43" s="51" t="str">
        <f t="shared" si="23"/>
        <v/>
      </c>
    </row>
    <row r="44" ht="15" customHeight="1" spans="1:41">
      <c r="A44" s="46"/>
      <c r="B44" s="47" t="s">
        <v>63</v>
      </c>
      <c r="C44" s="48" t="s">
        <v>61</v>
      </c>
      <c r="D44" s="49">
        <v>0.6</v>
      </c>
      <c r="E44" s="49">
        <v>0.02</v>
      </c>
      <c r="F44" s="49">
        <v>-0.02</v>
      </c>
      <c r="G44" s="49">
        <f t="shared" si="20"/>
        <v>0.62</v>
      </c>
      <c r="H44" s="49">
        <f t="shared" si="21"/>
        <v>0.58</v>
      </c>
      <c r="I44" s="49" t="s">
        <v>62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 t="str">
        <f t="shared" ref="Z44:AO44" si="24">IF(J44="","",IF(J44&gt;($D44+$E44),(J44-$D44-$E44),IF(J44&lt;($D44+$F44),(J44-$D44-$F44),"√")))</f>
        <v/>
      </c>
      <c r="AA44" s="51" t="str">
        <f t="shared" si="24"/>
        <v/>
      </c>
      <c r="AB44" s="51" t="str">
        <f t="shared" si="24"/>
        <v/>
      </c>
      <c r="AC44" s="51" t="str">
        <f t="shared" si="24"/>
        <v/>
      </c>
      <c r="AD44" s="51" t="str">
        <f t="shared" si="24"/>
        <v/>
      </c>
      <c r="AE44" s="51" t="str">
        <f t="shared" si="24"/>
        <v/>
      </c>
      <c r="AF44" s="51" t="str">
        <f t="shared" si="24"/>
        <v/>
      </c>
      <c r="AG44" s="51" t="str">
        <f t="shared" si="24"/>
        <v/>
      </c>
      <c r="AH44" s="51" t="str">
        <f t="shared" si="24"/>
        <v/>
      </c>
      <c r="AI44" s="51" t="str">
        <f t="shared" si="24"/>
        <v/>
      </c>
      <c r="AJ44" s="51" t="str">
        <f t="shared" si="24"/>
        <v/>
      </c>
      <c r="AK44" s="51" t="str">
        <f t="shared" si="24"/>
        <v/>
      </c>
      <c r="AL44" s="51" t="str">
        <f t="shared" si="24"/>
        <v/>
      </c>
      <c r="AM44" s="51" t="str">
        <f t="shared" si="24"/>
        <v/>
      </c>
      <c r="AN44" s="51" t="str">
        <f t="shared" si="24"/>
        <v/>
      </c>
      <c r="AO44" s="51" t="str">
        <f t="shared" si="24"/>
        <v/>
      </c>
    </row>
    <row r="45" ht="15" customHeight="1" spans="1:41">
      <c r="A45" s="46"/>
      <c r="B45" s="47" t="s">
        <v>64</v>
      </c>
      <c r="C45" s="48" t="s">
        <v>65</v>
      </c>
      <c r="D45" s="49">
        <v>0.915</v>
      </c>
      <c r="E45" s="49">
        <v>0.015</v>
      </c>
      <c r="F45" s="49">
        <v>-0.01</v>
      </c>
      <c r="G45" s="49">
        <f t="shared" si="20"/>
        <v>0.93</v>
      </c>
      <c r="H45" s="49">
        <f t="shared" si="21"/>
        <v>0.905</v>
      </c>
      <c r="I45" s="49" t="s">
        <v>66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 t="str">
        <f t="shared" ref="Z45:AO45" si="25">IF(J45="","",IF(J45&gt;($D45+$E45),(J45-$D45-$E45),IF(J45&lt;($D45+$F45),(J45-$D45-$F45),"√")))</f>
        <v/>
      </c>
      <c r="AA45" s="51" t="str">
        <f t="shared" si="25"/>
        <v/>
      </c>
      <c r="AB45" s="51" t="str">
        <f t="shared" si="25"/>
        <v/>
      </c>
      <c r="AC45" s="51" t="str">
        <f t="shared" si="25"/>
        <v/>
      </c>
      <c r="AD45" s="51" t="str">
        <f t="shared" si="25"/>
        <v/>
      </c>
      <c r="AE45" s="51" t="str">
        <f t="shared" si="25"/>
        <v/>
      </c>
      <c r="AF45" s="51" t="str">
        <f t="shared" si="25"/>
        <v/>
      </c>
      <c r="AG45" s="51" t="str">
        <f t="shared" si="25"/>
        <v/>
      </c>
      <c r="AH45" s="51" t="str">
        <f t="shared" si="25"/>
        <v/>
      </c>
      <c r="AI45" s="51" t="str">
        <f t="shared" si="25"/>
        <v/>
      </c>
      <c r="AJ45" s="51" t="str">
        <f t="shared" si="25"/>
        <v/>
      </c>
      <c r="AK45" s="51" t="str">
        <f t="shared" si="25"/>
        <v/>
      </c>
      <c r="AL45" s="51" t="str">
        <f t="shared" si="25"/>
        <v/>
      </c>
      <c r="AM45" s="51" t="str">
        <f t="shared" si="25"/>
        <v/>
      </c>
      <c r="AN45" s="51" t="str">
        <f t="shared" si="25"/>
        <v/>
      </c>
      <c r="AO45" s="51" t="str">
        <f t="shared" si="25"/>
        <v/>
      </c>
    </row>
    <row r="46" ht="15" customHeight="1" spans="1:41">
      <c r="A46" s="46"/>
      <c r="B46" s="47" t="s">
        <v>67</v>
      </c>
      <c r="C46" s="48" t="s">
        <v>65</v>
      </c>
      <c r="D46" s="49">
        <v>0.915</v>
      </c>
      <c r="E46" s="49">
        <v>0.015</v>
      </c>
      <c r="F46" s="49">
        <v>-0.01</v>
      </c>
      <c r="G46" s="49">
        <f t="shared" si="20"/>
        <v>0.93</v>
      </c>
      <c r="H46" s="49">
        <f t="shared" si="21"/>
        <v>0.905</v>
      </c>
      <c r="I46" s="49" t="s">
        <v>66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 t="str">
        <f t="shared" ref="Z46:AO46" si="26">IF(J46="","",IF(J46&gt;($D46+$E46),(J46-$D46-$E46),IF(J46&lt;($D46+$F46),(J46-$D46-$F46),"√")))</f>
        <v/>
      </c>
      <c r="AA46" s="51" t="str">
        <f t="shared" si="26"/>
        <v/>
      </c>
      <c r="AB46" s="51" t="str">
        <f t="shared" si="26"/>
        <v/>
      </c>
      <c r="AC46" s="51" t="str">
        <f t="shared" si="26"/>
        <v/>
      </c>
      <c r="AD46" s="51" t="str">
        <f t="shared" si="26"/>
        <v/>
      </c>
      <c r="AE46" s="51" t="str">
        <f t="shared" si="26"/>
        <v/>
      </c>
      <c r="AF46" s="51" t="str">
        <f t="shared" si="26"/>
        <v/>
      </c>
      <c r="AG46" s="51" t="str">
        <f t="shared" si="26"/>
        <v/>
      </c>
      <c r="AH46" s="51" t="str">
        <f t="shared" si="26"/>
        <v/>
      </c>
      <c r="AI46" s="51" t="str">
        <f t="shared" si="26"/>
        <v/>
      </c>
      <c r="AJ46" s="51" t="str">
        <f t="shared" si="26"/>
        <v/>
      </c>
      <c r="AK46" s="51" t="str">
        <f t="shared" si="26"/>
        <v/>
      </c>
      <c r="AL46" s="51" t="str">
        <f t="shared" si="26"/>
        <v/>
      </c>
      <c r="AM46" s="51" t="str">
        <f t="shared" si="26"/>
        <v/>
      </c>
      <c r="AN46" s="51" t="str">
        <f t="shared" si="26"/>
        <v/>
      </c>
      <c r="AO46" s="51" t="str">
        <f t="shared" si="26"/>
        <v/>
      </c>
    </row>
    <row r="47" ht="15" customHeight="1" spans="1:41">
      <c r="A47" s="46"/>
      <c r="B47" s="47" t="s">
        <v>68</v>
      </c>
      <c r="C47" s="48"/>
      <c r="D47" s="49">
        <v>0.8</v>
      </c>
      <c r="E47" s="49">
        <v>0.04</v>
      </c>
      <c r="F47" s="49">
        <v>-0.04</v>
      </c>
      <c r="G47" s="49">
        <f t="shared" si="20"/>
        <v>0.84</v>
      </c>
      <c r="H47" s="49">
        <f t="shared" si="21"/>
        <v>0.76</v>
      </c>
      <c r="I47" s="49" t="s">
        <v>62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 t="str">
        <f t="shared" ref="Z47:AO47" si="27">IF(J47="","",IF(J47&gt;($D47+$E47),(J47-$D47-$E47),IF(J47&lt;($D47+$F47),(J47-$D47-$F47),"√")))</f>
        <v/>
      </c>
      <c r="AA47" s="51" t="str">
        <f t="shared" si="27"/>
        <v/>
      </c>
      <c r="AB47" s="51" t="str">
        <f t="shared" si="27"/>
        <v/>
      </c>
      <c r="AC47" s="51" t="str">
        <f t="shared" si="27"/>
        <v/>
      </c>
      <c r="AD47" s="51" t="str">
        <f t="shared" si="27"/>
        <v/>
      </c>
      <c r="AE47" s="51" t="str">
        <f t="shared" si="27"/>
        <v/>
      </c>
      <c r="AF47" s="51" t="str">
        <f t="shared" si="27"/>
        <v/>
      </c>
      <c r="AG47" s="51" t="str">
        <f t="shared" si="27"/>
        <v/>
      </c>
      <c r="AH47" s="51" t="str">
        <f t="shared" si="27"/>
        <v/>
      </c>
      <c r="AI47" s="51" t="str">
        <f t="shared" si="27"/>
        <v/>
      </c>
      <c r="AJ47" s="51" t="str">
        <f t="shared" si="27"/>
        <v/>
      </c>
      <c r="AK47" s="51" t="str">
        <f t="shared" si="27"/>
        <v/>
      </c>
      <c r="AL47" s="51" t="str">
        <f t="shared" si="27"/>
        <v/>
      </c>
      <c r="AM47" s="51" t="str">
        <f t="shared" si="27"/>
        <v/>
      </c>
      <c r="AN47" s="51" t="str">
        <f t="shared" si="27"/>
        <v/>
      </c>
      <c r="AO47" s="51" t="str">
        <f t="shared" si="27"/>
        <v/>
      </c>
    </row>
    <row r="48" ht="15" spans="1:41">
      <c r="A48" s="52"/>
    </row>
    <row r="49" ht="15" spans="1:1">
      <c r="A49" s="52"/>
    </row>
    <row r="50" ht="15" spans="1:1">
      <c r="A50" s="52"/>
    </row>
  </sheetData>
  <mergeCells count="27">
    <mergeCell ref="A1:AO1"/>
    <mergeCell ref="S2:X2"/>
    <mergeCell ref="Y2:AD2"/>
    <mergeCell ref="AE2:AJ2"/>
    <mergeCell ref="AK2:AO2"/>
    <mergeCell ref="S3:X3"/>
    <mergeCell ref="Y3:AD3"/>
    <mergeCell ref="AE3:AJ3"/>
    <mergeCell ref="AK3:AO3"/>
    <mergeCell ref="J4:Y4"/>
    <mergeCell ref="Z4:AO4"/>
    <mergeCell ref="J5:Y5"/>
    <mergeCell ref="Z5:AO5"/>
    <mergeCell ref="A2:A3"/>
    <mergeCell ref="A4:A6"/>
    <mergeCell ref="A7:A4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">
    <cfRule type="cellIs" dxfId="0" priority="105" operator="notBetween">
      <formula>$G7</formula>
      <formula>$H7</formula>
    </cfRule>
  </conditionalFormatting>
  <conditionalFormatting sqref="K7">
    <cfRule type="cellIs" dxfId="0" priority="90" operator="notBetween">
      <formula>$G7</formula>
      <formula>$H7</formula>
    </cfRule>
  </conditionalFormatting>
  <conditionalFormatting sqref="L7">
    <cfRule type="cellIs" dxfId="0" priority="89" operator="notBetween">
      <formula>$G7</formula>
      <formula>$H7</formula>
    </cfRule>
  </conditionalFormatting>
  <conditionalFormatting sqref="M7">
    <cfRule type="cellIs" dxfId="0" priority="88" operator="notBetween">
      <formula>$G7</formula>
      <formula>$H7</formula>
    </cfRule>
  </conditionalFormatting>
  <conditionalFormatting sqref="N7">
    <cfRule type="cellIs" dxfId="0" priority="87" operator="notBetween">
      <formula>$G7</formula>
      <formula>$H7</formula>
    </cfRule>
  </conditionalFormatting>
  <conditionalFormatting sqref="O7">
    <cfRule type="cellIs" dxfId="0" priority="86" operator="notBetween">
      <formula>$G7</formula>
      <formula>$H7</formula>
    </cfRule>
  </conditionalFormatting>
  <conditionalFormatting sqref="P7">
    <cfRule type="cellIs" dxfId="0" priority="85" operator="notBetween">
      <formula>$G7</formula>
      <formula>$H7</formula>
    </cfRule>
  </conditionalFormatting>
  <conditionalFormatting sqref="Q7">
    <cfRule type="cellIs" dxfId="0" priority="84" operator="notBetween">
      <formula>$G7</formula>
      <formula>$H7</formula>
    </cfRule>
  </conditionalFormatting>
  <conditionalFormatting sqref="R7">
    <cfRule type="cellIs" dxfId="0" priority="83" operator="notBetween">
      <formula>$G7</formula>
      <formula>$H7</formula>
    </cfRule>
  </conditionalFormatting>
  <conditionalFormatting sqref="S7">
    <cfRule type="cellIs" dxfId="0" priority="82" operator="notBetween">
      <formula>$G7</formula>
      <formula>$H7</formula>
    </cfRule>
  </conditionalFormatting>
  <conditionalFormatting sqref="T7">
    <cfRule type="cellIs" dxfId="0" priority="81" operator="notBetween">
      <formula>$G7</formula>
      <formula>$H7</formula>
    </cfRule>
  </conditionalFormatting>
  <conditionalFormatting sqref="U7">
    <cfRule type="cellIs" dxfId="0" priority="80" operator="notBetween">
      <formula>$G7</formula>
      <formula>$H7</formula>
    </cfRule>
  </conditionalFormatting>
  <conditionalFormatting sqref="V7">
    <cfRule type="cellIs" dxfId="0" priority="79" operator="notBetween">
      <formula>$G7</formula>
      <formula>$H7</formula>
    </cfRule>
  </conditionalFormatting>
  <conditionalFormatting sqref="W7">
    <cfRule type="cellIs" dxfId="0" priority="78" operator="notBetween">
      <formula>$G7</formula>
      <formula>$H7</formula>
    </cfRule>
  </conditionalFormatting>
  <conditionalFormatting sqref="X7">
    <cfRule type="cellIs" dxfId="0" priority="77" operator="notBetween">
      <formula>$G7</formula>
      <formula>$H7</formula>
    </cfRule>
  </conditionalFormatting>
  <conditionalFormatting sqref="Y7">
    <cfRule type="cellIs" dxfId="0" priority="76" operator="notBetween">
      <formula>$G7</formula>
      <formula>$H7</formula>
    </cfRule>
  </conditionalFormatting>
  <conditionalFormatting sqref="J33">
    <cfRule type="cellIs" dxfId="0" priority="103" operator="notBetween">
      <formula>$G33</formula>
      <formula>$H33</formula>
    </cfRule>
  </conditionalFormatting>
  <conditionalFormatting sqref="K33">
    <cfRule type="cellIs" dxfId="0" priority="45" operator="notBetween">
      <formula>$G33</formula>
      <formula>$H33</formula>
    </cfRule>
  </conditionalFormatting>
  <conditionalFormatting sqref="L33">
    <cfRule type="cellIs" dxfId="0" priority="44" operator="notBetween">
      <formula>$G33</formula>
      <formula>$H33</formula>
    </cfRule>
  </conditionalFormatting>
  <conditionalFormatting sqref="M33">
    <cfRule type="cellIs" dxfId="0" priority="43" operator="notBetween">
      <formula>$G33</formula>
      <formula>$H33</formula>
    </cfRule>
  </conditionalFormatting>
  <conditionalFormatting sqref="N33">
    <cfRule type="cellIs" dxfId="0" priority="42" operator="notBetween">
      <formula>$G33</formula>
      <formula>$H33</formula>
    </cfRule>
  </conditionalFormatting>
  <conditionalFormatting sqref="O33">
    <cfRule type="cellIs" dxfId="0" priority="41" operator="notBetween">
      <formula>$G33</formula>
      <formula>$H33</formula>
    </cfRule>
  </conditionalFormatting>
  <conditionalFormatting sqref="P33">
    <cfRule type="cellIs" dxfId="0" priority="40" operator="notBetween">
      <formula>$G33</formula>
      <formula>$H33</formula>
    </cfRule>
  </conditionalFormatting>
  <conditionalFormatting sqref="Q33">
    <cfRule type="cellIs" dxfId="0" priority="39" operator="notBetween">
      <formula>$G33</formula>
      <formula>$H33</formula>
    </cfRule>
  </conditionalFormatting>
  <conditionalFormatting sqref="R33">
    <cfRule type="cellIs" dxfId="0" priority="38" operator="notBetween">
      <formula>$G33</formula>
      <formula>$H33</formula>
    </cfRule>
  </conditionalFormatting>
  <conditionalFormatting sqref="S33">
    <cfRule type="cellIs" dxfId="0" priority="37" operator="notBetween">
      <formula>$G33</formula>
      <formula>$H33</formula>
    </cfRule>
  </conditionalFormatting>
  <conditionalFormatting sqref="T33">
    <cfRule type="cellIs" dxfId="0" priority="36" operator="notBetween">
      <formula>$G33</formula>
      <formula>$H33</formula>
    </cfRule>
  </conditionalFormatting>
  <conditionalFormatting sqref="U33">
    <cfRule type="cellIs" dxfId="0" priority="35" operator="notBetween">
      <formula>$G33</formula>
      <formula>$H33</formula>
    </cfRule>
  </conditionalFormatting>
  <conditionalFormatting sqref="V33">
    <cfRule type="cellIs" dxfId="0" priority="34" operator="notBetween">
      <formula>$G33</formula>
      <formula>$H33</formula>
    </cfRule>
  </conditionalFormatting>
  <conditionalFormatting sqref="W33">
    <cfRule type="cellIs" dxfId="0" priority="33" operator="notBetween">
      <formula>$G33</formula>
      <formula>$H33</formula>
    </cfRule>
  </conditionalFormatting>
  <conditionalFormatting sqref="X33">
    <cfRule type="cellIs" dxfId="0" priority="32" operator="notBetween">
      <formula>$G33</formula>
      <formula>$H33</formula>
    </cfRule>
  </conditionalFormatting>
  <conditionalFormatting sqref="Y33">
    <cfRule type="cellIs" dxfId="0" priority="31" operator="notBetween">
      <formula>$G33</formula>
      <formula>$H33</formula>
    </cfRule>
  </conditionalFormatting>
  <conditionalFormatting sqref="J36">
    <cfRule type="cellIs" dxfId="0" priority="102" operator="notBetween">
      <formula>$G36</formula>
      <formula>$H36</formula>
    </cfRule>
  </conditionalFormatting>
  <conditionalFormatting sqref="K36">
    <cfRule type="cellIs" dxfId="0" priority="30" operator="notBetween">
      <formula>$G36</formula>
      <formula>$H36</formula>
    </cfRule>
  </conditionalFormatting>
  <conditionalFormatting sqref="L36">
    <cfRule type="cellIs" dxfId="0" priority="29" operator="notBetween">
      <formula>$G36</formula>
      <formula>$H36</formula>
    </cfRule>
  </conditionalFormatting>
  <conditionalFormatting sqref="M36">
    <cfRule type="cellIs" dxfId="0" priority="28" operator="notBetween">
      <formula>$G36</formula>
      <formula>$H36</formula>
    </cfRule>
  </conditionalFormatting>
  <conditionalFormatting sqref="N36">
    <cfRule type="cellIs" dxfId="0" priority="27" operator="notBetween">
      <formula>$G36</formula>
      <formula>$H36</formula>
    </cfRule>
  </conditionalFormatting>
  <conditionalFormatting sqref="O36">
    <cfRule type="cellIs" dxfId="0" priority="26" operator="notBetween">
      <formula>$G36</formula>
      <formula>$H36</formula>
    </cfRule>
  </conditionalFormatting>
  <conditionalFormatting sqref="P36">
    <cfRule type="cellIs" dxfId="0" priority="25" operator="notBetween">
      <formula>$G36</formula>
      <formula>$H36</formula>
    </cfRule>
  </conditionalFormatting>
  <conditionalFormatting sqref="Q36">
    <cfRule type="cellIs" dxfId="0" priority="24" operator="notBetween">
      <formula>$G36</formula>
      <formula>$H36</formula>
    </cfRule>
  </conditionalFormatting>
  <conditionalFormatting sqref="R36">
    <cfRule type="cellIs" dxfId="0" priority="23" operator="notBetween">
      <formula>$G36</formula>
      <formula>$H36</formula>
    </cfRule>
  </conditionalFormatting>
  <conditionalFormatting sqref="S36">
    <cfRule type="cellIs" dxfId="0" priority="22" operator="notBetween">
      <formula>$G36</formula>
      <formula>$H36</formula>
    </cfRule>
  </conditionalFormatting>
  <conditionalFormatting sqref="T36">
    <cfRule type="cellIs" dxfId="0" priority="21" operator="notBetween">
      <formula>$G36</formula>
      <formula>$H36</formula>
    </cfRule>
  </conditionalFormatting>
  <conditionalFormatting sqref="U36">
    <cfRule type="cellIs" dxfId="0" priority="20" operator="notBetween">
      <formula>$G36</formula>
      <formula>$H36</formula>
    </cfRule>
  </conditionalFormatting>
  <conditionalFormatting sqref="V36">
    <cfRule type="cellIs" dxfId="0" priority="19" operator="notBetween">
      <formula>$G36</formula>
      <formula>$H36</formula>
    </cfRule>
  </conditionalFormatting>
  <conditionalFormatting sqref="W36">
    <cfRule type="cellIs" dxfId="0" priority="18" operator="notBetween">
      <formula>$G36</formula>
      <formula>$H36</formula>
    </cfRule>
  </conditionalFormatting>
  <conditionalFormatting sqref="X36">
    <cfRule type="cellIs" dxfId="0" priority="17" operator="notBetween">
      <formula>$G36</formula>
      <formula>$H36</formula>
    </cfRule>
  </conditionalFormatting>
  <conditionalFormatting sqref="Y36">
    <cfRule type="cellIs" dxfId="0" priority="16" operator="notBetween">
      <formula>$G36</formula>
      <formula>$H36</formula>
    </cfRule>
  </conditionalFormatting>
  <conditionalFormatting sqref="J43:X43">
    <cfRule type="cellIs" dxfId="0" priority="101" operator="notBetween">
      <formula>$G43</formula>
      <formula>$H43</formula>
    </cfRule>
  </conditionalFormatting>
  <conditionalFormatting sqref="Y43">
    <cfRule type="cellIs" dxfId="0" priority="100" operator="notBetween">
      <formula>$G43</formula>
      <formula>$H43</formula>
    </cfRule>
  </conditionalFormatting>
  <conditionalFormatting sqref="J44:X44">
    <cfRule type="cellIs" dxfId="0" priority="95" operator="notBetween">
      <formula>$G44</formula>
      <formula>$H44</formula>
    </cfRule>
  </conditionalFormatting>
  <conditionalFormatting sqref="Y44">
    <cfRule type="cellIs" dxfId="0" priority="94" operator="notBetween">
      <formula>$G44</formula>
      <formula>$H44</formula>
    </cfRule>
  </conditionalFormatting>
  <conditionalFormatting sqref="J45:X45">
    <cfRule type="cellIs" dxfId="0" priority="99" operator="notBetween">
      <formula>$G45</formula>
      <formula>$H45</formula>
    </cfRule>
  </conditionalFormatting>
  <conditionalFormatting sqref="Y45">
    <cfRule type="cellIs" dxfId="0" priority="98" operator="notBetween">
      <formula>$G45</formula>
      <formula>$H45</formula>
    </cfRule>
  </conditionalFormatting>
  <conditionalFormatting sqref="J46:X46">
    <cfRule type="cellIs" dxfId="0" priority="93" operator="notBetween">
      <formula>$G46</formula>
      <formula>$H46</formula>
    </cfRule>
  </conditionalFormatting>
  <conditionalFormatting sqref="Y46">
    <cfRule type="cellIs" dxfId="0" priority="92" operator="notBetween">
      <formula>$G46</formula>
      <formula>$H46</formula>
    </cfRule>
  </conditionalFormatting>
  <conditionalFormatting sqref="J47:X47">
    <cfRule type="cellIs" dxfId="0" priority="97" operator="notBetween">
      <formula>$G47</formula>
      <formula>$H47</formula>
    </cfRule>
  </conditionalFormatting>
  <conditionalFormatting sqref="Y47">
    <cfRule type="cellIs" dxfId="0" priority="96" operator="notBetween">
      <formula>$G47</formula>
      <formula>$H47</formula>
    </cfRule>
  </conditionalFormatting>
  <conditionalFormatting sqref="J8:J18">
    <cfRule type="cellIs" dxfId="0" priority="91" operator="notBetween">
      <formula>$G8</formula>
      <formula>$H8</formula>
    </cfRule>
  </conditionalFormatting>
  <conditionalFormatting sqref="K8:K12">
    <cfRule type="cellIs" dxfId="0" priority="75" operator="notBetween">
      <formula>$G8</formula>
      <formula>$H8</formula>
    </cfRule>
  </conditionalFormatting>
  <conditionalFormatting sqref="K13:K18">
    <cfRule type="cellIs" dxfId="0" priority="15" operator="notBetween">
      <formula>$G13</formula>
      <formula>$H13</formula>
    </cfRule>
  </conditionalFormatting>
  <conditionalFormatting sqref="L8:L12">
    <cfRule type="cellIs" dxfId="0" priority="74" operator="notBetween">
      <formula>$G8</formula>
      <formula>$H8</formula>
    </cfRule>
  </conditionalFormatting>
  <conditionalFormatting sqref="L13:L18">
    <cfRule type="cellIs" dxfId="0" priority="14" operator="notBetween">
      <formula>$G13</formula>
      <formula>$H13</formula>
    </cfRule>
  </conditionalFormatting>
  <conditionalFormatting sqref="M8:M12">
    <cfRule type="cellIs" dxfId="0" priority="73" operator="notBetween">
      <formula>$G8</formula>
      <formula>$H8</formula>
    </cfRule>
  </conditionalFormatting>
  <conditionalFormatting sqref="M13:M18">
    <cfRule type="cellIs" dxfId="0" priority="13" operator="notBetween">
      <formula>$G13</formula>
      <formula>$H13</formula>
    </cfRule>
  </conditionalFormatting>
  <conditionalFormatting sqref="N8:N12">
    <cfRule type="cellIs" dxfId="0" priority="72" operator="notBetween">
      <formula>$G8</formula>
      <formula>$H8</formula>
    </cfRule>
  </conditionalFormatting>
  <conditionalFormatting sqref="N13:N18">
    <cfRule type="cellIs" dxfId="0" priority="12" operator="notBetween">
      <formula>$G13</formula>
      <formula>$H13</formula>
    </cfRule>
  </conditionalFormatting>
  <conditionalFormatting sqref="O8:O12">
    <cfRule type="cellIs" dxfId="0" priority="71" operator="notBetween">
      <formula>$G8</formula>
      <formula>$H8</formula>
    </cfRule>
  </conditionalFormatting>
  <conditionalFormatting sqref="O13:O18">
    <cfRule type="cellIs" dxfId="0" priority="11" operator="notBetween">
      <formula>$G13</formula>
      <formula>$H13</formula>
    </cfRule>
  </conditionalFormatting>
  <conditionalFormatting sqref="P8:P12">
    <cfRule type="cellIs" dxfId="0" priority="70" operator="notBetween">
      <formula>$G8</formula>
      <formula>$H8</formula>
    </cfRule>
  </conditionalFormatting>
  <conditionalFormatting sqref="P13:P18">
    <cfRule type="cellIs" dxfId="0" priority="10" operator="notBetween">
      <formula>$G13</formula>
      <formula>$H13</formula>
    </cfRule>
  </conditionalFormatting>
  <conditionalFormatting sqref="Q8:Q12">
    <cfRule type="cellIs" dxfId="0" priority="69" operator="notBetween">
      <formula>$G8</formula>
      <formula>$H8</formula>
    </cfRule>
  </conditionalFormatting>
  <conditionalFormatting sqref="Q13:Q18">
    <cfRule type="cellIs" dxfId="0" priority="9" operator="notBetween">
      <formula>$G13</formula>
      <formula>$H13</formula>
    </cfRule>
  </conditionalFormatting>
  <conditionalFormatting sqref="R8:R12">
    <cfRule type="cellIs" dxfId="0" priority="68" operator="notBetween">
      <formula>$G8</formula>
      <formula>$H8</formula>
    </cfRule>
  </conditionalFormatting>
  <conditionalFormatting sqref="R13:R18">
    <cfRule type="cellIs" dxfId="0" priority="8" operator="notBetween">
      <formula>$G13</formula>
      <formula>$H13</formula>
    </cfRule>
  </conditionalFormatting>
  <conditionalFormatting sqref="S8:S12">
    <cfRule type="cellIs" dxfId="0" priority="67" operator="notBetween">
      <formula>$G8</formula>
      <formula>$H8</formula>
    </cfRule>
  </conditionalFormatting>
  <conditionalFormatting sqref="S13:S18">
    <cfRule type="cellIs" dxfId="0" priority="7" operator="notBetween">
      <formula>$G13</formula>
      <formula>$H13</formula>
    </cfRule>
  </conditionalFormatting>
  <conditionalFormatting sqref="T8:T12">
    <cfRule type="cellIs" dxfId="0" priority="66" operator="notBetween">
      <formula>$G8</formula>
      <formula>$H8</formula>
    </cfRule>
  </conditionalFormatting>
  <conditionalFormatting sqref="T13:T18">
    <cfRule type="cellIs" dxfId="0" priority="6" operator="notBetween">
      <formula>$G13</formula>
      <formula>$H13</formula>
    </cfRule>
  </conditionalFormatting>
  <conditionalFormatting sqref="U8:U12">
    <cfRule type="cellIs" dxfId="0" priority="65" operator="notBetween">
      <formula>$G8</formula>
      <formula>$H8</formula>
    </cfRule>
  </conditionalFormatting>
  <conditionalFormatting sqref="U13:U18">
    <cfRule type="cellIs" dxfId="0" priority="5" operator="notBetween">
      <formula>$G13</formula>
      <formula>$H13</formula>
    </cfRule>
  </conditionalFormatting>
  <conditionalFormatting sqref="V8:V12">
    <cfRule type="cellIs" dxfId="0" priority="64" operator="notBetween">
      <formula>$G8</formula>
      <formula>$H8</formula>
    </cfRule>
  </conditionalFormatting>
  <conditionalFormatting sqref="V13:V18">
    <cfRule type="cellIs" dxfId="0" priority="4" operator="notBetween">
      <formula>$G13</formula>
      <formula>$H13</formula>
    </cfRule>
  </conditionalFormatting>
  <conditionalFormatting sqref="W8:W12">
    <cfRule type="cellIs" dxfId="0" priority="63" operator="notBetween">
      <formula>$G8</formula>
      <formula>$H8</formula>
    </cfRule>
  </conditionalFormatting>
  <conditionalFormatting sqref="W13:W18">
    <cfRule type="cellIs" dxfId="0" priority="3" operator="notBetween">
      <formula>$G13</formula>
      <formula>$H13</formula>
    </cfRule>
  </conditionalFormatting>
  <conditionalFormatting sqref="X8:X12">
    <cfRule type="cellIs" dxfId="0" priority="62" operator="notBetween">
      <formula>$G8</formula>
      <formula>$H8</formula>
    </cfRule>
  </conditionalFormatting>
  <conditionalFormatting sqref="X13:X18">
    <cfRule type="cellIs" dxfId="0" priority="2" operator="notBetween">
      <formula>$G13</formula>
      <formula>$H13</formula>
    </cfRule>
  </conditionalFormatting>
  <conditionalFormatting sqref="Y8:Y12">
    <cfRule type="cellIs" dxfId="0" priority="61" operator="notBetween">
      <formula>$G8</formula>
      <formula>$H8</formula>
    </cfRule>
  </conditionalFormatting>
  <conditionalFormatting sqref="Y13:Y18">
    <cfRule type="cellIs" dxfId="0" priority="1" operator="notBetween">
      <formula>$G13</formula>
      <formula>$H13</formula>
    </cfRule>
  </conditionalFormatting>
  <conditionalFormatting sqref="J37 J40">
    <cfRule type="cellIs" dxfId="0" priority="104" operator="notBetween">
      <formula>$G37</formula>
      <formula>$H37</formula>
    </cfRule>
  </conditionalFormatting>
  <conditionalFormatting sqref="K37 K40">
    <cfRule type="cellIs" dxfId="0" priority="60" operator="notBetween">
      <formula>$G37</formula>
      <formula>$H37</formula>
    </cfRule>
  </conditionalFormatting>
  <conditionalFormatting sqref="L37 L40">
    <cfRule type="cellIs" dxfId="0" priority="59" operator="notBetween">
      <formula>$G37</formula>
      <formula>$H37</formula>
    </cfRule>
  </conditionalFormatting>
  <conditionalFormatting sqref="M37 M40">
    <cfRule type="cellIs" dxfId="0" priority="58" operator="notBetween">
      <formula>$G37</formula>
      <formula>$H37</formula>
    </cfRule>
  </conditionalFormatting>
  <conditionalFormatting sqref="N37 N40">
    <cfRule type="cellIs" dxfId="0" priority="57" operator="notBetween">
      <formula>$G37</formula>
      <formula>$H37</formula>
    </cfRule>
  </conditionalFormatting>
  <conditionalFormatting sqref="O37 O40">
    <cfRule type="cellIs" dxfId="0" priority="56" operator="notBetween">
      <formula>$G37</formula>
      <formula>$H37</formula>
    </cfRule>
  </conditionalFormatting>
  <conditionalFormatting sqref="P37 P40">
    <cfRule type="cellIs" dxfId="0" priority="55" operator="notBetween">
      <formula>$G37</formula>
      <formula>$H37</formula>
    </cfRule>
  </conditionalFormatting>
  <conditionalFormatting sqref="Q37 Q40">
    <cfRule type="cellIs" dxfId="0" priority="54" operator="notBetween">
      <formula>$G37</formula>
      <formula>$H37</formula>
    </cfRule>
  </conditionalFormatting>
  <conditionalFormatting sqref="R37 R40">
    <cfRule type="cellIs" dxfId="0" priority="53" operator="notBetween">
      <formula>$G37</formula>
      <formula>$H37</formula>
    </cfRule>
  </conditionalFormatting>
  <conditionalFormatting sqref="S37 S40">
    <cfRule type="cellIs" dxfId="0" priority="52" operator="notBetween">
      <formula>$G37</formula>
      <formula>$H37</formula>
    </cfRule>
  </conditionalFormatting>
  <conditionalFormatting sqref="T37 T40">
    <cfRule type="cellIs" dxfId="0" priority="51" operator="notBetween">
      <formula>$G37</formula>
      <formula>$H37</formula>
    </cfRule>
  </conditionalFormatting>
  <conditionalFormatting sqref="U37 U40">
    <cfRule type="cellIs" dxfId="0" priority="50" operator="notBetween">
      <formula>$G37</formula>
      <formula>$H37</formula>
    </cfRule>
  </conditionalFormatting>
  <conditionalFormatting sqref="V37 V40">
    <cfRule type="cellIs" dxfId="0" priority="49" operator="notBetween">
      <formula>$G37</formula>
      <formula>$H37</formula>
    </cfRule>
  </conditionalFormatting>
  <conditionalFormatting sqref="W37 W40">
    <cfRule type="cellIs" dxfId="0" priority="48" operator="notBetween">
      <formula>$G37</formula>
      <formula>$H37</formula>
    </cfRule>
  </conditionalFormatting>
  <conditionalFormatting sqref="X37 X40">
    <cfRule type="cellIs" dxfId="0" priority="47" operator="notBetween">
      <formula>$G37</formula>
      <formula>$H37</formula>
    </cfRule>
  </conditionalFormatting>
  <conditionalFormatting sqref="Y37 Y40">
    <cfRule type="cellIs" dxfId="0" priority="46" operator="notBetween">
      <formula>$G37</formula>
      <formula>$H37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1-2</vt:lpstr>
      <vt:lpstr>3-4</vt:lpstr>
      <vt:lpstr>5-6</vt:lpstr>
      <vt:lpstr>7-8</vt:lpstr>
      <vt:lpstr>9-10</vt:lpstr>
      <vt:lpstr>11-12</vt:lpstr>
      <vt:lpstr>13-14</vt:lpstr>
      <vt:lpstr>15-16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2026-07-04T16:29:03Z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