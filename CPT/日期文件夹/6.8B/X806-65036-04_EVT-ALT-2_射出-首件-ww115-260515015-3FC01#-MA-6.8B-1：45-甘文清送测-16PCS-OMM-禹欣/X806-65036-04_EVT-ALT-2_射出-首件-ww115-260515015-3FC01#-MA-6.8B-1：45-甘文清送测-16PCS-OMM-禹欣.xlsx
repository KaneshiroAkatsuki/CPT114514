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806-65036" sheetId="1" r:id="rId1"/>
  </sheets>
  <definedNames>
    <definedName name="_xlnm.Print_Area" localSheetId="0">'806-65036'!$B$1:$AE$6</definedName>
    <definedName name="_xlnm.Print_Titles" localSheetId="0">'806-65036'!$1:6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<sst xmlns="http://schemas.openxmlformats.org/spreadsheetml/2006/main" count="87" uniqueCount="51">
  <si>
    <t>安徽中耀智能科技有限公司首件尺寸报告</t>
  </si>
  <si>
    <t>料号</t>
  </si>
  <si>
    <t>X806-65036</t>
  </si>
  <si>
    <t>工单号</t>
  </si>
  <si>
    <t>ww115-260515015</t>
  </si>
  <si>
    <t>工站</t>
  </si>
  <si>
    <t xml:space="preserve">射出机台号     
</t>
  </si>
  <si>
    <t>量测机台号</t>
  </si>
  <si>
    <t>测量人员</t>
  </si>
  <si>
    <t>审核</t>
  </si>
  <si>
    <t>射出</t>
  </si>
  <si>
    <t>3FC01#</t>
  </si>
  <si>
    <t>OMM4#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</si>
  <si>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</si>
  <si>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</si>
  <si>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</si>
  <si>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</si>
  <si>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</si>
  <si>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</si>
  <si>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</si>
  <si>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</si>
  <si>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</si>
  <si>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</si>
  <si>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</si>
  <si>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011</t>
  </si>
  <si>
    <t>量测分析</t>
  </si>
  <si>
    <t>测量值</t>
  </si>
  <si>
    <t>判断（√ OR DEV)</t>
  </si>
  <si>
    <t>1-1</t>
  </si>
  <si>
    <t>1-2</t>
  </si>
  <si>
    <t>2-1</t>
  </si>
  <si>
    <t>2-2</t>
  </si>
  <si>
    <t>3-1</t>
  </si>
  <si>
    <t>3-2</t>
  </si>
  <si>
    <t>4-1</t>
  </si>
  <si>
    <t>4-2</t>
  </si>
  <si>
    <t>5-1</t>
  </si>
  <si>
    <t>5-2</t>
  </si>
  <si>
    <t>6-1</t>
  </si>
  <si>
    <t>6-2</t>
  </si>
  <si>
    <t>7-1</t>
  </si>
  <si>
    <t>7-2</t>
  </si>
  <si>
    <t>8-1</t>
  </si>
  <si>
    <t>8-2</t>
  </si>
  <si>
    <t>FAI 19</t>
  </si>
  <si>
    <t>OMM</t>
  </si>
  <si>
    <t>FAI 21</t>
  </si>
  <si>
    <t>FAI 22</t>
  </si>
  <si>
    <t>V</t>
  </si>
  <si>
    <t>检测结果</t>
  </si>
  <si>
    <r>
      <t>复测</t>
    </r>
    <r>
      <rPr>
        <b/>
        <sz val="11"/>
        <rFont val="Arial"/>
        <charset val="134"/>
      </rPr>
      <t>6-1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</si>
</sst>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4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7" applyNumberFormat="0" applyAlignment="0" applyProtection="0">
      <alignment vertical="center"/>
    </xf>
    <xf numFmtId="0" fontId="23" fillId="7" borderId="18" applyNumberFormat="0" applyAlignment="0" applyProtection="0">
      <alignment vertical="center"/>
    </xf>
    <xf numFmtId="0" fontId="24" fillId="7" borderId="17" applyNumberFormat="0" applyAlignment="0" applyProtection="0">
      <alignment vertical="center"/>
    </xf>
    <xf numFmtId="0" fontId="25" fillId="8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</cellStyleXfs>
  <cellXfs count="7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1" fillId="0" borderId="2" xfId="60" applyFont="1" applyBorder="1" applyAlignment="1" applyProtection="1">
      <alignment horizontal="center" vertical="center"/>
      <protection locked="0"/>
    </xf>
    <xf numFmtId="0" fontId="1" fillId="0" borderId="3" xfId="60" applyFont="1" applyBorder="1" applyAlignment="1" applyProtection="1">
      <alignment horizontal="center" vertical="center"/>
      <protection locked="0"/>
    </xf>
    <xf numFmtId="0" fontId="2" fillId="0" borderId="4" xfId="60" applyFont="1" applyBorder="1" applyAlignment="1" applyProtection="1">
      <alignment horizontal="center" vertical="center"/>
      <protection locked="0"/>
    </xf>
    <xf numFmtId="0" fontId="3" fillId="2" borderId="5" xfId="60" applyFont="1" applyFill="1" applyBorder="1" applyAlignment="1" applyProtection="1">
      <alignment horizontal="center" vertical="center"/>
      <protection locked="0"/>
    </xf>
    <xf numFmtId="0" fontId="3" fillId="2" borderId="6" xfId="60" applyFont="1" applyFill="1" applyBorder="1" applyAlignment="1" applyProtection="1">
      <alignment horizontal="center" vertical="center"/>
      <protection locked="0"/>
    </xf>
    <xf numFmtId="0" fontId="3" fillId="2" borderId="7" xfId="60" applyFont="1" applyFill="1" applyBorder="1" applyAlignment="1" applyProtection="1">
      <alignment horizontal="center" vertical="center"/>
      <protection locked="0"/>
    </xf>
    <xf numFmtId="49" fontId="2" fillId="2" borderId="5" xfId="60" applyNumberFormat="1" applyFont="1" applyFill="1" applyBorder="1" applyAlignment="1">
      <alignment horizontal="center" vertical="center"/>
    </xf>
    <xf numFmtId="49" fontId="2" fillId="2" borderId="6" xfId="60" applyNumberFormat="1" applyFont="1" applyFill="1" applyBorder="1" applyAlignment="1">
      <alignment horizontal="center" vertical="center"/>
    </xf>
    <xf numFmtId="49" fontId="2" fillId="0" borderId="6" xfId="60" applyNumberFormat="1" applyFont="1" applyBorder="1" applyAlignment="1">
      <alignment horizontal="center" vertical="center"/>
    </xf>
    <xf numFmtId="49" fontId="2" fillId="0" borderId="7" xfId="60" applyNumberFormat="1" applyFont="1" applyBorder="1" applyAlignment="1">
      <alignment horizontal="center" vertical="center"/>
    </xf>
    <xf numFmtId="49" fontId="4" fillId="0" borderId="4" xfId="60" applyNumberFormat="1" applyFont="1" applyBorder="1" applyAlignment="1">
      <alignment horizontal="center" vertical="center"/>
    </xf>
    <xf numFmtId="49" fontId="5" fillId="0" borderId="1" xfId="60" applyNumberFormat="1" applyFont="1" applyBorder="1" applyAlignment="1">
      <alignment horizontal="center" vertical="center"/>
    </xf>
    <xf numFmtId="49" fontId="5" fillId="0" borderId="2" xfId="60" applyNumberFormat="1" applyFont="1" applyBorder="1" applyAlignment="1">
      <alignment horizontal="center" vertical="center"/>
    </xf>
    <xf numFmtId="49" fontId="5" fillId="0" borderId="3" xfId="60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/>
      <protection locked="0"/>
    </xf>
    <xf numFmtId="49" fontId="5" fillId="0" borderId="2" xfId="60" applyNumberFormat="1" applyFont="1" applyBorder="1" applyAlignment="1" applyProtection="1">
      <alignment horizontal="center" vertical="center"/>
      <protection locked="0"/>
    </xf>
    <xf numFmtId="49" fontId="5" fillId="0" borderId="3" xfId="60" applyNumberFormat="1" applyFont="1" applyBorder="1" applyAlignment="1" applyProtection="1">
      <alignment horizontal="center" vertical="center"/>
      <protection locked="0"/>
    </xf>
    <xf numFmtId="49" fontId="5" fillId="0" borderId="1" xfId="79" applyNumberFormat="1" applyFont="1" applyBorder="1" applyAlignment="1">
      <alignment horizontal="center" vertical="center"/>
    </xf>
    <xf numFmtId="49" fontId="5" fillId="0" borderId="2" xfId="79" applyNumberFormat="1" applyFont="1" applyBorder="1" applyAlignment="1">
      <alignment horizontal="center" vertical="center"/>
    </xf>
    <xf numFmtId="49" fontId="5" fillId="0" borderId="3" xfId="79" applyNumberFormat="1" applyFont="1" applyBorder="1" applyAlignment="1">
      <alignment horizontal="center" vertical="center"/>
    </xf>
    <xf numFmtId="0" fontId="3" fillId="2" borderId="8" xfId="60" applyFont="1" applyFill="1" applyBorder="1" applyAlignment="1" applyProtection="1">
      <alignment horizontal="center" vertical="center"/>
      <protection locked="0"/>
    </xf>
    <xf numFmtId="0" fontId="3" fillId="2" borderId="9" xfId="60" applyFont="1" applyFill="1" applyBorder="1" applyAlignment="1" applyProtection="1">
      <alignment horizontal="center" vertical="center"/>
      <protection locked="0"/>
    </xf>
    <xf numFmtId="0" fontId="3" fillId="2" borderId="10" xfId="60" applyFont="1" applyFill="1" applyBorder="1" applyAlignment="1" applyProtection="1">
      <alignment horizontal="center" vertical="center"/>
      <protection locked="0"/>
    </xf>
    <xf numFmtId="49" fontId="2" fillId="2" borderId="8" xfId="60" applyNumberFormat="1" applyFont="1" applyFill="1" applyBorder="1" applyAlignment="1">
      <alignment horizontal="center" vertical="center"/>
    </xf>
    <xf numFmtId="49" fontId="2" fillId="2" borderId="9" xfId="60" applyNumberFormat="1" applyFont="1" applyFill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5" fillId="0" borderId="1" xfId="60" applyFont="1" applyBorder="1" applyAlignment="1" applyProtection="1">
      <alignment horizontal="center" vertical="center"/>
      <protection locked="0"/>
    </xf>
    <xf numFmtId="0" fontId="5" fillId="0" borderId="2" xfId="60" applyFont="1" applyBorder="1" applyAlignment="1" applyProtection="1">
      <alignment horizontal="center" vertical="center"/>
      <protection locked="0"/>
    </xf>
    <xf numFmtId="0" fontId="5" fillId="0" borderId="3" xfId="60" applyFont="1" applyBorder="1" applyAlignment="1" applyProtection="1">
      <alignment horizontal="center" vertical="center"/>
      <protection locked="0"/>
    </xf>
    <xf numFmtId="49" fontId="4" fillId="0" borderId="1" xfId="60" applyNumberFormat="1" applyFont="1" applyBorder="1" applyAlignment="1" applyProtection="1">
      <alignment horizontal="center" vertical="center"/>
      <protection locked="0"/>
    </xf>
    <xf numFmtId="49" fontId="4" fillId="0" borderId="2" xfId="60" applyNumberFormat="1" applyFont="1" applyBorder="1" applyAlignment="1" applyProtection="1">
      <alignment horizontal="center" vertical="center"/>
      <protection locked="0"/>
    </xf>
    <xf numFmtId="49" fontId="4" fillId="0" borderId="3" xfId="60" applyNumberFormat="1" applyFont="1" applyBorder="1" applyAlignment="1" applyProtection="1">
      <alignment horizontal="center" vertical="center"/>
      <protection locked="0"/>
    </xf>
    <xf numFmtId="176" fontId="4" fillId="0" borderId="1" xfId="79" applyNumberFormat="1" applyFont="1" applyBorder="1" applyAlignment="1">
      <alignment horizontal="center" vertical="center"/>
    </xf>
    <xf numFmtId="176" fontId="4" fillId="0" borderId="2" xfId="79" applyNumberFormat="1" applyFont="1" applyBorder="1" applyAlignment="1">
      <alignment horizontal="center" vertical="center"/>
    </xf>
    <xf numFmtId="176" fontId="4" fillId="0" borderId="3" xfId="79" applyNumberFormat="1" applyFont="1" applyBorder="1" applyAlignment="1">
      <alignment horizontal="center" vertical="center"/>
    </xf>
    <xf numFmtId="176" fontId="5" fillId="0" borderId="1" xfId="79" applyNumberFormat="1" applyFont="1" applyBorder="1" applyAlignment="1">
      <alignment horizontal="center" vertical="center"/>
    </xf>
    <xf numFmtId="176" fontId="5" fillId="0" borderId="3" xfId="79" applyNumberFormat="1" applyFont="1" applyBorder="1" applyAlignment="1">
      <alignment horizontal="center" vertical="center"/>
    </xf>
    <xf numFmtId="49" fontId="6" fillId="0" borderId="11" xfId="60" applyNumberFormat="1" applyFont="1" applyBorder="1" applyAlignment="1" applyProtection="1">
      <alignment horizontal="center" vertical="center" wrapText="1"/>
      <protection locked="0"/>
    </xf>
    <xf numFmtId="0" fontId="6" fillId="2" borderId="11" xfId="60" applyFont="1" applyFill="1" applyBorder="1" applyAlignment="1" applyProtection="1">
      <alignment horizontal="center" vertical="center"/>
      <protection locked="0"/>
    </xf>
    <xf numFmtId="177" fontId="6" fillId="2" borderId="11" xfId="60" applyNumberFormat="1" applyFont="1" applyFill="1" applyBorder="1" applyAlignment="1">
      <alignment horizontal="center" vertical="center"/>
    </xf>
    <xf numFmtId="177" fontId="6" fillId="2" borderId="11" xfId="60" applyNumberFormat="1" applyFont="1" applyFill="1" applyBorder="1" applyAlignment="1" applyProtection="1">
      <alignment horizontal="center" vertical="center"/>
      <protection locked="0"/>
    </xf>
    <xf numFmtId="0" fontId="6" fillId="2" borderId="11" xfId="60" applyFont="1" applyFill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 applyProtection="1">
      <alignment horizontal="center" vertical="center"/>
      <protection locked="0"/>
    </xf>
    <xf numFmtId="0" fontId="6" fillId="3" borderId="2" xfId="60" applyFont="1" applyFill="1" applyBorder="1" applyAlignment="1" applyProtection="1">
      <alignment horizontal="center" vertical="center"/>
      <protection locked="0"/>
    </xf>
    <xf numFmtId="0" fontId="6" fillId="3" borderId="3" xfId="60" applyFont="1" applyFill="1" applyBorder="1" applyAlignment="1" applyProtection="1">
      <alignment horizontal="center" vertical="center"/>
      <protection locked="0"/>
    </xf>
    <xf numFmtId="0" fontId="6" fillId="4" borderId="1" xfId="60" applyFont="1" applyFill="1" applyBorder="1" applyAlignment="1">
      <alignment horizontal="center" vertical="center"/>
    </xf>
    <xf numFmtId="0" fontId="6" fillId="4" borderId="2" xfId="60" applyFont="1" applyFill="1" applyBorder="1" applyAlignment="1">
      <alignment horizontal="center" vertical="center"/>
    </xf>
    <xf numFmtId="0" fontId="6" fillId="4" borderId="3" xfId="60" applyFont="1" applyFill="1" applyBorder="1" applyAlignment="1">
      <alignment horizontal="center" vertical="center"/>
    </xf>
    <xf numFmtId="49" fontId="6" fillId="0" borderId="12" xfId="60" applyNumberFormat="1" applyFont="1" applyBorder="1" applyAlignment="1" applyProtection="1">
      <alignment horizontal="center" vertical="center" wrapText="1"/>
      <protection locked="0"/>
    </xf>
    <xf numFmtId="0" fontId="6" fillId="2" borderId="12" xfId="60" applyFont="1" applyFill="1" applyBorder="1" applyAlignment="1" applyProtection="1">
      <alignment horizontal="center" vertical="center"/>
      <protection locked="0"/>
    </xf>
    <xf numFmtId="177" fontId="6" fillId="2" borderId="12" xfId="60" applyNumberFormat="1" applyFont="1" applyFill="1" applyBorder="1" applyAlignment="1">
      <alignment horizontal="center" vertical="center"/>
    </xf>
    <xf numFmtId="177" fontId="6" fillId="2" borderId="12" xfId="60" applyNumberFormat="1" applyFont="1" applyFill="1" applyBorder="1" applyAlignment="1" applyProtection="1">
      <alignment horizontal="center" vertical="center"/>
      <protection locked="0"/>
    </xf>
    <xf numFmtId="0" fontId="6" fillId="2" borderId="12" xfId="60" applyFont="1" applyFill="1" applyBorder="1" applyAlignment="1" applyProtection="1">
      <alignment horizontal="center" vertical="center" wrapText="1"/>
      <protection locked="0"/>
    </xf>
    <xf numFmtId="49" fontId="6" fillId="0" borderId="13" xfId="60" applyNumberFormat="1" applyFont="1" applyBorder="1" applyAlignment="1" applyProtection="1">
      <alignment horizontal="center" vertical="center" wrapText="1"/>
      <protection locked="0"/>
    </xf>
    <xf numFmtId="0" fontId="6" fillId="2" borderId="13" xfId="60" applyFont="1" applyFill="1" applyBorder="1" applyAlignment="1" applyProtection="1">
      <alignment horizontal="center" vertical="center"/>
      <protection locked="0"/>
    </xf>
    <xf numFmtId="177" fontId="6" fillId="2" borderId="13" xfId="60" applyNumberFormat="1" applyFont="1" applyFill="1" applyBorder="1" applyAlignment="1">
      <alignment horizontal="center" vertical="center"/>
    </xf>
    <xf numFmtId="177" fontId="6" fillId="2" borderId="13" xfId="60" applyNumberFormat="1" applyFont="1" applyFill="1" applyBorder="1" applyAlignment="1" applyProtection="1">
      <alignment horizontal="center" vertical="center"/>
      <protection locked="0"/>
    </xf>
    <xf numFmtId="0" fontId="6" fillId="2" borderId="13" xfId="60" applyFont="1" applyFill="1" applyBorder="1" applyAlignment="1" applyProtection="1">
      <alignment horizontal="center" vertical="center" wrapText="1"/>
      <protection locked="0"/>
    </xf>
    <xf numFmtId="49" fontId="7" fillId="3" borderId="4" xfId="60" applyNumberFormat="1" applyFont="1" applyFill="1" applyBorder="1" applyAlignment="1" applyProtection="1">
      <alignment horizontal="center" vertical="center"/>
      <protection locked="0"/>
    </xf>
    <xf numFmtId="0" fontId="7" fillId="4" borderId="4" xfId="60" applyFont="1" applyFill="1" applyBorder="1" applyAlignment="1">
      <alignment horizontal="center" vertical="center"/>
    </xf>
    <xf numFmtId="14" fontId="8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0" fillId="2" borderId="4" xfId="59" applyFont="1" applyFill="1" applyBorder="1" applyAlignment="1">
      <alignment horizontal="center" vertical="center"/>
    </xf>
    <xf numFmtId="0" fontId="11" fillId="2" borderId="4" xfId="59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2" fillId="4" borderId="4" xfId="60" applyFont="1" applyFill="1" applyBorder="1" applyAlignment="1">
      <alignment horizontal="center" vertical="center"/>
    </xf>
    <xf numFmtId="49" fontId="6" fillId="3" borderId="4" xfId="60" applyNumberFormat="1" applyFont="1" applyFill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 applyProtection="1" quotePrefix="1">
      <alignment horizontal="center" vertical="center"/>
      <protection locked="0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7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63"/>
  <sheetViews>
    <sheetView tabSelected="1" topLeftCell="R1" workbookViewId="0">
      <selection activeCell="L22" sqref="L22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</row>
    <row r="2" ht="15" customHeight="1" spans="1:41">
      <c r="A2" s="5" t="s">
        <v>1</v>
      </c>
      <c r="B2" s="6" t="s">
        <v>2</v>
      </c>
      <c r="C2" s="7"/>
      <c r="D2" s="7"/>
      <c r="E2" s="7"/>
      <c r="F2" s="7"/>
      <c r="G2" s="8"/>
      <c r="H2" s="9" t="s">
        <v>3</v>
      </c>
      <c r="I2" s="10"/>
      <c r="J2" s="11"/>
      <c r="K2" s="12"/>
      <c r="L2" s="13" t="s">
        <v>4</v>
      </c>
      <c r="M2" s="13"/>
      <c r="N2" s="13"/>
      <c r="O2" s="13"/>
      <c r="P2" s="13"/>
      <c r="Q2" s="13"/>
      <c r="R2" s="13"/>
      <c r="S2" s="14" t="s">
        <v>5</v>
      </c>
      <c r="T2" s="15"/>
      <c r="U2" s="15"/>
      <c r="V2" s="15"/>
      <c r="W2" s="15"/>
      <c r="X2" s="16"/>
      <c r="Y2" s="14" t="s">
        <v>6</v>
      </c>
      <c r="Z2" s="15"/>
      <c r="AA2" s="15"/>
      <c r="AB2" s="15"/>
      <c r="AC2" s="15"/>
      <c r="AD2" s="16"/>
      <c r="AE2" s="17" t="s">
        <v>7</v>
      </c>
      <c r="AF2" s="18"/>
      <c r="AG2" s="18"/>
      <c r="AH2" s="18"/>
      <c r="AI2" s="19"/>
      <c r="AJ2" s="20" t="s">
        <v>8</v>
      </c>
      <c r="AK2" s="21"/>
      <c r="AL2" s="21"/>
      <c r="AM2" s="22"/>
      <c r="AN2" s="20" t="s">
        <v>9</v>
      </c>
      <c r="AO2" s="22"/>
    </row>
    <row r="3" ht="15" customHeight="1" spans="1:41">
      <c r="A3" s="5"/>
      <c r="B3" s="23"/>
      <c r="C3" s="24"/>
      <c r="D3" s="24"/>
      <c r="E3" s="24"/>
      <c r="F3" s="24"/>
      <c r="G3" s="25"/>
      <c r="H3" s="26"/>
      <c r="I3" s="27"/>
      <c r="J3" s="28"/>
      <c r="K3" s="29"/>
      <c r="L3" s="13"/>
      <c r="M3" s="13"/>
      <c r="N3" s="13"/>
      <c r="O3" s="13"/>
      <c r="P3" s="13"/>
      <c r="Q3" s="13"/>
      <c r="R3" s="13"/>
      <c r="S3" s="30" t="s">
        <v>10</v>
      </c>
      <c r="T3" s="31"/>
      <c r="U3" s="31"/>
      <c r="V3" s="31"/>
      <c r="W3" s="31"/>
      <c r="X3" s="32"/>
      <c r="Y3" s="33" t="s">
        <v>11</v>
      </c>
      <c r="Z3" s="34"/>
      <c r="AA3" s="34"/>
      <c r="AB3" s="34"/>
      <c r="AC3" s="34"/>
      <c r="AD3" s="35"/>
      <c r="AE3" s="36" t="s">
        <v>12</v>
      </c>
      <c r="AF3" s="37"/>
      <c r="AG3" s="37"/>
      <c r="AH3" s="37"/>
      <c r="AI3" s="38"/>
      <c r="AJ3" s="36" t="s">
        <v>13</v>
      </c>
      <c r="AK3" s="37"/>
      <c r="AL3" s="37"/>
      <c r="AM3" s="38"/>
      <c r="AN3" s="39" t="s">
        <v>14</v>
      </c>
      <c r="AO3" s="40"/>
    </row>
    <row r="4" customHeight="1" spans="1:41">
      <c r="A4" s="41" t="s">
        <v>15</v>
      </c>
      <c r="B4" s="41" t="s">
        <v>16</v>
      </c>
      <c r="C4" s="41" t="s">
        <v>17</v>
      </c>
      <c r="D4" s="42" t="s">
        <v>18</v>
      </c>
      <c r="E4" s="43" t="s">
        <v>19</v>
      </c>
      <c r="F4" s="44" t="s">
        <v>20</v>
      </c>
      <c r="G4" s="44" t="s">
        <v>21</v>
      </c>
      <c r="H4" s="44" t="s">
        <v>22</v>
      </c>
      <c r="I4" s="45" t="s">
        <v>23</v>
      </c>
      <c r="J4" s="72" t="s">
        <v>24</v>
      </c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8"/>
      <c r="Z4" s="49" t="s">
        <v>25</v>
      </c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ht="13.5" customHeight="1" spans="1:41">
      <c r="A5" s="52"/>
      <c r="B5" s="52"/>
      <c r="C5" s="52"/>
      <c r="D5" s="53"/>
      <c r="E5" s="54"/>
      <c r="F5" s="55"/>
      <c r="G5" s="55"/>
      <c r="H5" s="55"/>
      <c r="I5" s="56"/>
      <c r="J5" s="46" t="s">
        <v>26</v>
      </c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8"/>
      <c r="Z5" s="49" t="s">
        <v>27</v>
      </c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customHeight="1" spans="1:41">
      <c r="A6" s="57"/>
      <c r="B6" s="57"/>
      <c r="C6" s="57"/>
      <c r="D6" s="58"/>
      <c r="E6" s="59"/>
      <c r="F6" s="60"/>
      <c r="G6" s="60"/>
      <c r="H6" s="60"/>
      <c r="I6" s="61"/>
      <c r="J6" s="62" t="s">
        <v>28</v>
      </c>
      <c r="K6" s="62" t="s">
        <v>29</v>
      </c>
      <c r="L6" s="62" t="s">
        <v>30</v>
      </c>
      <c r="M6" s="62" t="s">
        <v>31</v>
      </c>
      <c r="N6" s="62" t="s">
        <v>32</v>
      </c>
      <c r="O6" s="62" t="s">
        <v>33</v>
      </c>
      <c r="P6" s="62" t="s">
        <v>34</v>
      </c>
      <c r="Q6" s="62" t="s">
        <v>35</v>
      </c>
      <c r="R6" s="62" t="s">
        <v>36</v>
      </c>
      <c r="S6" s="62" t="s">
        <v>37</v>
      </c>
      <c r="T6" s="62" t="s">
        <v>38</v>
      </c>
      <c r="U6" s="62" t="s">
        <v>39</v>
      </c>
      <c r="V6" s="62" t="s">
        <v>40</v>
      </c>
      <c r="W6" s="62" t="s">
        <v>41</v>
      </c>
      <c r="X6" s="62" t="s">
        <v>42</v>
      </c>
      <c r="Y6" s="62" t="s">
        <v>43</v>
      </c>
      <c r="Z6" s="63" t="str">
        <f t="shared" ref="Z6" si="0">J6</f>
        <v>1-1</v>
      </c>
      <c r="AA6" s="63" t="str">
        <f t="shared" ref="AA6:AO6" si="1">K6</f>
        <v>1-2</v>
      </c>
      <c r="AB6" s="63" t="str">
        <f t="shared" si="1"/>
        <v>2-1</v>
      </c>
      <c r="AC6" s="63" t="str">
        <f t="shared" si="1"/>
        <v>2-2</v>
      </c>
      <c r="AD6" s="63" t="str">
        <f t="shared" si="1"/>
        <v>3-1</v>
      </c>
      <c r="AE6" s="63" t="str">
        <f t="shared" si="1"/>
        <v>3-2</v>
      </c>
      <c r="AF6" s="63" t="str">
        <f t="shared" si="1"/>
        <v>4-1</v>
      </c>
      <c r="AG6" s="63" t="str">
        <f t="shared" si="1"/>
        <v>4-2</v>
      </c>
      <c r="AH6" s="63" t="str">
        <f t="shared" si="1"/>
        <v>5-1</v>
      </c>
      <c r="AI6" s="63" t="str">
        <f t="shared" si="1"/>
        <v>5-2</v>
      </c>
      <c r="AJ6" s="63" t="str">
        <f t="shared" si="1"/>
        <v>6-1</v>
      </c>
      <c r="AK6" s="63" t="str">
        <f t="shared" si="1"/>
        <v>6-2</v>
      </c>
      <c r="AL6" s="63" t="str">
        <f t="shared" si="1"/>
        <v>7-1</v>
      </c>
      <c r="AM6" s="63" t="str">
        <f t="shared" si="1"/>
        <v>7-2</v>
      </c>
      <c r="AN6" s="63" t="str">
        <f t="shared" si="1"/>
        <v>8-1</v>
      </c>
      <c r="AO6" s="63" t="str">
        <f t="shared" si="1"/>
        <v>8-2</v>
      </c>
    </row>
    <row r="7" spans="1:41">
      <c r="A7" s="64">
        <v>46181</v>
      </c>
      <c r="B7" s="65" t="s">
        <v>44</v>
      </c>
      <c r="C7" s="65"/>
      <c r="D7" s="66">
        <v>5.2</v>
      </c>
      <c r="E7" s="66">
        <v>0.03</v>
      </c>
      <c r="F7" s="66">
        <v>-0.03</v>
      </c>
      <c r="G7" s="67">
        <f>D7+E7</f>
        <v>5.23</v>
      </c>
      <c r="H7" s="67">
        <f>D7+F7</f>
        <v>5.17</v>
      </c>
      <c r="I7" s="68" t="s">
        <v>45</v>
      </c>
      <c r="J7" s="69">
        <v>5.2237</v>
      </c>
      <c r="K7" s="69">
        <v>5.2422</v>
      </c>
      <c r="L7" s="69">
        <v>5.1157</v>
      </c>
      <c r="M7" s="69">
        <v>5.2</v>
      </c>
      <c r="N7" s="69">
        <v>5.1801</v>
      </c>
      <c r="O7" s="69">
        <v>5.1557</v>
      </c>
      <c r="P7" s="69">
        <v>5.178</v>
      </c>
      <c r="Q7" s="69">
        <v>5.204</v>
      </c>
      <c r="R7" s="69">
        <v>5.2642</v>
      </c>
      <c r="S7" s="69">
        <v>5.2177</v>
      </c>
      <c r="T7" s="69">
        <v>5.1069</v>
      </c>
      <c r="U7" s="69">
        <v>5.2179</v>
      </c>
      <c r="V7" s="69">
        <v>5.111</v>
      </c>
      <c r="W7" s="69">
        <v>5.1851</v>
      </c>
      <c r="X7" s="69">
        <v>5.1877</v>
      </c>
      <c r="Y7" s="69">
        <v>5.2552</v>
      </c>
      <c r="Z7" s="70" t="str">
        <f t="shared" ref="Z7:AO9" si="2">IF(J7="","",IF(J7&gt;($D7+$E7),(J7-$D7-$E7),IF(J7&lt;($D7+$F7),(J7-$D7-$F7),"√")))</f>
        <v>√</v>
      </c>
      <c r="AA7" s="70">
        <f t="shared" si="2"/>
        <v>0.0122000000000002</v>
      </c>
      <c r="AB7" s="70">
        <f t="shared" si="2"/>
        <v>-0.0542999999999998</v>
      </c>
      <c r="AC7" s="70" t="str">
        <f t="shared" si="2"/>
        <v>√</v>
      </c>
      <c r="AD7" s="70" t="str">
        <f t="shared" si="2"/>
        <v>√</v>
      </c>
      <c r="AE7" s="70">
        <f t="shared" si="2"/>
        <v>-0.0142999999999998</v>
      </c>
      <c r="AF7" s="70" t="str">
        <f t="shared" si="2"/>
        <v>√</v>
      </c>
      <c r="AG7" s="70" t="str">
        <f t="shared" si="2"/>
        <v>√</v>
      </c>
      <c r="AH7" s="70">
        <f t="shared" si="2"/>
        <v>0.0341999999999996</v>
      </c>
      <c r="AI7" s="70" t="str">
        <f t="shared" si="2"/>
        <v>√</v>
      </c>
      <c r="AJ7" s="70">
        <f t="shared" si="2"/>
        <v>-0.0630999999999997</v>
      </c>
      <c r="AK7" s="70" t="str">
        <f t="shared" si="2"/>
        <v>√</v>
      </c>
      <c r="AL7" s="70">
        <f t="shared" si="2"/>
        <v>-0.0590000000000004</v>
      </c>
      <c r="AM7" s="70" t="str">
        <f t="shared" si="2"/>
        <v>√</v>
      </c>
      <c r="AN7" s="70" t="str">
        <f t="shared" si="2"/>
        <v>√</v>
      </c>
      <c r="AO7" s="70">
        <f t="shared" si="2"/>
        <v>0.0252000000000001</v>
      </c>
    </row>
    <row r="8" spans="1:41">
      <c r="A8" s="64"/>
      <c r="B8" s="65" t="s">
        <v>46</v>
      </c>
      <c r="C8" s="65"/>
      <c r="D8" s="66">
        <v>9.55</v>
      </c>
      <c r="E8" s="66">
        <v>0.05</v>
      </c>
      <c r="F8" s="66">
        <v>-0.05</v>
      </c>
      <c r="G8" s="67">
        <f>D8+E8</f>
        <v>9.6</v>
      </c>
      <c r="H8" s="67">
        <f>D8+F8</f>
        <v>9.5</v>
      </c>
      <c r="I8" s="68" t="s">
        <v>45</v>
      </c>
      <c r="J8" s="69">
        <v>9.5466</v>
      </c>
      <c r="K8" s="69">
        <v>9.5414</v>
      </c>
      <c r="L8" s="69">
        <v>9.5416</v>
      </c>
      <c r="M8" s="69">
        <v>9.5404</v>
      </c>
      <c r="N8" s="69">
        <v>9.5402</v>
      </c>
      <c r="O8" s="69">
        <v>9.5405</v>
      </c>
      <c r="P8" s="69">
        <v>9.5391</v>
      </c>
      <c r="Q8" s="69">
        <v>9.5405</v>
      </c>
      <c r="R8" s="69">
        <v>9.5391</v>
      </c>
      <c r="S8" s="69">
        <v>9.5398</v>
      </c>
      <c r="T8" s="69">
        <v>9.5363</v>
      </c>
      <c r="U8" s="69">
        <v>9.5386</v>
      </c>
      <c r="V8" s="69">
        <v>9.5361</v>
      </c>
      <c r="W8" s="69">
        <v>9.5381</v>
      </c>
      <c r="X8" s="69">
        <v>9.5322</v>
      </c>
      <c r="Y8" s="69">
        <v>9.5318</v>
      </c>
      <c r="Z8" s="70" t="str">
        <f t="shared" si="2"/>
        <v>√</v>
      </c>
      <c r="AA8" s="70" t="str">
        <f t="shared" si="2"/>
        <v>√</v>
      </c>
      <c r="AB8" s="70" t="str">
        <f t="shared" si="2"/>
        <v>√</v>
      </c>
      <c r="AC8" s="70" t="str">
        <f t="shared" si="2"/>
        <v>√</v>
      </c>
      <c r="AD8" s="70" t="str">
        <f t="shared" si="2"/>
        <v>√</v>
      </c>
      <c r="AE8" s="70" t="str">
        <f t="shared" si="2"/>
        <v>√</v>
      </c>
      <c r="AF8" s="70" t="str">
        <f t="shared" si="2"/>
        <v>√</v>
      </c>
      <c r="AG8" s="70" t="str">
        <f t="shared" si="2"/>
        <v>√</v>
      </c>
      <c r="AH8" s="70" t="str">
        <f t="shared" si="2"/>
        <v>√</v>
      </c>
      <c r="AI8" s="70" t="str">
        <f t="shared" si="2"/>
        <v>√</v>
      </c>
      <c r="AJ8" s="70" t="str">
        <f t="shared" si="2"/>
        <v>√</v>
      </c>
      <c r="AK8" s="70" t="str">
        <f t="shared" si="2"/>
        <v>√</v>
      </c>
      <c r="AL8" s="70" t="str">
        <f t="shared" si="2"/>
        <v>√</v>
      </c>
      <c r="AM8" s="70" t="str">
        <f t="shared" si="2"/>
        <v>√</v>
      </c>
      <c r="AN8" s="70" t="str">
        <f t="shared" si="2"/>
        <v>√</v>
      </c>
      <c r="AO8" s="70" t="str">
        <f t="shared" si="2"/>
        <v>√</v>
      </c>
    </row>
    <row r="9" spans="1:41">
      <c r="A9" s="64"/>
      <c r="B9" s="65" t="s">
        <v>47</v>
      </c>
      <c r="C9" s="65" t="s">
        <v>48</v>
      </c>
      <c r="D9" s="66">
        <v>3.71</v>
      </c>
      <c r="E9" s="66">
        <v>0.03</v>
      </c>
      <c r="F9" s="66">
        <v>-0.03</v>
      </c>
      <c r="G9" s="67">
        <f>D9+E9</f>
        <v>3.74</v>
      </c>
      <c r="H9" s="67">
        <f>D9+F9</f>
        <v>3.68</v>
      </c>
      <c r="I9" s="68" t="s">
        <v>45</v>
      </c>
      <c r="J9" s="69">
        <v>3.6953</v>
      </c>
      <c r="K9" s="69">
        <v>3.6951</v>
      </c>
      <c r="L9" s="69">
        <v>3.7068</v>
      </c>
      <c r="M9" s="69">
        <v>3.6946</v>
      </c>
      <c r="N9" s="69">
        <v>3.6951</v>
      </c>
      <c r="O9" s="69">
        <v>3.6952</v>
      </c>
      <c r="P9" s="69">
        <v>3.6953</v>
      </c>
      <c r="Q9" s="69">
        <v>3.6952</v>
      </c>
      <c r="R9" s="69">
        <v>3.6844</v>
      </c>
      <c r="S9" s="69">
        <v>3.6954</v>
      </c>
      <c r="T9" s="69">
        <v>3.6952</v>
      </c>
      <c r="U9" s="69">
        <v>3.7021</v>
      </c>
      <c r="V9" s="69">
        <v>3.6951</v>
      </c>
      <c r="W9" s="69">
        <v>3.7115</v>
      </c>
      <c r="X9" s="69">
        <v>3.6991</v>
      </c>
      <c r="Y9" s="69">
        <v>3.6858</v>
      </c>
      <c r="Z9" s="70" t="str">
        <f t="shared" si="2"/>
        <v>√</v>
      </c>
      <c r="AA9" s="70" t="str">
        <f t="shared" si="2"/>
        <v>√</v>
      </c>
      <c r="AB9" s="70" t="str">
        <f t="shared" si="2"/>
        <v>√</v>
      </c>
      <c r="AC9" s="70" t="str">
        <f t="shared" si="2"/>
        <v>√</v>
      </c>
      <c r="AD9" s="70" t="str">
        <f t="shared" si="2"/>
        <v>√</v>
      </c>
      <c r="AE9" s="70" t="str">
        <f t="shared" si="2"/>
        <v>√</v>
      </c>
      <c r="AF9" s="70" t="str">
        <f t="shared" si="2"/>
        <v>√</v>
      </c>
      <c r="AG9" s="70" t="str">
        <f t="shared" si="2"/>
        <v>√</v>
      </c>
      <c r="AH9" s="70" t="str">
        <f t="shared" si="2"/>
        <v>√</v>
      </c>
      <c r="AI9" s="70" t="str">
        <f t="shared" si="2"/>
        <v>√</v>
      </c>
      <c r="AJ9" s="70" t="str">
        <f t="shared" si="2"/>
        <v>√</v>
      </c>
      <c r="AK9" s="70" t="str">
        <f t="shared" si="2"/>
        <v>√</v>
      </c>
      <c r="AL9" s="70" t="str">
        <f t="shared" si="2"/>
        <v>√</v>
      </c>
      <c r="AM9" s="70" t="str">
        <f t="shared" si="2"/>
        <v>√</v>
      </c>
      <c r="AN9" s="70" t="str">
        <f t="shared" si="2"/>
        <v>√</v>
      </c>
      <c r="AO9" s="70" t="str">
        <f t="shared" si="2"/>
        <v>√</v>
      </c>
    </row>
    <row r="10" spans="1:41">
      <c r="D10"/>
      <c r="E10"/>
      <c r="F10"/>
      <c r="G10"/>
      <c r="H10"/>
      <c r="I10"/>
    </row>
    <row r="11" spans="1:41">
      <c r="D11"/>
      <c r="E11"/>
      <c r="F11"/>
      <c r="G11"/>
      <c r="H11"/>
      <c r="I11"/>
    </row>
    <row r="12" customHeight="1" spans="1:41">
      <c r="A12" s="41" t="s">
        <v>15</v>
      </c>
      <c r="B12" s="41" t="s">
        <v>16</v>
      </c>
      <c r="C12" s="41" t="s">
        <v>17</v>
      </c>
      <c r="D12" s="42" t="s">
        <v>18</v>
      </c>
      <c r="E12" s="43" t="s">
        <v>19</v>
      </c>
      <c r="F12" s="44" t="s">
        <v>20</v>
      </c>
      <c r="G12" s="44" t="s">
        <v>21</v>
      </c>
      <c r="H12" s="44" t="s">
        <v>22</v>
      </c>
      <c r="I12" s="45" t="s">
        <v>23</v>
      </c>
      <c r="J12" s="46" t="s">
        <v>49</v>
      </c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8"/>
      <c r="Z12" s="49" t="s">
        <v>25</v>
      </c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1"/>
    </row>
    <row r="13" ht="13.5" customHeight="1" spans="1:41">
      <c r="A13" s="52"/>
      <c r="B13" s="52"/>
      <c r="C13" s="52"/>
      <c r="D13" s="53"/>
      <c r="E13" s="54"/>
      <c r="F13" s="55"/>
      <c r="G13" s="55"/>
      <c r="H13" s="55"/>
      <c r="I13" s="56"/>
      <c r="J13" s="46" t="s">
        <v>26</v>
      </c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8"/>
      <c r="Z13" s="49" t="s">
        <v>27</v>
      </c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1"/>
    </row>
    <row r="14" customHeight="1" spans="1:41">
      <c r="A14" s="57"/>
      <c r="B14" s="57"/>
      <c r="C14" s="57"/>
      <c r="D14" s="58"/>
      <c r="E14" s="59"/>
      <c r="F14" s="60"/>
      <c r="G14" s="60"/>
      <c r="H14" s="60"/>
      <c r="I14" s="61"/>
      <c r="J14" s="71" t="s">
        <v>50</v>
      </c>
      <c r="K14" s="62" t="s">
        <v>29</v>
      </c>
      <c r="L14" s="62" t="s">
        <v>30</v>
      </c>
      <c r="M14" s="62" t="s">
        <v>31</v>
      </c>
      <c r="N14" s="62" t="s">
        <v>32</v>
      </c>
      <c r="O14" s="62" t="s">
        <v>33</v>
      </c>
      <c r="P14" s="62" t="s">
        <v>34</v>
      </c>
      <c r="Q14" s="62" t="s">
        <v>35</v>
      </c>
      <c r="R14" s="62" t="s">
        <v>36</v>
      </c>
      <c r="S14" s="62" t="s">
        <v>37</v>
      </c>
      <c r="T14" s="62" t="s">
        <v>38</v>
      </c>
      <c r="U14" s="62" t="s">
        <v>39</v>
      </c>
      <c r="V14" s="62" t="s">
        <v>40</v>
      </c>
      <c r="W14" s="62" t="s">
        <v>41</v>
      </c>
      <c r="X14" s="62" t="s">
        <v>42</v>
      </c>
      <c r="Y14" s="62" t="s">
        <v>43</v>
      </c>
      <c r="Z14" s="63" t="str">
        <f t="shared" ref="Z14:AO14" si="3">J14</f>
        <v>复测6-1</v>
      </c>
      <c r="AA14" s="63" t="str">
        <f t="shared" si="3"/>
        <v>1-2</v>
      </c>
      <c r="AB14" s="63" t="str">
        <f t="shared" si="3"/>
        <v>2-1</v>
      </c>
      <c r="AC14" s="63" t="str">
        <f t="shared" si="3"/>
        <v>2-2</v>
      </c>
      <c r="AD14" s="63" t="str">
        <f t="shared" si="3"/>
        <v>3-1</v>
      </c>
      <c r="AE14" s="63" t="str">
        <f t="shared" si="3"/>
        <v>3-2</v>
      </c>
      <c r="AF14" s="63" t="str">
        <f t="shared" si="3"/>
        <v>4-1</v>
      </c>
      <c r="AG14" s="63" t="str">
        <f t="shared" si="3"/>
        <v>4-2</v>
      </c>
      <c r="AH14" s="63" t="str">
        <f t="shared" si="3"/>
        <v>5-1</v>
      </c>
      <c r="AI14" s="63" t="str">
        <f t="shared" si="3"/>
        <v>5-2</v>
      </c>
      <c r="AJ14" s="63" t="str">
        <f t="shared" si="3"/>
        <v>6-1</v>
      </c>
      <c r="AK14" s="63" t="str">
        <f t="shared" si="3"/>
        <v>6-2</v>
      </c>
      <c r="AL14" s="63" t="str">
        <f t="shared" si="3"/>
        <v>7-1</v>
      </c>
      <c r="AM14" s="63" t="str">
        <f t="shared" si="3"/>
        <v>7-2</v>
      </c>
      <c r="AN14" s="63" t="str">
        <f t="shared" si="3"/>
        <v>8-1</v>
      </c>
      <c r="AO14" s="63" t="str">
        <f t="shared" si="3"/>
        <v>8-2</v>
      </c>
    </row>
    <row r="15" spans="1:41">
      <c r="A15" s="64">
        <v>46181</v>
      </c>
      <c r="B15" s="65" t="s">
        <v>44</v>
      </c>
      <c r="C15" s="65"/>
      <c r="D15" s="66">
        <v>5.2</v>
      </c>
      <c r="E15" s="66">
        <v>0.03</v>
      </c>
      <c r="F15" s="66">
        <v>-0.03</v>
      </c>
      <c r="G15" s="67">
        <f t="shared" ref="G15:G17" si="4">D15+E15</f>
        <v>5.23</v>
      </c>
      <c r="H15" s="67">
        <f t="shared" ref="H15:H17" si="5">D15+F15</f>
        <v>5.17</v>
      </c>
      <c r="I15" s="68" t="s">
        <v>45</v>
      </c>
      <c r="J15" s="69">
        <v>5.1077</v>
      </c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70">
        <f t="shared" ref="Z15:AO15" si="6">IF(J15="","",IF(J15&gt;($D15+$E15),(J15-$D15-$E15),IF(J15&lt;($D15+$F15),(J15-$D15-$F15),"√")))</f>
        <v>-0.0622999999999998</v>
      </c>
      <c r="AA15" s="70" t="str">
        <f t="shared" si="6"/>
        <v/>
      </c>
      <c r="AB15" s="70" t="str">
        <f t="shared" si="6"/>
        <v/>
      </c>
      <c r="AC15" s="70" t="str">
        <f t="shared" si="6"/>
        <v/>
      </c>
      <c r="AD15" s="70" t="str">
        <f t="shared" si="6"/>
        <v/>
      </c>
      <c r="AE15" s="70" t="str">
        <f t="shared" si="6"/>
        <v/>
      </c>
      <c r="AF15" s="70" t="str">
        <f t="shared" si="6"/>
        <v/>
      </c>
      <c r="AG15" s="70" t="str">
        <f t="shared" si="6"/>
        <v/>
      </c>
      <c r="AH15" s="70" t="str">
        <f t="shared" si="6"/>
        <v/>
      </c>
      <c r="AI15" s="70" t="str">
        <f t="shared" si="6"/>
        <v/>
      </c>
      <c r="AJ15" s="70" t="str">
        <f t="shared" si="6"/>
        <v/>
      </c>
      <c r="AK15" s="70" t="str">
        <f t="shared" si="6"/>
        <v/>
      </c>
      <c r="AL15" s="70" t="str">
        <f t="shared" si="6"/>
        <v/>
      </c>
      <c r="AM15" s="70" t="str">
        <f t="shared" si="6"/>
        <v/>
      </c>
      <c r="AN15" s="70" t="str">
        <f t="shared" si="6"/>
        <v/>
      </c>
      <c r="AO15" s="70" t="str">
        <f t="shared" si="6"/>
        <v/>
      </c>
    </row>
    <row r="16" spans="1:41">
      <c r="A16" s="64"/>
      <c r="B16" s="65" t="s">
        <v>46</v>
      </c>
      <c r="C16" s="65"/>
      <c r="D16" s="66">
        <v>9.55</v>
      </c>
      <c r="E16" s="66">
        <v>0.05</v>
      </c>
      <c r="F16" s="66">
        <v>-0.05</v>
      </c>
      <c r="G16" s="67">
        <f t="shared" si="4"/>
        <v>9.6</v>
      </c>
      <c r="H16" s="67">
        <f t="shared" si="5"/>
        <v>9.5</v>
      </c>
      <c r="I16" s="68" t="s">
        <v>45</v>
      </c>
      <c r="J16" s="69">
        <v>9.5352</v>
      </c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70" t="str">
        <f t="shared" ref="Z16:AO16" si="7">IF(J16="","",IF(J16&gt;($D16+$E16),(J16-$D16-$E16),IF(J16&lt;($D16+$F16),(J16-$D16-$F16),"√")))</f>
        <v>√</v>
      </c>
      <c r="AA16" s="70" t="str">
        <f t="shared" si="7"/>
        <v/>
      </c>
      <c r="AB16" s="70" t="str">
        <f t="shared" si="7"/>
        <v/>
      </c>
      <c r="AC16" s="70" t="str">
        <f t="shared" si="7"/>
        <v/>
      </c>
      <c r="AD16" s="70" t="str">
        <f t="shared" si="7"/>
        <v/>
      </c>
      <c r="AE16" s="70" t="str">
        <f t="shared" si="7"/>
        <v/>
      </c>
      <c r="AF16" s="70" t="str">
        <f t="shared" si="7"/>
        <v/>
      </c>
      <c r="AG16" s="70" t="str">
        <f t="shared" si="7"/>
        <v/>
      </c>
      <c r="AH16" s="70" t="str">
        <f t="shared" si="7"/>
        <v/>
      </c>
      <c r="AI16" s="70" t="str">
        <f t="shared" si="7"/>
        <v/>
      </c>
      <c r="AJ16" s="70" t="str">
        <f t="shared" si="7"/>
        <v/>
      </c>
      <c r="AK16" s="70" t="str">
        <f t="shared" si="7"/>
        <v/>
      </c>
      <c r="AL16" s="70" t="str">
        <f t="shared" si="7"/>
        <v/>
      </c>
      <c r="AM16" s="70" t="str">
        <f t="shared" si="7"/>
        <v/>
      </c>
      <c r="AN16" s="70" t="str">
        <f t="shared" si="7"/>
        <v/>
      </c>
      <c r="AO16" s="70" t="str">
        <f t="shared" si="7"/>
        <v/>
      </c>
    </row>
    <row r="17" spans="1:41">
      <c r="A17" s="64"/>
      <c r="B17" s="65" t="s">
        <v>47</v>
      </c>
      <c r="C17" s="65" t="s">
        <v>48</v>
      </c>
      <c r="D17" s="66">
        <v>3.71</v>
      </c>
      <c r="E17" s="66">
        <v>0.03</v>
      </c>
      <c r="F17" s="66">
        <v>-0.03</v>
      </c>
      <c r="G17" s="67">
        <f t="shared" si="4"/>
        <v>3.74</v>
      </c>
      <c r="H17" s="67">
        <f t="shared" si="5"/>
        <v>3.68</v>
      </c>
      <c r="I17" s="68" t="s">
        <v>45</v>
      </c>
      <c r="J17" s="69">
        <v>3.6964</v>
      </c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70" t="str">
        <f t="shared" ref="Z17:AO17" si="8">IF(J17="","",IF(J17&gt;($D17+$E17),(J17-$D17-$E17),IF(J17&lt;($D17+$F17),(J17-$D17-$F17),"√")))</f>
        <v>√</v>
      </c>
      <c r="AA17" s="70" t="str">
        <f t="shared" si="8"/>
        <v/>
      </c>
      <c r="AB17" s="70" t="str">
        <f t="shared" si="8"/>
        <v/>
      </c>
      <c r="AC17" s="70" t="str">
        <f t="shared" si="8"/>
        <v/>
      </c>
      <c r="AD17" s="70" t="str">
        <f t="shared" si="8"/>
        <v/>
      </c>
      <c r="AE17" s="70" t="str">
        <f t="shared" si="8"/>
        <v/>
      </c>
      <c r="AF17" s="70" t="str">
        <f t="shared" si="8"/>
        <v/>
      </c>
      <c r="AG17" s="70" t="str">
        <f t="shared" si="8"/>
        <v/>
      </c>
      <c r="AH17" s="70" t="str">
        <f t="shared" si="8"/>
        <v/>
      </c>
      <c r="AI17" s="70" t="str">
        <f t="shared" si="8"/>
        <v/>
      </c>
      <c r="AJ17" s="70" t="str">
        <f t="shared" si="8"/>
        <v/>
      </c>
      <c r="AK17" s="70" t="str">
        <f t="shared" si="8"/>
        <v/>
      </c>
      <c r="AL17" s="70" t="str">
        <f t="shared" si="8"/>
        <v/>
      </c>
      <c r="AM17" s="70" t="str">
        <f t="shared" si="8"/>
        <v/>
      </c>
      <c r="AN17" s="70" t="str">
        <f t="shared" si="8"/>
        <v/>
      </c>
      <c r="AO17" s="70" t="str">
        <f t="shared" si="8"/>
        <v/>
      </c>
    </row>
    <row r="18" spans="1:41">
      <c r="D18"/>
      <c r="E18"/>
      <c r="F18"/>
      <c r="G18"/>
      <c r="H18"/>
      <c r="I18"/>
    </row>
    <row r="19" spans="1:41">
      <c r="D19"/>
      <c r="E19"/>
      <c r="F19"/>
      <c r="G19"/>
      <c r="H19"/>
      <c r="I19"/>
    </row>
    <row r="20" spans="1:41">
      <c r="D20"/>
      <c r="E20"/>
      <c r="F20"/>
      <c r="G20"/>
      <c r="H20"/>
      <c r="I20"/>
    </row>
    <row r="21" spans="1:41">
      <c r="D21"/>
      <c r="E21"/>
      <c r="F21"/>
      <c r="G21"/>
      <c r="H21"/>
      <c r="I21"/>
    </row>
    <row r="22" spans="1:41">
      <c r="D22"/>
      <c r="E22"/>
      <c r="F22"/>
      <c r="G22"/>
      <c r="H22"/>
      <c r="I22"/>
    </row>
    <row r="23" spans="1:41">
      <c r="D23"/>
      <c r="E23"/>
      <c r="F23"/>
      <c r="G23"/>
      <c r="H23"/>
      <c r="I23"/>
    </row>
    <row r="24" spans="1:41">
      <c r="D24"/>
      <c r="E24"/>
      <c r="F24"/>
      <c r="G24"/>
      <c r="H24"/>
      <c r="I24"/>
    </row>
    <row r="25" spans="1:41">
      <c r="D25"/>
      <c r="E25"/>
      <c r="F25"/>
      <c r="G25"/>
      <c r="H25"/>
      <c r="I25"/>
    </row>
    <row r="26" spans="1:41">
      <c r="D26"/>
      <c r="E26"/>
      <c r="F26"/>
      <c r="G26"/>
      <c r="H26"/>
      <c r="I26"/>
    </row>
    <row r="27" spans="1:41">
      <c r="D27"/>
      <c r="E27"/>
      <c r="F27"/>
      <c r="G27"/>
      <c r="H27"/>
      <c r="I27"/>
    </row>
    <row r="28" spans="1:41">
      <c r="D28"/>
      <c r="E28"/>
      <c r="F28"/>
      <c r="G28"/>
      <c r="H28"/>
      <c r="I28"/>
    </row>
    <row r="29" spans="1:41">
      <c r="D29"/>
      <c r="E29"/>
      <c r="F29"/>
      <c r="G29"/>
      <c r="H29"/>
      <c r="I29"/>
    </row>
    <row r="30" spans="1:41">
      <c r="D30"/>
      <c r="E30"/>
      <c r="F30"/>
      <c r="G30"/>
      <c r="H30"/>
      <c r="I30"/>
    </row>
    <row r="31" spans="1:41">
      <c r="D31"/>
      <c r="E31"/>
      <c r="F31"/>
      <c r="G31"/>
      <c r="H31"/>
      <c r="I31"/>
    </row>
    <row r="32" spans="1:41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  <row r="155" spans="4:9">
      <c r="D155"/>
      <c r="E155"/>
      <c r="F155"/>
      <c r="G155"/>
      <c r="H155"/>
      <c r="I155"/>
    </row>
    <row r="156" spans="4:9">
      <c r="D156"/>
      <c r="E156"/>
      <c r="F156"/>
      <c r="G156"/>
      <c r="H156"/>
      <c r="I156"/>
    </row>
    <row r="157" spans="4:9">
      <c r="D157"/>
      <c r="E157"/>
      <c r="F157"/>
      <c r="G157"/>
      <c r="H157"/>
      <c r="I157"/>
    </row>
    <row r="158" spans="4:9">
      <c r="D158"/>
      <c r="E158"/>
      <c r="F158"/>
      <c r="G158"/>
      <c r="H158"/>
      <c r="I158"/>
    </row>
    <row r="159" spans="4:9">
      <c r="D159"/>
      <c r="E159"/>
      <c r="F159"/>
      <c r="G159"/>
      <c r="H159"/>
      <c r="I159"/>
    </row>
    <row r="160" spans="4:9">
      <c r="D160"/>
      <c r="E160"/>
      <c r="F160"/>
      <c r="G160"/>
      <c r="H160"/>
      <c r="I160"/>
    </row>
    <row r="161" spans="4:9">
      <c r="D161"/>
      <c r="E161"/>
      <c r="F161"/>
      <c r="G161"/>
      <c r="H161"/>
      <c r="I161"/>
    </row>
    <row r="162" spans="4:9">
      <c r="D162"/>
      <c r="E162"/>
      <c r="F162"/>
      <c r="G162"/>
      <c r="H162"/>
      <c r="I162"/>
    </row>
    <row r="163" spans="4:9">
      <c r="D163"/>
      <c r="E163"/>
      <c r="F163"/>
      <c r="G163"/>
      <c r="H163"/>
      <c r="I163"/>
    </row>
  </sheetData>
  <mergeCells count="43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J12:Y12"/>
    <mergeCell ref="Z12:AO12"/>
    <mergeCell ref="J13:Y13"/>
    <mergeCell ref="Z13:AO13"/>
    <mergeCell ref="A2:A3"/>
    <mergeCell ref="A4:A6"/>
    <mergeCell ref="A7:A9"/>
    <mergeCell ref="A12:A14"/>
    <mergeCell ref="A15:A17"/>
    <mergeCell ref="B4:B6"/>
    <mergeCell ref="B12:B14"/>
    <mergeCell ref="C4:C6"/>
    <mergeCell ref="C12:C14"/>
    <mergeCell ref="D4:D6"/>
    <mergeCell ref="D12:D14"/>
    <mergeCell ref="E4:E6"/>
    <mergeCell ref="E12:E14"/>
    <mergeCell ref="F4:F6"/>
    <mergeCell ref="F12:F14"/>
    <mergeCell ref="G4:G6"/>
    <mergeCell ref="G12:G14"/>
    <mergeCell ref="H4:H6"/>
    <mergeCell ref="H12:H14"/>
    <mergeCell ref="I4:I6"/>
    <mergeCell ref="I12:I14"/>
    <mergeCell ref="H2:K3"/>
    <mergeCell ref="L2:R3"/>
    <mergeCell ref="B2:G3"/>
  </mergeCells>
  <conditionalFormatting sqref="J15:J17">
    <cfRule type="cellIs" dxfId="0" priority="1" stopIfTrue="1" operator="notBetween">
      <formula>$G15</formula>
      <formula>$H15</formula>
    </cfRule>
  </conditionalFormatting>
  <conditionalFormatting sqref="J7:Y9">
    <cfRule type="cellIs" dxfId="0" priority="9" stopIfTrue="1" operator="notBetween">
      <formula>$G7</formula>
      <formula>$H7</formula>
    </cfRule>
  </conditionalFormatting>
  <conditionalFormatting sqref="K15:Y17">
    <cfRule type="cellIs" dxfId="0" priority="2" stopIfTrue="1" operator="notBetween">
      <formula>$G15</formula>
      <formula>$H15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ignoredErrors>
    <ignoredError sqref="Z7:AO9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2026-06-08T21:20:57Z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