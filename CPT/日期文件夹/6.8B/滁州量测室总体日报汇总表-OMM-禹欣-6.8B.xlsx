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8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射出</t>
        </is>
      </c>
      <c r="B3" s="40" t="inlineStr">
        <is>
          <t>564</t>
        </is>
      </c>
      <c r="C3" s="40" t="inlineStr">
        <is>
          <t>刘艳丽</t>
        </is>
      </c>
      <c r="D3" s="40" t="inlineStr">
        <is>
          <t>WW115-260525003</t>
        </is>
      </c>
      <c r="E3" s="40" t="inlineStr">
        <is>
          <t>MC</t>
        </is>
      </c>
      <c r="F3" s="40" t="inlineStr">
        <is>
          <t>E03#</t>
        </is>
      </c>
      <c r="G3" s="40" t="inlineStr">
        <is>
          <t>首件</t>
        </is>
      </c>
      <c r="H3" s="40" t="inlineStr">
        <is>
          <t>OMM</t>
        </is>
      </c>
      <c r="I3" s="41" t="inlineStr">
        <is>
          <t>6.8B</t>
        </is>
      </c>
      <c r="J3" s="42" t="n">
        <v>0.006944444444444444</v>
      </c>
      <c r="K3" s="40" t="n">
        <v>16</v>
      </c>
      <c r="L3" s="41" t="n">
        <v>46181</v>
      </c>
      <c r="M3" s="42" t="n">
        <v>0.8333333333333334</v>
      </c>
      <c r="N3" s="42" t="n">
        <v>0.8777777777777778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射出</t>
        </is>
      </c>
      <c r="B4" s="40" t="inlineStr">
        <is>
          <t>564</t>
        </is>
      </c>
      <c r="C4" s="40" t="inlineStr">
        <is>
          <t>刘艳丽</t>
        </is>
      </c>
      <c r="D4" s="40" t="inlineStr">
        <is>
          <t>WW115-260526014</t>
        </is>
      </c>
      <c r="E4" s="40" t="inlineStr">
        <is>
          <t>MH</t>
        </is>
      </c>
      <c r="F4" s="40" t="inlineStr">
        <is>
          <t>E01#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6.8B</t>
        </is>
      </c>
      <c r="J4" s="42" t="n">
        <v>0.006944444444444444</v>
      </c>
      <c r="K4" s="40" t="n">
        <v>16</v>
      </c>
      <c r="L4" s="41" t="n">
        <v>46181</v>
      </c>
      <c r="M4" s="42" t="n">
        <v>0.8777777777777778</v>
      </c>
      <c r="N4" s="42" t="n">
        <v>0.9166666666666666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/</t>
        </is>
      </c>
      <c r="B5" s="40" t="inlineStr">
        <is>
          <t>/</t>
        </is>
      </c>
      <c r="C5" s="40" t="inlineStr">
        <is>
          <t>/</t>
        </is>
      </c>
      <c r="D5" s="40" t="inlineStr">
        <is>
          <t>/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/</t>
        </is>
      </c>
      <c r="I5" s="45" t="inlineStr">
        <is>
          <t>/</t>
        </is>
      </c>
      <c r="J5" s="42" t="inlineStr">
        <is>
          <t>/</t>
        </is>
      </c>
      <c r="K5" s="40" t="inlineStr">
        <is>
          <t>/</t>
        </is>
      </c>
      <c r="L5" s="41" t="n">
        <v>46181</v>
      </c>
      <c r="M5" s="42" t="n">
        <v>0.9166666666666666</v>
      </c>
      <c r="N5" s="42" t="n">
        <v>0.9236111111111112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/</t>
        </is>
      </c>
      <c r="R5" s="44" t="inlineStr">
        <is>
          <t>休息</t>
        </is>
      </c>
    </row>
    <row r="6" s="39">
      <c r="A6" s="40" t="inlineStr">
        <is>
          <t>射出</t>
        </is>
      </c>
      <c r="B6" s="40" t="inlineStr">
        <is>
          <t>564</t>
        </is>
      </c>
      <c r="C6" s="40" t="inlineStr">
        <is>
          <t>刘艳丽</t>
        </is>
      </c>
      <c r="D6" s="40" t="inlineStr">
        <is>
          <t>WW115-260526014</t>
        </is>
      </c>
      <c r="E6" s="40" t="inlineStr">
        <is>
          <t>MH</t>
        </is>
      </c>
      <c r="F6" s="40" t="inlineStr">
        <is>
          <t>E01#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6.8B</t>
        </is>
      </c>
      <c r="J6" s="42" t="n">
        <v>0.006944444444444444</v>
      </c>
      <c r="K6" s="40" t="n">
        <v>16</v>
      </c>
      <c r="L6" s="41" t="n">
        <v>46181</v>
      </c>
      <c r="M6" s="42" t="n">
        <v>0.9236111111111112</v>
      </c>
      <c r="N6" s="42" t="n">
        <v>0.9291666666666667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射出</t>
        </is>
      </c>
      <c r="B7" s="40" t="inlineStr">
        <is>
          <t>564</t>
        </is>
      </c>
      <c r="C7" s="40" t="inlineStr">
        <is>
          <t>刘艳丽</t>
        </is>
      </c>
      <c r="D7" s="40" t="inlineStr">
        <is>
          <t>WW115-260528012</t>
        </is>
      </c>
      <c r="E7" s="40" t="inlineStr">
        <is>
          <t>MD</t>
        </is>
      </c>
      <c r="F7" s="40" t="inlineStr">
        <is>
          <t>E06#</t>
        </is>
      </c>
      <c r="G7" s="40" t="inlineStr">
        <is>
          <t>首件</t>
        </is>
      </c>
      <c r="H7" s="40" t="inlineStr">
        <is>
          <t>OMM</t>
        </is>
      </c>
      <c r="I7" s="41" t="inlineStr">
        <is>
          <t>6.8B</t>
        </is>
      </c>
      <c r="J7" s="42" t="n">
        <v>0.006944444444444444</v>
      </c>
      <c r="K7" s="40" t="n">
        <v>16</v>
      </c>
      <c r="L7" s="41" t="n">
        <v>46181</v>
      </c>
      <c r="M7" s="42" t="n">
        <v>0.9291666666666667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46181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射出</t>
        </is>
      </c>
      <c r="B9" s="40" t="inlineStr">
        <is>
          <t>564</t>
        </is>
      </c>
      <c r="C9" s="40" t="inlineStr">
        <is>
          <t>刘艳丽</t>
        </is>
      </c>
      <c r="D9" s="40" t="inlineStr">
        <is>
          <t>WW115-260528012</t>
        </is>
      </c>
      <c r="E9" s="40" t="inlineStr">
        <is>
          <t>MD</t>
        </is>
      </c>
      <c r="F9" s="40" t="inlineStr">
        <is>
          <t>E06#</t>
        </is>
      </c>
      <c r="G9" s="40" t="inlineStr">
        <is>
          <t>首件</t>
        </is>
      </c>
      <c r="H9" s="40" t="inlineStr">
        <is>
          <t>OMM</t>
        </is>
      </c>
      <c r="I9" s="41" t="inlineStr">
        <is>
          <t>6.8B</t>
        </is>
      </c>
      <c r="J9" s="42" t="n">
        <v>0.006944444444444444</v>
      </c>
      <c r="K9" s="40" t="n">
        <v>16</v>
      </c>
      <c r="L9" s="41" t="n">
        <v>46181</v>
      </c>
      <c r="M9" s="42" t="n">
        <v>0</v>
      </c>
      <c r="N9" s="42" t="n">
        <v>0.01527777777777778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射出</t>
        </is>
      </c>
      <c r="B10" s="40" t="inlineStr">
        <is>
          <t>036</t>
        </is>
      </c>
      <c r="C10" s="40" t="inlineStr">
        <is>
          <t>甘文清</t>
        </is>
      </c>
      <c r="D10" s="40" t="inlineStr">
        <is>
          <t>WW115-260515015</t>
        </is>
      </c>
      <c r="E10" s="40" t="inlineStr">
        <is>
          <t>MA</t>
        </is>
      </c>
      <c r="F10" s="40" t="inlineStr">
        <is>
          <t>3FC01#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6.8B</t>
        </is>
      </c>
      <c r="J10" s="42" t="n">
        <v>0.07291666666666667</v>
      </c>
      <c r="K10" s="40" t="n">
        <v>16</v>
      </c>
      <c r="L10" s="41" t="n">
        <v>46181</v>
      </c>
      <c r="M10" s="42" t="n">
        <v>0.01527777777777778</v>
      </c>
      <c r="N10" s="42" t="n">
        <v>0.05972222222222223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036</t>
        </is>
      </c>
      <c r="C11" s="40" t="inlineStr">
        <is>
          <t>甘文清</t>
        </is>
      </c>
      <c r="D11" s="40" t="inlineStr">
        <is>
          <t>WW115-260515021</t>
        </is>
      </c>
      <c r="E11" s="40" t="inlineStr">
        <is>
          <t>MB</t>
        </is>
      </c>
      <c r="F11" s="40" t="inlineStr">
        <is>
          <t>3FC02#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6.8B</t>
        </is>
      </c>
      <c r="J11" s="42" t="n">
        <v>0.07291666666666667</v>
      </c>
      <c r="K11" s="40" t="n">
        <v>16</v>
      </c>
      <c r="L11" s="41" t="n">
        <v>46181</v>
      </c>
      <c r="M11" s="42" t="n">
        <v>0.05972222222222223</v>
      </c>
      <c r="N11" s="42" t="n">
        <v>0.1041666666666667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烧结</t>
        </is>
      </c>
      <c r="B12" s="40" t="inlineStr">
        <is>
          <t>037</t>
        </is>
      </c>
      <c r="C12" s="40" t="inlineStr">
        <is>
          <t>彭立娜</t>
        </is>
      </c>
      <c r="D12" s="40" t="inlineStr">
        <is>
          <t>WW132-260524027</t>
        </is>
      </c>
      <c r="E12" s="40" t="inlineStr">
        <is>
          <t>MB</t>
        </is>
      </c>
      <c r="F12" s="40" t="inlineStr">
        <is>
          <t>DC03</t>
        </is>
      </c>
      <c r="G12" s="40" t="inlineStr">
        <is>
          <t>/</t>
        </is>
      </c>
      <c r="H12" s="40" t="inlineStr">
        <is>
          <t>OMM</t>
        </is>
      </c>
      <c r="I12" s="41" t="inlineStr">
        <is>
          <t>6.8A</t>
        </is>
      </c>
      <c r="J12" s="42" t="n">
        <v>0.7638888888888888</v>
      </c>
      <c r="K12" s="40" t="n">
        <v>10</v>
      </c>
      <c r="L12" s="41" t="n">
        <v>46181</v>
      </c>
      <c r="M12" s="42" t="n">
        <v>0.1041666666666667</v>
      </c>
      <c r="N12" s="42" t="n">
        <v>0.1319444444444444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/</t>
        </is>
      </c>
      <c r="I13" s="45" t="inlineStr">
        <is>
          <t>/</t>
        </is>
      </c>
      <c r="J13" s="45" t="inlineStr">
        <is>
          <t>/</t>
        </is>
      </c>
      <c r="K13" s="40" t="inlineStr">
        <is>
          <t>/</t>
        </is>
      </c>
      <c r="L13" s="41" t="n">
        <v>46181</v>
      </c>
      <c r="M13" s="42" t="n">
        <v>0.1319444444444444</v>
      </c>
      <c r="N13" s="42" t="n">
        <v>0.1388888888888889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/</t>
        </is>
      </c>
      <c r="R13" s="44" t="inlineStr">
        <is>
          <t>休息</t>
        </is>
      </c>
    </row>
    <row r="14" s="39">
      <c r="A14" s="40" t="inlineStr">
        <is>
          <t>烧结</t>
        </is>
      </c>
      <c r="B14" s="40" t="inlineStr">
        <is>
          <t>037</t>
        </is>
      </c>
      <c r="C14" s="40" t="inlineStr">
        <is>
          <t>彭立娜</t>
        </is>
      </c>
      <c r="D14" s="40" t="inlineStr">
        <is>
          <t>WW132-260524027</t>
        </is>
      </c>
      <c r="E14" s="40" t="inlineStr">
        <is>
          <t>MB</t>
        </is>
      </c>
      <c r="F14" s="40" t="inlineStr">
        <is>
          <t>DC03</t>
        </is>
      </c>
      <c r="G14" s="40" t="inlineStr">
        <is>
          <t>/</t>
        </is>
      </c>
      <c r="H14" s="40" t="inlineStr">
        <is>
          <t>OMM</t>
        </is>
      </c>
      <c r="I14" s="41" t="inlineStr">
        <is>
          <t>6.8A</t>
        </is>
      </c>
      <c r="J14" s="42" t="n">
        <v>0.7638888888888888</v>
      </c>
      <c r="K14" s="40" t="n">
        <v>10</v>
      </c>
      <c r="L14" s="41" t="n">
        <v>46181</v>
      </c>
      <c r="M14" s="42" t="n">
        <v>0.1388888888888889</v>
      </c>
      <c r="N14" s="42" t="n">
        <v>0.1597222222222222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038</t>
        </is>
      </c>
      <c r="C15" s="40" t="inlineStr">
        <is>
          <t>陈大勇</t>
        </is>
      </c>
      <c r="D15" s="40" t="inlineStr">
        <is>
          <t>WW115-260514006</t>
        </is>
      </c>
      <c r="E15" s="40" t="inlineStr">
        <is>
          <t>/</t>
        </is>
      </c>
      <c r="F15" s="40" t="inlineStr">
        <is>
          <t>3FB23#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6.8B</t>
        </is>
      </c>
      <c r="J15" s="42" t="n">
        <v>0.1215277777777778</v>
      </c>
      <c r="K15" s="40" t="n">
        <v>12</v>
      </c>
      <c r="L15" s="41" t="n">
        <v>46181</v>
      </c>
      <c r="M15" s="42" t="n">
        <v>0.1597222222222222</v>
      </c>
      <c r="N15" s="42" t="n">
        <v>0.2118055555555556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039</t>
        </is>
      </c>
      <c r="C16" s="40" t="inlineStr">
        <is>
          <t>李佳欣</t>
        </is>
      </c>
      <c r="D16" s="40" t="inlineStr">
        <is>
          <t>WW115-260515024</t>
        </is>
      </c>
      <c r="E16" s="40" t="inlineStr">
        <is>
          <t>MA</t>
        </is>
      </c>
      <c r="F16" s="40" t="inlineStr">
        <is>
          <t>3FB05#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6.8B</t>
        </is>
      </c>
      <c r="J16" s="42" t="n">
        <v>0.006944444444444444</v>
      </c>
      <c r="K16" s="40" t="n">
        <v>16</v>
      </c>
      <c r="L16" s="41" t="n">
        <v>46181</v>
      </c>
      <c r="M16" s="42" t="n">
        <v>0.2118055555555556</v>
      </c>
      <c r="N16" s="42" t="n">
        <v>0.2361111111111111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/</t>
        </is>
      </c>
      <c r="B17" s="40" t="inlineStr">
        <is>
          <t>/</t>
        </is>
      </c>
      <c r="C17" s="40" t="inlineStr">
        <is>
          <t>/</t>
        </is>
      </c>
      <c r="D17" s="40" t="inlineStr">
        <is>
          <t>/</t>
        </is>
      </c>
      <c r="E17" s="40" t="inlineStr">
        <is>
          <t>/</t>
        </is>
      </c>
      <c r="F17" s="40" t="inlineStr">
        <is>
          <t>/</t>
        </is>
      </c>
      <c r="G17" s="40" t="inlineStr">
        <is>
          <t>/</t>
        </is>
      </c>
      <c r="H17" s="40" t="inlineStr">
        <is>
          <t>/</t>
        </is>
      </c>
      <c r="I17" s="45" t="inlineStr">
        <is>
          <t>/</t>
        </is>
      </c>
      <c r="J17" s="45" t="inlineStr">
        <is>
          <t>/</t>
        </is>
      </c>
      <c r="K17" s="40" t="inlineStr">
        <is>
          <t>/</t>
        </is>
      </c>
      <c r="L17" s="41" t="n">
        <v>46181</v>
      </c>
      <c r="M17" s="42" t="n">
        <v>0.2361111111111111</v>
      </c>
      <c r="N17" s="42" t="n">
        <v>0.2638888888888889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/</t>
        </is>
      </c>
      <c r="R17" s="44" t="inlineStr">
        <is>
          <t>休息</t>
        </is>
      </c>
    </row>
    <row r="18" s="39">
      <c r="A18" s="40" t="inlineStr">
        <is>
          <t>射出</t>
        </is>
      </c>
      <c r="B18" s="40" t="inlineStr">
        <is>
          <t>039</t>
        </is>
      </c>
      <c r="C18" s="40" t="inlineStr">
        <is>
          <t>李佳欣</t>
        </is>
      </c>
      <c r="D18" s="40" t="inlineStr">
        <is>
          <t>WW115-260515024</t>
        </is>
      </c>
      <c r="E18" s="40" t="inlineStr">
        <is>
          <t>MA</t>
        </is>
      </c>
      <c r="F18" s="40" t="inlineStr">
        <is>
          <t>3FB05#</t>
        </is>
      </c>
      <c r="G18" s="40" t="inlineStr">
        <is>
          <t>首件</t>
        </is>
      </c>
      <c r="H18" s="40" t="inlineStr">
        <is>
          <t>OMM</t>
        </is>
      </c>
      <c r="I18" s="41" t="inlineStr">
        <is>
          <t>6.8B</t>
        </is>
      </c>
      <c r="J18" s="42" t="n">
        <v>0.006944444444444444</v>
      </c>
      <c r="K18" s="40" t="n">
        <v>16</v>
      </c>
      <c r="L18" s="41" t="n">
        <v>46181</v>
      </c>
      <c r="M18" s="42" t="n">
        <v>0.2638888888888889</v>
      </c>
      <c r="N18" s="42" t="n">
        <v>0.2847222222222222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inlineStr">
        <is>
          <t>烧结</t>
        </is>
      </c>
      <c r="B19" s="40" t="inlineStr">
        <is>
          <t>039</t>
        </is>
      </c>
      <c r="C19" s="40" t="inlineStr">
        <is>
          <t>彭丽娜</t>
        </is>
      </c>
      <c r="D19" s="40" t="inlineStr">
        <is>
          <t>WW132-260524</t>
        </is>
      </c>
      <c r="E19" s="40" t="inlineStr">
        <is>
          <t>MA</t>
        </is>
      </c>
      <c r="F19" s="40" t="inlineStr">
        <is>
          <t>DC03</t>
        </is>
      </c>
      <c r="G19" s="40" t="inlineStr">
        <is>
          <t>/</t>
        </is>
      </c>
      <c r="H19" s="40" t="inlineStr">
        <is>
          <t>OMM</t>
        </is>
      </c>
      <c r="I19" s="41" t="inlineStr">
        <is>
          <t>6.8A</t>
        </is>
      </c>
      <c r="J19" s="42" t="n">
        <v>0.7638888888888888</v>
      </c>
      <c r="K19" s="40" t="n">
        <v>10</v>
      </c>
      <c r="L19" s="41" t="n">
        <v>46181</v>
      </c>
      <c r="M19" s="42" t="n">
        <v>0.2847222222222222</v>
      </c>
      <c r="N19" s="42" t="n">
        <v>0.3333333333333333</v>
      </c>
      <c r="O19" s="43">
        <f>IF(N19&gt;=M19,N19-M19,IF(N19+1-M19&lt;=0.5,N19+1-M19,"检查"))</f>
        <v/>
      </c>
      <c r="P19" s="40">
        <f>IF(ISBLANK(M19),"待测","已完成")</f>
        <v/>
      </c>
      <c r="Q19" s="44" t="inlineStr">
        <is>
          <t>禹欣</t>
        </is>
      </c>
      <c r="R19" s="44" t="inlineStr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2026-06-22T12:52:19Z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