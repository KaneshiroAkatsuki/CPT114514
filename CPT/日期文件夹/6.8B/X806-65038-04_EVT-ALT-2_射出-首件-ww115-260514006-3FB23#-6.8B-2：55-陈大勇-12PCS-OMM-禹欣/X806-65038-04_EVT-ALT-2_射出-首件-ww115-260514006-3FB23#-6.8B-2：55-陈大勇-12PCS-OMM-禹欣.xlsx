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8" sheetId="1" r:id="rId1"/>
  </sheets>
  <definedNames>
    <definedName name="_xlnm.Print_Area" localSheetId="0">'806-65038'!$B$1:$AE$6</definedName>
    <definedName name="_xlnm.Print_Titles" localSheetId="0">'806-65038'!$1:6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<sst xmlns="http://schemas.openxmlformats.org/spreadsheetml/2006/main" count="48" uniqueCount="46">
  <si>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安徽中耀智能科技有限公司首件尺寸报告</t>
  </si>
  <si>
    <t>料号</t>
  </si>
  <si>
    <t>X806-65038</t>
  </si>
  <si>
    <t>工单号</t>
  </si>
  <si>
    <t>ww115-260514006</t>
  </si>
  <si>
    <t>工站</t>
  </si>
  <si>
    <t xml:space="preserve">射出机台号     
</t>
  </si>
  <si>
    <t>量测机台号</t>
  </si>
  <si>
    <t>测量人员</t>
  </si>
  <si>
    <t>审核</t>
  </si>
  <si>
    <t>射出</t>
  </si>
  <si>
    <t>3FB23#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</si>
  <si>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</si>
  <si>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</si>
  <si>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</si>
  <si>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</si>
  <si>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</si>
  <si>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</si>
  <si>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</si>
  <si>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</si>
  <si>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</si>
  <si>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</si>
  <si>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</si>
  <si>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</si>
  <si>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</si>
  <si>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</si>
  <si>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</si>
  <si>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</si>
  <si>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</si>
  <si>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</si>
  <si>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</si>
  <si>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</si>
  <si>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</si>
  <si>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</si>
  <si>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</si>
  <si>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</si>
  <si>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</si>
  <si>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</si>
  <si>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</si>
  <si>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</si>
  <si>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r>
      <t>复测</t>
    </r>
    <r>
      <rPr>
        <b/>
        <sz val="11"/>
        <rFont val="Arial"/>
        <charset val="134"/>
      </rPr>
      <t>5-1</t>
    </r>
  </si>
  <si>
    <t>FAI 21</t>
  </si>
  <si>
    <t>OMM</t>
  </si>
  <si>
    <t>FAI 22</t>
  </si>
  <si>
    <t>V</t>
  </si>
  <si>
    <t>FAI 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</si>
</sst>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3"/>
  <sheetViews>
    <sheetView tabSelected="1" topLeftCell="R1" workbookViewId="0">
      <selection activeCell="AN3" sqref="AN3:AO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3" t="s">
        <v>40</v>
      </c>
      <c r="W6" s="64">
        <v>14</v>
      </c>
      <c r="X6" s="64">
        <v>15</v>
      </c>
      <c r="Y6" s="64">
        <v>16</v>
      </c>
      <c r="Z6" s="65" t="str">
        <f t="shared" ref="Z6" si="0">J6</f>
        <v>3-1</v>
      </c>
      <c r="AA6" s="65" t="str">
        <f t="shared" ref="AA6:AO6" si="1">K6</f>
        <v>3-2</v>
      </c>
      <c r="AB6" s="65" t="str">
        <f t="shared" si="1"/>
        <v>4-1</v>
      </c>
      <c r="AC6" s="65" t="str">
        <f t="shared" si="1"/>
        <v>4-2</v>
      </c>
      <c r="AD6" s="65" t="str">
        <f t="shared" si="1"/>
        <v>5-1</v>
      </c>
      <c r="AE6" s="65" t="str">
        <f t="shared" si="1"/>
        <v>5-2</v>
      </c>
      <c r="AF6" s="65" t="str">
        <f t="shared" si="1"/>
        <v>6-1</v>
      </c>
      <c r="AG6" s="65" t="str">
        <f t="shared" si="1"/>
        <v>6-2</v>
      </c>
      <c r="AH6" s="65" t="str">
        <f t="shared" si="1"/>
        <v>7-1</v>
      </c>
      <c r="AI6" s="65" t="str">
        <f t="shared" si="1"/>
        <v>7-2</v>
      </c>
      <c r="AJ6" s="65" t="str">
        <f t="shared" si="1"/>
        <v>8-1</v>
      </c>
      <c r="AK6" s="65" t="str">
        <f t="shared" si="1"/>
        <v>8-2</v>
      </c>
      <c r="AL6" s="65" t="str">
        <f t="shared" si="1"/>
        <v>复测5-1</v>
      </c>
      <c r="AM6" s="65">
        <f t="shared" si="1"/>
        <v>14</v>
      </c>
      <c r="AN6" s="65">
        <f t="shared" si="1"/>
        <v>15</v>
      </c>
      <c r="AO6" s="65">
        <f t="shared" si="1"/>
        <v>16</v>
      </c>
    </row>
    <row r="7" spans="1:41">
      <c r="A7" s="66">
        <v>46182</v>
      </c>
      <c r="B7" s="67" t="s">
        <v>41</v>
      </c>
      <c r="C7" s="67"/>
      <c r="D7" s="68">
        <v>9.55</v>
      </c>
      <c r="E7" s="68">
        <v>0.05</v>
      </c>
      <c r="F7" s="68">
        <v>-0.05</v>
      </c>
      <c r="G7" s="69">
        <f>D7+E7</f>
        <v>9.6</v>
      </c>
      <c r="H7" s="69">
        <f>D7+F7</f>
        <v>9.5</v>
      </c>
      <c r="I7" s="70" t="s">
        <v>42</v>
      </c>
      <c r="J7" s="71">
        <v>9.566</v>
      </c>
      <c r="K7" s="71">
        <v>9.5575</v>
      </c>
      <c r="L7" s="71">
        <v>9.5574</v>
      </c>
      <c r="M7" s="71">
        <v>9.5574</v>
      </c>
      <c r="N7" s="71">
        <v>9.5581</v>
      </c>
      <c r="O7" s="71">
        <v>9.5577</v>
      </c>
      <c r="P7" s="71">
        <v>9.5579</v>
      </c>
      <c r="Q7" s="71">
        <v>9.5574</v>
      </c>
      <c r="R7" s="71">
        <v>9.5576</v>
      </c>
      <c r="S7" s="71">
        <v>9.5574</v>
      </c>
      <c r="T7" s="71">
        <v>9.5574</v>
      </c>
      <c r="U7" s="71">
        <v>9.5573</v>
      </c>
      <c r="V7" s="71">
        <v>9.5562</v>
      </c>
      <c r="W7" s="71"/>
      <c r="X7" s="71"/>
      <c r="Y7" s="71"/>
      <c r="Z7" s="72" t="str">
        <f t="shared" ref="Z7:AO7" si="2">IF(J7="","",IF(J7&gt;($D7+$E7),(J7-$D7-$E7),IF(J7&lt;($D7+$F7),(J7-$D7-$F7),"√")))</f>
        <v>√</v>
      </c>
      <c r="AA7" s="72" t="str">
        <f t="shared" si="2"/>
        <v>√</v>
      </c>
      <c r="AB7" s="72" t="str">
        <f t="shared" si="2"/>
        <v>√</v>
      </c>
      <c r="AC7" s="72" t="str">
        <f t="shared" si="2"/>
        <v>√</v>
      </c>
      <c r="AD7" s="72" t="str">
        <f t="shared" si="2"/>
        <v>√</v>
      </c>
      <c r="AE7" s="72" t="str">
        <f t="shared" si="2"/>
        <v>√</v>
      </c>
      <c r="AF7" s="72" t="str">
        <f t="shared" si="2"/>
        <v>√</v>
      </c>
      <c r="AG7" s="72" t="str">
        <f t="shared" si="2"/>
        <v>√</v>
      </c>
      <c r="AH7" s="72" t="str">
        <f t="shared" si="2"/>
        <v>√</v>
      </c>
      <c r="AI7" s="72" t="str">
        <f t="shared" si="2"/>
        <v>√</v>
      </c>
      <c r="AJ7" s="72" t="str">
        <f t="shared" si="2"/>
        <v>√</v>
      </c>
      <c r="AK7" s="72" t="str">
        <f t="shared" si="2"/>
        <v>√</v>
      </c>
      <c r="AL7" s="72" t="str">
        <f t="shared" si="2"/>
        <v>√</v>
      </c>
      <c r="AM7" s="72" t="str">
        <f t="shared" si="2"/>
        <v/>
      </c>
      <c r="AN7" s="72" t="str">
        <f t="shared" si="2"/>
        <v/>
      </c>
      <c r="AO7" s="72" t="str">
        <f t="shared" si="2"/>
        <v/>
      </c>
    </row>
    <row r="8" spans="1:41">
      <c r="A8" s="73"/>
      <c r="B8" s="67" t="s">
        <v>43</v>
      </c>
      <c r="C8" s="67" t="s">
        <v>44</v>
      </c>
      <c r="D8" s="68">
        <v>3.71</v>
      </c>
      <c r="E8" s="68">
        <v>0.03</v>
      </c>
      <c r="F8" s="68">
        <v>-0.03</v>
      </c>
      <c r="G8" s="69">
        <f>D8+E8</f>
        <v>3.74</v>
      </c>
      <c r="H8" s="69">
        <f>D8+F8</f>
        <v>3.68</v>
      </c>
      <c r="I8" s="70" t="s">
        <v>42</v>
      </c>
      <c r="J8" s="71">
        <v>3.6989</v>
      </c>
      <c r="K8" s="71">
        <v>3.7003</v>
      </c>
      <c r="L8" s="71">
        <v>3.6948</v>
      </c>
      <c r="M8" s="71">
        <v>3.7299</v>
      </c>
      <c r="N8" s="71">
        <v>3.7008</v>
      </c>
      <c r="O8" s="71">
        <v>3.7005</v>
      </c>
      <c r="P8" s="71">
        <v>3.7004</v>
      </c>
      <c r="Q8" s="71">
        <v>3.7036</v>
      </c>
      <c r="R8" s="71">
        <v>3.7261</v>
      </c>
      <c r="S8" s="71">
        <v>3.708</v>
      </c>
      <c r="T8" s="71">
        <v>3.7142</v>
      </c>
      <c r="U8" s="71">
        <v>3.7265</v>
      </c>
      <c r="V8" s="71">
        <v>3.6978</v>
      </c>
      <c r="W8" s="71"/>
      <c r="X8" s="71"/>
      <c r="Y8" s="71"/>
      <c r="Z8" s="72" t="str">
        <f>IF(J8="","",IF(J8&gt;($D8+$E8),(J8-$D8-$E8),IF(J8&lt;($D8+$F8),(J8-$D8-$F8),"√")))</f>
        <v>√</v>
      </c>
      <c r="AA8" s="72" t="str">
        <f t="shared" ref="AA8:AO8" si="3">IF(K8="","",IF(K8&gt;($D8+$E8),(K8-$D8-$E8),IF(K8&lt;($D8+$F8),(K8-$D8-$F8),"√")))</f>
        <v>√</v>
      </c>
      <c r="AB8" s="72" t="str">
        <f t="shared" si="3"/>
        <v>√</v>
      </c>
      <c r="AC8" s="72" t="str">
        <f t="shared" si="3"/>
        <v>√</v>
      </c>
      <c r="AD8" s="72" t="str">
        <f t="shared" si="3"/>
        <v>√</v>
      </c>
      <c r="AE8" s="72" t="str">
        <f t="shared" si="3"/>
        <v>√</v>
      </c>
      <c r="AF8" s="72" t="str">
        <f t="shared" si="3"/>
        <v>√</v>
      </c>
      <c r="AG8" s="72" t="str">
        <f t="shared" si="3"/>
        <v>√</v>
      </c>
      <c r="AH8" s="72" t="str">
        <f t="shared" si="3"/>
        <v>√</v>
      </c>
      <c r="AI8" s="72" t="str">
        <f t="shared" si="3"/>
        <v>√</v>
      </c>
      <c r="AJ8" s="72" t="str">
        <f t="shared" si="3"/>
        <v>√</v>
      </c>
      <c r="AK8" s="72" t="str">
        <f t="shared" si="3"/>
        <v>√</v>
      </c>
      <c r="AL8" s="72" t="str">
        <f t="shared" si="3"/>
        <v>√</v>
      </c>
      <c r="AM8" s="72" t="str">
        <f t="shared" si="3"/>
        <v/>
      </c>
      <c r="AN8" s="72" t="str">
        <f t="shared" si="3"/>
        <v/>
      </c>
      <c r="AO8" s="72" t="str">
        <f t="shared" si="3"/>
        <v/>
      </c>
    </row>
    <row r="9" spans="1:41">
      <c r="A9" s="74"/>
      <c r="B9" s="67" t="s">
        <v>45</v>
      </c>
      <c r="C9" s="67"/>
      <c r="D9" s="68">
        <v>5.2</v>
      </c>
      <c r="E9" s="68">
        <v>0.03</v>
      </c>
      <c r="F9" s="68">
        <v>-0.03</v>
      </c>
      <c r="G9" s="69">
        <f>D9+E9</f>
        <v>5.23</v>
      </c>
      <c r="H9" s="69">
        <f>D9+F9</f>
        <v>5.17</v>
      </c>
      <c r="I9" s="70" t="s">
        <v>42</v>
      </c>
      <c r="J9" s="71">
        <v>5.1723</v>
      </c>
      <c r="K9" s="71">
        <v>5.1712</v>
      </c>
      <c r="L9" s="71">
        <v>5.1722</v>
      </c>
      <c r="M9" s="71">
        <v>5.185</v>
      </c>
      <c r="N9" s="71">
        <v>5.1564</v>
      </c>
      <c r="O9" s="71">
        <v>5.1887</v>
      </c>
      <c r="P9" s="71">
        <v>5.1633</v>
      </c>
      <c r="Q9" s="71">
        <v>5.1577</v>
      </c>
      <c r="R9" s="71">
        <v>5.1754</v>
      </c>
      <c r="S9" s="71">
        <v>5.1766</v>
      </c>
      <c r="T9" s="71">
        <v>5.1707</v>
      </c>
      <c r="U9" s="71">
        <v>5.1776</v>
      </c>
      <c r="V9" s="71">
        <v>5.1529</v>
      </c>
      <c r="W9" s="71"/>
      <c r="X9" s="71"/>
      <c r="Y9" s="71"/>
      <c r="Z9" s="72" t="str">
        <f>IF(J9="","",IF(J9&gt;($D9+$E9),(J9-$D9-$E9),IF(J9&lt;($D9+$F9),(J9-$D9-$F9),"√")))</f>
        <v>√</v>
      </c>
      <c r="AA9" s="72" t="str">
        <f t="shared" ref="AA9:AO9" si="4">IF(K9="","",IF(K9&gt;($D9+$E9),(K9-$D9-$E9),IF(K9&lt;($D9+$F9),(K9-$D9-$F9),"√")))</f>
        <v>√</v>
      </c>
      <c r="AB9" s="72" t="str">
        <f t="shared" si="4"/>
        <v>√</v>
      </c>
      <c r="AC9" s="72" t="str">
        <f t="shared" si="4"/>
        <v>√</v>
      </c>
      <c r="AD9" s="72">
        <f t="shared" si="4"/>
        <v>-0.0136000000000005</v>
      </c>
      <c r="AE9" s="72" t="str">
        <f t="shared" si="4"/>
        <v>√</v>
      </c>
      <c r="AF9" s="72">
        <f t="shared" si="4"/>
        <v>-0.00670000000000062</v>
      </c>
      <c r="AG9" s="72">
        <f t="shared" si="4"/>
        <v>-0.0123</v>
      </c>
      <c r="AH9" s="72" t="str">
        <f t="shared" si="4"/>
        <v>√</v>
      </c>
      <c r="AI9" s="72" t="str">
        <f t="shared" si="4"/>
        <v>√</v>
      </c>
      <c r="AJ9" s="72" t="str">
        <f t="shared" si="4"/>
        <v>√</v>
      </c>
      <c r="AK9" s="72" t="str">
        <f t="shared" si="4"/>
        <v>√</v>
      </c>
      <c r="AL9" s="72">
        <f t="shared" si="4"/>
        <v>-0.0171000000000004</v>
      </c>
      <c r="AM9" s="72" t="str">
        <f t="shared" si="4"/>
        <v/>
      </c>
      <c r="AN9" s="72" t="str">
        <f t="shared" si="4"/>
        <v/>
      </c>
      <c r="AO9" s="72" t="str">
        <f t="shared" si="4"/>
        <v/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2026-06-08T23:51:23Z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