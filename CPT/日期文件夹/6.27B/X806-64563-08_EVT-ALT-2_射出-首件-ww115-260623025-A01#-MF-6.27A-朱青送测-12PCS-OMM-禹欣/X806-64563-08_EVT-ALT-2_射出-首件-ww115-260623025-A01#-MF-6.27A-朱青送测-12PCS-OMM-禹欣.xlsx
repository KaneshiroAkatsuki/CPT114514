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<sst xmlns="http://schemas.openxmlformats.org/spreadsheetml/2006/main" count="57" uniqueCount="50">
  <si>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安徽中耀智能科技有限公司首件尺寸报告</t>
  </si>
  <si>
    <t>料号</t>
  </si>
  <si>
    <t>X806-64563</t>
  </si>
  <si>
    <t>工单号</t>
  </si>
  <si>
    <t>ww115-260623025</t>
  </si>
  <si>
    <t>工站</t>
  </si>
  <si>
    <t>射出机台号</t>
  </si>
  <si>
    <t>测量机台</t>
  </si>
  <si>
    <t>测量人员</t>
  </si>
  <si>
    <t>审核</t>
  </si>
  <si>
    <t>射出</t>
  </si>
  <si>
    <t>A01#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</si>
  <si>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</si>
  <si>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</si>
  <si>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</si>
  <si>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</si>
  <si>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</si>
  <si>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</si>
  <si>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</si>
  <si>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</si>
  <si>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</si>
  <si>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</si>
  <si>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</si>
  <si>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</si>
  <si>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</si>
  <si>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</si>
  <si>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</si>
  <si>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</si>
  <si>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</si>
  <si>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</si>
  <si>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</si>
  <si>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1-6</t>
  </si>
  <si>
    <t>1-7</t>
  </si>
  <si>
    <t>1-8</t>
  </si>
  <si>
    <t>2-1</t>
  </si>
  <si>
    <t>2-2</t>
  </si>
  <si>
    <t>2-3</t>
  </si>
  <si>
    <t>2-6</t>
  </si>
  <si>
    <t>2-7</t>
  </si>
  <si>
    <t>2-8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</si>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</sst>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workbookViewId="0">
      <selection activeCell="S6" sqref="S6:U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7">
        <v>13</v>
      </c>
      <c r="W6" s="47">
        <v>14</v>
      </c>
      <c r="X6" s="48">
        <v>15</v>
      </c>
      <c r="Y6" s="48">
        <v>16</v>
      </c>
      <c r="Z6" s="49" t="str">
        <f t="shared" ref="Z6:AO6" si="0">J6</f>
        <v>1-1</v>
      </c>
      <c r="AA6" s="49" t="str">
        <f t="shared" si="0"/>
        <v>1-2</v>
      </c>
      <c r="AB6" s="49" t="str">
        <f t="shared" si="0"/>
        <v>1-3</v>
      </c>
      <c r="AC6" s="49" t="str">
        <f t="shared" si="0"/>
        <v>1-6</v>
      </c>
      <c r="AD6" s="49" t="str">
        <f t="shared" si="0"/>
        <v>1-7</v>
      </c>
      <c r="AE6" s="49" t="str">
        <f t="shared" si="0"/>
        <v>1-8</v>
      </c>
      <c r="AF6" s="49" t="str">
        <f t="shared" si="0"/>
        <v>2-1</v>
      </c>
      <c r="AG6" s="49" t="str">
        <f t="shared" si="0"/>
        <v>2-2</v>
      </c>
      <c r="AH6" s="49" t="str">
        <f t="shared" si="0"/>
        <v>2-3</v>
      </c>
      <c r="AI6" s="49" t="str">
        <f t="shared" si="0"/>
        <v>2-6</v>
      </c>
      <c r="AJ6" s="49" t="str">
        <f t="shared" si="0"/>
        <v>2-7</v>
      </c>
      <c r="AK6" s="49" t="str">
        <f t="shared" si="0"/>
        <v>2-8</v>
      </c>
      <c r="AL6" s="49">
        <f t="shared" si="0"/>
        <v>13</v>
      </c>
      <c r="AM6" s="49">
        <f t="shared" si="0"/>
        <v>14</v>
      </c>
      <c r="AN6" s="49">
        <f t="shared" si="0"/>
        <v>15</v>
      </c>
      <c r="AO6" s="49">
        <f t="shared" si="0"/>
        <v>16</v>
      </c>
    </row>
    <row r="7" ht="15" customHeight="1" spans="1:41">
      <c r="A7" s="50">
        <v>46200</v>
      </c>
      <c r="B7" s="51" t="s">
        <v>40</v>
      </c>
      <c r="C7" s="51" t="s">
        <v>41</v>
      </c>
      <c r="D7" s="52">
        <v>6.26</v>
      </c>
      <c r="E7" s="52">
        <v>0.025</v>
      </c>
      <c r="F7" s="52">
        <v>-0.025</v>
      </c>
      <c r="G7" s="53">
        <f t="shared" ref="G7:G13" si="1">D7+E7</f>
        <v>6.285</v>
      </c>
      <c r="H7" s="53">
        <f t="shared" ref="H7:H13" si="2">D7+F7</f>
        <v>6.235</v>
      </c>
      <c r="I7" s="52" t="s">
        <v>42</v>
      </c>
      <c r="J7" s="54">
        <v>6.2749</v>
      </c>
      <c r="K7" s="54">
        <v>6.2561</v>
      </c>
      <c r="L7" s="54">
        <v>6.2583</v>
      </c>
      <c r="M7" s="54">
        <v>6.261</v>
      </c>
      <c r="N7" s="54">
        <v>6.2624</v>
      </c>
      <c r="O7" s="54">
        <v>6.2781</v>
      </c>
      <c r="P7" s="54">
        <v>6.2655</v>
      </c>
      <c r="Q7" s="54">
        <v>6.2641</v>
      </c>
      <c r="R7" s="54">
        <v>6.2714</v>
      </c>
      <c r="S7" s="54">
        <v>6.2583</v>
      </c>
      <c r="T7" s="54">
        <v>6.263</v>
      </c>
      <c r="U7" s="54">
        <v>6.264</v>
      </c>
      <c r="V7" s="54"/>
      <c r="W7" s="54"/>
      <c r="X7" s="54"/>
      <c r="Y7" s="54"/>
      <c r="Z7" s="55" t="str">
        <f t="shared" ref="Z7:Z13" si="3">IF(J7="","",IF(J7&gt;($D7+$E7),(J7-$D7-$E7),IF(J7&lt;($D7+$F7),(J7-$D7-$F7),"√")))</f>
        <v>√</v>
      </c>
      <c r="AA7" s="55" t="str">
        <f t="shared" ref="AA7:AA13" si="4">IF(K7="","",IF(K7&gt;($D7+$E7),(K7-$D7-$E7),IF(K7&lt;($D7+$F7),(K7-$D7-$F7),"√")))</f>
        <v>√</v>
      </c>
      <c r="AB7" s="55" t="str">
        <f t="shared" ref="AB7:AO11" si="5">IF(L7="","",IF(L7&gt;($D7+$E7),(L7-$D7-$E7),IF(L7&lt;($D7+$F7),(L7-$D7-$F7),"√")))</f>
        <v>√</v>
      </c>
      <c r="AC7" s="55" t="str">
        <f t="shared" si="5"/>
        <v>√</v>
      </c>
      <c r="AD7" s="55" t="str">
        <f t="shared" si="5"/>
        <v>√</v>
      </c>
      <c r="AE7" s="55" t="str">
        <f t="shared" si="5"/>
        <v>√</v>
      </c>
      <c r="AF7" s="55" t="str">
        <f t="shared" si="5"/>
        <v>√</v>
      </c>
      <c r="AG7" s="55" t="str">
        <f t="shared" si="5"/>
        <v>√</v>
      </c>
      <c r="AH7" s="55" t="str">
        <f t="shared" si="5"/>
        <v>√</v>
      </c>
      <c r="AI7" s="55" t="str">
        <f t="shared" si="5"/>
        <v>√</v>
      </c>
      <c r="AJ7" s="55" t="str">
        <f t="shared" si="5"/>
        <v>√</v>
      </c>
      <c r="AK7" s="55" t="str">
        <f t="shared" si="5"/>
        <v>√</v>
      </c>
      <c r="AL7" s="55" t="str">
        <f t="shared" si="5"/>
        <v/>
      </c>
      <c r="AM7" s="55" t="str">
        <f t="shared" si="5"/>
        <v/>
      </c>
      <c r="AN7" s="55" t="str">
        <f t="shared" si="5"/>
        <v/>
      </c>
      <c r="AO7" s="55" t="str">
        <f t="shared" si="5"/>
        <v/>
      </c>
    </row>
    <row r="8" ht="15" customHeight="1" spans="1:41">
      <c r="A8" s="56"/>
      <c r="B8" s="51" t="s">
        <v>43</v>
      </c>
      <c r="C8" s="51" t="s">
        <v>44</v>
      </c>
      <c r="D8" s="52">
        <v>2.44</v>
      </c>
      <c r="E8" s="52">
        <v>0.03</v>
      </c>
      <c r="F8" s="52">
        <v>-0.03</v>
      </c>
      <c r="G8" s="53">
        <f t="shared" si="1"/>
        <v>2.47</v>
      </c>
      <c r="H8" s="53">
        <f t="shared" si="2"/>
        <v>2.41</v>
      </c>
      <c r="I8" s="52" t="s">
        <v>42</v>
      </c>
      <c r="J8" s="54">
        <v>2.4291</v>
      </c>
      <c r="K8" s="54">
        <v>2.4313</v>
      </c>
      <c r="L8" s="54">
        <v>2.4363</v>
      </c>
      <c r="M8" s="54">
        <v>2.4343</v>
      </c>
      <c r="N8" s="54">
        <v>2.4333</v>
      </c>
      <c r="O8" s="54">
        <v>2.4319</v>
      </c>
      <c r="P8" s="54">
        <v>2.4352</v>
      </c>
      <c r="Q8" s="54">
        <v>2.4305</v>
      </c>
      <c r="R8" s="54">
        <v>2.4322</v>
      </c>
      <c r="S8" s="54">
        <v>2.4367</v>
      </c>
      <c r="T8" s="54">
        <v>2.4336</v>
      </c>
      <c r="U8" s="54">
        <v>2.4343</v>
      </c>
      <c r="V8" s="54"/>
      <c r="W8" s="54"/>
      <c r="X8" s="54"/>
      <c r="Y8" s="54"/>
      <c r="Z8" s="55" t="str">
        <f t="shared" si="3"/>
        <v>√</v>
      </c>
      <c r="AA8" s="55" t="str">
        <f t="shared" si="4"/>
        <v>√</v>
      </c>
      <c r="AB8" s="55" t="str">
        <f t="shared" ref="AB8:AO8" si="6">IF(L8="","",IF(L8&gt;($D8+$E8),(L8-$D8-$E8),IF(L8&lt;($D8+$F8),(L8-$D8-$F8),"√")))</f>
        <v>√</v>
      </c>
      <c r="AC8" s="55" t="str">
        <f t="shared" si="6"/>
        <v>√</v>
      </c>
      <c r="AD8" s="55" t="str">
        <f t="shared" si="6"/>
        <v>√</v>
      </c>
      <c r="AE8" s="55" t="str">
        <f t="shared" si="6"/>
        <v>√</v>
      </c>
      <c r="AF8" s="55" t="str">
        <f t="shared" si="6"/>
        <v>√</v>
      </c>
      <c r="AG8" s="55" t="str">
        <f t="shared" si="6"/>
        <v>√</v>
      </c>
      <c r="AH8" s="55" t="str">
        <f t="shared" si="6"/>
        <v>√</v>
      </c>
      <c r="AI8" s="55" t="str">
        <f t="shared" si="6"/>
        <v>√</v>
      </c>
      <c r="AJ8" s="55" t="str">
        <f t="shared" si="6"/>
        <v>√</v>
      </c>
      <c r="AK8" s="55" t="str">
        <f t="shared" si="6"/>
        <v>√</v>
      </c>
      <c r="AL8" s="55" t="str">
        <f t="shared" si="6"/>
        <v/>
      </c>
      <c r="AM8" s="55" t="str">
        <f t="shared" si="6"/>
        <v/>
      </c>
      <c r="AN8" s="55" t="str">
        <f t="shared" si="6"/>
        <v/>
      </c>
      <c r="AO8" s="55" t="str">
        <f t="shared" si="6"/>
        <v/>
      </c>
    </row>
    <row r="9" ht="15" customHeight="1" spans="1:41">
      <c r="A9" s="56"/>
      <c r="B9" s="51" t="s">
        <v>45</v>
      </c>
      <c r="C9" s="51" t="s">
        <v>44</v>
      </c>
      <c r="D9" s="52">
        <v>2.44</v>
      </c>
      <c r="E9" s="52">
        <v>0.03</v>
      </c>
      <c r="F9" s="52">
        <v>-0.03</v>
      </c>
      <c r="G9" s="53">
        <f t="shared" si="1"/>
        <v>2.47</v>
      </c>
      <c r="H9" s="53">
        <f t="shared" si="2"/>
        <v>2.41</v>
      </c>
      <c r="I9" s="52" t="s">
        <v>42</v>
      </c>
      <c r="J9" s="54">
        <v>2.4337</v>
      </c>
      <c r="K9" s="54">
        <v>2.4348</v>
      </c>
      <c r="L9" s="54">
        <v>2.4382</v>
      </c>
      <c r="M9" s="54">
        <v>2.4374</v>
      </c>
      <c r="N9" s="54">
        <v>2.4332</v>
      </c>
      <c r="O9" s="54">
        <v>2.4276</v>
      </c>
      <c r="P9" s="54">
        <v>2.4431</v>
      </c>
      <c r="Q9" s="54">
        <v>2.4361</v>
      </c>
      <c r="R9" s="54">
        <v>2.4348</v>
      </c>
      <c r="S9" s="54">
        <v>2.432</v>
      </c>
      <c r="T9" s="54">
        <v>2.4368</v>
      </c>
      <c r="U9" s="54">
        <v>2.435</v>
      </c>
      <c r="V9" s="54"/>
      <c r="W9" s="54"/>
      <c r="X9" s="54"/>
      <c r="Y9" s="54"/>
      <c r="Z9" s="55" t="str">
        <f t="shared" si="3"/>
        <v>√</v>
      </c>
      <c r="AA9" s="55" t="str">
        <f t="shared" si="4"/>
        <v>√</v>
      </c>
      <c r="AB9" s="55" t="str">
        <f t="shared" ref="AB9:AO9" si="7">IF(L9="","",IF(L9&gt;($D9+$E9),(L9-$D9-$E9),IF(L9&lt;($D9+$F9),(L9-$D9-$F9),"√")))</f>
        <v>√</v>
      </c>
      <c r="AC9" s="55" t="str">
        <f t="shared" si="7"/>
        <v>√</v>
      </c>
      <c r="AD9" s="55" t="str">
        <f t="shared" si="7"/>
        <v>√</v>
      </c>
      <c r="AE9" s="55" t="str">
        <f t="shared" si="7"/>
        <v>√</v>
      </c>
      <c r="AF9" s="55" t="str">
        <f t="shared" si="7"/>
        <v>√</v>
      </c>
      <c r="AG9" s="55" t="str">
        <f t="shared" si="7"/>
        <v>√</v>
      </c>
      <c r="AH9" s="55" t="str">
        <f t="shared" si="7"/>
        <v>√</v>
      </c>
      <c r="AI9" s="55" t="str">
        <f t="shared" si="7"/>
        <v>√</v>
      </c>
      <c r="AJ9" s="55" t="str">
        <f t="shared" si="7"/>
        <v>√</v>
      </c>
      <c r="AK9" s="55" t="str">
        <f t="shared" si="7"/>
        <v>√</v>
      </c>
      <c r="AL9" s="55" t="str">
        <f t="shared" si="7"/>
        <v/>
      </c>
      <c r="AM9" s="55" t="str">
        <f t="shared" si="7"/>
        <v/>
      </c>
      <c r="AN9" s="55" t="str">
        <f t="shared" si="7"/>
        <v/>
      </c>
      <c r="AO9" s="55" t="str">
        <f t="shared" si="7"/>
        <v/>
      </c>
    </row>
    <row r="10" ht="15" customHeight="1" spans="1:41">
      <c r="A10" s="56"/>
      <c r="B10" s="51" t="s">
        <v>46</v>
      </c>
      <c r="C10" s="51"/>
      <c r="D10" s="52">
        <v>0.81</v>
      </c>
      <c r="E10" s="52">
        <v>0.03</v>
      </c>
      <c r="F10" s="52">
        <v>-0.03</v>
      </c>
      <c r="G10" s="53">
        <f t="shared" ref="G10:G11" si="8">D10+E10</f>
        <v>0.84</v>
      </c>
      <c r="H10" s="53">
        <f t="shared" ref="H10:H11" si="9">D10+F10</f>
        <v>0.78</v>
      </c>
      <c r="I10" s="52" t="s">
        <v>42</v>
      </c>
      <c r="J10" s="54">
        <v>0.7828</v>
      </c>
      <c r="K10" s="54">
        <v>0.7827</v>
      </c>
      <c r="L10" s="54">
        <v>0.7834</v>
      </c>
      <c r="M10" s="54">
        <v>0.7879</v>
      </c>
      <c r="N10" s="54">
        <v>0.7874</v>
      </c>
      <c r="O10" s="54">
        <v>0.7845</v>
      </c>
      <c r="P10" s="54">
        <v>0.7994</v>
      </c>
      <c r="Q10" s="54">
        <v>0.7876</v>
      </c>
      <c r="R10" s="54">
        <v>0.789</v>
      </c>
      <c r="S10" s="54">
        <v>0.7891</v>
      </c>
      <c r="T10" s="54">
        <v>0.7865</v>
      </c>
      <c r="U10" s="54">
        <v>0.7819</v>
      </c>
      <c r="V10" s="54"/>
      <c r="W10" s="54"/>
      <c r="X10" s="54"/>
      <c r="Y10" s="54"/>
      <c r="Z10" s="55" t="str">
        <f t="shared" ref="Z10:Z11" si="10">IF(J10="","",IF(J10&gt;($D10+$E10),(J10-$D10-$E10),IF(J10&lt;($D10+$F10),(J10-$D10-$F10),"√")))</f>
        <v>√</v>
      </c>
      <c r="AA10" s="55" t="str">
        <f t="shared" ref="AA10:AA11" si="11">IF(K10="","",IF(K10&gt;($D10+$E10),(K10-$D10-$E10),IF(K10&lt;($D10+$F10),(K10-$D10-$F10),"√")))</f>
        <v>√</v>
      </c>
      <c r="AB10" s="55" t="str">
        <f t="shared" ref="AB10:AB13" si="12">IF(L10="","",IF(L10&gt;($D10+$E10),(L10-$D10-$E10),IF(L10&lt;($D10+$F10),(L10-$D10-$F10),"√")))</f>
        <v>√</v>
      </c>
      <c r="AC10" s="55" t="str">
        <f t="shared" si="5"/>
        <v>√</v>
      </c>
      <c r="AD10" s="55" t="str">
        <f t="shared" si="5"/>
        <v>√</v>
      </c>
      <c r="AE10" s="55" t="str">
        <f t="shared" si="5"/>
        <v>√</v>
      </c>
      <c r="AF10" s="55" t="str">
        <f t="shared" si="5"/>
        <v>√</v>
      </c>
      <c r="AG10" s="55" t="str">
        <f t="shared" si="5"/>
        <v>√</v>
      </c>
      <c r="AH10" s="55" t="str">
        <f t="shared" si="5"/>
        <v>√</v>
      </c>
      <c r="AI10" s="55" t="str">
        <f t="shared" si="5"/>
        <v>√</v>
      </c>
      <c r="AJ10" s="55" t="str">
        <f t="shared" si="5"/>
        <v>√</v>
      </c>
      <c r="AK10" s="55" t="str">
        <f t="shared" si="5"/>
        <v>√</v>
      </c>
      <c r="AL10" s="55" t="str">
        <f t="shared" si="5"/>
        <v/>
      </c>
      <c r="AM10" s="55" t="str">
        <f t="shared" si="5"/>
        <v/>
      </c>
      <c r="AN10" s="55" t="str">
        <f t="shared" si="5"/>
        <v/>
      </c>
      <c r="AO10" s="55" t="str">
        <f t="shared" si="5"/>
        <v/>
      </c>
    </row>
    <row r="11" ht="15" customHeight="1" spans="1:41">
      <c r="A11" s="56"/>
      <c r="B11" s="51" t="s">
        <v>47</v>
      </c>
      <c r="C11" s="51"/>
      <c r="D11" s="52">
        <v>0.81</v>
      </c>
      <c r="E11" s="52">
        <v>0.03</v>
      </c>
      <c r="F11" s="52">
        <v>-0.03</v>
      </c>
      <c r="G11" s="53">
        <f t="shared" si="8"/>
        <v>0.84</v>
      </c>
      <c r="H11" s="53">
        <f t="shared" si="9"/>
        <v>0.78</v>
      </c>
      <c r="I11" s="52" t="s">
        <v>42</v>
      </c>
      <c r="J11" s="54">
        <v>0.7975</v>
      </c>
      <c r="K11" s="54">
        <v>0.7844</v>
      </c>
      <c r="L11" s="54">
        <v>0.7918</v>
      </c>
      <c r="M11" s="54">
        <v>0.7815</v>
      </c>
      <c r="N11" s="54">
        <v>0.7845</v>
      </c>
      <c r="O11" s="54">
        <v>0.7899</v>
      </c>
      <c r="P11" s="54">
        <v>0.7943</v>
      </c>
      <c r="Q11" s="54">
        <v>0.7898</v>
      </c>
      <c r="R11" s="54">
        <v>0.7856</v>
      </c>
      <c r="S11" s="54">
        <v>0.7837</v>
      </c>
      <c r="T11" s="54">
        <v>0.7937</v>
      </c>
      <c r="U11" s="54">
        <v>0.7822</v>
      </c>
      <c r="V11" s="54"/>
      <c r="W11" s="54"/>
      <c r="X11" s="54"/>
      <c r="Y11" s="54"/>
      <c r="Z11" s="55" t="str">
        <f t="shared" si="10"/>
        <v>√</v>
      </c>
      <c r="AA11" s="55" t="str">
        <f t="shared" si="11"/>
        <v>√</v>
      </c>
      <c r="AB11" s="55" t="str">
        <f t="shared" si="12"/>
        <v>√</v>
      </c>
      <c r="AC11" s="55" t="str">
        <f t="shared" si="5"/>
        <v>√</v>
      </c>
      <c r="AD11" s="55" t="str">
        <f t="shared" si="5"/>
        <v>√</v>
      </c>
      <c r="AE11" s="55" t="str">
        <f t="shared" si="5"/>
        <v>√</v>
      </c>
      <c r="AF11" s="55" t="str">
        <f t="shared" si="5"/>
        <v>√</v>
      </c>
      <c r="AG11" s="55" t="str">
        <f t="shared" si="5"/>
        <v>√</v>
      </c>
      <c r="AH11" s="55" t="str">
        <f t="shared" si="5"/>
        <v>√</v>
      </c>
      <c r="AI11" s="55" t="str">
        <f t="shared" si="5"/>
        <v>√</v>
      </c>
      <c r="AJ11" s="55" t="str">
        <f t="shared" si="5"/>
        <v>√</v>
      </c>
      <c r="AK11" s="55" t="str">
        <f t="shared" si="5"/>
        <v>√</v>
      </c>
      <c r="AL11" s="55" t="str">
        <f t="shared" si="5"/>
        <v/>
      </c>
      <c r="AM11" s="55" t="str">
        <f t="shared" si="5"/>
        <v/>
      </c>
      <c r="AN11" s="55" t="str">
        <f t="shared" si="5"/>
        <v/>
      </c>
      <c r="AO11" s="55" t="str">
        <f t="shared" si="5"/>
        <v/>
      </c>
    </row>
    <row r="12" ht="15" customHeight="1" spans="1:41">
      <c r="A12" s="56"/>
      <c r="B12" s="51" t="s">
        <v>48</v>
      </c>
      <c r="C12" s="51"/>
      <c r="D12" s="52">
        <v>2.03</v>
      </c>
      <c r="E12" s="52">
        <v>0.05</v>
      </c>
      <c r="F12" s="52">
        <v>-0.05</v>
      </c>
      <c r="G12" s="53">
        <f t="shared" si="1"/>
        <v>2.08</v>
      </c>
      <c r="H12" s="53">
        <f t="shared" si="2"/>
        <v>1.98</v>
      </c>
      <c r="I12" s="52" t="s">
        <v>42</v>
      </c>
      <c r="J12" s="54">
        <v>2.0143</v>
      </c>
      <c r="K12" s="54">
        <v>2.0124</v>
      </c>
      <c r="L12" s="54">
        <v>2.0216</v>
      </c>
      <c r="M12" s="54">
        <v>2.0181</v>
      </c>
      <c r="N12" s="54">
        <v>2.0182</v>
      </c>
      <c r="O12" s="54">
        <v>2.0114</v>
      </c>
      <c r="P12" s="54">
        <v>2.0323</v>
      </c>
      <c r="Q12" s="54">
        <v>2.0322</v>
      </c>
      <c r="R12" s="54">
        <v>2.0195</v>
      </c>
      <c r="S12" s="54">
        <v>2.0344</v>
      </c>
      <c r="T12" s="54">
        <v>2.0203</v>
      </c>
      <c r="U12" s="54">
        <v>2.0138</v>
      </c>
      <c r="V12" s="54"/>
      <c r="W12" s="54"/>
      <c r="X12" s="54"/>
      <c r="Y12" s="54"/>
      <c r="Z12" s="55" t="str">
        <f t="shared" si="3"/>
        <v>√</v>
      </c>
      <c r="AA12" s="55" t="str">
        <f t="shared" si="4"/>
        <v>√</v>
      </c>
      <c r="AB12" s="55" t="str">
        <f t="shared" si="12"/>
        <v>√</v>
      </c>
      <c r="AC12" s="55" t="str">
        <f t="shared" ref="AC12:AO12" si="13">IF(M12="","",IF(M12&gt;($D12+$E12),(M12-$D12-$E12),IF(M12&lt;($D12+$F12),(M12-$D12-$F12),"√")))</f>
        <v>√</v>
      </c>
      <c r="AD12" s="55" t="str">
        <f t="shared" si="13"/>
        <v>√</v>
      </c>
      <c r="AE12" s="55" t="str">
        <f t="shared" si="13"/>
        <v>√</v>
      </c>
      <c r="AF12" s="55" t="str">
        <f t="shared" si="13"/>
        <v>√</v>
      </c>
      <c r="AG12" s="55" t="str">
        <f t="shared" si="13"/>
        <v>√</v>
      </c>
      <c r="AH12" s="55" t="str">
        <f t="shared" si="13"/>
        <v>√</v>
      </c>
      <c r="AI12" s="55" t="str">
        <f t="shared" si="13"/>
        <v>√</v>
      </c>
      <c r="AJ12" s="55" t="str">
        <f t="shared" si="13"/>
        <v>√</v>
      </c>
      <c r="AK12" s="55" t="str">
        <f t="shared" si="13"/>
        <v>√</v>
      </c>
      <c r="AL12" s="55" t="str">
        <f t="shared" si="13"/>
        <v/>
      </c>
      <c r="AM12" s="55" t="str">
        <f t="shared" si="13"/>
        <v/>
      </c>
      <c r="AN12" s="55" t="str">
        <f t="shared" si="13"/>
        <v/>
      </c>
      <c r="AO12" s="55" t="str">
        <f t="shared" si="13"/>
        <v/>
      </c>
    </row>
    <row r="13" ht="15" customHeight="1" spans="1:41">
      <c r="A13" s="57"/>
      <c r="B13" s="51" t="s">
        <v>49</v>
      </c>
      <c r="C13" s="51"/>
      <c r="D13" s="52">
        <v>2.03</v>
      </c>
      <c r="E13" s="52">
        <v>0.05</v>
      </c>
      <c r="F13" s="52">
        <v>-0.05</v>
      </c>
      <c r="G13" s="53">
        <f t="shared" si="1"/>
        <v>2.08</v>
      </c>
      <c r="H13" s="53">
        <f t="shared" si="2"/>
        <v>1.98</v>
      </c>
      <c r="I13" s="52" t="s">
        <v>42</v>
      </c>
      <c r="J13" s="54">
        <v>2</v>
      </c>
      <c r="K13" s="54">
        <v>2.01</v>
      </c>
      <c r="L13" s="54">
        <v>2.0242</v>
      </c>
      <c r="M13" s="54">
        <v>2.0255</v>
      </c>
      <c r="N13" s="54">
        <v>2.0171</v>
      </c>
      <c r="O13" s="54">
        <v>2.0091</v>
      </c>
      <c r="P13" s="54">
        <v>2.0366</v>
      </c>
      <c r="Q13" s="54">
        <v>2.026</v>
      </c>
      <c r="R13" s="54">
        <v>2.0214</v>
      </c>
      <c r="S13" s="54">
        <v>2.0362</v>
      </c>
      <c r="T13" s="54">
        <v>2.0179</v>
      </c>
      <c r="U13" s="54">
        <v>2.0113</v>
      </c>
      <c r="V13" s="54"/>
      <c r="W13" s="54"/>
      <c r="X13" s="54"/>
      <c r="Y13" s="54"/>
      <c r="Z13" s="55" t="str">
        <f t="shared" si="3"/>
        <v>√</v>
      </c>
      <c r="AA13" s="55" t="str">
        <f t="shared" si="4"/>
        <v>√</v>
      </c>
      <c r="AB13" s="55" t="str">
        <f t="shared" si="12"/>
        <v>√</v>
      </c>
      <c r="AC13" s="55" t="str">
        <f t="shared" ref="AC13:AO13" si="14">IF(M13="","",IF(M13&gt;($D13+$E13),(M13-$D13-$E13),IF(M13&lt;($D13+$F13),(M13-$D13-$F13),"√")))</f>
        <v>√</v>
      </c>
      <c r="AD13" s="55" t="str">
        <f t="shared" si="14"/>
        <v>√</v>
      </c>
      <c r="AE13" s="55" t="str">
        <f t="shared" si="14"/>
        <v>√</v>
      </c>
      <c r="AF13" s="55" t="str">
        <f t="shared" si="14"/>
        <v>√</v>
      </c>
      <c r="AG13" s="55" t="str">
        <f t="shared" si="14"/>
        <v>√</v>
      </c>
      <c r="AH13" s="55" t="str">
        <f t="shared" si="14"/>
        <v>√</v>
      </c>
      <c r="AI13" s="55" t="str">
        <f t="shared" si="14"/>
        <v>√</v>
      </c>
      <c r="AJ13" s="55" t="str">
        <f t="shared" si="14"/>
        <v>√</v>
      </c>
      <c r="AK13" s="55" t="str">
        <f t="shared" si="14"/>
        <v>√</v>
      </c>
      <c r="AL13" s="55" t="str">
        <f t="shared" si="14"/>
        <v/>
      </c>
      <c r="AM13" s="55" t="str">
        <f t="shared" si="14"/>
        <v/>
      </c>
      <c r="AN13" s="55" t="str">
        <f t="shared" si="14"/>
        <v/>
      </c>
      <c r="AO13" s="55" t="str">
        <f t="shared" si="14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3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U10:U11">
    <cfRule type="cellIs" dxfId="0" priority="1" operator="notBetween">
      <formula>$G10</formula>
      <formula>$H10</formula>
    </cfRule>
  </conditionalFormatting>
  <conditionalFormatting sqref="U12:U13">
    <cfRule type="cellIs" dxfId="0" priority="2" operator="notBetween">
      <formula>$G12</formula>
      <formula>$H12</formula>
    </cfRule>
  </conditionalFormatting>
  <conditionalFormatting sqref="J7:Y9 J12:T13 V12:Y13">
    <cfRule type="cellIs" dxfId="0" priority="20" operator="notBetween">
      <formula>$G7</formula>
      <formula>$H7</formula>
    </cfRule>
  </conditionalFormatting>
  <conditionalFormatting sqref="J10:T11 V10:Y11">
    <cfRule type="cellIs" dxfId="0" priority="3" operator="notBetween">
      <formula>$G10</formula>
      <formula>$H10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12:AO13 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2026-06-27T12:53:51Z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