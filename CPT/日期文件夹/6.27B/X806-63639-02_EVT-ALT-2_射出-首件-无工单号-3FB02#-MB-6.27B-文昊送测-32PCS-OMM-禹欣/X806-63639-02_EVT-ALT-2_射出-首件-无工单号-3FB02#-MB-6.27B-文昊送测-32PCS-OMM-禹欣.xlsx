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<sst xmlns="http://schemas.openxmlformats.org/spreadsheetml/2006/main" count="76" uniqueCount="61">
  <si>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安徽中耀智能科技有限公司首件尺寸报告</t>
  </si>
  <si>
    <t>料号</t>
  </si>
  <si>
    <t>X806-63639</t>
  </si>
  <si>
    <t>工单号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</si>
  <si>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</si>
  <si>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</si>
  <si>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</si>
  <si>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</si>
  <si>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</si>
  <si>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</si>
  <si>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3FB02#</t>
  </si>
  <si>
    <t>OMM5#</t>
  </si>
  <si>
    <t>运行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</si>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</sst>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topLeftCell="F1" workbookViewId="0">
      <selection activeCell="J13" sqref="J13:Y1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9</v>
      </c>
      <c r="T3" s="28"/>
      <c r="U3" s="28"/>
      <c r="V3" s="28"/>
      <c r="W3" s="28"/>
      <c r="X3" s="29"/>
      <c r="Y3" s="30" t="s">
        <v>10</v>
      </c>
      <c r="Z3" s="31"/>
      <c r="AA3" s="31"/>
      <c r="AB3" s="31"/>
      <c r="AC3" s="31"/>
      <c r="AD3" s="32"/>
      <c r="AE3" s="33" t="s">
        <v>11</v>
      </c>
      <c r="AF3" s="34"/>
      <c r="AG3" s="34"/>
      <c r="AH3" s="34"/>
      <c r="AI3" s="35"/>
      <c r="AJ3" s="33" t="s">
        <v>12</v>
      </c>
      <c r="AK3" s="34"/>
      <c r="AL3" s="34"/>
      <c r="AM3" s="35"/>
      <c r="AN3" s="36" t="s">
        <v>13</v>
      </c>
      <c r="AO3" s="37"/>
    </row>
    <row r="4" customHeight="1" spans="1:41">
      <c r="A4" s="38" t="s">
        <v>14</v>
      </c>
      <c r="B4" s="38" t="s">
        <v>15</v>
      </c>
      <c r="C4" s="39" t="s">
        <v>16</v>
      </c>
      <c r="D4" s="40" t="s">
        <v>17</v>
      </c>
      <c r="E4" s="41" t="s">
        <v>18</v>
      </c>
      <c r="F4" s="42" t="s">
        <v>19</v>
      </c>
      <c r="G4" s="42" t="s">
        <v>20</v>
      </c>
      <c r="H4" s="42" t="s">
        <v>21</v>
      </c>
      <c r="I4" s="43" t="s">
        <v>22</v>
      </c>
      <c r="J4" s="44" t="s">
        <v>23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24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25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26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27</v>
      </c>
      <c r="K6" s="53" t="s">
        <v>28</v>
      </c>
      <c r="L6" s="53" t="s">
        <v>29</v>
      </c>
      <c r="M6" s="53" t="s">
        <v>30</v>
      </c>
      <c r="N6" s="53" t="s">
        <v>31</v>
      </c>
      <c r="O6" s="53" t="s">
        <v>32</v>
      </c>
      <c r="P6" s="53" t="s">
        <v>33</v>
      </c>
      <c r="Q6" s="53" t="s">
        <v>34</v>
      </c>
      <c r="R6" s="53" t="s">
        <v>35</v>
      </c>
      <c r="S6" s="53" t="s">
        <v>36</v>
      </c>
      <c r="T6" s="53" t="s">
        <v>37</v>
      </c>
      <c r="U6" s="53" t="s">
        <v>38</v>
      </c>
      <c r="V6" s="53" t="s">
        <v>39</v>
      </c>
      <c r="W6" s="53" t="s">
        <v>40</v>
      </c>
      <c r="X6" s="53" t="s">
        <v>41</v>
      </c>
      <c r="Y6" s="53" t="s">
        <v>42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46200</v>
      </c>
      <c r="B7" s="56" t="s">
        <v>43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44</v>
      </c>
      <c r="J7" s="59">
        <v>6.263</v>
      </c>
      <c r="K7" s="59">
        <v>6.2629</v>
      </c>
      <c r="L7" s="59">
        <v>6.2691</v>
      </c>
      <c r="M7" s="59">
        <v>6.2668</v>
      </c>
      <c r="N7" s="59">
        <v>6.2628</v>
      </c>
      <c r="O7" s="59">
        <v>6.2608</v>
      </c>
      <c r="P7" s="59">
        <v>6.2604</v>
      </c>
      <c r="Q7" s="59">
        <v>6.2522</v>
      </c>
      <c r="R7" s="59">
        <v>6.2624</v>
      </c>
      <c r="S7" s="59">
        <v>6.2606</v>
      </c>
      <c r="T7" s="59">
        <v>6.2665</v>
      </c>
      <c r="U7" s="59">
        <v>6.2659</v>
      </c>
      <c r="V7" s="59">
        <v>6.2667</v>
      </c>
      <c r="W7" s="59">
        <v>6.2604</v>
      </c>
      <c r="X7" s="59">
        <v>6.263</v>
      </c>
      <c r="Y7" s="59">
        <v>6.2574</v>
      </c>
      <c r="Z7" s="60" t="str">
        <f t="shared" ref="Z7" si="3">IF(J7="","",IF(J7&gt;($D7+$E7),(J7-$D7-$E7),IF(J7&lt;($D7+$F7),(J7-$D7-$F7),"√")))</f>
        <v>√</v>
      </c>
      <c r="AA7" s="60" t="str">
        <f t="shared" ref="AA7" si="4">IF(K7="","",IF(K7&gt;($D7+$E7),(K7-$D7-$E7),IF(K7&lt;($D7+$F7),(K7-$D7-$F7),"√")))</f>
        <v>√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 t="str">
        <f t="shared" si="5"/>
        <v>√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 t="str">
        <f t="shared" si="5"/>
        <v>√</v>
      </c>
      <c r="AL7" s="60" t="str">
        <f t="shared" si="5"/>
        <v>√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0" customHeight="1" spans="1:41">
      <c r="A10" s="38" t="s">
        <v>14</v>
      </c>
      <c r="B10" s="38" t="s">
        <v>15</v>
      </c>
      <c r="C10" s="39" t="s">
        <v>16</v>
      </c>
      <c r="D10" s="40" t="s">
        <v>17</v>
      </c>
      <c r="E10" s="41" t="s">
        <v>18</v>
      </c>
      <c r="F10" s="42" t="s">
        <v>19</v>
      </c>
      <c r="G10" s="42" t="s">
        <v>20</v>
      </c>
      <c r="H10" s="42" t="s">
        <v>21</v>
      </c>
      <c r="I10" s="43" t="s">
        <v>22</v>
      </c>
      <c r="J10" s="44" t="s">
        <v>23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24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25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26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 t="s">
        <v>45</v>
      </c>
      <c r="K12" s="53" t="s">
        <v>46</v>
      </c>
      <c r="L12" s="53" t="s">
        <v>47</v>
      </c>
      <c r="M12" s="53" t="s">
        <v>48</v>
      </c>
      <c r="N12" s="53" t="s">
        <v>49</v>
      </c>
      <c r="O12" s="53" t="s">
        <v>50</v>
      </c>
      <c r="P12" s="53" t="s">
        <v>51</v>
      </c>
      <c r="Q12" s="53" t="s">
        <v>52</v>
      </c>
      <c r="R12" s="53" t="s">
        <v>53</v>
      </c>
      <c r="S12" s="53" t="s">
        <v>54</v>
      </c>
      <c r="T12" s="53" t="s">
        <v>55</v>
      </c>
      <c r="U12" s="53" t="s">
        <v>56</v>
      </c>
      <c r="V12" s="53" t="s">
        <v>57</v>
      </c>
      <c r="W12" s="53" t="s">
        <v>58</v>
      </c>
      <c r="X12" s="53" t="s">
        <v>59</v>
      </c>
      <c r="Y12" s="53" t="s">
        <v>60</v>
      </c>
      <c r="Z12" s="54" t="str">
        <f t="shared" ref="Z12:AO12" si="6">J12</f>
        <v>2-1</v>
      </c>
      <c r="AA12" s="54" t="str">
        <f t="shared" si="6"/>
        <v>2-2</v>
      </c>
      <c r="AB12" s="54" t="str">
        <f t="shared" si="6"/>
        <v>2-3</v>
      </c>
      <c r="AC12" s="54" t="str">
        <f t="shared" si="6"/>
        <v>2-4</v>
      </c>
      <c r="AD12" s="54" t="str">
        <f t="shared" si="6"/>
        <v>2-5</v>
      </c>
      <c r="AE12" s="54" t="str">
        <f t="shared" si="6"/>
        <v>2-6</v>
      </c>
      <c r="AF12" s="54" t="str">
        <f t="shared" si="6"/>
        <v>2-7</v>
      </c>
      <c r="AG12" s="54" t="str">
        <f t="shared" si="6"/>
        <v>2-8</v>
      </c>
      <c r="AH12" s="54" t="str">
        <f t="shared" si="6"/>
        <v>2-9</v>
      </c>
      <c r="AI12" s="54" t="str">
        <f t="shared" si="6"/>
        <v>2-10</v>
      </c>
      <c r="AJ12" s="54" t="str">
        <f t="shared" si="6"/>
        <v>2-11</v>
      </c>
      <c r="AK12" s="54" t="str">
        <f t="shared" si="6"/>
        <v>2-12</v>
      </c>
      <c r="AL12" s="54" t="str">
        <f t="shared" si="6"/>
        <v>2-13</v>
      </c>
      <c r="AM12" s="54" t="str">
        <f t="shared" si="6"/>
        <v>2-14</v>
      </c>
      <c r="AN12" s="54" t="str">
        <f t="shared" si="6"/>
        <v>2-15</v>
      </c>
      <c r="AO12" s="54" t="str">
        <f t="shared" si="6"/>
        <v>2-16</v>
      </c>
    </row>
    <row r="13" ht="15" customHeight="1" spans="1:41">
      <c r="A13" s="55">
        <v>46200</v>
      </c>
      <c r="B13" s="56" t="s">
        <v>43</v>
      </c>
      <c r="C13" s="56"/>
      <c r="D13" s="57">
        <v>6.26</v>
      </c>
      <c r="E13" s="57">
        <v>0.015</v>
      </c>
      <c r="F13" s="57">
        <v>-0.015</v>
      </c>
      <c r="G13" s="58">
        <f>D13+E13</f>
        <v>6.275</v>
      </c>
      <c r="H13" s="58">
        <f>D13+F13</f>
        <v>6.245</v>
      </c>
      <c r="I13" s="57" t="s">
        <v>44</v>
      </c>
      <c r="J13" s="59">
        <v>6.2627</v>
      </c>
      <c r="K13" s="59">
        <v>6.268</v>
      </c>
      <c r="L13" s="59">
        <v>6.2612</v>
      </c>
      <c r="M13" s="59">
        <v>6.266</v>
      </c>
      <c r="N13" s="59">
        <v>6.2658</v>
      </c>
      <c r="O13" s="59">
        <v>6.2586</v>
      </c>
      <c r="P13" s="59">
        <v>6.2687</v>
      </c>
      <c r="Q13" s="59">
        <v>6.2631</v>
      </c>
      <c r="R13" s="59">
        <v>6.2621</v>
      </c>
      <c r="S13" s="59">
        <v>6.2624</v>
      </c>
      <c r="T13" s="59">
        <v>6.2631</v>
      </c>
      <c r="U13" s="59">
        <v>6.2633</v>
      </c>
      <c r="V13" s="59">
        <v>6.2583</v>
      </c>
      <c r="W13" s="59">
        <v>6.2637</v>
      </c>
      <c r="X13" s="59">
        <v>6.2633</v>
      </c>
      <c r="Y13" s="59">
        <v>6.2645</v>
      </c>
      <c r="Z13" s="60" t="str">
        <f t="shared" ref="Z13:AO13" si="7">IF(J13="","",IF(J13&gt;($D13+$E13),(J13-$D13-$E13),IF(J13&lt;($D13+$F13),(J13-$D13-$F13),"√")))</f>
        <v>√</v>
      </c>
      <c r="AA13" s="60" t="str">
        <f t="shared" si="7"/>
        <v>√</v>
      </c>
      <c r="AB13" s="60" t="str">
        <f t="shared" si="7"/>
        <v>√</v>
      </c>
      <c r="AC13" s="60" t="str">
        <f t="shared" si="7"/>
        <v>√</v>
      </c>
      <c r="AD13" s="60" t="str">
        <f t="shared" si="7"/>
        <v>√</v>
      </c>
      <c r="AE13" s="60" t="str">
        <f t="shared" si="7"/>
        <v>√</v>
      </c>
      <c r="AF13" s="60" t="str">
        <f t="shared" si="7"/>
        <v>√</v>
      </c>
      <c r="AG13" s="60" t="str">
        <f t="shared" si="7"/>
        <v>√</v>
      </c>
      <c r="AH13" s="60" t="str">
        <f t="shared" si="7"/>
        <v>√</v>
      </c>
      <c r="AI13" s="60" t="str">
        <f t="shared" si="7"/>
        <v>√</v>
      </c>
      <c r="AJ13" s="60" t="str">
        <f t="shared" si="7"/>
        <v>√</v>
      </c>
      <c r="AK13" s="60" t="str">
        <f t="shared" si="7"/>
        <v>√</v>
      </c>
      <c r="AL13" s="60" t="str">
        <f t="shared" si="7"/>
        <v>√</v>
      </c>
      <c r="AM13" s="60" t="str">
        <f t="shared" si="7"/>
        <v>√</v>
      </c>
      <c r="AN13" s="60" t="str">
        <f t="shared" si="7"/>
        <v>√</v>
      </c>
      <c r="AO13" s="60" t="str">
        <f t="shared" si="7"/>
        <v>√</v>
      </c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H2:K3"/>
    <mergeCell ref="L2:R3"/>
    <mergeCell ref="B2:G3"/>
  </mergeCells>
  <conditionalFormatting sqref="J7:Y7">
    <cfRule type="cellIs" dxfId="0" priority="18" operator="notBetween">
      <formula>$G7</formula>
      <formula>$H7</formula>
    </cfRule>
  </conditionalFormatting>
  <conditionalFormatting sqref="J13:Y13">
    <cfRule type="cellIs" dxfId="0" priority="1" operator="notBetween">
      <formula>$G13</formula>
      <formula>$H13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