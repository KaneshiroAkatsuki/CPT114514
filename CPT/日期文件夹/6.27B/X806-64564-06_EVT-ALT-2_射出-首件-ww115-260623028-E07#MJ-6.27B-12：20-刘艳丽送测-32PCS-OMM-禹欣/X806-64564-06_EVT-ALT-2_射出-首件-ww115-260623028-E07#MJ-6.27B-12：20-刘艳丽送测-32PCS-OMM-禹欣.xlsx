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4564" sheetId="1" r:id="rId1"/>
  </sheets>
  <definedNames>
    <definedName name="_xlnm.Print_Area" localSheetId="0">'X806-64564'!$B$1:$AE$6</definedName>
    <definedName name="_xlnm.Print_Titles" localSheetId="0">'X806-64564'!$1:6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<sst xmlns="http://schemas.openxmlformats.org/spreadsheetml/2006/main" count="77" uniqueCount="46">
  <si>
    <t>安徽中耀智能科技有限公司首件尺寸报告</t>
  </si>
  <si>
    <t>料号</t>
  </si>
  <si>
    <t>X806-64564</t>
  </si>
  <si>
    <t>工单号</t>
  </si>
  <si>
    <t>ww115-260623028</t>
  </si>
  <si>
    <t>工站</t>
  </si>
  <si>
    <t>射出机台号</t>
  </si>
  <si>
    <t>测量机台</t>
  </si>
  <si>
    <t>测量人员</t>
  </si>
  <si>
    <t>审核</t>
  </si>
  <si>
    <t>射出</t>
  </si>
  <si>
    <t>E07#</t>
  </si>
  <si>
    <t>OMM5#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</si>
  <si>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</si>
  <si>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</si>
  <si>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</si>
  <si>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</si>
  <si>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</si>
  <si>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</si>
  <si>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</si>
  <si>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</si>
  <si>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</si>
  <si>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</si>
  <si>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</si>
  <si>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</si>
  <si>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</si>
  <si>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</si>
  <si>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</si>
  <si>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</si>
  <si>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</si>
  <si>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2-1</t>
  </si>
  <si>
    <t>2-2</t>
  </si>
  <si>
    <t>3-1</t>
  </si>
  <si>
    <t>3-2</t>
  </si>
  <si>
    <t>4-1</t>
  </si>
  <si>
    <t>4-2</t>
  </si>
  <si>
    <t>5-1</t>
  </si>
  <si>
    <t>5-2</t>
  </si>
  <si>
    <t>6-1</t>
  </si>
  <si>
    <t>6-2</t>
  </si>
  <si>
    <t>7-1</t>
  </si>
  <si>
    <t>7-2</t>
  </si>
  <si>
    <t>8-1</t>
  </si>
  <si>
    <t>8-2</t>
  </si>
  <si>
    <t>FAI-1</t>
  </si>
  <si>
    <t>OMM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</si>
</sst>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8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Fill="1" applyBorder="1" applyAlignment="1" applyProtection="1">
      <alignment horizontal="center" vertical="center"/>
      <protection locked="0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49" fontId="2" fillId="0" borderId="5" xfId="60" applyNumberFormat="1" applyFont="1" applyFill="1" applyBorder="1" applyAlignment="1">
      <alignment horizontal="center" vertical="center"/>
    </xf>
    <xf numFmtId="49" fontId="2" fillId="0" borderId="6" xfId="60" applyNumberFormat="1" applyFont="1" applyFill="1" applyBorder="1" applyAlignment="1">
      <alignment horizontal="center" vertical="center"/>
    </xf>
    <xf numFmtId="49" fontId="2" fillId="0" borderId="7" xfId="60" applyNumberFormat="1" applyFont="1" applyFill="1" applyBorder="1" applyAlignment="1">
      <alignment horizontal="center" vertical="center"/>
    </xf>
    <xf numFmtId="49" fontId="3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2" xfId="60" applyNumberFormat="1" applyFont="1" applyFill="1" applyBorder="1" applyAlignment="1">
      <alignment horizontal="center" vertical="center"/>
    </xf>
    <xf numFmtId="49" fontId="3" fillId="0" borderId="3" xfId="60" applyNumberFormat="1" applyFont="1" applyFill="1" applyBorder="1" applyAlignment="1">
      <alignment horizontal="center" vertical="center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4" fillId="0" borderId="2" xfId="60" applyNumberFormat="1" applyFont="1" applyFill="1" applyBorder="1" applyAlignment="1" applyProtection="1">
      <alignment horizontal="center" vertical="center"/>
      <protection locked="0"/>
    </xf>
    <xf numFmtId="49" fontId="4" fillId="0" borderId="3" xfId="60" applyNumberFormat="1" applyFont="1" applyFill="1" applyBorder="1" applyAlignment="1" applyProtection="1">
      <alignment horizontal="center" vertical="center"/>
      <protection locked="0"/>
    </xf>
    <xf numFmtId="49" fontId="3" fillId="0" borderId="1" xfId="79" applyNumberFormat="1" applyFont="1" applyFill="1" applyBorder="1" applyAlignment="1">
      <alignment horizontal="center" vertical="center"/>
    </xf>
    <xf numFmtId="49" fontId="3" fillId="0" borderId="2" xfId="79" applyNumberFormat="1" applyFont="1" applyFill="1" applyBorder="1" applyAlignment="1">
      <alignment horizontal="center" vertical="center"/>
    </xf>
    <xf numFmtId="49" fontId="3" fillId="0" borderId="3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176" fontId="3" fillId="0" borderId="1" xfId="79" applyNumberFormat="1" applyFont="1" applyFill="1" applyBorder="1" applyAlignment="1">
      <alignment horizontal="center" vertical="center"/>
    </xf>
    <xf numFmtId="176" fontId="3" fillId="0" borderId="2" xfId="79" applyNumberFormat="1" applyFont="1" applyFill="1" applyBorder="1" applyAlignment="1">
      <alignment horizontal="center" vertical="center"/>
    </xf>
    <xf numFmtId="176" fontId="3" fillId="0" borderId="3" xfId="79" applyNumberFormat="1" applyFont="1" applyFill="1" applyBorder="1" applyAlignment="1">
      <alignment horizontal="center" vertical="center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2" borderId="11" xfId="60" applyFont="1" applyFill="1" applyBorder="1" applyAlignment="1" applyProtection="1">
      <alignment horizontal="center" vertical="center"/>
      <protection locked="0"/>
    </xf>
    <xf numFmtId="177" fontId="5" fillId="2" borderId="11" xfId="60" applyNumberFormat="1" applyFont="1" applyFill="1" applyBorder="1" applyAlignment="1">
      <alignment horizontal="center" vertical="center"/>
    </xf>
    <xf numFmtId="177" fontId="5" fillId="2" borderId="11" xfId="60" applyNumberFormat="1" applyFont="1" applyFill="1" applyBorder="1" applyAlignment="1" applyProtection="1">
      <alignment horizontal="center" vertical="center"/>
      <protection locked="0"/>
    </xf>
    <xf numFmtId="0" fontId="5" fillId="2" borderId="11" xfId="60" applyFont="1" applyFill="1" applyBorder="1" applyAlignment="1" applyProtection="1">
      <alignment horizontal="center" vertical="center" wrapText="1"/>
      <protection locked="0"/>
    </xf>
    <xf numFmtId="0" fontId="5" fillId="3" borderId="1" xfId="60" applyFont="1" applyFill="1" applyBorder="1" applyAlignment="1" applyProtection="1">
      <alignment horizontal="center" vertical="center"/>
      <protection locked="0"/>
    </xf>
    <xf numFmtId="0" fontId="5" fillId="3" borderId="2" xfId="60" applyFont="1" applyFill="1" applyBorder="1" applyAlignment="1" applyProtection="1">
      <alignment horizontal="center" vertical="center"/>
      <protection locked="0"/>
    </xf>
    <xf numFmtId="0" fontId="5" fillId="3" borderId="3" xfId="60" applyFont="1" applyFill="1" applyBorder="1" applyAlignment="1" applyProtection="1">
      <alignment horizontal="center" vertical="center"/>
      <protection locked="0"/>
    </xf>
    <xf numFmtId="0" fontId="5" fillId="4" borderId="1" xfId="60" applyFont="1" applyFill="1" applyBorder="1" applyAlignment="1">
      <alignment horizontal="center" vertical="center"/>
    </xf>
    <xf numFmtId="0" fontId="5" fillId="4" borderId="2" xfId="60" applyFont="1" applyFill="1" applyBorder="1" applyAlignment="1">
      <alignment horizontal="center" vertical="center"/>
    </xf>
    <xf numFmtId="0" fontId="5" fillId="4" borderId="3" xfId="60" applyFont="1" applyFill="1" applyBorder="1" applyAlignment="1">
      <alignment horizontal="center" vertical="center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5" fillId="2" borderId="12" xfId="60" applyFont="1" applyFill="1" applyBorder="1" applyAlignment="1" applyProtection="1">
      <alignment horizontal="center" vertical="center"/>
      <protection locked="0"/>
    </xf>
    <xf numFmtId="177" fontId="5" fillId="2" borderId="12" xfId="60" applyNumberFormat="1" applyFont="1" applyFill="1" applyBorder="1" applyAlignment="1">
      <alignment horizontal="center" vertical="center"/>
    </xf>
    <xf numFmtId="177" fontId="5" fillId="2" borderId="12" xfId="60" applyNumberFormat="1" applyFont="1" applyFill="1" applyBorder="1" applyAlignment="1" applyProtection="1">
      <alignment horizontal="center" vertical="center"/>
      <protection locked="0"/>
    </xf>
    <xf numFmtId="0" fontId="5" fillId="2" borderId="12" xfId="60" applyFont="1" applyFill="1" applyBorder="1" applyAlignment="1" applyProtection="1">
      <alignment horizontal="center" vertical="center" wrapText="1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5" fillId="2" borderId="13" xfId="60" applyFont="1" applyFill="1" applyBorder="1" applyAlignment="1" applyProtection="1">
      <alignment horizontal="center" vertical="center"/>
      <protection locked="0"/>
    </xf>
    <xf numFmtId="177" fontId="5" fillId="2" borderId="13" xfId="60" applyNumberFormat="1" applyFont="1" applyFill="1" applyBorder="1" applyAlignment="1">
      <alignment horizontal="center" vertical="center"/>
    </xf>
    <xf numFmtId="177" fontId="5" fillId="2" borderId="13" xfId="60" applyNumberFormat="1" applyFont="1" applyFill="1" applyBorder="1" applyAlignment="1" applyProtection="1">
      <alignment horizontal="center" vertical="center"/>
      <protection locked="0"/>
    </xf>
    <xf numFmtId="0" fontId="5" fillId="2" borderId="13" xfId="60" applyFont="1" applyFill="1" applyBorder="1" applyAlignment="1" applyProtection="1">
      <alignment horizontal="center" vertical="center" wrapText="1"/>
      <protection locked="0"/>
    </xf>
    <xf numFmtId="49" fontId="6" fillId="3" borderId="4" xfId="60" applyNumberFormat="1" applyFont="1" applyFill="1" applyBorder="1" applyAlignment="1" applyProtection="1">
      <alignment horizontal="center" vertical="center"/>
      <protection locked="0"/>
    </xf>
    <xf numFmtId="0" fontId="6" fillId="4" borderId="4" xfId="60" applyFont="1" applyFill="1" applyBorder="1" applyAlignment="1">
      <alignment horizontal="center" vertical="center"/>
    </xf>
    <xf numFmtId="14" fontId="7" fillId="0" borderId="4" xfId="0" applyNumberFormat="1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4" xfId="59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1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8"/>
  <sheetViews>
    <sheetView tabSelected="1" workbookViewId="0">
      <selection activeCell="V22" sqref="V22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6" t="s">
        <v>6</v>
      </c>
      <c r="Z2" s="17"/>
      <c r="AA2" s="17"/>
      <c r="AB2" s="17"/>
      <c r="AC2" s="17"/>
      <c r="AD2" s="18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5"/>
      <c r="B3" s="22"/>
      <c r="C3" s="23"/>
      <c r="D3" s="23"/>
      <c r="E3" s="23"/>
      <c r="F3" s="23"/>
      <c r="G3" s="24"/>
      <c r="H3" s="25"/>
      <c r="I3" s="26"/>
      <c r="J3" s="26"/>
      <c r="K3" s="27"/>
      <c r="L3" s="12"/>
      <c r="M3" s="12"/>
      <c r="N3" s="12"/>
      <c r="O3" s="12"/>
      <c r="P3" s="12"/>
      <c r="Q3" s="12"/>
      <c r="R3" s="12"/>
      <c r="S3" s="28" t="s">
        <v>10</v>
      </c>
      <c r="T3" s="29"/>
      <c r="U3" s="29"/>
      <c r="V3" s="29"/>
      <c r="W3" s="29"/>
      <c r="X3" s="30"/>
      <c r="Y3" s="28" t="s">
        <v>11</v>
      </c>
      <c r="Z3" s="29"/>
      <c r="AA3" s="29"/>
      <c r="AB3" s="29"/>
      <c r="AC3" s="29"/>
      <c r="AD3" s="30"/>
      <c r="AE3" s="31" t="s">
        <v>12</v>
      </c>
      <c r="AF3" s="32"/>
      <c r="AG3" s="32"/>
      <c r="AH3" s="32"/>
      <c r="AI3" s="33"/>
      <c r="AJ3" s="31" t="s">
        <v>13</v>
      </c>
      <c r="AK3" s="32"/>
      <c r="AL3" s="32"/>
      <c r="AM3" s="33"/>
      <c r="AN3" s="31" t="s">
        <v>14</v>
      </c>
      <c r="AO3" s="33"/>
    </row>
    <row r="4" customHeight="1" spans="1:41">
      <c r="A4" s="34" t="s">
        <v>15</v>
      </c>
      <c r="B4" s="34" t="s">
        <v>16</v>
      </c>
      <c r="C4" s="34" t="s">
        <v>17</v>
      </c>
      <c r="D4" s="35" t="s">
        <v>18</v>
      </c>
      <c r="E4" s="36" t="s">
        <v>19</v>
      </c>
      <c r="F4" s="37" t="s">
        <v>20</v>
      </c>
      <c r="G4" s="37" t="s">
        <v>21</v>
      </c>
      <c r="H4" s="37" t="s">
        <v>22</v>
      </c>
      <c r="I4" s="38" t="s">
        <v>23</v>
      </c>
      <c r="J4" s="39" t="s">
        <v>24</v>
      </c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1"/>
      <c r="Z4" s="42" t="s">
        <v>25</v>
      </c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4"/>
    </row>
    <row r="5" ht="13.5" customHeight="1" spans="1:41">
      <c r="A5" s="45"/>
      <c r="B5" s="45"/>
      <c r="C5" s="45"/>
      <c r="D5" s="46"/>
      <c r="E5" s="47"/>
      <c r="F5" s="48"/>
      <c r="G5" s="48"/>
      <c r="H5" s="48"/>
      <c r="I5" s="49"/>
      <c r="J5" s="39" t="s">
        <v>26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1"/>
      <c r="Z5" s="42" t="s">
        <v>27</v>
      </c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4"/>
    </row>
    <row r="6" customHeight="1" spans="1:41">
      <c r="A6" s="50"/>
      <c r="B6" s="50"/>
      <c r="C6" s="50"/>
      <c r="D6" s="51"/>
      <c r="E6" s="52"/>
      <c r="F6" s="53"/>
      <c r="G6" s="53"/>
      <c r="H6" s="53"/>
      <c r="I6" s="54"/>
      <c r="J6" s="55" t="s">
        <v>28</v>
      </c>
      <c r="K6" s="55" t="s">
        <v>29</v>
      </c>
      <c r="L6" s="55" t="s">
        <v>30</v>
      </c>
      <c r="M6" s="55" t="s">
        <v>31</v>
      </c>
      <c r="N6" s="55" t="s">
        <v>32</v>
      </c>
      <c r="O6" s="55" t="s">
        <v>33</v>
      </c>
      <c r="P6" s="55" t="s">
        <v>34</v>
      </c>
      <c r="Q6" s="55" t="s">
        <v>35</v>
      </c>
      <c r="R6" s="55" t="s">
        <v>36</v>
      </c>
      <c r="S6" s="55" t="s">
        <v>37</v>
      </c>
      <c r="T6" s="55" t="s">
        <v>38</v>
      </c>
      <c r="U6" s="55" t="s">
        <v>39</v>
      </c>
      <c r="V6" s="55" t="s">
        <v>40</v>
      </c>
      <c r="W6" s="55" t="s">
        <v>41</v>
      </c>
      <c r="X6" s="55" t="s">
        <v>42</v>
      </c>
      <c r="Y6" s="55" t="s">
        <v>43</v>
      </c>
      <c r="Z6" s="56" t="str">
        <f t="shared" ref="Z6" si="0">J6</f>
        <v>1-1</v>
      </c>
      <c r="AA6" s="56" t="str">
        <f t="shared" ref="AA6:AO6" si="1">K6</f>
        <v>1-2</v>
      </c>
      <c r="AB6" s="56" t="str">
        <f t="shared" si="1"/>
        <v>2-1</v>
      </c>
      <c r="AC6" s="56" t="str">
        <f t="shared" si="1"/>
        <v>2-2</v>
      </c>
      <c r="AD6" s="56" t="str">
        <f t="shared" si="1"/>
        <v>3-1</v>
      </c>
      <c r="AE6" s="56" t="str">
        <f t="shared" si="1"/>
        <v>3-2</v>
      </c>
      <c r="AF6" s="56" t="str">
        <f t="shared" si="1"/>
        <v>4-1</v>
      </c>
      <c r="AG6" s="56" t="str">
        <f t="shared" si="1"/>
        <v>4-2</v>
      </c>
      <c r="AH6" s="56" t="str">
        <f t="shared" si="1"/>
        <v>5-1</v>
      </c>
      <c r="AI6" s="56" t="str">
        <f t="shared" si="1"/>
        <v>5-2</v>
      </c>
      <c r="AJ6" s="56" t="str">
        <f t="shared" si="1"/>
        <v>6-1</v>
      </c>
      <c r="AK6" s="56" t="str">
        <f t="shared" si="1"/>
        <v>6-2</v>
      </c>
      <c r="AL6" s="56" t="str">
        <f t="shared" si="1"/>
        <v>7-1</v>
      </c>
      <c r="AM6" s="56" t="str">
        <f t="shared" si="1"/>
        <v>7-2</v>
      </c>
      <c r="AN6" s="56" t="str">
        <f t="shared" si="1"/>
        <v>8-1</v>
      </c>
      <c r="AO6" s="56" t="str">
        <f t="shared" si="1"/>
        <v>8-2</v>
      </c>
    </row>
    <row r="7" spans="1:41">
      <c r="A7" s="57">
        <v>46200</v>
      </c>
      <c r="B7" s="58" t="s">
        <v>44</v>
      </c>
      <c r="C7" s="58"/>
      <c r="D7" s="59">
        <v>2.3</v>
      </c>
      <c r="E7" s="59">
        <v>0.05</v>
      </c>
      <c r="F7" s="59">
        <v>-0.05</v>
      </c>
      <c r="G7" s="60">
        <f>D7+E7</f>
        <v>2.35</v>
      </c>
      <c r="H7" s="60">
        <f>D7+F7</f>
        <v>2.25</v>
      </c>
      <c r="I7" s="61" t="s">
        <v>45</v>
      </c>
      <c r="J7" s="62">
        <v>2.3016</v>
      </c>
      <c r="K7" s="62">
        <v>2.3015</v>
      </c>
      <c r="L7" s="62">
        <v>2.3013</v>
      </c>
      <c r="M7" s="62">
        <v>2.3014</v>
      </c>
      <c r="N7" s="62">
        <v>2.3023</v>
      </c>
      <c r="O7" s="62">
        <v>2.3018</v>
      </c>
      <c r="P7" s="62">
        <v>2.3014</v>
      </c>
      <c r="Q7" s="62">
        <v>2.3018</v>
      </c>
      <c r="R7" s="62">
        <v>2.3013</v>
      </c>
      <c r="S7" s="62">
        <v>2.3018</v>
      </c>
      <c r="T7" s="62">
        <v>2.3018</v>
      </c>
      <c r="U7" s="62">
        <v>2.3016</v>
      </c>
      <c r="V7" s="62">
        <v>2.3021</v>
      </c>
      <c r="W7" s="62">
        <v>2.3018</v>
      </c>
      <c r="X7" s="62">
        <v>2.3019</v>
      </c>
      <c r="Y7" s="62">
        <v>2.3022</v>
      </c>
      <c r="Z7" s="63" t="str">
        <f t="shared" ref="Z7:AI7" si="2">IF(J7="","",IF(J7&gt;($D7+$E7),(J7-$D7-$E7),IF(J7&lt;($D7+$F7),(J7-$D7-$F7),"√")))</f>
        <v>√</v>
      </c>
      <c r="AA7" s="63" t="str">
        <f t="shared" si="2"/>
        <v>√</v>
      </c>
      <c r="AB7" s="63" t="str">
        <f t="shared" si="2"/>
        <v>√</v>
      </c>
      <c r="AC7" s="63" t="str">
        <f t="shared" si="2"/>
        <v>√</v>
      </c>
      <c r="AD7" s="63" t="str">
        <f t="shared" si="2"/>
        <v>√</v>
      </c>
      <c r="AE7" s="63" t="str">
        <f t="shared" si="2"/>
        <v>√</v>
      </c>
      <c r="AF7" s="63" t="str">
        <f t="shared" si="2"/>
        <v>√</v>
      </c>
      <c r="AG7" s="63" t="str">
        <f t="shared" si="2"/>
        <v>√</v>
      </c>
      <c r="AH7" s="63" t="str">
        <f t="shared" si="2"/>
        <v>√</v>
      </c>
      <c r="AI7" s="63" t="str">
        <f t="shared" si="2"/>
        <v>√</v>
      </c>
      <c r="AJ7" s="63" t="str">
        <f t="shared" ref="AJ7:AO7" si="3">IF(T7="","",IF(T7&gt;($D7+$E7),(T7-$D7-$E7),IF(T7&lt;($D7+$F7),(T7-$D7-$F7),"√")))</f>
        <v>√</v>
      </c>
      <c r="AK7" s="63" t="str">
        <f t="shared" si="3"/>
        <v>√</v>
      </c>
      <c r="AL7" s="63" t="str">
        <f t="shared" si="3"/>
        <v>√</v>
      </c>
      <c r="AM7" s="63" t="str">
        <f t="shared" si="3"/>
        <v>√</v>
      </c>
      <c r="AN7" s="63" t="str">
        <f t="shared" si="3"/>
        <v>√</v>
      </c>
      <c r="AO7" s="63" t="str">
        <f t="shared" si="3"/>
        <v>√</v>
      </c>
    </row>
    <row r="8" spans="1:41">
      <c r="D8"/>
      <c r="E8"/>
      <c r="F8"/>
      <c r="G8"/>
      <c r="H8"/>
      <c r="I8"/>
    </row>
    <row r="9" spans="1:41">
      <c r="D9"/>
      <c r="E9"/>
      <c r="F9"/>
      <c r="G9"/>
      <c r="H9"/>
      <c r="I9"/>
    </row>
    <row r="10" spans="1:41">
      <c r="D10"/>
      <c r="E10"/>
      <c r="F10"/>
      <c r="G10"/>
      <c r="H10"/>
      <c r="I10"/>
    </row>
    <row r="11" customHeight="1" spans="1:41">
      <c r="A11" s="34" t="s">
        <v>15</v>
      </c>
      <c r="B11" s="34" t="s">
        <v>16</v>
      </c>
      <c r="C11" s="34" t="s">
        <v>17</v>
      </c>
      <c r="D11" s="35" t="s">
        <v>18</v>
      </c>
      <c r="E11" s="36" t="s">
        <v>19</v>
      </c>
      <c r="F11" s="37" t="s">
        <v>20</v>
      </c>
      <c r="G11" s="37" t="s">
        <v>21</v>
      </c>
      <c r="H11" s="37" t="s">
        <v>22</v>
      </c>
      <c r="I11" s="38" t="s">
        <v>23</v>
      </c>
      <c r="J11" s="39" t="s">
        <v>24</v>
      </c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1"/>
      <c r="Z11" s="42" t="s">
        <v>25</v>
      </c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4"/>
    </row>
    <row r="12" ht="13.5" customHeight="1" spans="1:41">
      <c r="A12" s="45"/>
      <c r="B12" s="45"/>
      <c r="C12" s="45"/>
      <c r="D12" s="46"/>
      <c r="E12" s="47"/>
      <c r="F12" s="48"/>
      <c r="G12" s="48"/>
      <c r="H12" s="48"/>
      <c r="I12" s="49"/>
      <c r="J12" s="39" t="s">
        <v>26</v>
      </c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1"/>
      <c r="Z12" s="42" t="s">
        <v>27</v>
      </c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4"/>
    </row>
    <row r="13" customHeight="1" spans="1:41">
      <c r="A13" s="50"/>
      <c r="B13" s="50"/>
      <c r="C13" s="50"/>
      <c r="D13" s="51"/>
      <c r="E13" s="52"/>
      <c r="F13" s="53"/>
      <c r="G13" s="53"/>
      <c r="H13" s="53"/>
      <c r="I13" s="54"/>
      <c r="J13" s="55" t="s">
        <v>28</v>
      </c>
      <c r="K13" s="55" t="s">
        <v>29</v>
      </c>
      <c r="L13" s="55" t="s">
        <v>30</v>
      </c>
      <c r="M13" s="55" t="s">
        <v>31</v>
      </c>
      <c r="N13" s="55" t="s">
        <v>32</v>
      </c>
      <c r="O13" s="55" t="s">
        <v>33</v>
      </c>
      <c r="P13" s="55" t="s">
        <v>34</v>
      </c>
      <c r="Q13" s="55" t="s">
        <v>35</v>
      </c>
      <c r="R13" s="55" t="s">
        <v>36</v>
      </c>
      <c r="S13" s="55" t="s">
        <v>37</v>
      </c>
      <c r="T13" s="55" t="s">
        <v>38</v>
      </c>
      <c r="U13" s="55" t="s">
        <v>39</v>
      </c>
      <c r="V13" s="55" t="s">
        <v>40</v>
      </c>
      <c r="W13" s="55" t="s">
        <v>41</v>
      </c>
      <c r="X13" s="55" t="s">
        <v>42</v>
      </c>
      <c r="Y13" s="55" t="s">
        <v>43</v>
      </c>
      <c r="Z13" s="56" t="str">
        <f t="shared" ref="Z13:AO13" si="4">J13</f>
        <v>1-1</v>
      </c>
      <c r="AA13" s="56" t="str">
        <f t="shared" si="4"/>
        <v>1-2</v>
      </c>
      <c r="AB13" s="56" t="str">
        <f t="shared" si="4"/>
        <v>2-1</v>
      </c>
      <c r="AC13" s="56" t="str">
        <f t="shared" si="4"/>
        <v>2-2</v>
      </c>
      <c r="AD13" s="56" t="str">
        <f t="shared" si="4"/>
        <v>3-1</v>
      </c>
      <c r="AE13" s="56" t="str">
        <f t="shared" si="4"/>
        <v>3-2</v>
      </c>
      <c r="AF13" s="56" t="str">
        <f t="shared" si="4"/>
        <v>4-1</v>
      </c>
      <c r="AG13" s="56" t="str">
        <f t="shared" si="4"/>
        <v>4-2</v>
      </c>
      <c r="AH13" s="56" t="str">
        <f t="shared" si="4"/>
        <v>5-1</v>
      </c>
      <c r="AI13" s="56" t="str">
        <f t="shared" si="4"/>
        <v>5-2</v>
      </c>
      <c r="AJ13" s="56" t="str">
        <f t="shared" si="4"/>
        <v>6-1</v>
      </c>
      <c r="AK13" s="56" t="str">
        <f t="shared" si="4"/>
        <v>6-2</v>
      </c>
      <c r="AL13" s="56" t="str">
        <f t="shared" si="4"/>
        <v>7-1</v>
      </c>
      <c r="AM13" s="56" t="str">
        <f t="shared" si="4"/>
        <v>7-2</v>
      </c>
      <c r="AN13" s="56" t="str">
        <f t="shared" si="4"/>
        <v>8-1</v>
      </c>
      <c r="AO13" s="56" t="str">
        <f t="shared" si="4"/>
        <v>8-2</v>
      </c>
    </row>
    <row r="14" spans="1:41">
      <c r="A14" s="57">
        <v>46200</v>
      </c>
      <c r="B14" s="58" t="s">
        <v>44</v>
      </c>
      <c r="C14" s="58"/>
      <c r="D14" s="59">
        <v>2.3</v>
      </c>
      <c r="E14" s="59">
        <v>0.05</v>
      </c>
      <c r="F14" s="59">
        <v>-0.05</v>
      </c>
      <c r="G14" s="60">
        <f>D14+E14</f>
        <v>2.35</v>
      </c>
      <c r="H14" s="60">
        <f>D14+F14</f>
        <v>2.25</v>
      </c>
      <c r="I14" s="61" t="s">
        <v>45</v>
      </c>
      <c r="J14" s="62">
        <v>2.3018</v>
      </c>
      <c r="K14" s="62">
        <v>2.3015</v>
      </c>
      <c r="L14" s="62">
        <v>2.3015</v>
      </c>
      <c r="M14" s="62">
        <v>2.3016</v>
      </c>
      <c r="N14" s="62">
        <v>2.3017</v>
      </c>
      <c r="O14" s="62">
        <v>2.3022</v>
      </c>
      <c r="P14" s="62">
        <v>2.302</v>
      </c>
      <c r="Q14" s="62">
        <v>2.3016</v>
      </c>
      <c r="R14" s="62">
        <v>2.3023</v>
      </c>
      <c r="S14" s="62">
        <v>2.3015</v>
      </c>
      <c r="T14" s="62">
        <v>2.3018</v>
      </c>
      <c r="U14" s="62">
        <v>2.3013</v>
      </c>
      <c r="V14" s="62">
        <v>2.3015</v>
      </c>
      <c r="W14" s="62">
        <v>2.3033</v>
      </c>
      <c r="X14" s="62">
        <v>2.3001</v>
      </c>
      <c r="Y14" s="62">
        <v>2.3016</v>
      </c>
      <c r="Z14" s="63" t="str">
        <f t="shared" ref="Z14:AO14" si="5">IF(J14="","",IF(J14&gt;($D14+$E14),(J14-$D14-$E14),IF(J14&lt;($D14+$F14),(J14-$D14-$F14),"√")))</f>
        <v>√</v>
      </c>
      <c r="AA14" s="63" t="str">
        <f t="shared" si="5"/>
        <v>√</v>
      </c>
      <c r="AB14" s="63" t="str">
        <f t="shared" si="5"/>
        <v>√</v>
      </c>
      <c r="AC14" s="63" t="str">
        <f t="shared" si="5"/>
        <v>√</v>
      </c>
      <c r="AD14" s="63" t="str">
        <f t="shared" si="5"/>
        <v>√</v>
      </c>
      <c r="AE14" s="63" t="str">
        <f t="shared" si="5"/>
        <v>√</v>
      </c>
      <c r="AF14" s="63" t="str">
        <f t="shared" si="5"/>
        <v>√</v>
      </c>
      <c r="AG14" s="63" t="str">
        <f t="shared" si="5"/>
        <v>√</v>
      </c>
      <c r="AH14" s="63" t="str">
        <f t="shared" si="5"/>
        <v>√</v>
      </c>
      <c r="AI14" s="63" t="str">
        <f t="shared" si="5"/>
        <v>√</v>
      </c>
      <c r="AJ14" s="63" t="str">
        <f t="shared" si="5"/>
        <v>√</v>
      </c>
      <c r="AK14" s="63" t="str">
        <f t="shared" si="5"/>
        <v>√</v>
      </c>
      <c r="AL14" s="63" t="str">
        <f t="shared" si="5"/>
        <v>√</v>
      </c>
      <c r="AM14" s="63" t="str">
        <f t="shared" si="5"/>
        <v>√</v>
      </c>
      <c r="AN14" s="63" t="str">
        <f t="shared" si="5"/>
        <v>√</v>
      </c>
      <c r="AO14" s="63" t="str">
        <f t="shared" si="5"/>
        <v>√</v>
      </c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  <row r="155" spans="4:9">
      <c r="D155"/>
      <c r="E155"/>
      <c r="F155"/>
      <c r="G155"/>
      <c r="H155"/>
      <c r="I155"/>
    </row>
    <row r="156" spans="4:9">
      <c r="D156"/>
      <c r="E156"/>
      <c r="F156"/>
      <c r="G156"/>
      <c r="H156"/>
      <c r="I156"/>
    </row>
    <row r="157" spans="4:9">
      <c r="D157"/>
      <c r="E157"/>
      <c r="F157"/>
      <c r="G157"/>
      <c r="H157"/>
      <c r="I157"/>
    </row>
    <row r="158" spans="4:9">
      <c r="D158"/>
      <c r="E158"/>
      <c r="F158"/>
      <c r="G158"/>
      <c r="H158"/>
      <c r="I158"/>
    </row>
  </sheetData>
  <mergeCells count="41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11:Y11"/>
    <mergeCell ref="Z11:AO11"/>
    <mergeCell ref="J12:Y12"/>
    <mergeCell ref="Z12:AO12"/>
    <mergeCell ref="A2:A3"/>
    <mergeCell ref="A4:A6"/>
    <mergeCell ref="A11:A13"/>
    <mergeCell ref="B4:B6"/>
    <mergeCell ref="B11:B13"/>
    <mergeCell ref="C4:C6"/>
    <mergeCell ref="C11:C13"/>
    <mergeCell ref="D4:D6"/>
    <mergeCell ref="D11:D13"/>
    <mergeCell ref="E4:E6"/>
    <mergeCell ref="E11:E13"/>
    <mergeCell ref="F4:F6"/>
    <mergeCell ref="F11:F13"/>
    <mergeCell ref="G4:G6"/>
    <mergeCell ref="G11:G13"/>
    <mergeCell ref="H4:H6"/>
    <mergeCell ref="H11:H13"/>
    <mergeCell ref="I4:I6"/>
    <mergeCell ref="I11:I13"/>
    <mergeCell ref="B2:G3"/>
    <mergeCell ref="H2:K3"/>
    <mergeCell ref="L2:R3"/>
  </mergeCells>
  <conditionalFormatting sqref="J7:Y7">
    <cfRule type="cellIs" dxfId="0" priority="23" stopIfTrue="1" operator="notBetween">
      <formula>$G7</formula>
      <formula>$H7</formula>
    </cfRule>
  </conditionalFormatting>
  <conditionalFormatting sqref="J14:Y14">
    <cfRule type="cellIs" dxfId="0" priority="1" stopIfTrue="1" operator="notBetween">
      <formula>$G14</formula>
      <formula>$H14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2026-06-27T17:28:14Z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