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<sst xmlns="http://schemas.openxmlformats.org/spreadsheetml/2006/main" count="64" uniqueCount="47">
  <si>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安徽中耀智能科技有限公司首件尺寸报告</t>
  </si>
  <si>
    <t>料号</t>
  </si>
  <si>
    <t>B-washer-035</t>
  </si>
  <si>
    <t>工单号</t>
  </si>
  <si>
    <t>ww132-260301001</t>
  </si>
  <si>
    <t>工站</t>
  </si>
  <si>
    <t>模号</t>
  </si>
  <si>
    <t>机台号</t>
  </si>
  <si>
    <t>测量人员</t>
  </si>
  <si>
    <t>审核</t>
  </si>
  <si>
    <t>CNC</t>
  </si>
  <si>
    <t>T1</t>
  </si>
  <si>
    <t>8#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</si>
  <si>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</si>
  <si>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</si>
  <si>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</si>
  <si>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</si>
  <si>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</si>
  <si>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</si>
  <si>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</si>
  <si>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</si>
  <si>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</si>
  <si>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</si>
  <si>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</si>
  <si>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</si>
  <si>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</si>
  <si>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</si>
  <si>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t>复测</t>
    </r>
    <r>
      <rPr>
        <b/>
        <sz val="11"/>
        <rFont val="Arial"/>
        <charset val="134"/>
      </rPr>
      <t>2</t>
    </r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</si>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</sst>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L10" sqref="L10:L11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1" t="s">
        <v>27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 t="str">
        <f t="shared" si="0"/>
        <v>复测2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46200</v>
      </c>
      <c r="B7" s="41" t="s">
        <v>28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29</v>
      </c>
      <c r="I7" s="44">
        <v>0.0711</v>
      </c>
      <c r="J7" s="44">
        <v>0.1326</v>
      </c>
      <c r="K7" s="44">
        <v>0.0195</v>
      </c>
      <c r="L7" s="44">
        <v>0.0883</v>
      </c>
      <c r="M7" s="44">
        <v>0.1317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>
        <f t="shared" si="1"/>
        <v>0.0326</v>
      </c>
      <c r="AA7" s="45" t="str">
        <f t="shared" si="1"/>
        <v>√</v>
      </c>
      <c r="AB7" s="45" t="str">
        <f t="shared" si="1"/>
        <v>√</v>
      </c>
      <c r="AC7" s="45">
        <f t="shared" si="1"/>
        <v>0.0317</v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30</v>
      </c>
      <c r="C8" s="41"/>
      <c r="D8" s="41"/>
      <c r="E8" s="41"/>
      <c r="F8" s="42">
        <f>C8+D8</f>
        <v>0</v>
      </c>
      <c r="G8" s="42">
        <f>C8+E8</f>
        <v>0</v>
      </c>
      <c r="H8" s="43" t="s">
        <v>29</v>
      </c>
      <c r="I8" s="44">
        <v>-0.0333</v>
      </c>
      <c r="J8" s="44">
        <v>-0.0659</v>
      </c>
      <c r="K8" s="44">
        <v>-0.0089</v>
      </c>
      <c r="L8" s="44">
        <v>-0.0355</v>
      </c>
      <c r="M8" s="44">
        <v>-0.0654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31</v>
      </c>
      <c r="C9" s="41"/>
      <c r="D9" s="41"/>
      <c r="E9" s="41"/>
      <c r="F9" s="42">
        <f>C9+D9</f>
        <v>0</v>
      </c>
      <c r="G9" s="42">
        <f>C9+E9</f>
        <v>0</v>
      </c>
      <c r="H9" s="43" t="s">
        <v>29</v>
      </c>
      <c r="I9" s="44">
        <v>0.0124</v>
      </c>
      <c r="J9" s="44">
        <v>0.0066</v>
      </c>
      <c r="K9" s="44">
        <v>0.0041</v>
      </c>
      <c r="L9" s="44">
        <v>0.0262</v>
      </c>
      <c r="M9" s="44">
        <v>0.0075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32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29</v>
      </c>
      <c r="I10" s="44">
        <v>0.0989</v>
      </c>
      <c r="J10" s="44">
        <v>0.1656</v>
      </c>
      <c r="K10" s="44">
        <v>0.1223</v>
      </c>
      <c r="L10" s="44">
        <v>0.1274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33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29</v>
      </c>
      <c r="I11" s="44">
        <v>0.0116</v>
      </c>
      <c r="J11" s="44">
        <v>0.0231</v>
      </c>
      <c r="K11" s="44">
        <v>0.0102</v>
      </c>
      <c r="L11" s="44">
        <v>0.0234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34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35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36</v>
      </c>
      <c r="C13" s="46"/>
      <c r="D13" s="46"/>
      <c r="E13" s="47"/>
      <c r="F13" s="42"/>
      <c r="G13" s="42"/>
      <c r="H13" s="43" t="s">
        <v>35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37</v>
      </c>
      <c r="C14" s="46"/>
      <c r="D14" s="46"/>
      <c r="E14" s="47"/>
      <c r="F14" s="42"/>
      <c r="G14" s="42"/>
      <c r="H14" s="43" t="s">
        <v>35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38</v>
      </c>
      <c r="C15" s="46"/>
      <c r="D15" s="46"/>
      <c r="E15" s="47"/>
      <c r="F15" s="42"/>
      <c r="G15" s="42"/>
      <c r="H15" s="43" t="s">
        <v>35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39</v>
      </c>
      <c r="C16" s="46"/>
      <c r="D16" s="46"/>
      <c r="E16" s="47"/>
      <c r="F16" s="42"/>
      <c r="G16" s="42"/>
      <c r="H16" s="43" t="s">
        <v>35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40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35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41</v>
      </c>
      <c r="C18" s="46"/>
      <c r="D18" s="46"/>
      <c r="E18" s="47"/>
      <c r="F18" s="42"/>
      <c r="G18" s="42"/>
      <c r="H18" s="43" t="s">
        <v>35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42</v>
      </c>
      <c r="C19" s="46"/>
      <c r="D19" s="46"/>
      <c r="E19" s="47"/>
      <c r="F19" s="42"/>
      <c r="G19" s="42"/>
      <c r="H19" s="43" t="s">
        <v>35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43</v>
      </c>
      <c r="C20" s="46"/>
      <c r="D20" s="46"/>
      <c r="E20" s="47"/>
      <c r="F20" s="42"/>
      <c r="G20" s="42"/>
      <c r="H20" s="43" t="s">
        <v>35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44</v>
      </c>
      <c r="C21" s="46"/>
      <c r="D21" s="46"/>
      <c r="E21" s="47"/>
      <c r="F21" s="42"/>
      <c r="G21" s="42"/>
      <c r="H21" s="43" t="s">
        <v>35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45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35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46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35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35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35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I7 S7:X7 O7:R7 O8:X9 J8:J9 J7 L7 L8:L9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K7">
    <cfRule type="cellIs" dxfId="0" priority="2" operator="notBetween">
      <formula>$F7</formula>
      <formula>$G7</formula>
    </cfRule>
  </conditionalFormatting>
  <conditionalFormatting sqref="M7">
    <cfRule type="cellIs" dxfId="0" priority="1" operator="notBetween">
      <formula>$F7</formula>
      <formula>$G7</formula>
    </cfRule>
  </conditionalFormatting>
  <conditionalFormatting sqref="N7">
    <cfRule type="cellIs" dxfId="0" priority="3" operator="notBetween">
      <formula>$F7</formula>
      <formula>$G7</formula>
    </cfRule>
  </conditionalFormatting>
  <conditionalFormatting sqref="Q23:X23">
    <cfRule type="cellIs" dxfId="0" priority="4" operator="notBetween">
      <formula>$F23</formula>
      <formula>$G23</formula>
    </cfRule>
  </conditionalFormatting>
  <conditionalFormatting sqref="I7:J7 L7 O7:X7">
    <cfRule type="cellIs" dxfId="0" priority="5" operator="notBetween">
      <formula>$F7</formula>
      <formula>$G7</formula>
    </cfRule>
  </conditionalFormatting>
  <conditionalFormatting sqref="I10:X12 I17:X17 Q22:X22">
    <cfRule type="cellIs" dxfId="0" priority="10" operator="notBetween">
      <formula>$F10</formula>
      <formula>$G10</formula>
    </cfRule>
  </conditionalFormatting>
  <conditionalFormatting sqref="I22:P23">
    <cfRule type="cellIs" dxfId="0" priority="9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2026-06-27T13:20:03Z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