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4" sheetId="8" r:id="rId1"/>
  </sheets>
  <definedNames>
    <definedName name="_xlnm.Print_Area" localSheetId="0">'806-65034'!$B$1:$AE$6</definedName>
    <definedName name="_xlnm.Print_Titles" localSheetId="0">'806-65034'!$1:$6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<sst xmlns="http://schemas.openxmlformats.org/spreadsheetml/2006/main" count="47" uniqueCount="38">
  <si>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安徽中耀智能科技有限公司首件尺寸报告</t>
  </si>
  <si>
    <t>料号</t>
  </si>
  <si>
    <t>806-65034</t>
  </si>
  <si>
    <t>工单号</t>
  </si>
  <si>
    <t>ww132-260625096</t>
  </si>
  <si>
    <t>工站</t>
  </si>
  <si>
    <t>烧结炉号</t>
  </si>
  <si>
    <t>量测机台号</t>
  </si>
  <si>
    <t>测量人员</t>
  </si>
  <si>
    <t>审核</t>
  </si>
  <si>
    <t>烧结</t>
  </si>
  <si>
    <t>DC03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</si>
  <si>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</si>
  <si>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</si>
  <si>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</si>
  <si>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</si>
  <si>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</si>
  <si>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</si>
  <si>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</si>
  <si>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</si>
  <si>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</si>
  <si>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</si>
  <si>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</si>
  <si>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</si>
  <si>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</si>
  <si>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</si>
  <si>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</si>
  <si>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</si>
  <si>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FAI14</t>
  </si>
  <si>
    <t>N</t>
  </si>
  <si>
    <t>OMM</t>
  </si>
  <si>
    <t>FAI20</t>
  </si>
  <si>
    <t>CMM</t>
  </si>
  <si>
    <t>FAI22</t>
  </si>
  <si>
    <t>FAI24</t>
  </si>
  <si>
    <t>X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</si>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</sst>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13" fillId="0" borderId="7" xfId="53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7"/>
  <sheetViews>
    <sheetView tabSelected="1" workbookViewId="0">
      <selection activeCell="M11" sqref="M11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37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46200</v>
      </c>
      <c r="B7" s="49" t="s">
        <v>28</v>
      </c>
      <c r="C7" s="49" t="s">
        <v>29</v>
      </c>
      <c r="D7" s="50">
        <v>0.5</v>
      </c>
      <c r="E7" s="50">
        <v>0.03</v>
      </c>
      <c r="F7" s="50">
        <v>-0.03</v>
      </c>
      <c r="G7" s="50">
        <f>D7+E7</f>
        <v>0.53</v>
      </c>
      <c r="H7" s="50">
        <f>D7+F7</f>
        <v>0.47</v>
      </c>
      <c r="I7" s="50" t="s">
        <v>30</v>
      </c>
      <c r="J7" s="51">
        <v>0.4961</v>
      </c>
      <c r="K7" s="51">
        <v>0.4882</v>
      </c>
      <c r="L7" s="51">
        <v>0.505</v>
      </c>
      <c r="M7" s="51">
        <v>0.4983</v>
      </c>
      <c r="N7" s="51">
        <v>0.4894</v>
      </c>
      <c r="O7" s="51">
        <v>0.4943</v>
      </c>
      <c r="P7" s="51">
        <v>0.4978</v>
      </c>
      <c r="Q7" s="51">
        <v>0.4869</v>
      </c>
      <c r="R7" s="51">
        <v>0.493</v>
      </c>
      <c r="S7" s="51">
        <v>0.4834</v>
      </c>
      <c r="T7" s="51"/>
      <c r="U7" s="51"/>
      <c r="V7" s="51"/>
      <c r="W7" s="51"/>
      <c r="X7" s="51"/>
      <c r="Y7" s="51"/>
      <c r="Z7" s="52" t="str">
        <f t="shared" ref="Z7:AO7" si="1">IF(J7="","",IF(J7&gt;($D7+$E7),(J7-$D7-$E7),IF(J7&lt;($D7+$F7),(J7-$D7-$F7),"√")))</f>
        <v>√</v>
      </c>
      <c r="AA7" s="52" t="str">
        <f t="shared" si="1"/>
        <v>√</v>
      </c>
      <c r="AB7" s="52" t="str">
        <f t="shared" si="1"/>
        <v>√</v>
      </c>
      <c r="AC7" s="52" t="str">
        <f t="shared" si="1"/>
        <v>√</v>
      </c>
      <c r="AD7" s="52" t="str">
        <f t="shared" si="1"/>
        <v>√</v>
      </c>
      <c r="AE7" s="52" t="str">
        <f t="shared" si="1"/>
        <v>√</v>
      </c>
      <c r="AF7" s="52" t="str">
        <f t="shared" si="1"/>
        <v>√</v>
      </c>
      <c r="AG7" s="52" t="str">
        <f t="shared" si="1"/>
        <v>√</v>
      </c>
      <c r="AH7" s="52" t="str">
        <f t="shared" si="1"/>
        <v>√</v>
      </c>
      <c r="AI7" s="52" t="str">
        <f t="shared" si="1"/>
        <v>√</v>
      </c>
      <c r="AJ7" s="52" t="str">
        <f t="shared" si="1"/>
        <v/>
      </c>
      <c r="AK7" s="52" t="str">
        <f t="shared" si="1"/>
        <v/>
      </c>
      <c r="AL7" s="52" t="str">
        <f t="shared" si="1"/>
        <v/>
      </c>
      <c r="AM7" s="52" t="str">
        <f t="shared" si="1"/>
        <v/>
      </c>
      <c r="AN7" s="52" t="str">
        <f t="shared" si="1"/>
        <v/>
      </c>
      <c r="AO7" s="52" t="str">
        <f t="shared" si="1"/>
        <v/>
      </c>
    </row>
    <row r="8" ht="15" customHeight="1" spans="1:41">
      <c r="A8" s="48"/>
      <c r="B8" s="49" t="s">
        <v>31</v>
      </c>
      <c r="C8" s="53"/>
      <c r="D8" s="50">
        <v>8.2</v>
      </c>
      <c r="E8" s="50">
        <v>0.05</v>
      </c>
      <c r="F8" s="50">
        <v>-0.05</v>
      </c>
      <c r="G8" s="50">
        <f>D8+E8</f>
        <v>8.25</v>
      </c>
      <c r="H8" s="50">
        <f>D8+F8</f>
        <v>8.15</v>
      </c>
      <c r="I8" s="50" t="s">
        <v>32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2" t="str">
        <f t="shared" ref="Z8:AO8" si="2">IF(J8="","",IF(J8&gt;($D8+$E8),(J8-$D8-$E8),IF(J8&lt;($D8+$F8),(J8-$D8-$F8),"√")))</f>
        <v/>
      </c>
      <c r="AA8" s="52" t="str">
        <f t="shared" si="2"/>
        <v/>
      </c>
      <c r="AB8" s="52" t="str">
        <f t="shared" si="2"/>
        <v/>
      </c>
      <c r="AC8" s="52" t="str">
        <f t="shared" si="2"/>
        <v/>
      </c>
      <c r="AD8" s="52" t="str">
        <f t="shared" si="2"/>
        <v/>
      </c>
      <c r="AE8" s="52" t="str">
        <f t="shared" si="2"/>
        <v/>
      </c>
      <c r="AF8" s="52" t="str">
        <f t="shared" si="2"/>
        <v/>
      </c>
      <c r="AG8" s="52" t="str">
        <f t="shared" si="2"/>
        <v/>
      </c>
      <c r="AH8" s="52" t="str">
        <f t="shared" si="2"/>
        <v/>
      </c>
      <c r="AI8" s="52" t="str">
        <f t="shared" si="2"/>
        <v/>
      </c>
      <c r="AJ8" s="52" t="str">
        <f t="shared" si="2"/>
        <v/>
      </c>
      <c r="AK8" s="52" t="str">
        <f t="shared" si="2"/>
        <v/>
      </c>
      <c r="AL8" s="52" t="str">
        <f t="shared" si="2"/>
        <v/>
      </c>
      <c r="AM8" s="52" t="str">
        <f t="shared" si="2"/>
        <v/>
      </c>
      <c r="AN8" s="52" t="str">
        <f t="shared" si="2"/>
        <v/>
      </c>
      <c r="AO8" s="52" t="str">
        <f t="shared" si="2"/>
        <v/>
      </c>
    </row>
    <row r="9" ht="15" customHeight="1" spans="1:41">
      <c r="A9" s="48"/>
      <c r="B9" s="49" t="s">
        <v>33</v>
      </c>
      <c r="C9" s="53"/>
      <c r="D9" s="50">
        <v>5.58</v>
      </c>
      <c r="E9" s="50">
        <v>0.03</v>
      </c>
      <c r="F9" s="50">
        <v>-0.03</v>
      </c>
      <c r="G9" s="50">
        <f>D9+E9</f>
        <v>5.61</v>
      </c>
      <c r="H9" s="50">
        <f>D9+F9</f>
        <v>5.55</v>
      </c>
      <c r="I9" s="50" t="s">
        <v>32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2" t="str">
        <f t="shared" ref="Z9:AO9" si="3">IF(J9="","",IF(J9&gt;($D9+$E9),(J9-$D9-$E9),IF(J9&lt;($D9+$F9),(J9-$D9-$F9),"√")))</f>
        <v/>
      </c>
      <c r="AA9" s="52" t="str">
        <f t="shared" si="3"/>
        <v/>
      </c>
      <c r="AB9" s="52" t="str">
        <f t="shared" si="3"/>
        <v/>
      </c>
      <c r="AC9" s="52" t="str">
        <f t="shared" si="3"/>
        <v/>
      </c>
      <c r="AD9" s="52" t="str">
        <f t="shared" si="3"/>
        <v/>
      </c>
      <c r="AE9" s="52" t="str">
        <f t="shared" si="3"/>
        <v/>
      </c>
      <c r="AF9" s="52" t="str">
        <f t="shared" si="3"/>
        <v/>
      </c>
      <c r="AG9" s="52" t="str">
        <f t="shared" si="3"/>
        <v/>
      </c>
      <c r="AH9" s="52" t="str">
        <f t="shared" si="3"/>
        <v/>
      </c>
      <c r="AI9" s="52" t="str">
        <f t="shared" si="3"/>
        <v/>
      </c>
      <c r="AJ9" s="52" t="str">
        <f t="shared" si="3"/>
        <v/>
      </c>
      <c r="AK9" s="52" t="str">
        <f t="shared" si="3"/>
        <v/>
      </c>
      <c r="AL9" s="52" t="str">
        <f t="shared" si="3"/>
        <v/>
      </c>
      <c r="AM9" s="52" t="str">
        <f t="shared" si="3"/>
        <v/>
      </c>
      <c r="AN9" s="52" t="str">
        <f t="shared" si="3"/>
        <v/>
      </c>
      <c r="AO9" s="52" t="str">
        <f t="shared" si="3"/>
        <v/>
      </c>
    </row>
    <row r="10" ht="15" customHeight="1" spans="1:41">
      <c r="A10" s="48"/>
      <c r="B10" s="49" t="s">
        <v>34</v>
      </c>
      <c r="C10" s="49" t="s">
        <v>35</v>
      </c>
      <c r="D10" s="50">
        <v>3.34</v>
      </c>
      <c r="E10" s="50">
        <v>0.03</v>
      </c>
      <c r="F10" s="50">
        <v>-0.03</v>
      </c>
      <c r="G10" s="50">
        <f t="shared" ref="G10:G11" si="4">D10+E10</f>
        <v>3.37</v>
      </c>
      <c r="H10" s="50">
        <f t="shared" ref="H10:H11" si="5">D10+F10</f>
        <v>3.31</v>
      </c>
      <c r="I10" s="50" t="s">
        <v>32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2" t="str">
        <f t="shared" ref="Z10:AO10" si="6">IF(J10="","",IF(J10&gt;($D10+$E10),(J10-$D10-$E10),IF(J10&lt;($D10+$F10),(J10-$D10-$F10),"√")))</f>
        <v/>
      </c>
      <c r="AA10" s="52" t="str">
        <f t="shared" si="6"/>
        <v/>
      </c>
      <c r="AB10" s="52" t="str">
        <f t="shared" si="6"/>
        <v/>
      </c>
      <c r="AC10" s="52" t="str">
        <f t="shared" si="6"/>
        <v/>
      </c>
      <c r="AD10" s="52" t="str">
        <f t="shared" si="6"/>
        <v/>
      </c>
      <c r="AE10" s="52" t="str">
        <f t="shared" si="6"/>
        <v/>
      </c>
      <c r="AF10" s="52" t="str">
        <f t="shared" si="6"/>
        <v/>
      </c>
      <c r="AG10" s="52" t="str">
        <f t="shared" si="6"/>
        <v/>
      </c>
      <c r="AH10" s="52" t="str">
        <f t="shared" si="6"/>
        <v/>
      </c>
      <c r="AI10" s="52" t="str">
        <f t="shared" si="6"/>
        <v/>
      </c>
      <c r="AJ10" s="52" t="str">
        <f t="shared" si="6"/>
        <v/>
      </c>
      <c r="AK10" s="52" t="str">
        <f t="shared" si="6"/>
        <v/>
      </c>
      <c r="AL10" s="52" t="str">
        <f t="shared" si="6"/>
        <v/>
      </c>
      <c r="AM10" s="52" t="str">
        <f t="shared" si="6"/>
        <v/>
      </c>
      <c r="AN10" s="52" t="str">
        <f t="shared" si="6"/>
        <v/>
      </c>
      <c r="AO10" s="52" t="str">
        <f t="shared" si="6"/>
        <v/>
      </c>
    </row>
    <row r="11" ht="15" customHeight="1" spans="1:41">
      <c r="A11" s="48"/>
      <c r="B11" s="49" t="s">
        <v>36</v>
      </c>
      <c r="C11" s="49" t="s">
        <v>37</v>
      </c>
      <c r="D11" s="50">
        <v>0</v>
      </c>
      <c r="E11" s="50">
        <v>0.05</v>
      </c>
      <c r="F11" s="50">
        <v>0</v>
      </c>
      <c r="G11" s="50">
        <f t="shared" si="4"/>
        <v>0.05</v>
      </c>
      <c r="H11" s="50">
        <f t="shared" si="5"/>
        <v>0</v>
      </c>
      <c r="I11" s="50" t="s">
        <v>32</v>
      </c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2" t="str">
        <f t="shared" ref="Z11:AO11" si="7">IF(J11="","",IF(J11&gt;($D11+$E11),(J11-$D11-$E11),IF(J11&lt;($D11+$F11),(J11-$D11-$F11),"√")))</f>
        <v/>
      </c>
      <c r="AA11" s="52" t="str">
        <f t="shared" si="7"/>
        <v/>
      </c>
      <c r="AB11" s="52" t="str">
        <f t="shared" si="7"/>
        <v/>
      </c>
      <c r="AC11" s="52" t="str">
        <f t="shared" si="7"/>
        <v/>
      </c>
      <c r="AD11" s="52" t="str">
        <f t="shared" si="7"/>
        <v/>
      </c>
      <c r="AE11" s="52" t="str">
        <f t="shared" si="7"/>
        <v/>
      </c>
      <c r="AF11" s="52" t="str">
        <f t="shared" si="7"/>
        <v/>
      </c>
      <c r="AG11" s="52" t="str">
        <f t="shared" si="7"/>
        <v/>
      </c>
      <c r="AH11" s="52" t="str">
        <f t="shared" si="7"/>
        <v/>
      </c>
      <c r="AI11" s="52" t="str">
        <f t="shared" si="7"/>
        <v/>
      </c>
      <c r="AJ11" s="52" t="str">
        <f t="shared" si="7"/>
        <v/>
      </c>
      <c r="AK11" s="52" t="str">
        <f t="shared" si="7"/>
        <v/>
      </c>
      <c r="AL11" s="52" t="str">
        <f t="shared" si="7"/>
        <v/>
      </c>
      <c r="AM11" s="52" t="str">
        <f t="shared" si="7"/>
        <v/>
      </c>
      <c r="AN11" s="52" t="str">
        <f t="shared" si="7"/>
        <v/>
      </c>
      <c r="AO11" s="52" t="str">
        <f t="shared" si="7"/>
        <v/>
      </c>
    </row>
    <row r="12" ht="15" customHeight="1" spans="1:41">
      <c r="A12" s="48"/>
      <c r="B12" s="49">
        <v>1</v>
      </c>
      <c r="C12" s="49"/>
      <c r="D12" s="50"/>
      <c r="E12" s="50"/>
      <c r="F12" s="50"/>
      <c r="G12" s="50"/>
      <c r="H12" s="50"/>
      <c r="I12" s="50" t="s">
        <v>32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</row>
    <row r="13" ht="15" customHeight="1" spans="1:41">
      <c r="A13" s="48"/>
      <c r="B13" s="49">
        <v>2</v>
      </c>
      <c r="C13" s="49"/>
      <c r="D13" s="50"/>
      <c r="E13" s="50"/>
      <c r="F13" s="50"/>
      <c r="G13" s="50"/>
      <c r="H13" s="50"/>
      <c r="I13" s="50" t="s">
        <v>32</v>
      </c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</row>
    <row r="14" ht="15" customHeight="1" spans="1:41">
      <c r="A14" s="48"/>
      <c r="B14" s="49">
        <v>3</v>
      </c>
      <c r="C14" s="49"/>
      <c r="D14" s="50"/>
      <c r="E14" s="50"/>
      <c r="F14" s="50"/>
      <c r="G14" s="50"/>
      <c r="H14" s="50"/>
      <c r="I14" s="50" t="s">
        <v>32</v>
      </c>
      <c r="J14" s="51"/>
      <c r="K14" s="51"/>
      <c r="L14" s="51"/>
      <c r="M14" s="51"/>
      <c r="N14" s="51"/>
      <c r="O14" s="51"/>
      <c r="P14" s="54"/>
      <c r="Q14" s="51"/>
      <c r="R14" s="51"/>
      <c r="S14" s="51"/>
      <c r="T14" s="51"/>
      <c r="U14" s="51"/>
      <c r="V14" s="51"/>
      <c r="W14" s="51"/>
      <c r="X14" s="51"/>
      <c r="Y14" s="51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</row>
    <row r="15" ht="15" customHeight="1" spans="1:41">
      <c r="A15" s="48"/>
      <c r="B15" s="49">
        <v>4</v>
      </c>
      <c r="C15" s="49"/>
      <c r="D15" s="50"/>
      <c r="E15" s="50"/>
      <c r="F15" s="50"/>
      <c r="G15" s="50"/>
      <c r="H15" s="50"/>
      <c r="I15" s="50" t="s">
        <v>32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</row>
    <row r="16" ht="15" customHeight="1" spans="1:41">
      <c r="A16" s="48"/>
      <c r="B16" s="49">
        <v>5</v>
      </c>
      <c r="C16" s="49"/>
      <c r="D16" s="50"/>
      <c r="E16" s="50"/>
      <c r="F16" s="50"/>
      <c r="G16" s="50"/>
      <c r="H16" s="50"/>
      <c r="I16" s="50" t="s">
        <v>32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</row>
    <row r="17" ht="15" customHeight="1" spans="1:41">
      <c r="A17" s="55"/>
      <c r="B17" s="49">
        <v>6</v>
      </c>
      <c r="C17" s="49"/>
      <c r="D17" s="50"/>
      <c r="E17" s="50"/>
      <c r="F17" s="50"/>
      <c r="G17" s="50"/>
      <c r="H17" s="50"/>
      <c r="I17" s="50" t="s">
        <v>32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7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M9">
    <cfRule type="cellIs" dxfId="0" priority="6" operator="notBetween">
      <formula>$G9</formula>
      <formula>$H9</formula>
    </cfRule>
  </conditionalFormatting>
  <conditionalFormatting sqref="J7:Y7 J9:L9 N9:Y9">
    <cfRule type="cellIs" dxfId="0" priority="89" operator="notBetween">
      <formula>$G7</formula>
      <formula>$H7</formula>
    </cfRule>
  </conditionalFormatting>
  <conditionalFormatting sqref="J8:Y8 J10:Y11">
    <cfRule type="cellIs" dxfId="0" priority="10" operator="notBetween">
      <formula>$G8</formula>
      <formula>$H8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15:AO15 AL7:AO8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2026-06-27T23:13:34Z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