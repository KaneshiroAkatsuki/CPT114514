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<sst xmlns="http://schemas.openxmlformats.org/spreadsheetml/2006/main" count="93" uniqueCount="63">
  <si>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安徽中耀智能科技有限公司首件尺寸报告</t>
  </si>
  <si>
    <t>料号</t>
  </si>
  <si>
    <t>X806-63639</t>
  </si>
  <si>
    <t>工单号</t>
  </si>
  <si>
    <t>ww115-260611003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</si>
  <si>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</si>
  <si>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</si>
  <si>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</si>
  <si>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</si>
  <si>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</si>
  <si>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</si>
  <si>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</si>
  <si>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</si>
  <si>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</si>
  <si>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</si>
  <si>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</si>
  <si>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</si>
  <si>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</si>
  <si>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</si>
  <si>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</si>
  <si>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</si>
  <si>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</si>
  <si>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</si>
  <si>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</si>
  <si>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</si>
  <si>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</si>
  <si>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</si>
  <si>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</si>
  <si>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</si>
  <si>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</si>
  <si>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</si>
  <si>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</si>
  <si>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</si>
  <si>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</si>
  <si>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</si>
  <si>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</si>
  <si>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</si>
  <si>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</si>
  <si>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</si>
  <si>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</si>
  <si>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</si>
  <si>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</si>
  <si>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</si>
  <si>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</si>
  <si>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</si>
  <si>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</si>
  <si>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</si>
  <si>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</si>
  <si>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</si>
  <si>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</si>
  <si>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</si>
  <si>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</si>
  <si>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</si>
  <si>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</si>
  <si>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</si>
  <si>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</si>
  <si>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</si>
  <si>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</si>
  <si>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</si>
  <si>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</si>
  <si>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</si>
  <si>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</si>
  <si>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r>
      <t>复测</t>
    </r>
    <r>
      <rPr>
        <b/>
        <sz val="11"/>
        <rFont val="Arial"/>
        <charset val="134"/>
      </rPr>
      <t>1-1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</si>
</sst>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0" fontId="7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topLeftCell="R1" workbookViewId="0">
      <selection activeCell="Z12" sqref="Z12:AO12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46200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6.2832</v>
      </c>
      <c r="K7" s="59">
        <v>6.2725</v>
      </c>
      <c r="L7" s="59">
        <v>6.2592</v>
      </c>
      <c r="M7" s="59">
        <v>6.267</v>
      </c>
      <c r="N7" s="59">
        <v>6.274</v>
      </c>
      <c r="O7" s="59">
        <v>6.2728</v>
      </c>
      <c r="P7" s="59">
        <v>6.2705</v>
      </c>
      <c r="Q7" s="59">
        <v>6.2685</v>
      </c>
      <c r="R7" s="59">
        <v>6.2622</v>
      </c>
      <c r="S7" s="59">
        <v>6.264</v>
      </c>
      <c r="T7" s="59">
        <v>6.2649</v>
      </c>
      <c r="U7" s="59">
        <v>6.2735</v>
      </c>
      <c r="V7" s="59">
        <v>6.2641</v>
      </c>
      <c r="W7" s="59">
        <v>6.2619</v>
      </c>
      <c r="X7" s="59">
        <v>6.2675</v>
      </c>
      <c r="Y7" s="59">
        <v>6.2545</v>
      </c>
      <c r="Z7" s="60">
        <f t="shared" ref="Z7" si="3">IF(J7="","",IF(J7&gt;($D7+$E7),(J7-$D7-$E7),IF(J7&lt;($D7+$F7),(J7-$D7-$F7),"√")))</f>
        <v>0.00820000000000011</v>
      </c>
      <c r="AA7" s="60" t="str">
        <f t="shared" ref="AA7" si="4">IF(K7="","",IF(K7&gt;($D7+$E7),(K7-$D7-$E7),IF(K7&lt;($D7+$F7),(K7-$D7-$F7),"√")))</f>
        <v>√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1" customHeight="1" spans="1:41">
      <c r="A11" s="38" t="s">
        <v>15</v>
      </c>
      <c r="B11" s="38" t="s">
        <v>16</v>
      </c>
      <c r="C11" s="39" t="s">
        <v>17</v>
      </c>
      <c r="D11" s="40" t="s">
        <v>18</v>
      </c>
      <c r="E11" s="41" t="s">
        <v>19</v>
      </c>
      <c r="F11" s="42" t="s">
        <v>20</v>
      </c>
      <c r="G11" s="42" t="s">
        <v>21</v>
      </c>
      <c r="H11" s="42" t="s">
        <v>22</v>
      </c>
      <c r="I11" s="43" t="s">
        <v>23</v>
      </c>
      <c r="J11" s="44" t="s">
        <v>24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5" t="s">
        <v>25</v>
      </c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7"/>
    </row>
    <row r="12" ht="13.5" customHeight="1" spans="1:41">
      <c r="A12" s="48"/>
      <c r="B12" s="49"/>
      <c r="C12" s="50"/>
      <c r="D12" s="40"/>
      <c r="E12" s="41"/>
      <c r="F12" s="42"/>
      <c r="G12" s="42"/>
      <c r="H12" s="42"/>
      <c r="I12" s="40"/>
      <c r="J12" s="44" t="s">
        <v>26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1" t="s">
        <v>27</v>
      </c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</row>
    <row r="13" customHeight="1" spans="1:41">
      <c r="A13" s="48"/>
      <c r="B13" s="49"/>
      <c r="C13" s="52"/>
      <c r="D13" s="40"/>
      <c r="E13" s="41"/>
      <c r="F13" s="42"/>
      <c r="G13" s="42"/>
      <c r="H13" s="42"/>
      <c r="I13" s="40"/>
      <c r="J13" s="53" t="s">
        <v>46</v>
      </c>
      <c r="K13" s="53" t="s">
        <v>47</v>
      </c>
      <c r="L13" s="53" t="s">
        <v>48</v>
      </c>
      <c r="M13" s="53" t="s">
        <v>49</v>
      </c>
      <c r="N13" s="53" t="s">
        <v>50</v>
      </c>
      <c r="O13" s="53" t="s">
        <v>51</v>
      </c>
      <c r="P13" s="53" t="s">
        <v>52</v>
      </c>
      <c r="Q13" s="53" t="s">
        <v>53</v>
      </c>
      <c r="R13" s="53" t="s">
        <v>54</v>
      </c>
      <c r="S13" s="53" t="s">
        <v>55</v>
      </c>
      <c r="T13" s="53" t="s">
        <v>56</v>
      </c>
      <c r="U13" s="53" t="s">
        <v>57</v>
      </c>
      <c r="V13" s="53" t="s">
        <v>58</v>
      </c>
      <c r="W13" s="53" t="s">
        <v>59</v>
      </c>
      <c r="X13" s="53" t="s">
        <v>60</v>
      </c>
      <c r="Y13" s="53" t="s">
        <v>61</v>
      </c>
      <c r="Z13" s="54" t="str">
        <f t="shared" ref="Z13:AO13" si="6">J13</f>
        <v>2-1</v>
      </c>
      <c r="AA13" s="54" t="str">
        <f t="shared" si="6"/>
        <v>2-2</v>
      </c>
      <c r="AB13" s="54" t="str">
        <f t="shared" si="6"/>
        <v>2-3</v>
      </c>
      <c r="AC13" s="54" t="str">
        <f t="shared" si="6"/>
        <v>2-4</v>
      </c>
      <c r="AD13" s="54" t="str">
        <f t="shared" si="6"/>
        <v>2-5</v>
      </c>
      <c r="AE13" s="54" t="str">
        <f t="shared" si="6"/>
        <v>2-6</v>
      </c>
      <c r="AF13" s="54" t="str">
        <f t="shared" si="6"/>
        <v>2-7</v>
      </c>
      <c r="AG13" s="54" t="str">
        <f t="shared" si="6"/>
        <v>2-8</v>
      </c>
      <c r="AH13" s="54" t="str">
        <f t="shared" si="6"/>
        <v>2-9</v>
      </c>
      <c r="AI13" s="54" t="str">
        <f t="shared" si="6"/>
        <v>2-10</v>
      </c>
      <c r="AJ13" s="54" t="str">
        <f t="shared" si="6"/>
        <v>2-11</v>
      </c>
      <c r="AK13" s="54" t="str">
        <f t="shared" si="6"/>
        <v>2-12</v>
      </c>
      <c r="AL13" s="54" t="str">
        <f t="shared" si="6"/>
        <v>2-13</v>
      </c>
      <c r="AM13" s="54" t="str">
        <f t="shared" si="6"/>
        <v>2-14</v>
      </c>
      <c r="AN13" s="54" t="str">
        <f t="shared" si="6"/>
        <v>2-15</v>
      </c>
      <c r="AO13" s="54" t="str">
        <f t="shared" si="6"/>
        <v>2-16</v>
      </c>
    </row>
    <row r="14" ht="15" customHeight="1" spans="1:41">
      <c r="A14" s="55">
        <v>46200</v>
      </c>
      <c r="B14" s="56" t="s">
        <v>44</v>
      </c>
      <c r="C14" s="56"/>
      <c r="D14" s="57">
        <v>6.26</v>
      </c>
      <c r="E14" s="57">
        <v>0.015</v>
      </c>
      <c r="F14" s="57">
        <v>-0.015</v>
      </c>
      <c r="G14" s="58">
        <f>D14+E14</f>
        <v>6.275</v>
      </c>
      <c r="H14" s="58">
        <f>D14+F14</f>
        <v>6.245</v>
      </c>
      <c r="I14" s="57" t="s">
        <v>45</v>
      </c>
      <c r="J14" s="59">
        <v>6.2811</v>
      </c>
      <c r="K14" s="59">
        <v>6.2704</v>
      </c>
      <c r="L14" s="59">
        <v>6.2662</v>
      </c>
      <c r="M14" s="59">
        <v>6.2575</v>
      </c>
      <c r="N14" s="59">
        <v>6.2746</v>
      </c>
      <c r="O14" s="59">
        <v>6.28</v>
      </c>
      <c r="P14" s="59">
        <v>6.2662</v>
      </c>
      <c r="Q14" s="59">
        <v>6.258</v>
      </c>
      <c r="R14" s="59">
        <v>6.2636</v>
      </c>
      <c r="S14" s="59">
        <v>6.2609</v>
      </c>
      <c r="T14" s="59">
        <v>6.265</v>
      </c>
      <c r="U14" s="59">
        <v>6.2693</v>
      </c>
      <c r="V14" s="59">
        <v>6.26</v>
      </c>
      <c r="W14" s="59">
        <v>6.2599</v>
      </c>
      <c r="X14" s="59">
        <v>6.268</v>
      </c>
      <c r="Y14" s="59">
        <v>6.2642</v>
      </c>
      <c r="Z14" s="60">
        <f t="shared" ref="Z14:AO14" si="7">IF(J14="","",IF(J14&gt;($D14+$E14),(J14-$D14-$E14),IF(J14&lt;($D14+$F14),(J14-$D14-$F14),"√")))</f>
        <v>0.00610000000000056</v>
      </c>
      <c r="AA14" s="60" t="str">
        <f t="shared" si="7"/>
        <v>√</v>
      </c>
      <c r="AB14" s="60" t="str">
        <f t="shared" si="7"/>
        <v>√</v>
      </c>
      <c r="AC14" s="60" t="str">
        <f t="shared" si="7"/>
        <v>√</v>
      </c>
      <c r="AD14" s="60" t="str">
        <f t="shared" si="7"/>
        <v>√</v>
      </c>
      <c r="AE14" s="60">
        <f t="shared" si="7"/>
        <v>0.00500000000000046</v>
      </c>
      <c r="AF14" s="60" t="str">
        <f t="shared" si="7"/>
        <v>√</v>
      </c>
      <c r="AG14" s="60" t="str">
        <f t="shared" si="7"/>
        <v>√</v>
      </c>
      <c r="AH14" s="60" t="str">
        <f t="shared" si="7"/>
        <v>√</v>
      </c>
      <c r="AI14" s="60" t="str">
        <f t="shared" si="7"/>
        <v>√</v>
      </c>
      <c r="AJ14" s="60" t="str">
        <f t="shared" si="7"/>
        <v>√</v>
      </c>
      <c r="AK14" s="60" t="str">
        <f t="shared" si="7"/>
        <v>√</v>
      </c>
      <c r="AL14" s="60" t="str">
        <f t="shared" si="7"/>
        <v>√</v>
      </c>
      <c r="AM14" s="60" t="str">
        <f t="shared" si="7"/>
        <v>√</v>
      </c>
      <c r="AN14" s="60" t="str">
        <f t="shared" si="7"/>
        <v>√</v>
      </c>
      <c r="AO14" s="60" t="str">
        <f t="shared" si="7"/>
        <v>√</v>
      </c>
    </row>
    <row r="18" customHeight="1" spans="1:41">
      <c r="A18" s="38" t="s">
        <v>15</v>
      </c>
      <c r="B18" s="38" t="s">
        <v>16</v>
      </c>
      <c r="C18" s="39" t="s">
        <v>17</v>
      </c>
      <c r="D18" s="40" t="s">
        <v>18</v>
      </c>
      <c r="E18" s="41" t="s">
        <v>19</v>
      </c>
      <c r="F18" s="42" t="s">
        <v>20</v>
      </c>
      <c r="G18" s="42" t="s">
        <v>21</v>
      </c>
      <c r="H18" s="42" t="s">
        <v>22</v>
      </c>
      <c r="I18" s="43" t="s">
        <v>23</v>
      </c>
      <c r="J18" s="44" t="s">
        <v>24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5" t="s">
        <v>25</v>
      </c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7"/>
    </row>
    <row r="19" ht="13.5" customHeight="1" spans="1:41">
      <c r="A19" s="48"/>
      <c r="B19" s="49"/>
      <c r="C19" s="50"/>
      <c r="D19" s="40"/>
      <c r="E19" s="41"/>
      <c r="F19" s="42"/>
      <c r="G19" s="42"/>
      <c r="H19" s="42"/>
      <c r="I19" s="40"/>
      <c r="J19" s="44" t="s">
        <v>26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51" t="s">
        <v>27</v>
      </c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customHeight="1" spans="1:41">
      <c r="A20" s="48"/>
      <c r="B20" s="49"/>
      <c r="C20" s="52"/>
      <c r="D20" s="40"/>
      <c r="E20" s="41"/>
      <c r="F20" s="42"/>
      <c r="G20" s="42"/>
      <c r="H20" s="42"/>
      <c r="I20" s="40"/>
      <c r="J20" s="61" t="s">
        <v>62</v>
      </c>
      <c r="K20" s="62">
        <v>2</v>
      </c>
      <c r="L20" s="62">
        <v>3</v>
      </c>
      <c r="M20" s="62">
        <v>4</v>
      </c>
      <c r="N20" s="62">
        <v>5</v>
      </c>
      <c r="O20" s="62">
        <v>6</v>
      </c>
      <c r="P20" s="62">
        <v>7</v>
      </c>
      <c r="Q20" s="62">
        <v>8</v>
      </c>
      <c r="R20" s="62">
        <v>9</v>
      </c>
      <c r="S20" s="62">
        <v>10</v>
      </c>
      <c r="T20" s="62">
        <v>11</v>
      </c>
      <c r="U20" s="62">
        <v>12</v>
      </c>
      <c r="V20" s="62">
        <v>13</v>
      </c>
      <c r="W20" s="62">
        <v>14</v>
      </c>
      <c r="X20" s="63">
        <v>15</v>
      </c>
      <c r="Y20" s="63">
        <v>16</v>
      </c>
      <c r="Z20" s="54" t="str">
        <f t="shared" ref="Z20:AO20" si="8">J20</f>
        <v>复测1-1</v>
      </c>
      <c r="AA20" s="54">
        <f t="shared" si="8"/>
        <v>2</v>
      </c>
      <c r="AB20" s="54">
        <f t="shared" si="8"/>
        <v>3</v>
      </c>
      <c r="AC20" s="54">
        <f t="shared" si="8"/>
        <v>4</v>
      </c>
      <c r="AD20" s="54">
        <f t="shared" si="8"/>
        <v>5</v>
      </c>
      <c r="AE20" s="54">
        <f t="shared" si="8"/>
        <v>6</v>
      </c>
      <c r="AF20" s="54">
        <f t="shared" si="8"/>
        <v>7</v>
      </c>
      <c r="AG20" s="54">
        <f t="shared" si="8"/>
        <v>8</v>
      </c>
      <c r="AH20" s="54">
        <f t="shared" si="8"/>
        <v>9</v>
      </c>
      <c r="AI20" s="54">
        <f t="shared" si="8"/>
        <v>10</v>
      </c>
      <c r="AJ20" s="54">
        <f t="shared" si="8"/>
        <v>11</v>
      </c>
      <c r="AK20" s="54">
        <f t="shared" si="8"/>
        <v>12</v>
      </c>
      <c r="AL20" s="54">
        <f t="shared" si="8"/>
        <v>13</v>
      </c>
      <c r="AM20" s="54">
        <f t="shared" si="8"/>
        <v>14</v>
      </c>
      <c r="AN20" s="54">
        <f t="shared" si="8"/>
        <v>15</v>
      </c>
      <c r="AO20" s="54">
        <f t="shared" si="8"/>
        <v>16</v>
      </c>
    </row>
    <row r="21" ht="15" customHeight="1" spans="1:41">
      <c r="A21" s="55">
        <v>46200</v>
      </c>
      <c r="B21" s="56" t="s">
        <v>44</v>
      </c>
      <c r="C21" s="56"/>
      <c r="D21" s="57">
        <v>6.26</v>
      </c>
      <c r="E21" s="57">
        <v>0.015</v>
      </c>
      <c r="F21" s="57">
        <v>-0.015</v>
      </c>
      <c r="G21" s="58">
        <f>D21+E21</f>
        <v>6.275</v>
      </c>
      <c r="H21" s="58">
        <f>D21+F21</f>
        <v>6.245</v>
      </c>
      <c r="I21" s="57" t="s">
        <v>45</v>
      </c>
      <c r="J21" s="59">
        <v>6.2818</v>
      </c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60">
        <f t="shared" ref="Z21:AO21" si="9">IF(J21="","",IF(J21&gt;($D21+$E21),(J21-$D21-$E21),IF(J21&lt;($D21+$F21),(J21-$D21-$F21),"√")))</f>
        <v>0.00679999999999982</v>
      </c>
      <c r="AA21" s="60" t="str">
        <f t="shared" si="9"/>
        <v/>
      </c>
      <c r="AB21" s="60" t="str">
        <f t="shared" si="9"/>
        <v/>
      </c>
      <c r="AC21" s="60" t="str">
        <f t="shared" si="9"/>
        <v/>
      </c>
      <c r="AD21" s="60" t="str">
        <f t="shared" si="9"/>
        <v/>
      </c>
      <c r="AE21" s="60" t="str">
        <f t="shared" si="9"/>
        <v/>
      </c>
      <c r="AF21" s="60" t="str">
        <f t="shared" si="9"/>
        <v/>
      </c>
      <c r="AG21" s="60" t="str">
        <f t="shared" si="9"/>
        <v/>
      </c>
      <c r="AH21" s="60" t="str">
        <f t="shared" si="9"/>
        <v/>
      </c>
      <c r="AI21" s="60" t="str">
        <f t="shared" si="9"/>
        <v/>
      </c>
      <c r="AJ21" s="60" t="str">
        <f t="shared" si="9"/>
        <v/>
      </c>
      <c r="AK21" s="60" t="str">
        <f t="shared" si="9"/>
        <v/>
      </c>
      <c r="AL21" s="60" t="str">
        <f t="shared" si="9"/>
        <v/>
      </c>
      <c r="AM21" s="60" t="str">
        <f t="shared" si="9"/>
        <v/>
      </c>
      <c r="AN21" s="60" t="str">
        <f t="shared" si="9"/>
        <v/>
      </c>
      <c r="AO21" s="60" t="str">
        <f t="shared" si="9"/>
        <v/>
      </c>
    </row>
  </sheetData>
  <mergeCells count="54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J18:Y18"/>
    <mergeCell ref="Z18:AO18"/>
    <mergeCell ref="J19:Y19"/>
    <mergeCell ref="Z19:AO19"/>
    <mergeCell ref="A2:A3"/>
    <mergeCell ref="A4:A6"/>
    <mergeCell ref="A11:A13"/>
    <mergeCell ref="A18:A20"/>
    <mergeCell ref="B4:B6"/>
    <mergeCell ref="B11:B13"/>
    <mergeCell ref="B18:B20"/>
    <mergeCell ref="C4:C6"/>
    <mergeCell ref="C11:C13"/>
    <mergeCell ref="C18:C20"/>
    <mergeCell ref="D4:D6"/>
    <mergeCell ref="D11:D13"/>
    <mergeCell ref="D18:D20"/>
    <mergeCell ref="E4:E6"/>
    <mergeCell ref="E11:E13"/>
    <mergeCell ref="E18:E20"/>
    <mergeCell ref="F4:F6"/>
    <mergeCell ref="F11:F13"/>
    <mergeCell ref="F18:F20"/>
    <mergeCell ref="G4:G6"/>
    <mergeCell ref="G11:G13"/>
    <mergeCell ref="G18:G20"/>
    <mergeCell ref="H4:H6"/>
    <mergeCell ref="H11:H13"/>
    <mergeCell ref="H18:H20"/>
    <mergeCell ref="I4:I6"/>
    <mergeCell ref="I11:I13"/>
    <mergeCell ref="I18:I20"/>
    <mergeCell ref="H2:K3"/>
    <mergeCell ref="L2:R3"/>
    <mergeCell ref="B2:G3"/>
  </mergeCells>
  <conditionalFormatting sqref="J7:Y7">
    <cfRule type="cellIs" dxfId="0" priority="20" operator="notBetween">
      <formula>$G7</formula>
      <formula>$H7</formula>
    </cfRule>
  </conditionalFormatting>
  <conditionalFormatting sqref="J14:Y14">
    <cfRule type="cellIs" dxfId="0" priority="3" operator="notBetween">
      <formula>$G14</formula>
      <formula>$H14</formula>
    </cfRule>
  </conditionalFormatting>
  <conditionalFormatting sqref="J21">
    <cfRule type="cellIs" dxfId="0" priority="1" operator="notBetween">
      <formula>$G21</formula>
      <formula>$H21</formula>
    </cfRule>
  </conditionalFormatting>
  <conditionalFormatting sqref="K21:Y21">
    <cfRule type="cellIs" dxfId="0" priority="2" operator="notBetween">
      <formula>$G21</formula>
      <formula>$H21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2026-06-27T22:05:12Z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