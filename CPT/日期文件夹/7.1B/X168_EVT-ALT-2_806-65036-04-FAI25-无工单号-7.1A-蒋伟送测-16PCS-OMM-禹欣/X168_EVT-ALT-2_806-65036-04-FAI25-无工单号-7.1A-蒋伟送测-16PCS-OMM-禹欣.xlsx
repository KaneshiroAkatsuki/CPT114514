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<sst xmlns="http://schemas.openxmlformats.org/spreadsheetml/2006/main" count="29" uniqueCount="29">
  <si>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安徽中耀智能科技有限公司首件尺寸报告</t>
  </si>
  <si>
    <t>料号</t>
  </si>
  <si>
    <t>806-65036</t>
  </si>
  <si>
    <t>工单号</t>
  </si>
  <si>
    <t>工站</t>
  </si>
  <si>
    <t>炉号</t>
  </si>
  <si>
    <t>测量机台号</t>
  </si>
  <si>
    <t>测量人员</t>
  </si>
  <si>
    <t>审核</t>
  </si>
  <si>
    <t xml:space="preserve"> 开发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</si>
  <si>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</si>
  <si>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</si>
  <si>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</si>
  <si>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</si>
  <si>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</si>
  <si>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</si>
  <si>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</si>
  <si>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</si>
  <si>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</si>
  <si>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</si>
  <si>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</si>
  <si>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</si>
  <si>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</si>
  <si>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</si>
  <si>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</si>
  <si>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</si>
  <si>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FAI25</t>
  </si>
  <si>
    <t>Y</t>
  </si>
  <si>
    <t>OMM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</si>
</sst>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"/>
  <sheetViews>
    <sheetView tabSelected="1" workbookViewId="0">
      <selection activeCell="G4" sqref="G4:G6"/>
    </sheetView>
  </sheetViews>
  <sheetFormatPr defaultColWidth="9" defaultRowHeight="14.25" outlineLevelRow="7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/>
      <c r="M2" s="9"/>
      <c r="N2" s="9"/>
      <c r="O2" s="9"/>
      <c r="P2" s="9"/>
      <c r="Q2" s="9"/>
      <c r="R2" s="9"/>
      <c r="S2" s="10" t="s">
        <v>4</v>
      </c>
      <c r="T2" s="11"/>
      <c r="U2" s="11"/>
      <c r="V2" s="11"/>
      <c r="W2" s="11"/>
      <c r="X2" s="12"/>
      <c r="Y2" s="13" t="s">
        <v>5</v>
      </c>
      <c r="Z2" s="14"/>
      <c r="AA2" s="14"/>
      <c r="AB2" s="14"/>
      <c r="AC2" s="14"/>
      <c r="AD2" s="15"/>
      <c r="AE2" s="13" t="s">
        <v>6</v>
      </c>
      <c r="AF2" s="14"/>
      <c r="AG2" s="14"/>
      <c r="AH2" s="14"/>
      <c r="AI2" s="15"/>
      <c r="AJ2" s="16" t="s">
        <v>7</v>
      </c>
      <c r="AK2" s="17"/>
      <c r="AL2" s="17"/>
      <c r="AM2" s="18"/>
      <c r="AN2" s="16" t="s">
        <v>8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9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10</v>
      </c>
      <c r="AF3" s="29"/>
      <c r="AG3" s="29"/>
      <c r="AH3" s="29"/>
      <c r="AI3" s="30"/>
      <c r="AJ3" s="28" t="s">
        <v>11</v>
      </c>
      <c r="AK3" s="29"/>
      <c r="AL3" s="29"/>
      <c r="AM3" s="30"/>
      <c r="AN3" s="28" t="s">
        <v>12</v>
      </c>
      <c r="AO3" s="30"/>
    </row>
    <row r="4" customHeight="1" spans="1:41">
      <c r="A4" s="31" t="s">
        <v>13</v>
      </c>
      <c r="B4" s="31" t="s">
        <v>14</v>
      </c>
      <c r="C4" s="32" t="s">
        <v>15</v>
      </c>
      <c r="D4" s="33" t="s">
        <v>16</v>
      </c>
      <c r="E4" s="34" t="s">
        <v>17</v>
      </c>
      <c r="F4" s="35" t="s">
        <v>18</v>
      </c>
      <c r="G4" s="35" t="s">
        <v>19</v>
      </c>
      <c r="H4" s="35" t="s">
        <v>20</v>
      </c>
      <c r="I4" s="36" t="s">
        <v>21</v>
      </c>
      <c r="J4" s="37" t="s">
        <v>22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23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24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25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46204</v>
      </c>
      <c r="B7" s="50" t="s">
        <v>26</v>
      </c>
      <c r="C7" s="51" t="s">
        <v>27</v>
      </c>
      <c r="D7" s="52">
        <v>0.59</v>
      </c>
      <c r="E7" s="52">
        <v>0.03</v>
      </c>
      <c r="F7" s="52">
        <v>-0.03</v>
      </c>
      <c r="G7" s="53">
        <f>D7+E7</f>
        <v>0.62</v>
      </c>
      <c r="H7" s="53">
        <f>D7+F7</f>
        <v>0.56</v>
      </c>
      <c r="I7" s="52" t="s">
        <v>28</v>
      </c>
      <c r="J7" s="54">
        <v>0.5835</v>
      </c>
      <c r="K7" s="54">
        <v>0.5926</v>
      </c>
      <c r="L7" s="54">
        <v>0.5979</v>
      </c>
      <c r="M7" s="54">
        <v>0.5999</v>
      </c>
      <c r="N7" s="54">
        <v>0.6055</v>
      </c>
      <c r="O7" s="54">
        <v>0.6095</v>
      </c>
      <c r="P7" s="54">
        <v>0.5784</v>
      </c>
      <c r="Q7" s="54">
        <v>0.6079</v>
      </c>
      <c r="R7" s="54">
        <v>0.6062</v>
      </c>
      <c r="S7" s="54">
        <v>0.6121</v>
      </c>
      <c r="T7" s="54">
        <v>0.6087</v>
      </c>
      <c r="U7" s="54">
        <v>0.6185</v>
      </c>
      <c r="V7" s="54">
        <v>0.6075</v>
      </c>
      <c r="W7" s="54">
        <v>0.5921</v>
      </c>
      <c r="X7" s="54">
        <v>0.6087</v>
      </c>
      <c r="Y7" s="54">
        <v>0.5941</v>
      </c>
      <c r="Z7" s="55" t="str">
        <f t="shared" ref="Z7:AO7" si="1">IF(J7="","",IF(J7&gt;($D7+$E7),(J7-$D7-$E7),IF(J7&lt;($D7+$F7),(J7-$D7-$F7),"√")))</f>
        <v>√</v>
      </c>
      <c r="AA7" s="55" t="str">
        <f t="shared" si="1"/>
        <v>√</v>
      </c>
      <c r="AB7" s="55" t="str">
        <f t="shared" si="1"/>
        <v>√</v>
      </c>
      <c r="AC7" s="55" t="str">
        <f t="shared" si="1"/>
        <v>√</v>
      </c>
      <c r="AD7" s="55" t="str">
        <f t="shared" si="1"/>
        <v>√</v>
      </c>
      <c r="AE7" s="55" t="str">
        <f t="shared" si="1"/>
        <v>√</v>
      </c>
      <c r="AF7" s="55" t="str">
        <f t="shared" si="1"/>
        <v>√</v>
      </c>
      <c r="AG7" s="55" t="str">
        <f t="shared" si="1"/>
        <v>√</v>
      </c>
      <c r="AH7" s="55" t="str">
        <f t="shared" si="1"/>
        <v>√</v>
      </c>
      <c r="AI7" s="55" t="str">
        <f t="shared" si="1"/>
        <v>√</v>
      </c>
      <c r="AJ7" s="55" t="str">
        <f t="shared" si="1"/>
        <v>√</v>
      </c>
      <c r="AK7" s="55" t="str">
        <f t="shared" si="1"/>
        <v>√</v>
      </c>
      <c r="AL7" s="55" t="str">
        <f t="shared" si="1"/>
        <v>√</v>
      </c>
      <c r="AM7" s="55" t="str">
        <f t="shared" si="1"/>
        <v>√</v>
      </c>
      <c r="AN7" s="55" t="str">
        <f t="shared" si="1"/>
        <v>√</v>
      </c>
      <c r="AO7" s="55" t="str">
        <f t="shared" si="1"/>
        <v>√</v>
      </c>
    </row>
    <row r="8" spans="1:4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8:AO8"/>
    <mergeCell ref="A2:A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">
    <cfRule type="cellIs" dxfId="0" priority="21" operator="notBetween">
      <formula>$G7</formula>
      <formula>$H7</formula>
    </cfRule>
  </conditionalFormatting>
  <conditionalFormatting sqref="K7:Y7">
    <cfRule type="cellIs" dxfId="0" priority="107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