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8" sheetId="8" r:id="rId1"/>
  </sheets>
  <definedNames>
    <definedName name="_xlnm.Print_Area" localSheetId="0">'806-65038'!$B$1:$AG$6</definedName>
    <definedName name="_xlnm.Print_Titles" localSheetId="0">'806-65038'!$1:$6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<sst xmlns="http://schemas.openxmlformats.org/spreadsheetml/2006/main" count="37" uniqueCount="35">
  <si>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安徽中耀智能科技有限公司首件尺寸报告</t>
  </si>
  <si>
    <t>料号</t>
  </si>
  <si>
    <t>806-65038</t>
  </si>
  <si>
    <t>工单号</t>
  </si>
  <si>
    <t>/</t>
  </si>
  <si>
    <t>工站</t>
  </si>
  <si>
    <t>整形机台号</t>
  </si>
  <si>
    <t>测量机台号</t>
  </si>
  <si>
    <t>测量人员</t>
  </si>
  <si>
    <t>审核</t>
  </si>
  <si>
    <t>AOI</t>
  </si>
  <si>
    <t>CMM6#/OMM5#</t>
  </si>
  <si>
    <t>吴嘉庆/禹欣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</si>
  <si>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</si>
  <si>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</si>
  <si>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</si>
  <si>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</si>
  <si>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</si>
  <si>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</si>
  <si>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</si>
  <si>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</si>
  <si>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</si>
  <si>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</si>
  <si>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</si>
  <si>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</si>
  <si>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</si>
  <si>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</si>
  <si>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 25</t>
  </si>
  <si>
    <t>Y</t>
  </si>
  <si>
    <t>OMM</t>
  </si>
  <si>
    <r>
      <rPr>
        <sz val="10"/>
        <color rgb="FFFF0000"/>
        <rFont val="宋体"/>
        <charset val="134"/>
      </rPr>
      <t>复测</t>
    </r>
    <r>
      <rPr>
        <sz val="10"/>
        <color rgb="FFFF0000"/>
        <rFont val="Arial"/>
        <charset val="134"/>
      </rPr>
      <t>2</t>
    </r>
  </si>
  <si>
    <t>FAI26</t>
  </si>
  <si>
    <t>Z</t>
  </si>
  <si>
    <t>CMM</t>
  </si>
  <si>
    <t>FAI35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</si>
</sst>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10"/>
      <color rgb="FFFF0000"/>
      <name val="宋体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6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6" borderId="16" applyNumberFormat="0" applyAlignment="0" applyProtection="0">
      <alignment vertical="center"/>
    </xf>
    <xf numFmtId="0" fontId="25" fillId="7" borderId="18" applyNumberFormat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177" fontId="12" fillId="2" borderId="1" xfId="61" applyNumberFormat="1" applyFont="1" applyFill="1" applyBorder="1" applyAlignment="1">
      <alignment horizontal="center" vertical="center"/>
    </xf>
    <xf numFmtId="0" fontId="13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0"/>
  <sheetViews>
    <sheetView tabSelected="1" workbookViewId="0">
      <selection activeCell="R20" sqref="R20"/>
    </sheetView>
  </sheetViews>
  <sheetFormatPr defaultColWidth="9" defaultRowHeight="14.25"/>
  <cols>
    <col min="1" max="45" width="9.25" customWidth="1"/>
  </cols>
  <sheetData>
    <row r="1" ht="70.5" customHeight="1" spans="1: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ht="15" customHeight="1" spans="1:45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/>
      <c r="Z2" s="13"/>
      <c r="AA2" s="14" t="s">
        <v>6</v>
      </c>
      <c r="AB2" s="15"/>
      <c r="AC2" s="15"/>
      <c r="AD2" s="15"/>
      <c r="AE2" s="15"/>
      <c r="AF2" s="16"/>
      <c r="AG2" s="14" t="s">
        <v>7</v>
      </c>
      <c r="AH2" s="15"/>
      <c r="AI2" s="15"/>
      <c r="AJ2" s="15"/>
      <c r="AK2" s="16"/>
      <c r="AL2" s="17" t="s">
        <v>8</v>
      </c>
      <c r="AM2" s="18"/>
      <c r="AN2" s="18"/>
      <c r="AO2" s="19"/>
      <c r="AP2" s="17" t="s">
        <v>9</v>
      </c>
      <c r="AQ2" s="18"/>
      <c r="AR2" s="18"/>
      <c r="AS2" s="19"/>
    </row>
    <row r="3" ht="15" customHeight="1" spans="1:45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/>
      <c r="Z3" s="28"/>
      <c r="AA3" s="14" t="s">
        <v>4</v>
      </c>
      <c r="AB3" s="15"/>
      <c r="AC3" s="15"/>
      <c r="AD3" s="15"/>
      <c r="AE3" s="15"/>
      <c r="AF3" s="16"/>
      <c r="AG3" s="29" t="s">
        <v>11</v>
      </c>
      <c r="AH3" s="30"/>
      <c r="AI3" s="30"/>
      <c r="AJ3" s="30"/>
      <c r="AK3" s="31"/>
      <c r="AL3" s="29" t="s">
        <v>12</v>
      </c>
      <c r="AM3" s="30"/>
      <c r="AN3" s="30"/>
      <c r="AO3" s="31"/>
      <c r="AP3" s="29" t="s">
        <v>13</v>
      </c>
      <c r="AQ3" s="30"/>
      <c r="AR3" s="30"/>
      <c r="AS3" s="31"/>
    </row>
    <row r="4" customHeight="1" spans="1:45">
      <c r="A4" s="32" t="s">
        <v>14</v>
      </c>
      <c r="B4" s="32" t="s">
        <v>15</v>
      </c>
      <c r="C4" s="33" t="s">
        <v>16</v>
      </c>
      <c r="D4" s="33" t="s">
        <v>17</v>
      </c>
      <c r="E4" s="34" t="s">
        <v>18</v>
      </c>
      <c r="F4" s="35" t="s">
        <v>19</v>
      </c>
      <c r="G4" s="35" t="s">
        <v>20</v>
      </c>
      <c r="H4" s="35" t="s">
        <v>21</v>
      </c>
      <c r="I4" s="36" t="s">
        <v>22</v>
      </c>
      <c r="J4" s="37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8" t="s">
        <v>24</v>
      </c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40"/>
      <c r="AR4" s="39"/>
      <c r="AS4" s="40"/>
    </row>
    <row r="5" ht="13.5" customHeight="1" spans="1:45">
      <c r="A5" s="41"/>
      <c r="B5" s="42"/>
      <c r="C5" s="33"/>
      <c r="D5" s="33"/>
      <c r="E5" s="34"/>
      <c r="F5" s="35"/>
      <c r="G5" s="35"/>
      <c r="H5" s="35"/>
      <c r="I5" s="33"/>
      <c r="J5" s="37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43" t="s">
        <v>26</v>
      </c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</row>
    <row r="6" customHeight="1" spans="1:45">
      <c r="A6" s="41"/>
      <c r="B6" s="42"/>
      <c r="C6" s="33"/>
      <c r="D6" s="33"/>
      <c r="E6" s="34"/>
      <c r="F6" s="35"/>
      <c r="G6" s="35"/>
      <c r="H6" s="35"/>
      <c r="I6" s="33"/>
      <c r="J6" s="44">
        <v>1</v>
      </c>
      <c r="K6" s="45">
        <v>2</v>
      </c>
      <c r="L6" s="44">
        <v>3</v>
      </c>
      <c r="M6" s="44">
        <v>4</v>
      </c>
      <c r="N6" s="44">
        <v>5</v>
      </c>
      <c r="O6" s="44">
        <v>6</v>
      </c>
      <c r="P6" s="44">
        <v>7</v>
      </c>
      <c r="Q6" s="44">
        <v>8</v>
      </c>
      <c r="R6" s="44">
        <v>9</v>
      </c>
      <c r="S6" s="44">
        <v>10</v>
      </c>
      <c r="T6" s="44">
        <v>11</v>
      </c>
      <c r="U6" s="44">
        <v>12</v>
      </c>
      <c r="V6" s="44">
        <v>13</v>
      </c>
      <c r="W6" s="45">
        <v>14</v>
      </c>
      <c r="X6" s="44">
        <v>15</v>
      </c>
      <c r="Y6" s="44">
        <v>16</v>
      </c>
      <c r="Z6" s="44">
        <v>17</v>
      </c>
      <c r="AA6" s="44">
        <v>18</v>
      </c>
      <c r="AB6" s="46">
        <f t="shared" ref="AB6:AS6" si="0">J6</f>
        <v>1</v>
      </c>
      <c r="AC6" s="46">
        <f t="shared" si="0"/>
        <v>2</v>
      </c>
      <c r="AD6" s="46">
        <f t="shared" si="0"/>
        <v>3</v>
      </c>
      <c r="AE6" s="46">
        <f t="shared" si="0"/>
        <v>4</v>
      </c>
      <c r="AF6" s="46">
        <f t="shared" si="0"/>
        <v>5</v>
      </c>
      <c r="AG6" s="46">
        <f t="shared" si="0"/>
        <v>6</v>
      </c>
      <c r="AH6" s="46">
        <f t="shared" si="0"/>
        <v>7</v>
      </c>
      <c r="AI6" s="46">
        <f t="shared" si="0"/>
        <v>8</v>
      </c>
      <c r="AJ6" s="46">
        <f t="shared" si="0"/>
        <v>9</v>
      </c>
      <c r="AK6" s="46">
        <f t="shared" si="0"/>
        <v>10</v>
      </c>
      <c r="AL6" s="46">
        <f t="shared" si="0"/>
        <v>11</v>
      </c>
      <c r="AM6" s="46">
        <f t="shared" si="0"/>
        <v>12</v>
      </c>
      <c r="AN6" s="46">
        <f t="shared" si="0"/>
        <v>13</v>
      </c>
      <c r="AO6" s="46">
        <f t="shared" si="0"/>
        <v>14</v>
      </c>
      <c r="AP6" s="46">
        <f t="shared" si="0"/>
        <v>15</v>
      </c>
      <c r="AQ6" s="46">
        <f t="shared" si="0"/>
        <v>16</v>
      </c>
      <c r="AR6" s="46">
        <f t="shared" si="0"/>
        <v>17</v>
      </c>
      <c r="AS6" s="46">
        <f t="shared" si="0"/>
        <v>18</v>
      </c>
    </row>
    <row r="7" ht="15" customHeight="1" spans="1:45">
      <c r="A7" s="47">
        <v>46204</v>
      </c>
      <c r="B7" s="48" t="s">
        <v>27</v>
      </c>
      <c r="C7" s="49" t="s">
        <v>28</v>
      </c>
      <c r="D7" s="49">
        <v>0.59</v>
      </c>
      <c r="E7" s="49">
        <v>0.03</v>
      </c>
      <c r="F7" s="49">
        <v>-0.03</v>
      </c>
      <c r="G7" s="50">
        <f>D7+E7</f>
        <v>0.62</v>
      </c>
      <c r="H7" s="50">
        <f>D7+F7</f>
        <v>0.56</v>
      </c>
      <c r="I7" s="49" t="s">
        <v>29</v>
      </c>
      <c r="J7" s="51">
        <v>0.5887</v>
      </c>
      <c r="K7" s="51">
        <v>0.5919</v>
      </c>
      <c r="L7" s="51">
        <v>0.5931</v>
      </c>
      <c r="M7" s="51">
        <v>0.579</v>
      </c>
      <c r="N7" s="51">
        <v>0.5752</v>
      </c>
      <c r="O7" s="51">
        <v>0.5866</v>
      </c>
      <c r="P7" s="51">
        <v>0.6023</v>
      </c>
      <c r="Q7" s="51">
        <v>0.5862</v>
      </c>
      <c r="R7" s="51">
        <v>0.5888</v>
      </c>
      <c r="S7" s="51">
        <v>0.5887</v>
      </c>
      <c r="T7" s="51">
        <v>0.6069</v>
      </c>
      <c r="U7" s="51">
        <v>0.5956</v>
      </c>
      <c r="V7" s="51">
        <v>0.5907</v>
      </c>
      <c r="W7" s="51">
        <v>0.5814</v>
      </c>
      <c r="X7" s="51">
        <v>0.6149</v>
      </c>
      <c r="Y7" s="51">
        <v>0.5872</v>
      </c>
      <c r="Z7" s="52" t="s">
        <v>30</v>
      </c>
      <c r="AA7" s="51"/>
      <c r="AB7" s="53" t="str">
        <f t="shared" ref="AB7:AS7" si="1">IF(J7="","",IF(J7&gt;($D7+$E7),(J7-$D7-$E7),IF(J7&lt;($D7+$F7),(J7-$D7-$F7),"√")))</f>
        <v>√</v>
      </c>
      <c r="AC7" s="53" t="str">
        <f t="shared" si="1"/>
        <v>√</v>
      </c>
      <c r="AD7" s="53" t="str">
        <f t="shared" si="1"/>
        <v>√</v>
      </c>
      <c r="AE7" s="53" t="str">
        <f t="shared" si="1"/>
        <v>√</v>
      </c>
      <c r="AF7" s="53" t="str">
        <f t="shared" si="1"/>
        <v>√</v>
      </c>
      <c r="AG7" s="53" t="str">
        <f t="shared" si="1"/>
        <v>√</v>
      </c>
      <c r="AH7" s="53" t="str">
        <f t="shared" si="1"/>
        <v>√</v>
      </c>
      <c r="AI7" s="53" t="str">
        <f t="shared" si="1"/>
        <v>√</v>
      </c>
      <c r="AJ7" s="53" t="str">
        <f t="shared" si="1"/>
        <v>√</v>
      </c>
      <c r="AK7" s="53" t="str">
        <f t="shared" si="1"/>
        <v>√</v>
      </c>
      <c r="AL7" s="53" t="str">
        <f t="shared" si="1"/>
        <v>√</v>
      </c>
      <c r="AM7" s="53" t="str">
        <f t="shared" si="1"/>
        <v>√</v>
      </c>
      <c r="AN7" s="53" t="str">
        <f t="shared" si="1"/>
        <v>√</v>
      </c>
      <c r="AO7" s="53" t="str">
        <f t="shared" si="1"/>
        <v>√</v>
      </c>
      <c r="AP7" s="53" t="str">
        <f t="shared" si="1"/>
        <v>√</v>
      </c>
      <c r="AQ7" s="53" t="str">
        <f t="shared" si="1"/>
        <v>√</v>
      </c>
      <c r="AR7" s="53" t="e">
        <f t="shared" si="1"/>
        <v>#VALUE!</v>
      </c>
      <c r="AS7" s="53" t="str">
        <f t="shared" si="1"/>
        <v/>
      </c>
    </row>
    <row r="8" ht="15" customHeight="1" spans="1:45">
      <c r="A8" s="54"/>
      <c r="B8" s="48" t="s">
        <v>31</v>
      </c>
      <c r="C8" s="55" t="s">
        <v>32</v>
      </c>
      <c r="D8" s="55">
        <v>1.57</v>
      </c>
      <c r="E8" s="55">
        <v>0.03</v>
      </c>
      <c r="F8" s="55">
        <v>-0.03</v>
      </c>
      <c r="G8" s="55">
        <f>D8+E8</f>
        <v>1.6</v>
      </c>
      <c r="H8" s="55">
        <f>D8+F8</f>
        <v>1.54</v>
      </c>
      <c r="I8" s="49" t="s">
        <v>33</v>
      </c>
      <c r="J8" s="51">
        <v>1.5718</v>
      </c>
      <c r="K8" s="51">
        <v>1.5691</v>
      </c>
      <c r="L8" s="51">
        <v>1.5813</v>
      </c>
      <c r="M8" s="51">
        <v>1.5892</v>
      </c>
      <c r="N8" s="51">
        <v>1.578</v>
      </c>
      <c r="O8" s="51">
        <v>1.566</v>
      </c>
      <c r="P8" s="51">
        <v>1.5778</v>
      </c>
      <c r="Q8" s="51">
        <v>1.5733</v>
      </c>
      <c r="R8" s="51">
        <v>1.5829</v>
      </c>
      <c r="S8" s="51">
        <v>1.5759</v>
      </c>
      <c r="T8" s="51">
        <v>1.5806</v>
      </c>
      <c r="U8" s="51">
        <v>1.5741</v>
      </c>
      <c r="V8" s="51">
        <v>1.5776</v>
      </c>
      <c r="W8" s="51">
        <v>1.5763</v>
      </c>
      <c r="X8" s="51">
        <v>1.5695</v>
      </c>
      <c r="Y8" s="51">
        <v>1.5906</v>
      </c>
      <c r="Z8" s="51">
        <v>1.5692</v>
      </c>
      <c r="AA8" s="51"/>
      <c r="AB8" s="53" t="str">
        <f t="shared" ref="AB8:AB9" si="2">IF(J8="","",IF(J8&gt;($D8+$E8),(J8-$D8-$E8),IF(J8&lt;($D8+$F8),(J8-$D8-$F8),"√")))</f>
        <v>√</v>
      </c>
      <c r="AC8" s="53" t="str">
        <f t="shared" ref="AC8:AC9" si="3">IF(K8="","",IF(K8&gt;($D8+$E8),(K8-$D8-$E8),IF(K8&lt;($D8+$F8),(K8-$D8-$F8),"√")))</f>
        <v>√</v>
      </c>
      <c r="AD8" s="53" t="str">
        <f t="shared" ref="AD8:AD9" si="4">IF(L8="","",IF(L8&gt;($D8+$E8),(L8-$D8-$E8),IF(L8&lt;($D8+$F8),(L8-$D8-$F8),"√")))</f>
        <v>√</v>
      </c>
      <c r="AE8" s="53" t="str">
        <f t="shared" ref="AE8:AE9" si="5">IF(M8="","",IF(M8&gt;($D8+$E8),(M8-$D8-$E8),IF(M8&lt;($D8+$F8),(M8-$D8-$F8),"√")))</f>
        <v>√</v>
      </c>
      <c r="AF8" s="53" t="str">
        <f t="shared" ref="AF8:AF9" si="6">IF(N8="","",IF(N8&gt;($D8+$E8),(N8-$D8-$E8),IF(N8&lt;($D8+$F8),(N8-$D8-$F8),"√")))</f>
        <v>√</v>
      </c>
      <c r="AG8" s="53" t="str">
        <f t="shared" ref="AG8:AG9" si="7">IF(O8="","",IF(O8&gt;($D8+$E8),(O8-$D8-$E8),IF(O8&lt;($D8+$F8),(O8-$D8-$F8),"√")))</f>
        <v>√</v>
      </c>
      <c r="AH8" s="53" t="str">
        <f t="shared" ref="AH8:AH9" si="8">IF(P8="","",IF(P8&gt;($D8+$E8),(P8-$D8-$E8),IF(P8&lt;($D8+$F8),(P8-$D8-$F8),"√")))</f>
        <v>√</v>
      </c>
      <c r="AI8" s="53" t="str">
        <f t="shared" ref="AI8:AI9" si="9">IF(Q8="","",IF(Q8&gt;($D8+$E8),(Q8-$D8-$E8),IF(Q8&lt;($D8+$F8),(Q8-$D8-$F8),"√")))</f>
        <v>√</v>
      </c>
      <c r="AJ8" s="53" t="str">
        <f t="shared" ref="AJ8:AJ9" si="10">IF(R8="","",IF(R8&gt;($D8+$E8),(R8-$D8-$E8),IF(R8&lt;($D8+$F8),(R8-$D8-$F8),"√")))</f>
        <v>√</v>
      </c>
      <c r="AK8" s="53" t="str">
        <f t="shared" ref="AK8:AK9" si="11">IF(S8="","",IF(S8&gt;($D8+$E8),(S8-$D8-$E8),IF(S8&lt;($D8+$F8),(S8-$D8-$F8),"√")))</f>
        <v>√</v>
      </c>
      <c r="AL8" s="53" t="str">
        <f t="shared" ref="AL8:AL9" si="12">IF(T8="","",IF(T8&gt;($D8+$E8),(T8-$D8-$E8),IF(T8&lt;($D8+$F8),(T8-$D8-$F8),"√")))</f>
        <v>√</v>
      </c>
      <c r="AM8" s="53" t="str">
        <f t="shared" ref="AM8:AM9" si="13">IF(U8="","",IF(U8&gt;($D8+$E8),(U8-$D8-$E8),IF(U8&lt;($D8+$F8),(U8-$D8-$F8),"√")))</f>
        <v>√</v>
      </c>
      <c r="AN8" s="53" t="str">
        <f t="shared" ref="AN8:AN9" si="14">IF(V8="","",IF(V8&gt;($D8+$E8),(V8-$D8-$E8),IF(V8&lt;($D8+$F8),(V8-$D8-$F8),"√")))</f>
        <v>√</v>
      </c>
      <c r="AO8" s="53" t="str">
        <f t="shared" ref="AO8:AO9" si="15">IF(W8="","",IF(W8&gt;($D8+$E8),(W8-$D8-$E8),IF(W8&lt;($D8+$F8),(W8-$D8-$F8),"√")))</f>
        <v>√</v>
      </c>
      <c r="AP8" s="53" t="str">
        <f>IF(X8="","",IF(X8&gt;($D8+$E8),(X8-$D8-$E8),IF(X8&lt;($D8+$F8),(X8-$D8-$F8),"√")))</f>
        <v>√</v>
      </c>
      <c r="AQ8" s="53" t="str">
        <f>IF(Y8="","",IF(Y8&gt;($D8+$E8),(Y8-$D8-$E8),IF(Y8&lt;($D8+$F8),(Y8-$D8-$F8),"√")))</f>
        <v>√</v>
      </c>
      <c r="AR8" s="53" t="str">
        <f t="shared" ref="AR8:AR9" si="16">IF(Z8="","",IF(Z8&gt;($D8+$E8),(Z8-$D8-$E8),IF(Z8&lt;($D8+$F8),(Z8-$D8-$F8),"√")))</f>
        <v>√</v>
      </c>
      <c r="AS8" s="53" t="str">
        <f t="shared" ref="AS8:AS9" si="17">IF(AA8="","",IF(AA8&gt;($D8+$E8),(AA8-$D8-$E8),IF(AA8&lt;($D8+$F8),(AA8-$D8-$F8),"√")))</f>
        <v/>
      </c>
    </row>
    <row r="9" ht="15" customHeight="1" spans="1:45">
      <c r="A9" s="54"/>
      <c r="B9" s="48" t="s">
        <v>34</v>
      </c>
      <c r="C9" s="55"/>
      <c r="D9" s="55">
        <v>1.3</v>
      </c>
      <c r="E9" s="55">
        <v>0.03</v>
      </c>
      <c r="F9" s="55">
        <v>-0.03</v>
      </c>
      <c r="G9" s="55">
        <f>D9+E9</f>
        <v>1.33</v>
      </c>
      <c r="H9" s="55">
        <f>D9+F9</f>
        <v>1.27</v>
      </c>
      <c r="I9" s="49" t="s">
        <v>33</v>
      </c>
      <c r="J9" s="51">
        <v>1.3117</v>
      </c>
      <c r="K9" s="51">
        <v>1.3503</v>
      </c>
      <c r="L9" s="51">
        <v>1.3001</v>
      </c>
      <c r="M9" s="51">
        <v>1.2982</v>
      </c>
      <c r="N9" s="51">
        <v>1.3146</v>
      </c>
      <c r="O9" s="51">
        <v>1.2926</v>
      </c>
      <c r="P9" s="51">
        <v>1.3117</v>
      </c>
      <c r="Q9" s="51">
        <v>1.2631</v>
      </c>
      <c r="R9" s="51">
        <v>1.3354</v>
      </c>
      <c r="S9" s="51">
        <v>1.3368</v>
      </c>
      <c r="T9" s="51">
        <v>1.3088</v>
      </c>
      <c r="U9" s="51">
        <v>1.3357</v>
      </c>
      <c r="V9" s="51">
        <v>1.3086</v>
      </c>
      <c r="W9" s="51">
        <v>1.3229</v>
      </c>
      <c r="X9" s="51">
        <v>1.2893</v>
      </c>
      <c r="Y9" s="51">
        <v>1.3286</v>
      </c>
      <c r="Z9" s="51">
        <v>1.3504</v>
      </c>
      <c r="AA9" s="51"/>
      <c r="AB9" s="53" t="str">
        <f t="shared" si="2"/>
        <v>√</v>
      </c>
      <c r="AC9" s="53">
        <f t="shared" si="3"/>
        <v>0.0203</v>
      </c>
      <c r="AD9" s="53" t="str">
        <f t="shared" si="4"/>
        <v>√</v>
      </c>
      <c r="AE9" s="53" t="str">
        <f t="shared" si="5"/>
        <v>√</v>
      </c>
      <c r="AF9" s="53" t="str">
        <f t="shared" si="6"/>
        <v>√</v>
      </c>
      <c r="AG9" s="53" t="str">
        <f t="shared" si="7"/>
        <v>√</v>
      </c>
      <c r="AH9" s="53" t="str">
        <f t="shared" si="8"/>
        <v>√</v>
      </c>
      <c r="AI9" s="53">
        <f t="shared" si="9"/>
        <v>-0.00690000000000016</v>
      </c>
      <c r="AJ9" s="53">
        <f t="shared" si="10"/>
        <v>0.00539999999999988</v>
      </c>
      <c r="AK9" s="53">
        <f t="shared" si="11"/>
        <v>0.00679999999999994</v>
      </c>
      <c r="AL9" s="53" t="str">
        <f t="shared" si="12"/>
        <v>√</v>
      </c>
      <c r="AM9" s="53">
        <f t="shared" si="13"/>
        <v>0.00570000000000007</v>
      </c>
      <c r="AN9" s="53" t="str">
        <f t="shared" si="14"/>
        <v>√</v>
      </c>
      <c r="AO9" s="53" t="str">
        <f t="shared" si="15"/>
        <v>√</v>
      </c>
      <c r="AP9" s="53" t="str">
        <f>IF(X9="","",IF(X9&gt;($D9+$E9),(X9-$D9-$E9),IF(X9&lt;($D9+$F9),(X9-$D9-$F9),"√")))</f>
        <v>√</v>
      </c>
      <c r="AQ9" s="53" t="str">
        <f>IF(Y9="","",IF(Y9&gt;($D9+$E9),(Y9-$D9-$E9),IF(Y9&lt;($D9+$F9),(Y9-$D9-$F9),"√")))</f>
        <v>√</v>
      </c>
      <c r="AR9" s="53">
        <f t="shared" si="16"/>
        <v>0.0204</v>
      </c>
      <c r="AS9" s="53" t="str">
        <f t="shared" si="17"/>
        <v/>
      </c>
    </row>
    <row r="10" s="1" customFormat="1" spans="1:45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8"/>
      <c r="AN10" s="59"/>
      <c r="AO10" s="60"/>
      <c r="AP10" s="61"/>
      <c r="AQ10" s="62"/>
      <c r="AR10" s="61"/>
      <c r="AS10" s="62"/>
    </row>
  </sheetData>
  <mergeCells count="33">
    <mergeCell ref="A1:AS1"/>
    <mergeCell ref="S2:Z2"/>
    <mergeCell ref="AA2:AF2"/>
    <mergeCell ref="AG2:AK2"/>
    <mergeCell ref="AL2:AO2"/>
    <mergeCell ref="AP2:AS2"/>
    <mergeCell ref="S3:Z3"/>
    <mergeCell ref="AA3:AF3"/>
    <mergeCell ref="AG3:AK3"/>
    <mergeCell ref="AL3:AO3"/>
    <mergeCell ref="AP3:AS3"/>
    <mergeCell ref="J4:AA4"/>
    <mergeCell ref="AB4:AS4"/>
    <mergeCell ref="J5:AA5"/>
    <mergeCell ref="AB5:AS5"/>
    <mergeCell ref="A10:AM10"/>
    <mergeCell ref="AN10:AO10"/>
    <mergeCell ref="AP10:AQ10"/>
    <mergeCell ref="AR10:AS10"/>
    <mergeCell ref="A2:A3"/>
    <mergeCell ref="A4:A6"/>
    <mergeCell ref="A7:A9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X9:Y9">
    <cfRule type="cellIs" dxfId="0" priority="1" operator="notBetween">
      <formula>$G9</formula>
      <formula>$H9</formula>
    </cfRule>
  </conditionalFormatting>
  <conditionalFormatting sqref="J7:W8 Z7:AA8">
    <cfRule type="cellIs" dxfId="0" priority="38" operator="notBetween">
      <formula>$G7</formula>
      <formula>$H7</formula>
    </cfRule>
  </conditionalFormatting>
  <conditionalFormatting sqref="X7:Y8">
    <cfRule type="cellIs" dxfId="0" priority="2" operator="notBetween">
      <formula>$G7</formula>
      <formula>$H7</formula>
    </cfRule>
  </conditionalFormatting>
  <conditionalFormatting sqref="J9:W9 Z9:AA9">
    <cfRule type="cellIs" dxfId="0" priority="33" operator="notBetween">
      <formula>$G9</formula>
      <formula>$H9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2026-07-01T21:19:19Z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