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<sst xmlns="http://schemas.openxmlformats.org/spreadsheetml/2006/main" count="76" uniqueCount="61">
  <si>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安徽中耀智能科技有限公司首件尺寸报告</t>
  </si>
  <si>
    <t>料号</t>
  </si>
  <si>
    <t>X806-64565</t>
  </si>
  <si>
    <t>工单号</t>
  </si>
  <si>
    <t>工站</t>
  </si>
  <si>
    <t>射出机台号</t>
  </si>
  <si>
    <t>测量机台</t>
  </si>
  <si>
    <t>测量人员</t>
  </si>
  <si>
    <t>审核</t>
  </si>
  <si>
    <t>射出</t>
  </si>
  <si>
    <t>1F26#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</si>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</sst>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Q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/>
      <c r="M2" s="12"/>
      <c r="N2" s="12"/>
      <c r="O2" s="12"/>
      <c r="P2" s="12"/>
      <c r="Q2" s="12"/>
      <c r="R2" s="12"/>
      <c r="S2" s="13" t="s">
        <v>4</v>
      </c>
      <c r="T2" s="14"/>
      <c r="U2" s="14"/>
      <c r="V2" s="14"/>
      <c r="W2" s="14"/>
      <c r="X2" s="15"/>
      <c r="Y2" s="16" t="s">
        <v>5</v>
      </c>
      <c r="Z2" s="17"/>
      <c r="AA2" s="17"/>
      <c r="AB2" s="17"/>
      <c r="AC2" s="17"/>
      <c r="AD2" s="18"/>
      <c r="AE2" s="16" t="s">
        <v>6</v>
      </c>
      <c r="AF2" s="17"/>
      <c r="AG2" s="17"/>
      <c r="AH2" s="17"/>
      <c r="AI2" s="18"/>
      <c r="AJ2" s="19" t="s">
        <v>7</v>
      </c>
      <c r="AK2" s="20"/>
      <c r="AL2" s="20"/>
      <c r="AM2" s="21"/>
      <c r="AN2" s="19" t="s">
        <v>8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9</v>
      </c>
      <c r="T3" s="29"/>
      <c r="U3" s="29"/>
      <c r="V3" s="29"/>
      <c r="W3" s="29"/>
      <c r="X3" s="30"/>
      <c r="Y3" s="28" t="s">
        <v>10</v>
      </c>
      <c r="Z3" s="29"/>
      <c r="AA3" s="29"/>
      <c r="AB3" s="29"/>
      <c r="AC3" s="29"/>
      <c r="AD3" s="30"/>
      <c r="AE3" s="31" t="s">
        <v>11</v>
      </c>
      <c r="AF3" s="32"/>
      <c r="AG3" s="32"/>
      <c r="AH3" s="32"/>
      <c r="AI3" s="33"/>
      <c r="AJ3" s="31" t="s">
        <v>12</v>
      </c>
      <c r="AK3" s="32"/>
      <c r="AL3" s="32"/>
      <c r="AM3" s="33"/>
      <c r="AN3" s="31" t="s">
        <v>13</v>
      </c>
      <c r="AO3" s="33"/>
    </row>
    <row r="4" customHeight="1" spans="1:41">
      <c r="A4" s="34" t="s">
        <v>14</v>
      </c>
      <c r="B4" s="34" t="s">
        <v>15</v>
      </c>
      <c r="C4" s="34" t="s">
        <v>16</v>
      </c>
      <c r="D4" s="35" t="s">
        <v>17</v>
      </c>
      <c r="E4" s="36" t="s">
        <v>18</v>
      </c>
      <c r="F4" s="37" t="s">
        <v>19</v>
      </c>
      <c r="G4" s="37" t="s">
        <v>20</v>
      </c>
      <c r="H4" s="37" t="s">
        <v>21</v>
      </c>
      <c r="I4" s="38" t="s">
        <v>22</v>
      </c>
      <c r="J4" s="39" t="s">
        <v>23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24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26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27</v>
      </c>
      <c r="K6" s="55" t="s">
        <v>28</v>
      </c>
      <c r="L6" s="55" t="s">
        <v>29</v>
      </c>
      <c r="M6" s="55" t="s">
        <v>30</v>
      </c>
      <c r="N6" s="55" t="s">
        <v>31</v>
      </c>
      <c r="O6" s="55" t="s">
        <v>32</v>
      </c>
      <c r="P6" s="55" t="s">
        <v>33</v>
      </c>
      <c r="Q6" s="55" t="s">
        <v>34</v>
      </c>
      <c r="R6" s="55" t="s">
        <v>35</v>
      </c>
      <c r="S6" s="55" t="s">
        <v>36</v>
      </c>
      <c r="T6" s="55" t="s">
        <v>37</v>
      </c>
      <c r="U6" s="55" t="s">
        <v>38</v>
      </c>
      <c r="V6" s="55" t="s">
        <v>39</v>
      </c>
      <c r="W6" s="55" t="s">
        <v>40</v>
      </c>
      <c r="X6" s="55" t="s">
        <v>41</v>
      </c>
      <c r="Y6" s="55" t="s">
        <v>42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46204</v>
      </c>
      <c r="B7" s="58" t="s">
        <v>43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44</v>
      </c>
      <c r="J7" s="62">
        <v>2.2984</v>
      </c>
      <c r="K7" s="62">
        <v>2.2987</v>
      </c>
      <c r="L7" s="62">
        <v>2.2992</v>
      </c>
      <c r="M7" s="62">
        <v>2.2989</v>
      </c>
      <c r="N7" s="62">
        <v>2.2986</v>
      </c>
      <c r="O7" s="62">
        <v>2.299</v>
      </c>
      <c r="P7" s="62">
        <v>2.2988</v>
      </c>
      <c r="Q7" s="62">
        <v>2.2984</v>
      </c>
      <c r="R7" s="62">
        <v>2.2987</v>
      </c>
      <c r="S7" s="62">
        <v>2.2991</v>
      </c>
      <c r="T7" s="62">
        <v>2.2983</v>
      </c>
      <c r="U7" s="62">
        <v>2.2986</v>
      </c>
      <c r="V7" s="62">
        <v>2.2989</v>
      </c>
      <c r="W7" s="62">
        <v>2.2989</v>
      </c>
      <c r="X7" s="62">
        <v>2.2991</v>
      </c>
      <c r="Y7" s="62">
        <v>2.2988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14</v>
      </c>
      <c r="B11" s="34" t="s">
        <v>15</v>
      </c>
      <c r="C11" s="34" t="s">
        <v>16</v>
      </c>
      <c r="D11" s="35" t="s">
        <v>17</v>
      </c>
      <c r="E11" s="36" t="s">
        <v>18</v>
      </c>
      <c r="F11" s="37" t="s">
        <v>19</v>
      </c>
      <c r="G11" s="37" t="s">
        <v>20</v>
      </c>
      <c r="H11" s="37" t="s">
        <v>21</v>
      </c>
      <c r="I11" s="38" t="s">
        <v>22</v>
      </c>
      <c r="J11" s="39" t="s">
        <v>23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24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25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26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45</v>
      </c>
      <c r="K13" s="55" t="s">
        <v>46</v>
      </c>
      <c r="L13" s="55" t="s">
        <v>47</v>
      </c>
      <c r="M13" s="55" t="s">
        <v>48</v>
      </c>
      <c r="N13" s="55" t="s">
        <v>49</v>
      </c>
      <c r="O13" s="55" t="s">
        <v>50</v>
      </c>
      <c r="P13" s="55" t="s">
        <v>51</v>
      </c>
      <c r="Q13" s="55" t="s">
        <v>52</v>
      </c>
      <c r="R13" s="55" t="s">
        <v>53</v>
      </c>
      <c r="S13" s="55" t="s">
        <v>54</v>
      </c>
      <c r="T13" s="55" t="s">
        <v>55</v>
      </c>
      <c r="U13" s="55" t="s">
        <v>56</v>
      </c>
      <c r="V13" s="55" t="s">
        <v>57</v>
      </c>
      <c r="W13" s="55" t="s">
        <v>58</v>
      </c>
      <c r="X13" s="55" t="s">
        <v>59</v>
      </c>
      <c r="Y13" s="55" t="s">
        <v>60</v>
      </c>
      <c r="Z13" s="56" t="str">
        <f t="shared" ref="Z13:AO13" si="3">J13</f>
        <v>2-1</v>
      </c>
      <c r="AA13" s="56" t="str">
        <f t="shared" si="3"/>
        <v>2-2</v>
      </c>
      <c r="AB13" s="56" t="str">
        <f t="shared" si="3"/>
        <v>2-3</v>
      </c>
      <c r="AC13" s="56" t="str">
        <f t="shared" si="3"/>
        <v>2-4</v>
      </c>
      <c r="AD13" s="56" t="str">
        <f t="shared" si="3"/>
        <v>2-5</v>
      </c>
      <c r="AE13" s="56" t="str">
        <f t="shared" si="3"/>
        <v>2-6</v>
      </c>
      <c r="AF13" s="56" t="str">
        <f t="shared" si="3"/>
        <v>2-7</v>
      </c>
      <c r="AG13" s="56" t="str">
        <f t="shared" si="3"/>
        <v>2-8</v>
      </c>
      <c r="AH13" s="56" t="str">
        <f t="shared" si="3"/>
        <v>2-9</v>
      </c>
      <c r="AI13" s="56" t="str">
        <f t="shared" si="3"/>
        <v>2-10</v>
      </c>
      <c r="AJ13" s="56" t="str">
        <f t="shared" si="3"/>
        <v>2-11</v>
      </c>
      <c r="AK13" s="56" t="str">
        <f t="shared" si="3"/>
        <v>2-12</v>
      </c>
      <c r="AL13" s="56" t="str">
        <f t="shared" si="3"/>
        <v>2-13</v>
      </c>
      <c r="AM13" s="56" t="str">
        <f t="shared" si="3"/>
        <v>2-14</v>
      </c>
      <c r="AN13" s="56" t="str">
        <f t="shared" si="3"/>
        <v>2-15</v>
      </c>
      <c r="AO13" s="56" t="str">
        <f t="shared" si="3"/>
        <v>2-16</v>
      </c>
    </row>
    <row r="14" spans="1:41">
      <c r="A14" s="57">
        <v>46204</v>
      </c>
      <c r="B14" s="58" t="s">
        <v>43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F14+D14</f>
        <v>2.25</v>
      </c>
      <c r="I14" s="61" t="s">
        <v>44</v>
      </c>
      <c r="J14" s="62">
        <v>2.2991</v>
      </c>
      <c r="K14" s="62">
        <v>2.2992</v>
      </c>
      <c r="L14" s="62">
        <v>2.299</v>
      </c>
      <c r="M14" s="62">
        <v>2.2989</v>
      </c>
      <c r="N14" s="62">
        <v>2.2981</v>
      </c>
      <c r="O14" s="62">
        <v>2.2992</v>
      </c>
      <c r="P14" s="62">
        <v>2.2994</v>
      </c>
      <c r="Q14" s="62">
        <v>2.299</v>
      </c>
      <c r="R14" s="62">
        <v>2.2991</v>
      </c>
      <c r="S14" s="62">
        <v>2.2983</v>
      </c>
      <c r="T14" s="62">
        <v>2.2981</v>
      </c>
      <c r="U14" s="62">
        <v>2.2988</v>
      </c>
      <c r="V14" s="62">
        <v>2.298</v>
      </c>
      <c r="W14" s="62">
        <v>2.298</v>
      </c>
      <c r="X14" s="62">
        <v>2.2974</v>
      </c>
      <c r="Y14" s="62">
        <v>2.298</v>
      </c>
      <c r="Z14" s="63" t="str">
        <f t="shared" ref="Z14:AO14" si="4">IF(J14="","",IF(J14&gt;($D14+$E14),(J14-$D14-$E14),IF(J14&lt;($D14+$F14),(J14-$D14-$F14),"√")))</f>
        <v>√</v>
      </c>
      <c r="AA14" s="63" t="str">
        <f t="shared" si="4"/>
        <v>√</v>
      </c>
      <c r="AB14" s="63" t="str">
        <f t="shared" si="4"/>
        <v>√</v>
      </c>
      <c r="AC14" s="63" t="str">
        <f t="shared" si="4"/>
        <v>√</v>
      </c>
      <c r="AD14" s="63" t="str">
        <f t="shared" si="4"/>
        <v>√</v>
      </c>
      <c r="AE14" s="63" t="str">
        <f t="shared" si="4"/>
        <v>√</v>
      </c>
      <c r="AF14" s="63" t="str">
        <f t="shared" si="4"/>
        <v>√</v>
      </c>
      <c r="AG14" s="63" t="str">
        <f t="shared" si="4"/>
        <v>√</v>
      </c>
      <c r="AH14" s="63" t="str">
        <f t="shared" si="4"/>
        <v>√</v>
      </c>
      <c r="AI14" s="63" t="str">
        <f t="shared" si="4"/>
        <v>√</v>
      </c>
      <c r="AJ14" s="63" t="str">
        <f t="shared" si="4"/>
        <v>√</v>
      </c>
      <c r="AK14" s="63" t="str">
        <f t="shared" si="4"/>
        <v>√</v>
      </c>
      <c r="AL14" s="63" t="str">
        <f t="shared" si="4"/>
        <v>√</v>
      </c>
      <c r="AM14" s="63" t="str">
        <f t="shared" si="4"/>
        <v>√</v>
      </c>
      <c r="AN14" s="63" t="str">
        <f t="shared" si="4"/>
        <v>√</v>
      </c>
      <c r="AO14" s="63" t="str">
        <f t="shared" si="4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