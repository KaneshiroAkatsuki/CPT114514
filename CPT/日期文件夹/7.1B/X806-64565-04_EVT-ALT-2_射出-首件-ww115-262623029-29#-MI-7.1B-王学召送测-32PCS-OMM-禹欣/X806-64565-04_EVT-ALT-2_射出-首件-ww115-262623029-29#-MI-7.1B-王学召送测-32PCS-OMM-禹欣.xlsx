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X806-64565" sheetId="1" r:id="rId1"/>
  </sheets>
  <definedNames>
    <definedName name="_xlnm.Print_Area" localSheetId="0">'X806-64565'!$B$1:$AE$6</definedName>
    <definedName name="_xlnm.Print_Titles" localSheetId="0">'X806-64565'!$1:6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<sst xmlns="http://schemas.openxmlformats.org/spreadsheetml/2006/main" count="77" uniqueCount="62">
  <si>
    <t>安徽中耀智能科技有限公司首件尺寸报告</t>
  </si>
  <si>
    <t>料号</t>
  </si>
  <si>
    <t>X806-64565</t>
  </si>
  <si>
    <t>工单号</t>
  </si>
  <si>
    <t>ww115-260623029</t>
  </si>
  <si>
    <t>工站</t>
  </si>
  <si>
    <t>射出机台号</t>
  </si>
  <si>
    <t>测量机台</t>
  </si>
  <si>
    <t>测量人员</t>
  </si>
  <si>
    <t>审核</t>
  </si>
  <si>
    <t>射出</t>
  </si>
  <si>
    <t>29#</t>
  </si>
  <si>
    <t>OMM5#</t>
  </si>
  <si>
    <t>禹欣</t>
  </si>
  <si>
    <t>陈跃进</t>
  </si>
  <si>
    <t>日期</t>
  </si>
  <si>
    <t>尺寸编号</t>
  </si>
  <si>
    <r>
      <rPr>
        <b/>
        <sz val="11"/>
        <rFont val="宋体"/>
        <charset val="134"/>
      </rPr>
      <t>S</t>
    </r>
    <r>
      <rPr>
        <b/>
        <sz val="11"/>
        <rFont val="宋体"/>
        <charset val="134"/>
      </rPr>
      <t>PC</t>
    </r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</si>
  <si>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</si>
  <si>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</si>
  <si>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</si>
  <si>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</si>
  <si>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</si>
  <si>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</si>
  <si>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</si>
  <si>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</si>
  <si>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</si>
  <si>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</si>
  <si>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1-1</t>
  </si>
  <si>
    <t>1-2</t>
  </si>
  <si>
    <t>1-3</t>
  </si>
  <si>
    <t>1-4</t>
  </si>
  <si>
    <t>1-5</t>
  </si>
  <si>
    <t>1-6</t>
  </si>
  <si>
    <t>1-7</t>
  </si>
  <si>
    <t>1-8</t>
  </si>
  <si>
    <t>1-9</t>
  </si>
  <si>
    <t>1-10</t>
  </si>
  <si>
    <t>1-11</t>
  </si>
  <si>
    <t>1-12</t>
  </si>
  <si>
    <t>1-13</t>
  </si>
  <si>
    <t>1-14</t>
  </si>
  <si>
    <t>1-15</t>
  </si>
  <si>
    <t>1-16</t>
  </si>
  <si>
    <t>FAI-1</t>
  </si>
  <si>
    <t>OMM</t>
  </si>
  <si>
    <t>2-1</t>
  </si>
  <si>
    <t>2-2</t>
  </si>
  <si>
    <t>2-3</t>
  </si>
  <si>
    <t>2-4</t>
  </si>
  <si>
    <t>2-5</t>
  </si>
  <si>
    <t>2-6</t>
  </si>
  <si>
    <t>2-7</t>
  </si>
  <si>
    <t>2-8</t>
  </si>
  <si>
    <t>2-9</t>
  </si>
  <si>
    <t>2-10</t>
  </si>
  <si>
    <t>2-11</t>
  </si>
  <si>
    <t>2-12</t>
  </si>
  <si>
    <t>2-13</t>
  </si>
  <si>
    <t>2-14</t>
  </si>
  <si>
    <t>2-15</t>
  </si>
  <si>
    <t>2-16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</si>
</sst>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indexed="8"/>
      <name val="等线"/>
      <charset val="134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11"/>
      <name val="宋体"/>
      <charset val="134"/>
    </font>
    <font>
      <b/>
      <sz val="11"/>
      <name val="Arial"/>
      <charset val="134"/>
    </font>
    <font>
      <sz val="10"/>
      <color indexed="8"/>
      <name val="等线"/>
      <charset val="134"/>
    </font>
    <font>
      <sz val="11"/>
      <color indexed="8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sz val="8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5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8" applyNumberFormat="0" applyAlignment="0" applyProtection="0">
      <alignment vertical="center"/>
    </xf>
    <xf numFmtId="0" fontId="23" fillId="7" borderId="17" applyNumberFormat="0" applyAlignment="0" applyProtection="0">
      <alignment vertical="center"/>
    </xf>
    <xf numFmtId="0" fontId="24" fillId="8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4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1" fillId="0" borderId="2" xfId="60" applyFont="1" applyBorder="1" applyAlignment="1" applyProtection="1">
      <alignment horizontal="center" vertical="center"/>
      <protection locked="0"/>
    </xf>
    <xf numFmtId="0" fontId="1" fillId="0" borderId="3" xfId="60" applyFont="1" applyBorder="1" applyAlignment="1" applyProtection="1">
      <alignment horizontal="center" vertical="center"/>
      <protection locked="0"/>
    </xf>
    <xf numFmtId="0" fontId="2" fillId="0" borderId="4" xfId="60" applyFont="1" applyFill="1" applyBorder="1" applyAlignment="1" applyProtection="1">
      <alignment horizontal="center" vertical="center"/>
      <protection locked="0"/>
    </xf>
    <xf numFmtId="0" fontId="3" fillId="0" borderId="5" xfId="60" applyFont="1" applyFill="1" applyBorder="1" applyAlignment="1" applyProtection="1">
      <alignment horizontal="center" vertical="center"/>
      <protection locked="0"/>
    </xf>
    <xf numFmtId="0" fontId="3" fillId="0" borderId="6" xfId="60" applyFont="1" applyFill="1" applyBorder="1" applyAlignment="1" applyProtection="1">
      <alignment horizontal="center" vertical="center"/>
      <protection locked="0"/>
    </xf>
    <xf numFmtId="0" fontId="3" fillId="0" borderId="7" xfId="60" applyFont="1" applyFill="1" applyBorder="1" applyAlignment="1" applyProtection="1">
      <alignment horizontal="center" vertical="center"/>
      <protection locked="0"/>
    </xf>
    <xf numFmtId="49" fontId="2" fillId="0" borderId="5" xfId="60" applyNumberFormat="1" applyFont="1" applyFill="1" applyBorder="1" applyAlignment="1">
      <alignment horizontal="center" vertical="center"/>
    </xf>
    <xf numFmtId="49" fontId="2" fillId="0" borderId="6" xfId="60" applyNumberFormat="1" applyFont="1" applyFill="1" applyBorder="1" applyAlignment="1">
      <alignment horizontal="center" vertical="center"/>
    </xf>
    <xf numFmtId="49" fontId="2" fillId="0" borderId="7" xfId="60" applyNumberFormat="1" applyFont="1" applyFill="1" applyBorder="1" applyAlignment="1">
      <alignment horizontal="center" vertical="center"/>
    </xf>
    <xf numFmtId="49" fontId="3" fillId="0" borderId="4" xfId="60" applyNumberFormat="1" applyFont="1" applyFill="1" applyBorder="1" applyAlignment="1">
      <alignment horizontal="center" vertical="center"/>
    </xf>
    <xf numFmtId="49" fontId="3" fillId="0" borderId="1" xfId="60" applyNumberFormat="1" applyFont="1" applyFill="1" applyBorder="1" applyAlignment="1">
      <alignment horizontal="center" vertical="center"/>
    </xf>
    <xf numFmtId="49" fontId="3" fillId="0" borderId="2" xfId="60" applyNumberFormat="1" applyFont="1" applyFill="1" applyBorder="1" applyAlignment="1">
      <alignment horizontal="center" vertical="center"/>
    </xf>
    <xf numFmtId="49" fontId="3" fillId="0" borderId="3" xfId="60" applyNumberFormat="1" applyFont="1" applyFill="1" applyBorder="1" applyAlignment="1">
      <alignment horizontal="center" vertical="center"/>
    </xf>
    <xf numFmtId="49" fontId="4" fillId="0" borderId="1" xfId="60" applyNumberFormat="1" applyFont="1" applyFill="1" applyBorder="1" applyAlignment="1" applyProtection="1">
      <alignment horizontal="center" vertical="center"/>
      <protection locked="0"/>
    </xf>
    <xf numFmtId="49" fontId="4" fillId="0" borderId="2" xfId="60" applyNumberFormat="1" applyFont="1" applyFill="1" applyBorder="1" applyAlignment="1" applyProtection="1">
      <alignment horizontal="center" vertical="center"/>
      <protection locked="0"/>
    </xf>
    <xf numFmtId="49" fontId="4" fillId="0" borderId="3" xfId="60" applyNumberFormat="1" applyFont="1" applyFill="1" applyBorder="1" applyAlignment="1" applyProtection="1">
      <alignment horizontal="center" vertical="center"/>
      <protection locked="0"/>
    </xf>
    <xf numFmtId="49" fontId="3" fillId="0" borderId="1" xfId="79" applyNumberFormat="1" applyFont="1" applyFill="1" applyBorder="1" applyAlignment="1">
      <alignment horizontal="center" vertical="center"/>
    </xf>
    <xf numFmtId="49" fontId="3" fillId="0" borderId="2" xfId="79" applyNumberFormat="1" applyFont="1" applyFill="1" applyBorder="1" applyAlignment="1">
      <alignment horizontal="center" vertical="center"/>
    </xf>
    <xf numFmtId="49" fontId="3" fillId="0" borderId="3" xfId="79" applyNumberFormat="1" applyFont="1" applyFill="1" applyBorder="1" applyAlignment="1">
      <alignment horizontal="center" vertical="center"/>
    </xf>
    <xf numFmtId="0" fontId="3" fillId="0" borderId="8" xfId="60" applyFont="1" applyFill="1" applyBorder="1" applyAlignment="1" applyProtection="1">
      <alignment horizontal="center" vertical="center"/>
      <protection locked="0"/>
    </xf>
    <xf numFmtId="0" fontId="3" fillId="0" borderId="9" xfId="60" applyFont="1" applyFill="1" applyBorder="1" applyAlignment="1" applyProtection="1">
      <alignment horizontal="center" vertical="center"/>
      <protection locked="0"/>
    </xf>
    <xf numFmtId="0" fontId="3" fillId="0" borderId="10" xfId="60" applyFont="1" applyFill="1" applyBorder="1" applyAlignment="1" applyProtection="1">
      <alignment horizontal="center" vertical="center"/>
      <protection locked="0"/>
    </xf>
    <xf numFmtId="49" fontId="2" fillId="0" borderId="8" xfId="60" applyNumberFormat="1" applyFont="1" applyFill="1" applyBorder="1" applyAlignment="1">
      <alignment horizontal="center" vertical="center"/>
    </xf>
    <xf numFmtId="49" fontId="2" fillId="0" borderId="9" xfId="60" applyNumberFormat="1" applyFont="1" applyFill="1" applyBorder="1" applyAlignment="1">
      <alignment horizontal="center" vertical="center"/>
    </xf>
    <xf numFmtId="49" fontId="2" fillId="0" borderId="10" xfId="60" applyNumberFormat="1" applyFont="1" applyFill="1" applyBorder="1" applyAlignment="1">
      <alignment horizontal="center" vertical="center"/>
    </xf>
    <xf numFmtId="0" fontId="3" fillId="0" borderId="1" xfId="60" applyFont="1" applyFill="1" applyBorder="1" applyAlignment="1" applyProtection="1">
      <alignment horizontal="center" vertical="center"/>
      <protection locked="0"/>
    </xf>
    <xf numFmtId="0" fontId="3" fillId="0" borderId="2" xfId="60" applyFont="1" applyFill="1" applyBorder="1" applyAlignment="1" applyProtection="1">
      <alignment horizontal="center" vertical="center"/>
      <protection locked="0"/>
    </xf>
    <xf numFmtId="0" fontId="3" fillId="0" borderId="3" xfId="60" applyFont="1" applyFill="1" applyBorder="1" applyAlignment="1" applyProtection="1">
      <alignment horizontal="center" vertical="center"/>
      <protection locked="0"/>
    </xf>
    <xf numFmtId="176" fontId="3" fillId="0" borderId="1" xfId="79" applyNumberFormat="1" applyFont="1" applyFill="1" applyBorder="1" applyAlignment="1">
      <alignment horizontal="center" vertical="center"/>
    </xf>
    <xf numFmtId="176" fontId="3" fillId="0" borderId="2" xfId="79" applyNumberFormat="1" applyFont="1" applyFill="1" applyBorder="1" applyAlignment="1">
      <alignment horizontal="center" vertical="center"/>
    </xf>
    <xf numFmtId="176" fontId="3" fillId="0" borderId="3" xfId="79" applyNumberFormat="1" applyFont="1" applyFill="1" applyBorder="1" applyAlignment="1">
      <alignment horizontal="center" vertical="center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2" borderId="11" xfId="60" applyFont="1" applyFill="1" applyBorder="1" applyAlignment="1" applyProtection="1">
      <alignment horizontal="center" vertical="center"/>
      <protection locked="0"/>
    </xf>
    <xf numFmtId="177" fontId="5" fillId="2" borderId="11" xfId="60" applyNumberFormat="1" applyFont="1" applyFill="1" applyBorder="1" applyAlignment="1">
      <alignment horizontal="center" vertical="center"/>
    </xf>
    <xf numFmtId="177" fontId="5" fillId="2" borderId="11" xfId="60" applyNumberFormat="1" applyFont="1" applyFill="1" applyBorder="1" applyAlignment="1" applyProtection="1">
      <alignment horizontal="center" vertical="center"/>
      <protection locked="0"/>
    </xf>
    <xf numFmtId="0" fontId="5" fillId="2" borderId="11" xfId="60" applyFont="1" applyFill="1" applyBorder="1" applyAlignment="1" applyProtection="1">
      <alignment horizontal="center" vertical="center" wrapText="1"/>
      <protection locked="0"/>
    </xf>
    <xf numFmtId="0" fontId="5" fillId="3" borderId="1" xfId="60" applyFont="1" applyFill="1" applyBorder="1" applyAlignment="1" applyProtection="1">
      <alignment horizontal="center" vertical="center"/>
      <protection locked="0"/>
    </xf>
    <xf numFmtId="0" fontId="5" fillId="3" borderId="2" xfId="60" applyFont="1" applyFill="1" applyBorder="1" applyAlignment="1" applyProtection="1">
      <alignment horizontal="center" vertical="center"/>
      <protection locked="0"/>
    </xf>
    <xf numFmtId="0" fontId="5" fillId="3" borderId="3" xfId="60" applyFont="1" applyFill="1" applyBorder="1" applyAlignment="1" applyProtection="1">
      <alignment horizontal="center" vertical="center"/>
      <protection locked="0"/>
    </xf>
    <xf numFmtId="0" fontId="5" fillId="4" borderId="1" xfId="60" applyFont="1" applyFill="1" applyBorder="1" applyAlignment="1">
      <alignment horizontal="center" vertical="center"/>
    </xf>
    <xf numFmtId="0" fontId="5" fillId="4" borderId="2" xfId="60" applyFont="1" applyFill="1" applyBorder="1" applyAlignment="1">
      <alignment horizontal="center" vertical="center"/>
    </xf>
    <xf numFmtId="0" fontId="5" fillId="4" borderId="3" xfId="60" applyFont="1" applyFill="1" applyBorder="1" applyAlignment="1">
      <alignment horizontal="center" vertical="center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5" fillId="2" borderId="12" xfId="60" applyFont="1" applyFill="1" applyBorder="1" applyAlignment="1" applyProtection="1">
      <alignment horizontal="center" vertical="center"/>
      <protection locked="0"/>
    </xf>
    <xf numFmtId="177" fontId="5" fillId="2" borderId="12" xfId="60" applyNumberFormat="1" applyFont="1" applyFill="1" applyBorder="1" applyAlignment="1">
      <alignment horizontal="center" vertical="center"/>
    </xf>
    <xf numFmtId="177" fontId="5" fillId="2" borderId="12" xfId="60" applyNumberFormat="1" applyFont="1" applyFill="1" applyBorder="1" applyAlignment="1" applyProtection="1">
      <alignment horizontal="center" vertical="center"/>
      <protection locked="0"/>
    </xf>
    <xf numFmtId="0" fontId="5" fillId="2" borderId="12" xfId="60" applyFont="1" applyFill="1" applyBorder="1" applyAlignment="1" applyProtection="1">
      <alignment horizontal="center" vertical="center" wrapText="1"/>
      <protection locked="0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5" fillId="2" borderId="13" xfId="60" applyFont="1" applyFill="1" applyBorder="1" applyAlignment="1" applyProtection="1">
      <alignment horizontal="center" vertical="center"/>
      <protection locked="0"/>
    </xf>
    <xf numFmtId="177" fontId="5" fillId="2" borderId="13" xfId="60" applyNumberFormat="1" applyFont="1" applyFill="1" applyBorder="1" applyAlignment="1">
      <alignment horizontal="center" vertical="center"/>
    </xf>
    <xf numFmtId="177" fontId="5" fillId="2" borderId="13" xfId="60" applyNumberFormat="1" applyFont="1" applyFill="1" applyBorder="1" applyAlignment="1" applyProtection="1">
      <alignment horizontal="center" vertical="center"/>
      <protection locked="0"/>
    </xf>
    <xf numFmtId="0" fontId="5" fillId="2" borderId="13" xfId="60" applyFont="1" applyFill="1" applyBorder="1" applyAlignment="1" applyProtection="1">
      <alignment horizontal="center" vertical="center" wrapText="1"/>
      <protection locked="0"/>
    </xf>
    <xf numFmtId="49" fontId="6" fillId="3" borderId="4" xfId="60" applyNumberFormat="1" applyFont="1" applyFill="1" applyBorder="1" applyAlignment="1" applyProtection="1">
      <alignment horizontal="center" vertical="center"/>
      <protection locked="0"/>
    </xf>
    <xf numFmtId="0" fontId="6" fillId="4" borderId="4" xfId="60" applyFont="1" applyFill="1" applyBorder="1" applyAlignment="1">
      <alignment horizontal="center" vertical="center"/>
    </xf>
    <xf numFmtId="14" fontId="7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4" xfId="59" applyFont="1" applyFill="1" applyBorder="1" applyAlignment="1">
      <alignment horizontal="center" vertical="center"/>
    </xf>
    <xf numFmtId="0" fontId="10" fillId="2" borderId="4" xfId="59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11" fillId="4" borderId="4" xfId="60" applyFont="1" applyFill="1" applyBorder="1" applyAlignment="1">
      <alignment horizontal="center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6" name="图片 2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47625</xdr:rowOff>
    </xdr:from>
    <xdr:to>
      <xdr:col>3</xdr:col>
      <xdr:colOff>425450</xdr:colOff>
      <xdr:row>0</xdr:row>
      <xdr:rowOff>876300</xdr:rowOff>
    </xdr:to>
    <xdr:pic>
      <xdr:nvPicPr>
        <xdr:cNvPr id="1027" name="图片 3" descr="rId1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7625"/>
          <a:ext cx="25400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100000">
              <a:srgbClr val="9CBEE0"/>
            </a:gs>
            <a:gs pos="0">
              <a:srgbClr val="BBD5F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54"/>
  <sheetViews>
    <sheetView tabSelected="1" workbookViewId="0">
      <selection activeCell="R16" sqref="R16"/>
    </sheetView>
  </sheetViews>
  <sheetFormatPr defaultColWidth="9" defaultRowHeight="14.25"/>
  <cols>
    <col min="1" max="3" width="9.25" customWidth="1"/>
    <col min="4" max="9" width="9.25" style="1" customWidth="1"/>
    <col min="10" max="41" width="9.25" customWidth="1"/>
  </cols>
  <sheetData>
    <row r="1" ht="70.5" customHeight="1" spans="1:4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4"/>
    </row>
    <row r="2" ht="15" customHeight="1" spans="1:41">
      <c r="A2" s="5" t="s">
        <v>1</v>
      </c>
      <c r="B2" s="6" t="s">
        <v>2</v>
      </c>
      <c r="C2" s="7"/>
      <c r="D2" s="7"/>
      <c r="E2" s="7"/>
      <c r="F2" s="7"/>
      <c r="G2" s="8"/>
      <c r="H2" s="9" t="s">
        <v>3</v>
      </c>
      <c r="I2" s="10"/>
      <c r="J2" s="10"/>
      <c r="K2" s="11"/>
      <c r="L2" s="12" t="s">
        <v>4</v>
      </c>
      <c r="M2" s="12"/>
      <c r="N2" s="12"/>
      <c r="O2" s="12"/>
      <c r="P2" s="12"/>
      <c r="Q2" s="12"/>
      <c r="R2" s="12"/>
      <c r="S2" s="13" t="s">
        <v>5</v>
      </c>
      <c r="T2" s="14"/>
      <c r="U2" s="14"/>
      <c r="V2" s="14"/>
      <c r="W2" s="14"/>
      <c r="X2" s="15"/>
      <c r="Y2" s="16" t="s">
        <v>6</v>
      </c>
      <c r="Z2" s="17"/>
      <c r="AA2" s="17"/>
      <c r="AB2" s="17"/>
      <c r="AC2" s="17"/>
      <c r="AD2" s="18"/>
      <c r="AE2" s="16" t="s">
        <v>7</v>
      </c>
      <c r="AF2" s="17"/>
      <c r="AG2" s="17"/>
      <c r="AH2" s="17"/>
      <c r="AI2" s="18"/>
      <c r="AJ2" s="19" t="s">
        <v>8</v>
      </c>
      <c r="AK2" s="20"/>
      <c r="AL2" s="20"/>
      <c r="AM2" s="21"/>
      <c r="AN2" s="19" t="s">
        <v>9</v>
      </c>
      <c r="AO2" s="21"/>
    </row>
    <row r="3" ht="15" customHeight="1" spans="1:41">
      <c r="A3" s="5"/>
      <c r="B3" s="22"/>
      <c r="C3" s="23"/>
      <c r="D3" s="23"/>
      <c r="E3" s="23"/>
      <c r="F3" s="23"/>
      <c r="G3" s="24"/>
      <c r="H3" s="25"/>
      <c r="I3" s="26"/>
      <c r="J3" s="26"/>
      <c r="K3" s="27"/>
      <c r="L3" s="12"/>
      <c r="M3" s="12"/>
      <c r="N3" s="12"/>
      <c r="O3" s="12"/>
      <c r="P3" s="12"/>
      <c r="Q3" s="12"/>
      <c r="R3" s="12"/>
      <c r="S3" s="28" t="s">
        <v>10</v>
      </c>
      <c r="T3" s="29"/>
      <c r="U3" s="29"/>
      <c r="V3" s="29"/>
      <c r="W3" s="29"/>
      <c r="X3" s="30"/>
      <c r="Y3" s="28" t="s">
        <v>11</v>
      </c>
      <c r="Z3" s="29"/>
      <c r="AA3" s="29"/>
      <c r="AB3" s="29"/>
      <c r="AC3" s="29"/>
      <c r="AD3" s="30"/>
      <c r="AE3" s="31" t="s">
        <v>12</v>
      </c>
      <c r="AF3" s="32"/>
      <c r="AG3" s="32"/>
      <c r="AH3" s="32"/>
      <c r="AI3" s="33"/>
      <c r="AJ3" s="31" t="s">
        <v>13</v>
      </c>
      <c r="AK3" s="32"/>
      <c r="AL3" s="32"/>
      <c r="AM3" s="33"/>
      <c r="AN3" s="31" t="s">
        <v>14</v>
      </c>
      <c r="AO3" s="33"/>
    </row>
    <row r="4" customHeight="1" spans="1:41">
      <c r="A4" s="34" t="s">
        <v>15</v>
      </c>
      <c r="B4" s="34" t="s">
        <v>16</v>
      </c>
      <c r="C4" s="34" t="s">
        <v>17</v>
      </c>
      <c r="D4" s="35" t="s">
        <v>18</v>
      </c>
      <c r="E4" s="36" t="s">
        <v>19</v>
      </c>
      <c r="F4" s="37" t="s">
        <v>20</v>
      </c>
      <c r="G4" s="37" t="s">
        <v>21</v>
      </c>
      <c r="H4" s="37" t="s">
        <v>22</v>
      </c>
      <c r="I4" s="38" t="s">
        <v>23</v>
      </c>
      <c r="J4" s="39" t="s">
        <v>24</v>
      </c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1"/>
      <c r="Z4" s="42" t="s">
        <v>25</v>
      </c>
      <c r="AA4" s="43"/>
      <c r="AB4" s="43"/>
      <c r="AC4" s="43"/>
      <c r="AD4" s="43"/>
      <c r="AE4" s="43"/>
      <c r="AF4" s="43"/>
      <c r="AG4" s="43"/>
      <c r="AH4" s="43"/>
      <c r="AI4" s="43"/>
      <c r="AJ4" s="43"/>
      <c r="AK4" s="43"/>
      <c r="AL4" s="43"/>
      <c r="AM4" s="43"/>
      <c r="AN4" s="43"/>
      <c r="AO4" s="44"/>
    </row>
    <row r="5" ht="13.5" customHeight="1" spans="1:41">
      <c r="A5" s="45"/>
      <c r="B5" s="45"/>
      <c r="C5" s="45"/>
      <c r="D5" s="46"/>
      <c r="E5" s="47"/>
      <c r="F5" s="48"/>
      <c r="G5" s="48"/>
      <c r="H5" s="48"/>
      <c r="I5" s="49"/>
      <c r="J5" s="39" t="s">
        <v>26</v>
      </c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1"/>
      <c r="Z5" s="42" t="s">
        <v>27</v>
      </c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3"/>
      <c r="AO5" s="44"/>
    </row>
    <row r="6" customHeight="1" spans="1:41">
      <c r="A6" s="50"/>
      <c r="B6" s="50"/>
      <c r="C6" s="50"/>
      <c r="D6" s="51"/>
      <c r="E6" s="52"/>
      <c r="F6" s="53"/>
      <c r="G6" s="53"/>
      <c r="H6" s="53"/>
      <c r="I6" s="54"/>
      <c r="J6" s="55" t="s">
        <v>28</v>
      </c>
      <c r="K6" s="55" t="s">
        <v>29</v>
      </c>
      <c r="L6" s="55" t="s">
        <v>30</v>
      </c>
      <c r="M6" s="55" t="s">
        <v>31</v>
      </c>
      <c r="N6" s="55" t="s">
        <v>32</v>
      </c>
      <c r="O6" s="55" t="s">
        <v>33</v>
      </c>
      <c r="P6" s="55" t="s">
        <v>34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6" t="str">
        <f t="shared" ref="Z6" si="0">J6</f>
        <v>1-1</v>
      </c>
      <c r="AA6" s="56" t="str">
        <f t="shared" ref="AA6:AO6" si="1">K6</f>
        <v>1-2</v>
      </c>
      <c r="AB6" s="56" t="str">
        <f t="shared" si="1"/>
        <v>1-3</v>
      </c>
      <c r="AC6" s="56" t="str">
        <f t="shared" si="1"/>
        <v>1-4</v>
      </c>
      <c r="AD6" s="56" t="str">
        <f t="shared" si="1"/>
        <v>1-5</v>
      </c>
      <c r="AE6" s="56" t="str">
        <f t="shared" si="1"/>
        <v>1-6</v>
      </c>
      <c r="AF6" s="56" t="str">
        <f t="shared" si="1"/>
        <v>1-7</v>
      </c>
      <c r="AG6" s="56" t="str">
        <f t="shared" si="1"/>
        <v>1-8</v>
      </c>
      <c r="AH6" s="56" t="str">
        <f t="shared" si="1"/>
        <v>1-9</v>
      </c>
      <c r="AI6" s="56" t="str">
        <f t="shared" si="1"/>
        <v>1-10</v>
      </c>
      <c r="AJ6" s="56" t="str">
        <f t="shared" si="1"/>
        <v>1-11</v>
      </c>
      <c r="AK6" s="56" t="str">
        <f t="shared" si="1"/>
        <v>1-12</v>
      </c>
      <c r="AL6" s="56" t="str">
        <f t="shared" si="1"/>
        <v>1-13</v>
      </c>
      <c r="AM6" s="56" t="str">
        <f t="shared" si="1"/>
        <v>1-14</v>
      </c>
      <c r="AN6" s="56" t="str">
        <f t="shared" si="1"/>
        <v>1-15</v>
      </c>
      <c r="AO6" s="56" t="str">
        <f t="shared" si="1"/>
        <v>1-16</v>
      </c>
    </row>
    <row r="7" spans="1:41">
      <c r="A7" s="57">
        <v>46204</v>
      </c>
      <c r="B7" s="58" t="s">
        <v>44</v>
      </c>
      <c r="C7" s="58"/>
      <c r="D7" s="59">
        <v>2.3</v>
      </c>
      <c r="E7" s="59">
        <v>0.05</v>
      </c>
      <c r="F7" s="59">
        <v>-0.05</v>
      </c>
      <c r="G7" s="60">
        <f>D7+E7</f>
        <v>2.35</v>
      </c>
      <c r="H7" s="60">
        <f>F7+D7</f>
        <v>2.25</v>
      </c>
      <c r="I7" s="61" t="s">
        <v>45</v>
      </c>
      <c r="J7" s="62">
        <v>2.2984</v>
      </c>
      <c r="K7" s="62">
        <v>2.2986</v>
      </c>
      <c r="L7" s="62">
        <v>2.2984</v>
      </c>
      <c r="M7" s="62">
        <v>2.2982</v>
      </c>
      <c r="N7" s="62">
        <v>2.2986</v>
      </c>
      <c r="O7" s="62">
        <v>2.2983</v>
      </c>
      <c r="P7" s="62">
        <v>2.299</v>
      </c>
      <c r="Q7" s="62">
        <v>2.2989</v>
      </c>
      <c r="R7" s="62">
        <v>2.299</v>
      </c>
      <c r="S7" s="62">
        <v>2.2981</v>
      </c>
      <c r="T7" s="62">
        <v>2.2987</v>
      </c>
      <c r="U7" s="62">
        <v>2.2986</v>
      </c>
      <c r="V7" s="62">
        <v>2.298</v>
      </c>
      <c r="W7" s="62">
        <v>2.2981</v>
      </c>
      <c r="X7" s="62">
        <v>2.2978</v>
      </c>
      <c r="Y7" s="62">
        <v>2.2982</v>
      </c>
      <c r="Z7" s="63" t="str">
        <f t="shared" ref="Z7:AO7" si="2">IF(J7="","",IF(J7&gt;($D7+$E7),(J7-$D7-$E7),IF(J7&lt;($D7+$F7),(J7-$D7-$F7),"√")))</f>
        <v>√</v>
      </c>
      <c r="AA7" s="63" t="str">
        <f t="shared" si="2"/>
        <v>√</v>
      </c>
      <c r="AB7" s="63" t="str">
        <f t="shared" si="2"/>
        <v>√</v>
      </c>
      <c r="AC7" s="63" t="str">
        <f t="shared" si="2"/>
        <v>√</v>
      </c>
      <c r="AD7" s="63" t="str">
        <f t="shared" si="2"/>
        <v>√</v>
      </c>
      <c r="AE7" s="63" t="str">
        <f t="shared" si="2"/>
        <v>√</v>
      </c>
      <c r="AF7" s="63" t="str">
        <f t="shared" si="2"/>
        <v>√</v>
      </c>
      <c r="AG7" s="63" t="str">
        <f t="shared" si="2"/>
        <v>√</v>
      </c>
      <c r="AH7" s="63" t="str">
        <f t="shared" si="2"/>
        <v>√</v>
      </c>
      <c r="AI7" s="63" t="str">
        <f t="shared" si="2"/>
        <v>√</v>
      </c>
      <c r="AJ7" s="63" t="str">
        <f t="shared" si="2"/>
        <v>√</v>
      </c>
      <c r="AK7" s="63" t="str">
        <f t="shared" si="2"/>
        <v>√</v>
      </c>
      <c r="AL7" s="63" t="str">
        <f t="shared" si="2"/>
        <v>√</v>
      </c>
      <c r="AM7" s="63" t="str">
        <f t="shared" si="2"/>
        <v>√</v>
      </c>
      <c r="AN7" s="63" t="str">
        <f t="shared" si="2"/>
        <v>√</v>
      </c>
      <c r="AO7" s="63" t="str">
        <f t="shared" si="2"/>
        <v>√</v>
      </c>
    </row>
    <row r="8" spans="1:41">
      <c r="D8"/>
      <c r="E8"/>
      <c r="F8"/>
      <c r="G8"/>
      <c r="H8"/>
      <c r="I8"/>
    </row>
    <row r="9" spans="1:41">
      <c r="D9"/>
      <c r="E9"/>
      <c r="F9"/>
      <c r="G9"/>
      <c r="H9"/>
      <c r="I9"/>
    </row>
    <row r="10" spans="1:41">
      <c r="D10"/>
      <c r="E10"/>
      <c r="F10"/>
      <c r="G10"/>
      <c r="H10"/>
      <c r="I10"/>
    </row>
    <row r="11" customHeight="1" spans="1:41">
      <c r="A11" s="34" t="s">
        <v>15</v>
      </c>
      <c r="B11" s="34" t="s">
        <v>16</v>
      </c>
      <c r="C11" s="34" t="s">
        <v>17</v>
      </c>
      <c r="D11" s="35" t="s">
        <v>18</v>
      </c>
      <c r="E11" s="36" t="s">
        <v>19</v>
      </c>
      <c r="F11" s="37" t="s">
        <v>20</v>
      </c>
      <c r="G11" s="37" t="s">
        <v>21</v>
      </c>
      <c r="H11" s="37" t="s">
        <v>22</v>
      </c>
      <c r="I11" s="38" t="s">
        <v>23</v>
      </c>
      <c r="J11" s="39" t="s">
        <v>24</v>
      </c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1"/>
      <c r="Z11" s="42" t="s">
        <v>25</v>
      </c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4"/>
    </row>
    <row r="12" ht="13.5" customHeight="1" spans="1:41">
      <c r="A12" s="45"/>
      <c r="B12" s="45"/>
      <c r="C12" s="45"/>
      <c r="D12" s="46"/>
      <c r="E12" s="47"/>
      <c r="F12" s="48"/>
      <c r="G12" s="48"/>
      <c r="H12" s="48"/>
      <c r="I12" s="49"/>
      <c r="J12" s="39" t="s">
        <v>26</v>
      </c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1"/>
      <c r="Z12" s="42" t="s">
        <v>27</v>
      </c>
      <c r="AA12" s="43"/>
      <c r="AB12" s="43"/>
      <c r="AC12" s="43"/>
      <c r="AD12" s="43"/>
      <c r="AE12" s="43"/>
      <c r="AF12" s="43"/>
      <c r="AG12" s="43"/>
      <c r="AH12" s="43"/>
      <c r="AI12" s="43"/>
      <c r="AJ12" s="43"/>
      <c r="AK12" s="43"/>
      <c r="AL12" s="43"/>
      <c r="AM12" s="43"/>
      <c r="AN12" s="43"/>
      <c r="AO12" s="44"/>
    </row>
    <row r="13" customHeight="1" spans="1:41">
      <c r="A13" s="50"/>
      <c r="B13" s="50"/>
      <c r="C13" s="50"/>
      <c r="D13" s="51"/>
      <c r="E13" s="52"/>
      <c r="F13" s="53"/>
      <c r="G13" s="53"/>
      <c r="H13" s="53"/>
      <c r="I13" s="54"/>
      <c r="J13" s="55" t="s">
        <v>46</v>
      </c>
      <c r="K13" s="55" t="s">
        <v>47</v>
      </c>
      <c r="L13" s="55" t="s">
        <v>48</v>
      </c>
      <c r="M13" s="55" t="s">
        <v>49</v>
      </c>
      <c r="N13" s="55" t="s">
        <v>50</v>
      </c>
      <c r="O13" s="55" t="s">
        <v>51</v>
      </c>
      <c r="P13" s="55" t="s">
        <v>52</v>
      </c>
      <c r="Q13" s="55" t="s">
        <v>53</v>
      </c>
      <c r="R13" s="55" t="s">
        <v>54</v>
      </c>
      <c r="S13" s="55" t="s">
        <v>55</v>
      </c>
      <c r="T13" s="55" t="s">
        <v>56</v>
      </c>
      <c r="U13" s="55" t="s">
        <v>57</v>
      </c>
      <c r="V13" s="55" t="s">
        <v>58</v>
      </c>
      <c r="W13" s="55" t="s">
        <v>59</v>
      </c>
      <c r="X13" s="55" t="s">
        <v>60</v>
      </c>
      <c r="Y13" s="55" t="s">
        <v>61</v>
      </c>
      <c r="Z13" s="56" t="str">
        <f t="shared" ref="Z13:AO13" si="3">J13</f>
        <v>2-1</v>
      </c>
      <c r="AA13" s="56" t="str">
        <f t="shared" si="3"/>
        <v>2-2</v>
      </c>
      <c r="AB13" s="56" t="str">
        <f t="shared" si="3"/>
        <v>2-3</v>
      </c>
      <c r="AC13" s="56" t="str">
        <f t="shared" si="3"/>
        <v>2-4</v>
      </c>
      <c r="AD13" s="56" t="str">
        <f t="shared" si="3"/>
        <v>2-5</v>
      </c>
      <c r="AE13" s="56" t="str">
        <f t="shared" si="3"/>
        <v>2-6</v>
      </c>
      <c r="AF13" s="56" t="str">
        <f t="shared" si="3"/>
        <v>2-7</v>
      </c>
      <c r="AG13" s="56" t="str">
        <f t="shared" si="3"/>
        <v>2-8</v>
      </c>
      <c r="AH13" s="56" t="str">
        <f t="shared" si="3"/>
        <v>2-9</v>
      </c>
      <c r="AI13" s="56" t="str">
        <f t="shared" si="3"/>
        <v>2-10</v>
      </c>
      <c r="AJ13" s="56" t="str">
        <f t="shared" si="3"/>
        <v>2-11</v>
      </c>
      <c r="AK13" s="56" t="str">
        <f t="shared" si="3"/>
        <v>2-12</v>
      </c>
      <c r="AL13" s="56" t="str">
        <f t="shared" si="3"/>
        <v>2-13</v>
      </c>
      <c r="AM13" s="56" t="str">
        <f t="shared" si="3"/>
        <v>2-14</v>
      </c>
      <c r="AN13" s="56" t="str">
        <f t="shared" si="3"/>
        <v>2-15</v>
      </c>
      <c r="AO13" s="56" t="str">
        <f t="shared" si="3"/>
        <v>2-16</v>
      </c>
    </row>
    <row r="14" spans="1:41">
      <c r="A14" s="57">
        <v>46204</v>
      </c>
      <c r="B14" s="58" t="s">
        <v>44</v>
      </c>
      <c r="C14" s="58"/>
      <c r="D14" s="59">
        <v>2.3</v>
      </c>
      <c r="E14" s="59">
        <v>0.05</v>
      </c>
      <c r="F14" s="59">
        <v>-0.05</v>
      </c>
      <c r="G14" s="60">
        <f>D14+E14</f>
        <v>2.35</v>
      </c>
      <c r="H14" s="60">
        <f>F14+D14</f>
        <v>2.25</v>
      </c>
      <c r="I14" s="61" t="s">
        <v>45</v>
      </c>
      <c r="J14" s="62">
        <v>2.2989</v>
      </c>
      <c r="K14" s="62">
        <v>2.299</v>
      </c>
      <c r="L14" s="62">
        <v>2.2982</v>
      </c>
      <c r="M14" s="62">
        <v>2.2983</v>
      </c>
      <c r="N14" s="62">
        <v>2.2985</v>
      </c>
      <c r="O14" s="62">
        <v>2.2989</v>
      </c>
      <c r="P14" s="62">
        <v>2.2991</v>
      </c>
      <c r="Q14" s="62">
        <v>2.2986</v>
      </c>
      <c r="R14" s="62">
        <v>2.2985</v>
      </c>
      <c r="S14" s="62">
        <v>2.2992</v>
      </c>
      <c r="T14" s="62">
        <v>2.2988</v>
      </c>
      <c r="U14" s="62">
        <v>2.2989</v>
      </c>
      <c r="V14" s="62">
        <v>2.2998</v>
      </c>
      <c r="W14" s="62">
        <v>2.2992</v>
      </c>
      <c r="X14" s="62">
        <v>2.2988</v>
      </c>
      <c r="Y14" s="62">
        <v>2.2987</v>
      </c>
      <c r="Z14" s="63" t="str">
        <f t="shared" ref="Z14:AO14" si="4">IF(J14="","",IF(J14&gt;($D14+$E14),(J14-$D14-$E14),IF(J14&lt;($D14+$F14),(J14-$D14-$F14),"√")))</f>
        <v>√</v>
      </c>
      <c r="AA14" s="63" t="str">
        <f t="shared" si="4"/>
        <v>√</v>
      </c>
      <c r="AB14" s="63" t="str">
        <f t="shared" si="4"/>
        <v>√</v>
      </c>
      <c r="AC14" s="63" t="str">
        <f t="shared" si="4"/>
        <v>√</v>
      </c>
      <c r="AD14" s="63" t="str">
        <f t="shared" si="4"/>
        <v>√</v>
      </c>
      <c r="AE14" s="63" t="str">
        <f t="shared" si="4"/>
        <v>√</v>
      </c>
      <c r="AF14" s="63" t="str">
        <f t="shared" si="4"/>
        <v>√</v>
      </c>
      <c r="AG14" s="63" t="str">
        <f t="shared" si="4"/>
        <v>√</v>
      </c>
      <c r="AH14" s="63" t="str">
        <f t="shared" si="4"/>
        <v>√</v>
      </c>
      <c r="AI14" s="63" t="str">
        <f t="shared" si="4"/>
        <v>√</v>
      </c>
      <c r="AJ14" s="63" t="str">
        <f t="shared" si="4"/>
        <v>√</v>
      </c>
      <c r="AK14" s="63" t="str">
        <f t="shared" si="4"/>
        <v>√</v>
      </c>
      <c r="AL14" s="63" t="str">
        <f t="shared" si="4"/>
        <v>√</v>
      </c>
      <c r="AM14" s="63" t="str">
        <f t="shared" si="4"/>
        <v>√</v>
      </c>
      <c r="AN14" s="63" t="str">
        <f t="shared" si="4"/>
        <v>√</v>
      </c>
      <c r="AO14" s="63" t="str">
        <f t="shared" si="4"/>
        <v>√</v>
      </c>
    </row>
    <row r="15" spans="1:41">
      <c r="D15"/>
      <c r="E15"/>
      <c r="F15"/>
      <c r="G15"/>
      <c r="H15"/>
      <c r="I15"/>
    </row>
    <row r="16" spans="1:41">
      <c r="D16"/>
      <c r="E16"/>
      <c r="F16"/>
      <c r="G16"/>
      <c r="H16"/>
      <c r="I16"/>
    </row>
    <row r="17" spans="4:9">
      <c r="D17"/>
      <c r="E17"/>
      <c r="F17"/>
      <c r="G17"/>
      <c r="H17"/>
      <c r="I17"/>
    </row>
    <row r="18" spans="4:9">
      <c r="D18"/>
      <c r="E18"/>
      <c r="F18"/>
      <c r="G18"/>
      <c r="H18"/>
      <c r="I18"/>
    </row>
    <row r="19" spans="4:9">
      <c r="D19"/>
      <c r="E19"/>
      <c r="F19"/>
      <c r="G19"/>
      <c r="H19"/>
      <c r="I19"/>
    </row>
    <row r="20" spans="4:9">
      <c r="D20"/>
      <c r="E20"/>
      <c r="F20"/>
      <c r="G20"/>
      <c r="H20"/>
      <c r="I20"/>
    </row>
    <row r="21" spans="4:9">
      <c r="D21"/>
      <c r="E21"/>
      <c r="F21"/>
      <c r="G21"/>
      <c r="H21"/>
      <c r="I21"/>
    </row>
    <row r="22" spans="4:9">
      <c r="D22"/>
      <c r="E22"/>
      <c r="F22"/>
      <c r="G22"/>
      <c r="H22"/>
      <c r="I22"/>
    </row>
    <row r="23" spans="4:9">
      <c r="D23"/>
      <c r="E23"/>
      <c r="F23"/>
      <c r="G23"/>
      <c r="H23"/>
      <c r="I23"/>
    </row>
    <row r="24" spans="4:9">
      <c r="D24"/>
      <c r="E24"/>
      <c r="F24"/>
      <c r="G24"/>
      <c r="H24"/>
      <c r="I24"/>
    </row>
    <row r="25" spans="4:9">
      <c r="D25"/>
      <c r="E25"/>
      <c r="F25"/>
      <c r="G25"/>
      <c r="H25"/>
      <c r="I25"/>
    </row>
    <row r="26" spans="4:9">
      <c r="D26"/>
      <c r="E26"/>
      <c r="F26"/>
      <c r="G26"/>
      <c r="H26"/>
      <c r="I26"/>
    </row>
    <row r="27" spans="4:9">
      <c r="D27"/>
      <c r="E27"/>
      <c r="F27"/>
      <c r="G27"/>
      <c r="H27"/>
      <c r="I27"/>
    </row>
    <row r="28" spans="4:9">
      <c r="D28"/>
      <c r="E28"/>
      <c r="F28"/>
      <c r="G28"/>
      <c r="H28"/>
      <c r="I28"/>
    </row>
    <row r="29" spans="4:9">
      <c r="D29"/>
      <c r="E29"/>
      <c r="F29"/>
      <c r="G29"/>
      <c r="H29"/>
      <c r="I29"/>
    </row>
    <row r="30" spans="4:9">
      <c r="D30"/>
      <c r="E30"/>
      <c r="F30"/>
      <c r="G30"/>
      <c r="H30"/>
      <c r="I30"/>
    </row>
    <row r="31" spans="4:9">
      <c r="D31"/>
      <c r="E31"/>
      <c r="F31"/>
      <c r="G31"/>
      <c r="H31"/>
      <c r="I31"/>
    </row>
    <row r="32" spans="4:9">
      <c r="D32"/>
      <c r="E32"/>
      <c r="F32"/>
      <c r="G32"/>
      <c r="H32"/>
      <c r="I32"/>
    </row>
    <row r="33" spans="4:9">
      <c r="D33"/>
      <c r="E33"/>
      <c r="F33"/>
      <c r="G33"/>
      <c r="H33"/>
      <c r="I33"/>
    </row>
    <row r="34" spans="4:9">
      <c r="D34"/>
      <c r="E34"/>
      <c r="F34"/>
      <c r="G34"/>
      <c r="H34"/>
      <c r="I34"/>
    </row>
    <row r="35" spans="4:9">
      <c r="D35"/>
      <c r="E35"/>
      <c r="F35"/>
      <c r="G35"/>
      <c r="H35"/>
      <c r="I35"/>
    </row>
    <row r="36" spans="4:9">
      <c r="D36"/>
      <c r="E36"/>
      <c r="F36"/>
      <c r="G36"/>
      <c r="H36"/>
      <c r="I36"/>
    </row>
    <row r="37" spans="4:9">
      <c r="D37"/>
      <c r="E37"/>
      <c r="F37"/>
      <c r="G37"/>
      <c r="H37"/>
      <c r="I37"/>
    </row>
    <row r="38" spans="4:9">
      <c r="D38"/>
      <c r="E38"/>
      <c r="F38"/>
      <c r="G38"/>
      <c r="H38"/>
      <c r="I38"/>
    </row>
    <row r="39" spans="4:9">
      <c r="D39"/>
      <c r="E39"/>
      <c r="F39"/>
      <c r="G39"/>
      <c r="H39"/>
      <c r="I39"/>
    </row>
    <row r="40" spans="4:9">
      <c r="D40"/>
      <c r="E40"/>
      <c r="F40"/>
      <c r="G40"/>
      <c r="H40"/>
      <c r="I40"/>
    </row>
    <row r="41" spans="4:9">
      <c r="D41"/>
      <c r="E41"/>
      <c r="F41"/>
      <c r="G41"/>
      <c r="H41"/>
      <c r="I41"/>
    </row>
    <row r="42" spans="4:9">
      <c r="D42"/>
      <c r="E42"/>
      <c r="F42"/>
      <c r="G42"/>
      <c r="H42"/>
      <c r="I42"/>
    </row>
    <row r="43" spans="4:9">
      <c r="D43"/>
      <c r="E43"/>
      <c r="F43"/>
      <c r="G43"/>
      <c r="H43"/>
      <c r="I43"/>
    </row>
    <row r="44" spans="4:9">
      <c r="D44"/>
      <c r="E44"/>
      <c r="F44"/>
      <c r="G44"/>
      <c r="H44"/>
      <c r="I44"/>
    </row>
    <row r="45" spans="4:9">
      <c r="D45"/>
      <c r="E45"/>
      <c r="F45"/>
      <c r="G45"/>
      <c r="H45"/>
      <c r="I45"/>
    </row>
    <row r="46" spans="4:9">
      <c r="D46"/>
      <c r="E46"/>
      <c r="F46"/>
      <c r="G46"/>
      <c r="H46"/>
      <c r="I46"/>
    </row>
    <row r="47" spans="4:9">
      <c r="D47"/>
      <c r="E47"/>
      <c r="F47"/>
      <c r="G47"/>
      <c r="H47"/>
      <c r="I47"/>
    </row>
    <row r="48" spans="4:9">
      <c r="D48"/>
      <c r="E48"/>
      <c r="F48"/>
      <c r="G48"/>
      <c r="H48"/>
      <c r="I48"/>
    </row>
    <row r="49" spans="4:9">
      <c r="D49"/>
      <c r="E49"/>
      <c r="F49"/>
      <c r="G49"/>
      <c r="H49"/>
      <c r="I49"/>
    </row>
    <row r="50" spans="4:9">
      <c r="D50"/>
      <c r="E50"/>
      <c r="F50"/>
      <c r="G50"/>
      <c r="H50"/>
      <c r="I50"/>
    </row>
    <row r="51" spans="4:9">
      <c r="D51"/>
      <c r="E51"/>
      <c r="F51"/>
      <c r="G51"/>
      <c r="H51"/>
      <c r="I51"/>
    </row>
    <row r="52" spans="4:9">
      <c r="D52"/>
      <c r="E52"/>
      <c r="F52"/>
      <c r="G52"/>
      <c r="H52"/>
      <c r="I52"/>
    </row>
    <row r="53" spans="4:9">
      <c r="D53"/>
      <c r="E53"/>
      <c r="F53"/>
      <c r="G53"/>
      <c r="H53"/>
      <c r="I53"/>
    </row>
    <row r="54" spans="4:9">
      <c r="D54"/>
      <c r="E54"/>
      <c r="F54"/>
      <c r="G54"/>
      <c r="H54"/>
      <c r="I54"/>
    </row>
    <row r="55" spans="4:9">
      <c r="D55"/>
      <c r="E55"/>
      <c r="F55"/>
      <c r="G55"/>
      <c r="H55"/>
      <c r="I55"/>
    </row>
    <row r="56" spans="4:9">
      <c r="D56"/>
      <c r="E56"/>
      <c r="F56"/>
      <c r="G56"/>
      <c r="H56"/>
      <c r="I56"/>
    </row>
    <row r="57" spans="4:9">
      <c r="D57"/>
      <c r="E57"/>
      <c r="F57"/>
      <c r="G57"/>
      <c r="H57"/>
      <c r="I57"/>
    </row>
    <row r="58" spans="4:9">
      <c r="D58"/>
      <c r="E58"/>
      <c r="F58"/>
      <c r="G58"/>
      <c r="H58"/>
      <c r="I58"/>
    </row>
    <row r="59" spans="4:9">
      <c r="D59"/>
      <c r="E59"/>
      <c r="F59"/>
      <c r="G59"/>
      <c r="H59"/>
      <c r="I59"/>
    </row>
    <row r="60" spans="4:9">
      <c r="D60"/>
      <c r="E60"/>
      <c r="F60"/>
      <c r="G60"/>
      <c r="H60"/>
      <c r="I60"/>
    </row>
    <row r="61" spans="4:9">
      <c r="D61"/>
      <c r="E61"/>
      <c r="F61"/>
      <c r="G61"/>
      <c r="H61"/>
      <c r="I61"/>
    </row>
    <row r="62" spans="4:9">
      <c r="D62"/>
      <c r="E62"/>
      <c r="F62"/>
      <c r="G62"/>
      <c r="H62"/>
      <c r="I62"/>
    </row>
    <row r="63" spans="4:9">
      <c r="D63"/>
      <c r="E63"/>
      <c r="F63"/>
      <c r="G63"/>
      <c r="H63"/>
      <c r="I63"/>
    </row>
    <row r="64" spans="4:9">
      <c r="D64"/>
      <c r="E64"/>
      <c r="F64"/>
      <c r="G64"/>
      <c r="H64"/>
      <c r="I64"/>
    </row>
    <row r="65" spans="4:9">
      <c r="D65"/>
      <c r="E65"/>
      <c r="F65"/>
      <c r="G65"/>
      <c r="H65"/>
      <c r="I65"/>
    </row>
    <row r="66" spans="4:9">
      <c r="D66"/>
      <c r="E66"/>
      <c r="F66"/>
      <c r="G66"/>
      <c r="H66"/>
      <c r="I66"/>
    </row>
    <row r="67" spans="4:9">
      <c r="D67"/>
      <c r="E67"/>
      <c r="F67"/>
      <c r="G67"/>
      <c r="H67"/>
      <c r="I67"/>
    </row>
    <row r="68" spans="4:9">
      <c r="D68"/>
      <c r="E68"/>
      <c r="F68"/>
      <c r="G68"/>
      <c r="H68"/>
      <c r="I68"/>
    </row>
    <row r="69" spans="4:9">
      <c r="D69"/>
      <c r="E69"/>
      <c r="F69"/>
      <c r="G69"/>
      <c r="H69"/>
      <c r="I69"/>
    </row>
    <row r="70" spans="4:9">
      <c r="D70"/>
      <c r="E70"/>
      <c r="F70"/>
      <c r="G70"/>
      <c r="H70"/>
      <c r="I70"/>
    </row>
    <row r="71" spans="4:9">
      <c r="D71"/>
      <c r="E71"/>
      <c r="F71"/>
      <c r="G71"/>
      <c r="H71"/>
      <c r="I71"/>
    </row>
    <row r="72" spans="4:9">
      <c r="D72"/>
      <c r="E72"/>
      <c r="F72"/>
      <c r="G72"/>
      <c r="H72"/>
      <c r="I72"/>
    </row>
    <row r="73" spans="4:9">
      <c r="D73"/>
      <c r="E73"/>
      <c r="F73"/>
      <c r="G73"/>
      <c r="H73"/>
      <c r="I73"/>
    </row>
    <row r="74" spans="4:9">
      <c r="D74"/>
      <c r="E74"/>
      <c r="F74"/>
      <c r="G74"/>
      <c r="H74"/>
      <c r="I74"/>
    </row>
    <row r="75" spans="4:9">
      <c r="D75"/>
      <c r="E75"/>
      <c r="F75"/>
      <c r="G75"/>
      <c r="H75"/>
      <c r="I75"/>
    </row>
    <row r="76" spans="4:9">
      <c r="D76"/>
      <c r="E76"/>
      <c r="F76"/>
      <c r="G76"/>
      <c r="H76"/>
      <c r="I76"/>
    </row>
    <row r="77" spans="4:9">
      <c r="D77"/>
      <c r="E77"/>
      <c r="F77"/>
      <c r="G77"/>
      <c r="H77"/>
      <c r="I77"/>
    </row>
    <row r="78" spans="4:9">
      <c r="D78"/>
      <c r="E78"/>
      <c r="F78"/>
      <c r="G78"/>
      <c r="H78"/>
      <c r="I78"/>
    </row>
    <row r="79" spans="4:9">
      <c r="D79"/>
      <c r="E79"/>
      <c r="F79"/>
      <c r="G79"/>
      <c r="H79"/>
      <c r="I79"/>
    </row>
    <row r="80" spans="4:9">
      <c r="D80"/>
      <c r="E80"/>
      <c r="F80"/>
      <c r="G80"/>
      <c r="H80"/>
      <c r="I80"/>
    </row>
    <row r="81" spans="4:9">
      <c r="D81"/>
      <c r="E81"/>
      <c r="F81"/>
      <c r="G81"/>
      <c r="H81"/>
      <c r="I81"/>
    </row>
    <row r="82" spans="4:9">
      <c r="D82"/>
      <c r="E82"/>
      <c r="F82"/>
      <c r="G82"/>
      <c r="H82"/>
      <c r="I82"/>
    </row>
    <row r="83" spans="4:9">
      <c r="D83"/>
      <c r="E83"/>
      <c r="F83"/>
      <c r="G83"/>
      <c r="H83"/>
      <c r="I83"/>
    </row>
    <row r="84" spans="4:9">
      <c r="D84"/>
      <c r="E84"/>
      <c r="F84"/>
      <c r="G84"/>
      <c r="H84"/>
      <c r="I84"/>
    </row>
    <row r="85" spans="4:9">
      <c r="D85"/>
      <c r="E85"/>
      <c r="F85"/>
      <c r="G85"/>
      <c r="H85"/>
      <c r="I85"/>
    </row>
    <row r="86" spans="4:9">
      <c r="D86"/>
      <c r="E86"/>
      <c r="F86"/>
      <c r="G86"/>
      <c r="H86"/>
      <c r="I86"/>
    </row>
    <row r="87" spans="4:9">
      <c r="D87"/>
      <c r="E87"/>
      <c r="F87"/>
      <c r="G87"/>
      <c r="H87"/>
      <c r="I87"/>
    </row>
    <row r="88" spans="4:9">
      <c r="D88"/>
      <c r="E88"/>
      <c r="F88"/>
      <c r="G88"/>
      <c r="H88"/>
      <c r="I88"/>
    </row>
    <row r="89" spans="4:9">
      <c r="D89"/>
      <c r="E89"/>
      <c r="F89"/>
      <c r="G89"/>
      <c r="H89"/>
      <c r="I89"/>
    </row>
    <row r="90" spans="4:9">
      <c r="D90"/>
      <c r="E90"/>
      <c r="F90"/>
      <c r="G90"/>
      <c r="H90"/>
      <c r="I90"/>
    </row>
    <row r="91" spans="4:9">
      <c r="D91"/>
      <c r="E91"/>
      <c r="F91"/>
      <c r="G91"/>
      <c r="H91"/>
      <c r="I91"/>
    </row>
    <row r="92" spans="4:9">
      <c r="D92"/>
      <c r="E92"/>
      <c r="F92"/>
      <c r="G92"/>
      <c r="H92"/>
      <c r="I92"/>
    </row>
    <row r="93" spans="4:9">
      <c r="D93"/>
      <c r="E93"/>
      <c r="F93"/>
      <c r="G93"/>
      <c r="H93"/>
      <c r="I93"/>
    </row>
    <row r="94" spans="4:9">
      <c r="D94"/>
      <c r="E94"/>
      <c r="F94"/>
      <c r="G94"/>
      <c r="H94"/>
      <c r="I94"/>
    </row>
    <row r="95" spans="4:9">
      <c r="D95"/>
      <c r="E95"/>
      <c r="F95"/>
      <c r="G95"/>
      <c r="H95"/>
      <c r="I95"/>
    </row>
    <row r="96" spans="4:9">
      <c r="D96"/>
      <c r="E96"/>
      <c r="F96"/>
      <c r="G96"/>
      <c r="H96"/>
      <c r="I96"/>
    </row>
    <row r="97" spans="4:9">
      <c r="D97"/>
      <c r="E97"/>
      <c r="F97"/>
      <c r="G97"/>
      <c r="H97"/>
      <c r="I97"/>
    </row>
    <row r="98" spans="4:9">
      <c r="D98"/>
      <c r="E98"/>
      <c r="F98"/>
      <c r="G98"/>
      <c r="H98"/>
      <c r="I98"/>
    </row>
    <row r="99" spans="4:9">
      <c r="D99"/>
      <c r="E99"/>
      <c r="F99"/>
      <c r="G99"/>
      <c r="H99"/>
      <c r="I99"/>
    </row>
    <row r="100" spans="4:9">
      <c r="D100"/>
      <c r="E100"/>
      <c r="F100"/>
      <c r="G100"/>
      <c r="H100"/>
      <c r="I100"/>
    </row>
    <row r="101" spans="4:9">
      <c r="D101"/>
      <c r="E101"/>
      <c r="F101"/>
      <c r="G101"/>
      <c r="H101"/>
      <c r="I101"/>
    </row>
    <row r="102" spans="4:9">
      <c r="D102"/>
      <c r="E102"/>
      <c r="F102"/>
      <c r="G102"/>
      <c r="H102"/>
      <c r="I102"/>
    </row>
    <row r="103" spans="4:9">
      <c r="D103"/>
      <c r="E103"/>
      <c r="F103"/>
      <c r="G103"/>
      <c r="H103"/>
      <c r="I103"/>
    </row>
    <row r="104" spans="4:9">
      <c r="D104"/>
      <c r="E104"/>
      <c r="F104"/>
      <c r="G104"/>
      <c r="H104"/>
      <c r="I104"/>
    </row>
    <row r="105" spans="4:9">
      <c r="D105"/>
      <c r="E105"/>
      <c r="F105"/>
      <c r="G105"/>
      <c r="H105"/>
      <c r="I105"/>
    </row>
    <row r="106" spans="4:9">
      <c r="D106"/>
      <c r="E106"/>
      <c r="F106"/>
      <c r="G106"/>
      <c r="H106"/>
      <c r="I106"/>
    </row>
    <row r="107" spans="4:9">
      <c r="D107"/>
      <c r="E107"/>
      <c r="F107"/>
      <c r="G107"/>
      <c r="H107"/>
      <c r="I107"/>
    </row>
    <row r="108" spans="4:9">
      <c r="D108"/>
      <c r="E108"/>
      <c r="F108"/>
      <c r="G108"/>
      <c r="H108"/>
      <c r="I108"/>
    </row>
    <row r="109" spans="4:9">
      <c r="D109"/>
      <c r="E109"/>
      <c r="F109"/>
      <c r="G109"/>
      <c r="H109"/>
      <c r="I109"/>
    </row>
    <row r="110" spans="4:9">
      <c r="D110"/>
      <c r="E110"/>
      <c r="F110"/>
      <c r="G110"/>
      <c r="H110"/>
      <c r="I110"/>
    </row>
    <row r="111" spans="4:9">
      <c r="D111"/>
      <c r="E111"/>
      <c r="F111"/>
      <c r="G111"/>
      <c r="H111"/>
      <c r="I111"/>
    </row>
    <row r="112" spans="4:9">
      <c r="D112"/>
      <c r="E112"/>
      <c r="F112"/>
      <c r="G112"/>
      <c r="H112"/>
      <c r="I112"/>
    </row>
    <row r="113" spans="4:9">
      <c r="D113"/>
      <c r="E113"/>
      <c r="F113"/>
      <c r="G113"/>
      <c r="H113"/>
      <c r="I113"/>
    </row>
    <row r="114" spans="4:9">
      <c r="D114"/>
      <c r="E114"/>
      <c r="F114"/>
      <c r="G114"/>
      <c r="H114"/>
      <c r="I114"/>
    </row>
    <row r="115" spans="4:9">
      <c r="D115"/>
      <c r="E115"/>
      <c r="F115"/>
      <c r="G115"/>
      <c r="H115"/>
      <c r="I115"/>
    </row>
    <row r="116" spans="4:9">
      <c r="D116"/>
      <c r="E116"/>
      <c r="F116"/>
      <c r="G116"/>
      <c r="H116"/>
      <c r="I116"/>
    </row>
    <row r="117" spans="4:9">
      <c r="D117"/>
      <c r="E117"/>
      <c r="F117"/>
      <c r="G117"/>
      <c r="H117"/>
      <c r="I117"/>
    </row>
    <row r="118" spans="4:9">
      <c r="D118"/>
      <c r="E118"/>
      <c r="F118"/>
      <c r="G118"/>
      <c r="H118"/>
      <c r="I118"/>
    </row>
    <row r="119" spans="4:9">
      <c r="D119"/>
      <c r="E119"/>
      <c r="F119"/>
      <c r="G119"/>
      <c r="H119"/>
      <c r="I119"/>
    </row>
    <row r="120" spans="4:9">
      <c r="D120"/>
      <c r="E120"/>
      <c r="F120"/>
      <c r="G120"/>
      <c r="H120"/>
      <c r="I120"/>
    </row>
    <row r="121" spans="4:9">
      <c r="D121"/>
      <c r="E121"/>
      <c r="F121"/>
      <c r="G121"/>
      <c r="H121"/>
      <c r="I121"/>
    </row>
    <row r="122" spans="4:9">
      <c r="D122"/>
      <c r="E122"/>
      <c r="F122"/>
      <c r="G122"/>
      <c r="H122"/>
      <c r="I122"/>
    </row>
    <row r="123" spans="4:9">
      <c r="D123"/>
      <c r="E123"/>
      <c r="F123"/>
      <c r="G123"/>
      <c r="H123"/>
      <c r="I123"/>
    </row>
    <row r="124" spans="4:9">
      <c r="D124"/>
      <c r="E124"/>
      <c r="F124"/>
      <c r="G124"/>
      <c r="H124"/>
      <c r="I124"/>
    </row>
    <row r="125" spans="4:9">
      <c r="D125"/>
      <c r="E125"/>
      <c r="F125"/>
      <c r="G125"/>
      <c r="H125"/>
      <c r="I125"/>
    </row>
    <row r="126" spans="4:9">
      <c r="D126"/>
      <c r="E126"/>
      <c r="F126"/>
      <c r="G126"/>
      <c r="H126"/>
      <c r="I126"/>
    </row>
    <row r="127" spans="4:9">
      <c r="D127"/>
      <c r="E127"/>
      <c r="F127"/>
      <c r="G127"/>
      <c r="H127"/>
      <c r="I127"/>
    </row>
    <row r="128" spans="4:9">
      <c r="D128"/>
      <c r="E128"/>
      <c r="F128"/>
      <c r="G128"/>
      <c r="H128"/>
      <c r="I128"/>
    </row>
    <row r="129" spans="4:9">
      <c r="D129"/>
      <c r="E129"/>
      <c r="F129"/>
      <c r="G129"/>
      <c r="H129"/>
      <c r="I129"/>
    </row>
    <row r="130" spans="4:9">
      <c r="D130"/>
      <c r="E130"/>
      <c r="F130"/>
      <c r="G130"/>
      <c r="H130"/>
      <c r="I130"/>
    </row>
    <row r="131" spans="4:9">
      <c r="D131"/>
      <c r="E131"/>
      <c r="F131"/>
      <c r="G131"/>
      <c r="H131"/>
      <c r="I131"/>
    </row>
    <row r="132" spans="4:9">
      <c r="D132"/>
      <c r="E132"/>
      <c r="F132"/>
      <c r="G132"/>
      <c r="H132"/>
      <c r="I132"/>
    </row>
    <row r="133" spans="4:9">
      <c r="D133"/>
      <c r="E133"/>
      <c r="F133"/>
      <c r="G133"/>
      <c r="H133"/>
      <c r="I133"/>
    </row>
    <row r="134" spans="4:9">
      <c r="D134"/>
      <c r="E134"/>
      <c r="F134"/>
      <c r="G134"/>
      <c r="H134"/>
      <c r="I134"/>
    </row>
    <row r="135" spans="4:9">
      <c r="D135"/>
      <c r="E135"/>
      <c r="F135"/>
      <c r="G135"/>
      <c r="H135"/>
      <c r="I135"/>
    </row>
    <row r="136" spans="4:9">
      <c r="D136"/>
      <c r="E136"/>
      <c r="F136"/>
      <c r="G136"/>
      <c r="H136"/>
      <c r="I136"/>
    </row>
    <row r="137" spans="4:9">
      <c r="D137"/>
      <c r="E137"/>
      <c r="F137"/>
      <c r="G137"/>
      <c r="H137"/>
      <c r="I137"/>
    </row>
    <row r="138" spans="4:9">
      <c r="D138"/>
      <c r="E138"/>
      <c r="F138"/>
      <c r="G138"/>
      <c r="H138"/>
      <c r="I138"/>
    </row>
    <row r="139" spans="4:9">
      <c r="D139"/>
      <c r="E139"/>
      <c r="F139"/>
      <c r="G139"/>
      <c r="H139"/>
      <c r="I139"/>
    </row>
    <row r="140" spans="4:9">
      <c r="D140"/>
      <c r="E140"/>
      <c r="F140"/>
      <c r="G140"/>
      <c r="H140"/>
      <c r="I140"/>
    </row>
    <row r="141" spans="4:9">
      <c r="D141"/>
      <c r="E141"/>
      <c r="F141"/>
      <c r="G141"/>
      <c r="H141"/>
      <c r="I141"/>
    </row>
    <row r="142" spans="4:9">
      <c r="D142"/>
      <c r="E142"/>
      <c r="F142"/>
      <c r="G142"/>
      <c r="H142"/>
      <c r="I142"/>
    </row>
    <row r="143" spans="4:9">
      <c r="D143"/>
      <c r="E143"/>
      <c r="F143"/>
      <c r="G143"/>
      <c r="H143"/>
      <c r="I143"/>
    </row>
    <row r="144" spans="4:9">
      <c r="D144"/>
      <c r="E144"/>
      <c r="F144"/>
      <c r="G144"/>
      <c r="H144"/>
      <c r="I144"/>
    </row>
    <row r="145" spans="4:9">
      <c r="D145"/>
      <c r="E145"/>
      <c r="F145"/>
      <c r="G145"/>
      <c r="H145"/>
      <c r="I145"/>
    </row>
    <row r="146" spans="4:9">
      <c r="D146"/>
      <c r="E146"/>
      <c r="F146"/>
      <c r="G146"/>
      <c r="H146"/>
      <c r="I146"/>
    </row>
    <row r="147" spans="4:9">
      <c r="D147"/>
      <c r="E147"/>
      <c r="F147"/>
      <c r="G147"/>
      <c r="H147"/>
      <c r="I147"/>
    </row>
    <row r="148" spans="4:9">
      <c r="D148"/>
      <c r="E148"/>
      <c r="F148"/>
      <c r="G148"/>
      <c r="H148"/>
      <c r="I148"/>
    </row>
    <row r="149" spans="4:9">
      <c r="D149"/>
      <c r="E149"/>
      <c r="F149"/>
      <c r="G149"/>
      <c r="H149"/>
      <c r="I149"/>
    </row>
    <row r="150" spans="4:9">
      <c r="D150"/>
      <c r="E150"/>
      <c r="F150"/>
      <c r="G150"/>
      <c r="H150"/>
      <c r="I150"/>
    </row>
    <row r="151" spans="4:9">
      <c r="D151"/>
      <c r="E151"/>
      <c r="F151"/>
      <c r="G151"/>
      <c r="H151"/>
      <c r="I151"/>
    </row>
    <row r="152" spans="4:9">
      <c r="D152"/>
      <c r="E152"/>
      <c r="F152"/>
      <c r="G152"/>
      <c r="H152"/>
      <c r="I152"/>
    </row>
    <row r="153" spans="4:9">
      <c r="D153"/>
      <c r="E153"/>
      <c r="F153"/>
      <c r="G153"/>
      <c r="H153"/>
      <c r="I153"/>
    </row>
    <row r="154" spans="4:9">
      <c r="D154"/>
      <c r="E154"/>
      <c r="F154"/>
      <c r="G154"/>
      <c r="H154"/>
      <c r="I154"/>
    </row>
  </sheetData>
  <mergeCells count="41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J11:Y11"/>
    <mergeCell ref="Z11:AO11"/>
    <mergeCell ref="J12:Y12"/>
    <mergeCell ref="Z12:AO12"/>
    <mergeCell ref="A2:A3"/>
    <mergeCell ref="A4:A6"/>
    <mergeCell ref="A11:A13"/>
    <mergeCell ref="B4:B6"/>
    <mergeCell ref="B11:B13"/>
    <mergeCell ref="C4:C6"/>
    <mergeCell ref="C11:C13"/>
    <mergeCell ref="D4:D6"/>
    <mergeCell ref="D11:D13"/>
    <mergeCell ref="E4:E6"/>
    <mergeCell ref="E11:E13"/>
    <mergeCell ref="F4:F6"/>
    <mergeCell ref="F11:F13"/>
    <mergeCell ref="G4:G6"/>
    <mergeCell ref="G11:G13"/>
    <mergeCell ref="H4:H6"/>
    <mergeCell ref="H11:H13"/>
    <mergeCell ref="I4:I6"/>
    <mergeCell ref="I11:I13"/>
    <mergeCell ref="B2:G3"/>
    <mergeCell ref="H2:K3"/>
    <mergeCell ref="L2:R3"/>
  </mergeCells>
  <conditionalFormatting sqref="J7:Y7">
    <cfRule type="cellIs" dxfId="0" priority="19" stopIfTrue="1" operator="notBetween">
      <formula>$G7</formula>
      <formula>$H7</formula>
    </cfRule>
  </conditionalFormatting>
  <conditionalFormatting sqref="J14:Y14">
    <cfRule type="cellIs" dxfId="0" priority="1" stopIfTrue="1" operator="notBetween">
      <formula>$G14</formula>
      <formula>$H14</formula>
    </cfRule>
  </conditionalFormatting>
  <printOptions horizontalCentered="1"/>
  <pageMargins left="0.159722222222222" right="0" top="0.389583333333333" bottom="0.2" header="0" footer="0.119444444444444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X806-64565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2026-07-01T18:08:34Z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