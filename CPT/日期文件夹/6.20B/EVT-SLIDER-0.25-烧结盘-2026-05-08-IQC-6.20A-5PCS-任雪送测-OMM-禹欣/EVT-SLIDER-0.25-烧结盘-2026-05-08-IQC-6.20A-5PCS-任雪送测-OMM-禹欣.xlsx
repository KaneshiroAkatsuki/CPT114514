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639" sheetId="1" r:id="rId1"/>
    <sheet name="Sheet1" sheetId="2" r:id="rId2"/>
  </sheets>
  <definedNames>
    <definedName name="_xlnm.Print_Area" localSheetId="0">'X639'!#REF!</definedName>
    <definedName name="_xlnm.Print_Titles" localSheetId="0">'X639'!#REF!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<sst xmlns="http://schemas.openxmlformats.org/spreadsheetml/2006/main" count="96" uniqueCount="31">
  <si>
    <t>安徽中耀智能科技有限公司首件尺寸报告</t>
  </si>
  <si>
    <t>料号</t>
  </si>
  <si>
    <t>SLIDER-0.25</t>
  </si>
  <si>
    <t>工单号</t>
  </si>
  <si>
    <t>工站</t>
  </si>
  <si>
    <t>炉号</t>
  </si>
  <si>
    <t>测量机台</t>
  </si>
  <si>
    <t>测量人员</t>
  </si>
  <si>
    <t>审核</t>
  </si>
  <si>
    <t>OMM5#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</si>
  <si>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</si>
  <si>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</si>
  <si>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</si>
  <si>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</si>
  <si>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</si>
  <si>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</si>
  <si>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</si>
  <si>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</si>
  <si>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</si>
  <si>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</si>
  <si>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</si>
  <si>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</si>
  <si>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</si>
  <si>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</si>
  <si>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FAI1.1</t>
  </si>
  <si>
    <t>OMM</t>
  </si>
  <si>
    <t>FAI1.2</t>
  </si>
  <si>
    <t>FAI1.3</t>
  </si>
  <si>
    <t>FAI2.1</t>
  </si>
  <si>
    <t>FAI2.2</t>
  </si>
  <si>
    <t>FAI2.3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</si>
</sst>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32">
    <font>
      <sz val="11"/>
      <color indexed="8"/>
      <name val="等线"/>
      <charset val="134"/>
    </font>
    <font>
      <sz val="11"/>
      <color theme="1"/>
      <name val="宋体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5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7" borderId="14" applyNumberFormat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2" borderId="0" xfId="0" applyFill="1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2" fillId="2" borderId="1" xfId="60" applyFont="1" applyFill="1" applyBorder="1" applyAlignment="1" applyProtection="1">
      <alignment horizontal="center" vertical="center"/>
      <protection locked="0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4" fillId="0" borderId="2" xfId="60" applyFont="1" applyFill="1" applyBorder="1" applyAlignment="1" applyProtection="1">
      <alignment horizontal="center" vertical="center"/>
      <protection locked="0"/>
    </xf>
    <xf numFmtId="0" fontId="4" fillId="0" borderId="3" xfId="60" applyFont="1" applyFill="1" applyBorder="1" applyAlignment="1" applyProtection="1">
      <alignment horizontal="center" vertical="center"/>
      <protection locked="0"/>
    </xf>
    <xf numFmtId="0" fontId="4" fillId="0" borderId="4" xfId="60" applyFont="1" applyFill="1" applyBorder="1" applyAlignment="1" applyProtection="1">
      <alignment horizontal="center" vertical="center"/>
      <protection locked="0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>
      <alignment horizontal="center" vertical="center"/>
    </xf>
    <xf numFmtId="49" fontId="4" fillId="0" borderId="6" xfId="60" applyNumberFormat="1" applyFont="1" applyFill="1" applyBorder="1" applyAlignment="1">
      <alignment horizontal="center" vertical="center"/>
    </xf>
    <xf numFmtId="49" fontId="4" fillId="0" borderId="7" xfId="60" applyNumberFormat="1" applyFont="1" applyFill="1" applyBorder="1" applyAlignment="1">
      <alignment horizontal="center" vertical="center"/>
    </xf>
    <xf numFmtId="49" fontId="5" fillId="0" borderId="5" xfId="60" applyNumberFormat="1" applyFont="1" applyFill="1" applyBorder="1" applyAlignment="1" applyProtection="1">
      <alignment horizontal="center" vertical="center"/>
      <protection locked="0"/>
    </xf>
    <xf numFmtId="49" fontId="5" fillId="0" borderId="6" xfId="60" applyNumberFormat="1" applyFont="1" applyFill="1" applyBorder="1" applyAlignment="1" applyProtection="1">
      <alignment horizontal="center" vertical="center"/>
      <protection locked="0"/>
    </xf>
    <xf numFmtId="49" fontId="5" fillId="0" borderId="7" xfId="60" applyNumberFormat="1" applyFont="1" applyFill="1" applyBorder="1" applyAlignment="1" applyProtection="1">
      <alignment horizontal="center" vertical="center"/>
      <protection locked="0"/>
    </xf>
    <xf numFmtId="49" fontId="4" fillId="0" borderId="5" xfId="79" applyNumberFormat="1" applyFont="1" applyFill="1" applyBorder="1" applyAlignment="1">
      <alignment horizontal="center" vertical="center"/>
    </xf>
    <xf numFmtId="49" fontId="4" fillId="0" borderId="6" xfId="79" applyNumberFormat="1" applyFont="1" applyFill="1" applyBorder="1" applyAlignment="1">
      <alignment horizontal="center" vertical="center"/>
    </xf>
    <xf numFmtId="49" fontId="4" fillId="0" borderId="7" xfId="79" applyNumberFormat="1" applyFont="1" applyFill="1" applyBorder="1" applyAlignment="1">
      <alignment horizontal="center" vertical="center"/>
    </xf>
    <xf numFmtId="0" fontId="4" fillId="0" borderId="8" xfId="60" applyFont="1" applyFill="1" applyBorder="1" applyAlignment="1" applyProtection="1">
      <alignment horizontal="center" vertical="center"/>
      <protection locked="0"/>
    </xf>
    <xf numFmtId="0" fontId="4" fillId="0" borderId="9" xfId="60" applyFont="1" applyFill="1" applyBorder="1" applyAlignment="1" applyProtection="1">
      <alignment horizontal="center" vertical="center"/>
      <protection locked="0"/>
    </xf>
    <xf numFmtId="0" fontId="4" fillId="0" borderId="10" xfId="60" applyFont="1" applyFill="1" applyBorder="1" applyAlignment="1" applyProtection="1">
      <alignment horizontal="center" vertical="center"/>
      <protection locked="0"/>
    </xf>
    <xf numFmtId="49" fontId="3" fillId="0" borderId="8" xfId="60" applyNumberFormat="1" applyFont="1" applyFill="1" applyBorder="1" applyAlignment="1">
      <alignment horizontal="center" vertical="center"/>
    </xf>
    <xf numFmtId="49" fontId="3" fillId="0" borderId="9" xfId="60" applyNumberFormat="1" applyFont="1" applyFill="1" applyBorder="1" applyAlignment="1">
      <alignment horizontal="center" vertical="center"/>
    </xf>
    <xf numFmtId="49" fontId="3" fillId="0" borderId="10" xfId="60" applyNumberFormat="1" applyFont="1" applyFill="1" applyBorder="1" applyAlignment="1">
      <alignment horizontal="center" vertical="center"/>
    </xf>
    <xf numFmtId="0" fontId="4" fillId="0" borderId="5" xfId="60" applyFont="1" applyFill="1" applyBorder="1" applyAlignment="1" applyProtection="1">
      <alignment horizontal="center" vertical="center"/>
      <protection locked="0"/>
    </xf>
    <xf numFmtId="0" fontId="4" fillId="0" borderId="6" xfId="60" applyFont="1" applyFill="1" applyBorder="1" applyAlignment="1" applyProtection="1">
      <alignment horizontal="center" vertical="center"/>
      <protection locked="0"/>
    </xf>
    <xf numFmtId="0" fontId="4" fillId="0" borderId="7" xfId="60" applyFont="1" applyFill="1" applyBorder="1" applyAlignment="1" applyProtection="1">
      <alignment horizontal="center" vertical="center"/>
      <protection locked="0"/>
    </xf>
    <xf numFmtId="176" fontId="4" fillId="0" borderId="5" xfId="79" applyNumberFormat="1" applyFont="1" applyFill="1" applyBorder="1" applyAlignment="1">
      <alignment horizontal="center" vertical="center"/>
    </xf>
    <xf numFmtId="176" fontId="4" fillId="0" borderId="6" xfId="79" applyNumberFormat="1" applyFont="1" applyFill="1" applyBorder="1" applyAlignment="1">
      <alignment horizontal="center" vertical="center"/>
    </xf>
    <xf numFmtId="176" fontId="4" fillId="0" borderId="7" xfId="79" applyNumberFormat="1" applyFont="1" applyFill="1" applyBorder="1" applyAlignment="1">
      <alignment horizontal="center" vertical="center"/>
    </xf>
    <xf numFmtId="49" fontId="6" fillId="0" borderId="1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4" borderId="5" xfId="60" applyFont="1" applyFill="1" applyBorder="1" applyAlignment="1">
      <alignment horizontal="center" vertical="center"/>
    </xf>
    <xf numFmtId="0" fontId="6" fillId="4" borderId="6" xfId="60" applyFont="1" applyFill="1" applyBorder="1" applyAlignment="1">
      <alignment horizontal="center" vertical="center"/>
    </xf>
    <xf numFmtId="0" fontId="6" fillId="4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1" xfId="60" applyFont="1" applyFill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9" fillId="3" borderId="1" xfId="0" applyFont="1" applyFill="1" applyBorder="1" applyAlignment="1">
      <alignment horizontal="right" vertical="center"/>
    </xf>
    <xf numFmtId="0" fontId="10" fillId="4" borderId="1" xfId="6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552450</xdr:colOff>
      <xdr:row>0</xdr:row>
      <xdr:rowOff>876300</xdr:rowOff>
    </xdr:to>
    <xdr:pic>
      <xdr:nvPicPr>
        <xdr:cNvPr id="2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31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2</xdr:col>
      <xdr:colOff>552450</xdr:colOff>
      <xdr:row>0</xdr:row>
      <xdr:rowOff>876300</xdr:rowOff>
    </xdr:to>
    <xdr:pic>
      <xdr:nvPicPr>
        <xdr:cNvPr id="3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31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5"/>
  <sheetViews>
    <sheetView tabSelected="1" topLeftCell="I1" workbookViewId="0">
      <selection activeCell="AF19" sqref="AF19"/>
    </sheetView>
  </sheetViews>
  <sheetFormatPr defaultColWidth="9" defaultRowHeight="14.25"/>
  <cols>
    <col min="1" max="1" width="11" customWidth="1"/>
    <col min="2" max="2" width="15.125" customWidth="1"/>
    <col min="3" max="3" width="8.75" style="2" customWidth="1"/>
    <col min="4" max="5" width="7.875" style="2" customWidth="1"/>
    <col min="6" max="7" width="8" style="2" customWidth="1"/>
    <col min="8" max="8" width="5.5" style="2" customWidth="1"/>
    <col min="9" max="24" width="7.625" customWidth="1"/>
    <col min="25" max="40" width="6.625" customWidth="1"/>
  </cols>
  <sheetData>
    <row r="1" ht="70.5" customHeight="1" spans="1:40">
      <c r="A1" s="3" t="s">
        <v>0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5" t="s">
        <v>1</v>
      </c>
      <c r="B2" s="6" t="s">
        <v>2</v>
      </c>
      <c r="C2" s="7"/>
      <c r="D2" s="7"/>
      <c r="E2" s="7"/>
      <c r="F2" s="8"/>
      <c r="G2" s="9" t="s">
        <v>3</v>
      </c>
      <c r="H2" s="10"/>
      <c r="I2" s="10"/>
      <c r="J2" s="11"/>
      <c r="K2" s="12"/>
      <c r="L2" s="12"/>
      <c r="M2" s="12"/>
      <c r="N2" s="12"/>
      <c r="O2" s="12"/>
      <c r="P2" s="12"/>
      <c r="Q2" s="12"/>
      <c r="R2" s="13" t="s">
        <v>4</v>
      </c>
      <c r="S2" s="14"/>
      <c r="T2" s="14"/>
      <c r="U2" s="14"/>
      <c r="V2" s="14"/>
      <c r="W2" s="15"/>
      <c r="X2" s="16" t="s">
        <v>5</v>
      </c>
      <c r="Y2" s="17"/>
      <c r="Z2" s="17"/>
      <c r="AA2" s="17"/>
      <c r="AB2" s="17"/>
      <c r="AC2" s="18"/>
      <c r="AD2" s="16" t="s">
        <v>6</v>
      </c>
      <c r="AE2" s="17"/>
      <c r="AF2" s="17"/>
      <c r="AG2" s="17"/>
      <c r="AH2" s="18"/>
      <c r="AI2" s="19" t="s">
        <v>7</v>
      </c>
      <c r="AJ2" s="20"/>
      <c r="AK2" s="20"/>
      <c r="AL2" s="21"/>
      <c r="AM2" s="19" t="s">
        <v>8</v>
      </c>
      <c r="AN2" s="21"/>
    </row>
    <row r="3" ht="15" customHeight="1" spans="1:40">
      <c r="A3" s="5"/>
      <c r="B3" s="22"/>
      <c r="C3" s="23"/>
      <c r="D3" s="23"/>
      <c r="E3" s="23"/>
      <c r="F3" s="24"/>
      <c r="G3" s="25"/>
      <c r="H3" s="26"/>
      <c r="I3" s="26"/>
      <c r="J3" s="27"/>
      <c r="K3" s="12"/>
      <c r="L3" s="12"/>
      <c r="M3" s="12"/>
      <c r="N3" s="12"/>
      <c r="O3" s="12"/>
      <c r="P3" s="12"/>
      <c r="Q3" s="12"/>
      <c r="R3" s="28"/>
      <c r="S3" s="29"/>
      <c r="T3" s="29"/>
      <c r="U3" s="29"/>
      <c r="V3" s="29"/>
      <c r="W3" s="30"/>
      <c r="X3" s="28"/>
      <c r="Y3" s="29"/>
      <c r="Z3" s="29"/>
      <c r="AA3" s="29"/>
      <c r="AB3" s="29"/>
      <c r="AC3" s="30"/>
      <c r="AD3" s="31" t="s">
        <v>9</v>
      </c>
      <c r="AE3" s="32"/>
      <c r="AF3" s="32"/>
      <c r="AG3" s="32"/>
      <c r="AH3" s="33"/>
      <c r="AI3" s="31" t="s">
        <v>10</v>
      </c>
      <c r="AJ3" s="32"/>
      <c r="AK3" s="32"/>
      <c r="AL3" s="33"/>
      <c r="AM3" s="31" t="s">
        <v>11</v>
      </c>
      <c r="AN3" s="33"/>
    </row>
    <row r="4" customHeight="1" spans="1:40">
      <c r="A4" s="34" t="s">
        <v>12</v>
      </c>
      <c r="B4" s="34" t="s">
        <v>13</v>
      </c>
      <c r="C4" s="34" t="s">
        <v>14</v>
      </c>
      <c r="D4" s="34" t="s">
        <v>15</v>
      </c>
      <c r="E4" s="34" t="s">
        <v>16</v>
      </c>
      <c r="F4" s="34" t="s">
        <v>17</v>
      </c>
      <c r="G4" s="34" t="s">
        <v>18</v>
      </c>
      <c r="H4" s="34" t="s">
        <v>19</v>
      </c>
      <c r="I4" s="35" t="s">
        <v>20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6" t="s">
        <v>21</v>
      </c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8"/>
    </row>
    <row r="5" ht="13.5" customHeight="1" spans="1:40">
      <c r="A5" s="39"/>
      <c r="B5" s="40"/>
      <c r="C5" s="40"/>
      <c r="D5" s="40"/>
      <c r="E5" s="40"/>
      <c r="F5" s="40"/>
      <c r="G5" s="40"/>
      <c r="H5" s="40"/>
      <c r="I5" s="35" t="s">
        <v>22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41" t="s">
        <v>23</v>
      </c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</row>
    <row r="6" customHeight="1" spans="1:40">
      <c r="A6" s="39"/>
      <c r="B6" s="40"/>
      <c r="C6" s="40"/>
      <c r="D6" s="40"/>
      <c r="E6" s="40"/>
      <c r="F6" s="40"/>
      <c r="G6" s="40"/>
      <c r="H6" s="40"/>
      <c r="I6" s="42">
        <v>1</v>
      </c>
      <c r="J6" s="42">
        <v>2</v>
      </c>
      <c r="K6" s="42">
        <v>3</v>
      </c>
      <c r="L6" s="42">
        <v>4</v>
      </c>
      <c r="M6" s="42">
        <v>5</v>
      </c>
      <c r="N6" s="42">
        <v>6</v>
      </c>
      <c r="O6" s="42">
        <v>7</v>
      </c>
      <c r="P6" s="42">
        <v>8</v>
      </c>
      <c r="Q6" s="42">
        <v>9</v>
      </c>
      <c r="R6" s="42">
        <v>10</v>
      </c>
      <c r="S6" s="42">
        <v>11</v>
      </c>
      <c r="T6" s="42">
        <v>12</v>
      </c>
      <c r="U6" s="42">
        <v>13</v>
      </c>
      <c r="V6" s="42">
        <v>14</v>
      </c>
      <c r="W6" s="42">
        <v>15</v>
      </c>
      <c r="X6" s="42">
        <v>16</v>
      </c>
      <c r="Y6" s="43">
        <f t="shared" ref="Y6:AN6" si="0">I6</f>
        <v>1</v>
      </c>
      <c r="Z6" s="43">
        <f t="shared" si="0"/>
        <v>2</v>
      </c>
      <c r="AA6" s="43">
        <f t="shared" si="0"/>
        <v>3</v>
      </c>
      <c r="AB6" s="43">
        <f t="shared" si="0"/>
        <v>4</v>
      </c>
      <c r="AC6" s="43">
        <f t="shared" si="0"/>
        <v>5</v>
      </c>
      <c r="AD6" s="43">
        <f t="shared" si="0"/>
        <v>6</v>
      </c>
      <c r="AE6" s="43">
        <f t="shared" si="0"/>
        <v>7</v>
      </c>
      <c r="AF6" s="43">
        <f t="shared" si="0"/>
        <v>8</v>
      </c>
      <c r="AG6" s="43">
        <f t="shared" si="0"/>
        <v>9</v>
      </c>
      <c r="AH6" s="43">
        <f t="shared" si="0"/>
        <v>10</v>
      </c>
      <c r="AI6" s="43">
        <f t="shared" si="0"/>
        <v>11</v>
      </c>
      <c r="AJ6" s="43">
        <f t="shared" si="0"/>
        <v>12</v>
      </c>
      <c r="AK6" s="43">
        <f t="shared" si="0"/>
        <v>13</v>
      </c>
      <c r="AL6" s="43">
        <f t="shared" si="0"/>
        <v>14</v>
      </c>
      <c r="AM6" s="43">
        <f t="shared" si="0"/>
        <v>15</v>
      </c>
      <c r="AN6" s="43">
        <f t="shared" si="0"/>
        <v>16</v>
      </c>
    </row>
    <row r="7" spans="1:40">
      <c r="A7" s="44">
        <v>46193</v>
      </c>
      <c r="B7" s="45" t="s">
        <v>24</v>
      </c>
      <c r="C7" s="45">
        <v>8.43</v>
      </c>
      <c r="D7" s="45">
        <v>0.02</v>
      </c>
      <c r="E7" s="45">
        <v>0</v>
      </c>
      <c r="F7" s="45">
        <f t="shared" ref="F7:F18" si="1">C7+D7</f>
        <v>8.45</v>
      </c>
      <c r="G7" s="45">
        <f t="shared" ref="G7:G18" si="2">C7+E7</f>
        <v>8.43</v>
      </c>
      <c r="H7" s="46" t="s">
        <v>25</v>
      </c>
      <c r="I7" s="47">
        <v>8.3359</v>
      </c>
      <c r="J7" s="47">
        <v>8.3417</v>
      </c>
      <c r="K7" s="47">
        <v>8.4316</v>
      </c>
      <c r="L7" s="47">
        <v>8.34</v>
      </c>
      <c r="M7" s="47">
        <v>8.4134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8">
        <f t="shared" ref="Y7:AN7" si="3">IF(I7="","",IF(I7&gt;($C7+$D7),(I7-$C7-$D7),IF(I7&lt;($C7+$E7),(I7-$C7-$E7),"√")))</f>
        <v>-0.0940999999999992</v>
      </c>
      <c r="Z7" s="48">
        <f t="shared" si="3"/>
        <v>-0.0883000000000003</v>
      </c>
      <c r="AA7" s="48" t="str">
        <f t="shared" si="3"/>
        <v>√</v>
      </c>
      <c r="AB7" s="48">
        <f t="shared" si="3"/>
        <v>-0.0899999999999999</v>
      </c>
      <c r="AC7" s="48">
        <f t="shared" si="3"/>
        <v>-0.0166000000000004</v>
      </c>
      <c r="AD7" s="48" t="str">
        <f t="shared" si="3"/>
        <v/>
      </c>
      <c r="AE7" s="48" t="str">
        <f t="shared" si="3"/>
        <v/>
      </c>
      <c r="AF7" s="48" t="str">
        <f t="shared" si="3"/>
        <v/>
      </c>
      <c r="AG7" s="48" t="str">
        <f t="shared" si="3"/>
        <v/>
      </c>
      <c r="AH7" s="48" t="str">
        <f t="shared" si="3"/>
        <v/>
      </c>
      <c r="AI7" s="48" t="str">
        <f t="shared" si="3"/>
        <v/>
      </c>
      <c r="AJ7" s="48" t="str">
        <f t="shared" si="3"/>
        <v/>
      </c>
      <c r="AK7" s="48" t="str">
        <f t="shared" si="3"/>
        <v/>
      </c>
      <c r="AL7" s="48" t="str">
        <f t="shared" si="3"/>
        <v/>
      </c>
      <c r="AM7" s="48" t="str">
        <f t="shared" si="3"/>
        <v/>
      </c>
      <c r="AN7" s="48" t="str">
        <f t="shared" si="3"/>
        <v/>
      </c>
    </row>
    <row r="8" spans="1:40">
      <c r="A8" s="49"/>
      <c r="B8" s="45" t="s">
        <v>26</v>
      </c>
      <c r="C8" s="45">
        <v>8.43</v>
      </c>
      <c r="D8" s="45">
        <v>0.02</v>
      </c>
      <c r="E8" s="45">
        <v>0</v>
      </c>
      <c r="F8" s="45">
        <f t="shared" si="1"/>
        <v>8.45</v>
      </c>
      <c r="G8" s="45">
        <f t="shared" si="2"/>
        <v>8.43</v>
      </c>
      <c r="H8" s="46" t="s">
        <v>25</v>
      </c>
      <c r="I8" s="47">
        <v>8.3828</v>
      </c>
      <c r="J8" s="47">
        <v>8.3856</v>
      </c>
      <c r="K8" s="47">
        <v>8.3412</v>
      </c>
      <c r="L8" s="47">
        <v>8.372</v>
      </c>
      <c r="M8" s="47">
        <v>8.3203</v>
      </c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8">
        <f t="shared" ref="Y8:Y42" si="4">IF(I8="","",IF(I8&gt;($C8+$D8),(I8-$C8-$D8),IF(I8&lt;($C8+$E8),(I8-$C8-$E8),"√")))</f>
        <v>-0.0472000000000001</v>
      </c>
      <c r="Z8" s="48">
        <f t="shared" ref="Z8:Z42" si="5">IF(J8="","",IF(J8&gt;($C8+$D8),(J8-$C8-$D8),IF(J8&lt;($C8+$E8),(J8-$C8-$E8),"√")))</f>
        <v>-0.0443999999999996</v>
      </c>
      <c r="AA8" s="48">
        <f t="shared" ref="AA8:AA42" si="6">IF(K8="","",IF(K8&gt;($C8+$D8),(K8-$C8-$D8),IF(K8&lt;($C8+$E8),(K8-$C8-$E8),"√")))</f>
        <v>-0.0887999999999991</v>
      </c>
      <c r="AB8" s="48">
        <f t="shared" ref="AB8:AB42" si="7">IF(L8="","",IF(L8&gt;($C8+$D8),(L8-$C8-$D8),IF(L8&lt;($C8+$E8),(L8-$C8-$E8),"√")))</f>
        <v>-0.0579999999999998</v>
      </c>
      <c r="AC8" s="48">
        <f t="shared" ref="AC8:AC42" si="8">IF(M8="","",IF(M8&gt;($C8+$D8),(M8-$C8-$D8),IF(M8&lt;($C8+$E8),(M8-$C8-$E8),"√")))</f>
        <v>-0.1097</v>
      </c>
      <c r="AD8" s="48" t="str">
        <f t="shared" ref="Y8:AN8" si="9">IF(N8="","",IF(N8&gt;($C8+$D8),(N8-$C8-$D8),IF(N8&lt;($C8+$E8),(N8-$C8-$E8),"√")))</f>
        <v/>
      </c>
      <c r="AE8" s="48" t="str">
        <f t="shared" si="9"/>
        <v/>
      </c>
      <c r="AF8" s="48" t="str">
        <f t="shared" si="9"/>
        <v/>
      </c>
      <c r="AG8" s="48" t="str">
        <f t="shared" si="9"/>
        <v/>
      </c>
      <c r="AH8" s="48" t="str">
        <f t="shared" si="9"/>
        <v/>
      </c>
      <c r="AI8" s="48" t="str">
        <f t="shared" si="9"/>
        <v/>
      </c>
      <c r="AJ8" s="48" t="str">
        <f t="shared" si="9"/>
        <v/>
      </c>
      <c r="AK8" s="48" t="str">
        <f t="shared" si="9"/>
        <v/>
      </c>
      <c r="AL8" s="48" t="str">
        <f t="shared" si="9"/>
        <v/>
      </c>
      <c r="AM8" s="48" t="str">
        <f t="shared" si="9"/>
        <v/>
      </c>
      <c r="AN8" s="48" t="str">
        <f t="shared" si="9"/>
        <v/>
      </c>
    </row>
    <row r="9" spans="1:40">
      <c r="A9" s="49"/>
      <c r="B9" s="45" t="s">
        <v>27</v>
      </c>
      <c r="C9" s="45">
        <v>8.43</v>
      </c>
      <c r="D9" s="45">
        <v>0.02</v>
      </c>
      <c r="E9" s="45">
        <v>0</v>
      </c>
      <c r="F9" s="45">
        <f t="shared" si="1"/>
        <v>8.45</v>
      </c>
      <c r="G9" s="45">
        <f t="shared" si="2"/>
        <v>8.43</v>
      </c>
      <c r="H9" s="46" t="s">
        <v>25</v>
      </c>
      <c r="I9" s="47">
        <v>8.4197</v>
      </c>
      <c r="J9" s="47">
        <v>8.4362</v>
      </c>
      <c r="K9" s="47">
        <v>8.3779</v>
      </c>
      <c r="L9" s="47">
        <v>8.3895</v>
      </c>
      <c r="M9" s="47">
        <v>8.3733</v>
      </c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8">
        <f t="shared" si="4"/>
        <v>-0.0102999999999991</v>
      </c>
      <c r="Z9" s="48" t="str">
        <f t="shared" si="5"/>
        <v>√</v>
      </c>
      <c r="AA9" s="48">
        <f t="shared" si="6"/>
        <v>-0.0520999999999994</v>
      </c>
      <c r="AB9" s="48">
        <f t="shared" si="7"/>
        <v>-0.0404999999999998</v>
      </c>
      <c r="AC9" s="48">
        <f t="shared" si="8"/>
        <v>-0.0566999999999993</v>
      </c>
      <c r="AD9" s="48" t="str">
        <f t="shared" ref="Y9:AN9" si="10">IF(N9="","",IF(N9&gt;($C9+$D9),(N9-$C9-$D9),IF(N9&lt;($C9+$E9),(N9-$C9-$E9),"√")))</f>
        <v/>
      </c>
      <c r="AE9" s="48" t="str">
        <f t="shared" si="10"/>
        <v/>
      </c>
      <c r="AF9" s="48" t="str">
        <f t="shared" si="10"/>
        <v/>
      </c>
      <c r="AG9" s="48" t="str">
        <f t="shared" si="10"/>
        <v/>
      </c>
      <c r="AH9" s="48" t="str">
        <f t="shared" si="10"/>
        <v/>
      </c>
      <c r="AI9" s="48" t="str">
        <f t="shared" si="10"/>
        <v/>
      </c>
      <c r="AJ9" s="48" t="str">
        <f t="shared" si="10"/>
        <v/>
      </c>
      <c r="AK9" s="48" t="str">
        <f t="shared" si="10"/>
        <v/>
      </c>
      <c r="AL9" s="48" t="str">
        <f t="shared" si="10"/>
        <v/>
      </c>
      <c r="AM9" s="48" t="str">
        <f t="shared" si="10"/>
        <v/>
      </c>
      <c r="AN9" s="48" t="str">
        <f t="shared" si="10"/>
        <v/>
      </c>
    </row>
    <row r="10" spans="1:40">
      <c r="A10" s="49"/>
      <c r="B10" s="45" t="s">
        <v>28</v>
      </c>
      <c r="C10" s="45">
        <v>0.25</v>
      </c>
      <c r="D10" s="45">
        <v>0.02</v>
      </c>
      <c r="E10" s="45">
        <v>-0.02</v>
      </c>
      <c r="F10" s="45">
        <f t="shared" si="1"/>
        <v>0.27</v>
      </c>
      <c r="G10" s="45">
        <f t="shared" si="2"/>
        <v>0.23</v>
      </c>
      <c r="H10" s="46" t="s">
        <v>25</v>
      </c>
      <c r="I10" s="47">
        <v>0.2784</v>
      </c>
      <c r="J10" s="47">
        <v>0.2808</v>
      </c>
      <c r="K10" s="47">
        <v>0.2895</v>
      </c>
      <c r="L10" s="47">
        <v>0.2451</v>
      </c>
      <c r="M10" s="47">
        <v>0.2776</v>
      </c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8">
        <f t="shared" si="4"/>
        <v>0.00839999999999998</v>
      </c>
      <c r="Z10" s="48">
        <f t="shared" si="5"/>
        <v>0.0108</v>
      </c>
      <c r="AA10" s="48">
        <f t="shared" si="6"/>
        <v>0.0195</v>
      </c>
      <c r="AB10" s="48" t="str">
        <f t="shared" si="7"/>
        <v>√</v>
      </c>
      <c r="AC10" s="48">
        <f t="shared" si="8"/>
        <v>0.00760000000000001</v>
      </c>
      <c r="AD10" s="48" t="str">
        <f t="shared" ref="Y10:AN10" si="11">IF(N10="","",IF(N10&gt;($C10+$D10),(N10-$C10-$D10),IF(N10&lt;($C10+$E10),(N10-$C10-$E10),"√")))</f>
        <v/>
      </c>
      <c r="AE10" s="48" t="str">
        <f t="shared" si="11"/>
        <v/>
      </c>
      <c r="AF10" s="48" t="str">
        <f t="shared" si="11"/>
        <v/>
      </c>
      <c r="AG10" s="48" t="str">
        <f t="shared" si="11"/>
        <v/>
      </c>
      <c r="AH10" s="48" t="str">
        <f t="shared" si="11"/>
        <v/>
      </c>
      <c r="AI10" s="48" t="str">
        <f t="shared" si="11"/>
        <v/>
      </c>
      <c r="AJ10" s="48" t="str">
        <f t="shared" si="11"/>
        <v/>
      </c>
      <c r="AK10" s="48" t="str">
        <f t="shared" si="11"/>
        <v/>
      </c>
      <c r="AL10" s="48" t="str">
        <f t="shared" si="11"/>
        <v/>
      </c>
      <c r="AM10" s="48" t="str">
        <f t="shared" si="11"/>
        <v/>
      </c>
      <c r="AN10" s="48" t="str">
        <f t="shared" si="11"/>
        <v/>
      </c>
    </row>
    <row r="11" spans="1:40">
      <c r="A11" s="49"/>
      <c r="B11" s="45" t="s">
        <v>29</v>
      </c>
      <c r="C11" s="45">
        <v>0.25</v>
      </c>
      <c r="D11" s="45">
        <v>0.02</v>
      </c>
      <c r="E11" s="45">
        <v>-0.02</v>
      </c>
      <c r="F11" s="45">
        <f t="shared" si="1"/>
        <v>0.27</v>
      </c>
      <c r="G11" s="45">
        <f t="shared" si="2"/>
        <v>0.23</v>
      </c>
      <c r="H11" s="46" t="s">
        <v>25</v>
      </c>
      <c r="I11" s="47">
        <v>0.2606</v>
      </c>
      <c r="J11" s="47">
        <v>0.3453</v>
      </c>
      <c r="K11" s="47">
        <v>0.2706</v>
      </c>
      <c r="L11" s="47">
        <v>0.2657</v>
      </c>
      <c r="M11" s="47">
        <v>0.2835</v>
      </c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8" t="str">
        <f t="shared" si="4"/>
        <v>√</v>
      </c>
      <c r="Z11" s="48">
        <f t="shared" si="5"/>
        <v>0.0753</v>
      </c>
      <c r="AA11" s="48">
        <f t="shared" si="6"/>
        <v>0.000600000000000007</v>
      </c>
      <c r="AB11" s="48" t="str">
        <f t="shared" si="7"/>
        <v>√</v>
      </c>
      <c r="AC11" s="48">
        <f t="shared" si="8"/>
        <v>0.0135</v>
      </c>
      <c r="AD11" s="48" t="str">
        <f t="shared" ref="Y11:AN11" si="12">IF(N11="","",IF(N11&gt;($C11+$D11),(N11-$C11-$D11),IF(N11&lt;($C11+$E11),(N11-$C11-$E11),"√")))</f>
        <v/>
      </c>
      <c r="AE11" s="48" t="str">
        <f t="shared" si="12"/>
        <v/>
      </c>
      <c r="AF11" s="48" t="str">
        <f t="shared" si="12"/>
        <v/>
      </c>
      <c r="AG11" s="48" t="str">
        <f t="shared" si="12"/>
        <v/>
      </c>
      <c r="AH11" s="48" t="str">
        <f t="shared" si="12"/>
        <v/>
      </c>
      <c r="AI11" s="48" t="str">
        <f t="shared" si="12"/>
        <v/>
      </c>
      <c r="AJ11" s="48" t="str">
        <f t="shared" si="12"/>
        <v/>
      </c>
      <c r="AK11" s="48" t="str">
        <f t="shared" si="12"/>
        <v/>
      </c>
      <c r="AL11" s="48" t="str">
        <f t="shared" si="12"/>
        <v/>
      </c>
      <c r="AM11" s="48" t="str">
        <f t="shared" si="12"/>
        <v/>
      </c>
      <c r="AN11" s="48" t="str">
        <f t="shared" si="12"/>
        <v/>
      </c>
    </row>
    <row r="12" spans="1:40">
      <c r="A12" s="49"/>
      <c r="B12" s="45" t="s">
        <v>30</v>
      </c>
      <c r="C12" s="45">
        <v>0.25</v>
      </c>
      <c r="D12" s="45">
        <v>0.02</v>
      </c>
      <c r="E12" s="45">
        <v>-0.02</v>
      </c>
      <c r="F12" s="45">
        <f t="shared" si="1"/>
        <v>0.27</v>
      </c>
      <c r="G12" s="45">
        <f t="shared" si="2"/>
        <v>0.23</v>
      </c>
      <c r="H12" s="46" t="s">
        <v>25</v>
      </c>
      <c r="I12" s="47">
        <v>0.2951</v>
      </c>
      <c r="J12" s="47">
        <v>0.2502</v>
      </c>
      <c r="K12" s="47">
        <v>0.2493</v>
      </c>
      <c r="L12" s="47">
        <v>0.2239</v>
      </c>
      <c r="M12" s="47">
        <v>0.2065</v>
      </c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8">
        <f t="shared" si="4"/>
        <v>0.0251</v>
      </c>
      <c r="Z12" s="48" t="str">
        <f t="shared" si="5"/>
        <v>√</v>
      </c>
      <c r="AA12" s="48" t="str">
        <f t="shared" si="6"/>
        <v>√</v>
      </c>
      <c r="AB12" s="48">
        <f t="shared" si="7"/>
        <v>-0.00610000000000001</v>
      </c>
      <c r="AC12" s="48">
        <f t="shared" si="8"/>
        <v>-0.0235</v>
      </c>
      <c r="AD12" s="48" t="str">
        <f t="shared" ref="Y12:AN12" si="13">IF(N12="","",IF(N12&gt;($C12+$D12),(N12-$C12-$D12),IF(N12&lt;($C12+$E12),(N12-$C12-$E12),"√")))</f>
        <v/>
      </c>
      <c r="AE12" s="48" t="str">
        <f t="shared" si="13"/>
        <v/>
      </c>
      <c r="AF12" s="48" t="str">
        <f t="shared" si="13"/>
        <v/>
      </c>
      <c r="AG12" s="48" t="str">
        <f t="shared" si="13"/>
        <v/>
      </c>
      <c r="AH12" s="48" t="str">
        <f t="shared" si="13"/>
        <v/>
      </c>
      <c r="AI12" s="48" t="str">
        <f t="shared" si="13"/>
        <v/>
      </c>
      <c r="AJ12" s="48" t="str">
        <f t="shared" si="13"/>
        <v/>
      </c>
      <c r="AK12" s="48" t="str">
        <f t="shared" si="13"/>
        <v/>
      </c>
      <c r="AL12" s="48" t="str">
        <f t="shared" si="13"/>
        <v/>
      </c>
      <c r="AM12" s="48" t="str">
        <f t="shared" si="13"/>
        <v/>
      </c>
      <c r="AN12" s="48" t="str">
        <f t="shared" si="13"/>
        <v/>
      </c>
    </row>
    <row r="13" spans="1:40">
      <c r="A13" s="49"/>
      <c r="B13" s="45" t="s">
        <v>24</v>
      </c>
      <c r="C13" s="45">
        <v>8.43</v>
      </c>
      <c r="D13" s="45">
        <v>0.02</v>
      </c>
      <c r="E13" s="45">
        <v>0</v>
      </c>
      <c r="F13" s="45">
        <f t="shared" si="1"/>
        <v>8.45</v>
      </c>
      <c r="G13" s="45">
        <f t="shared" si="2"/>
        <v>8.43</v>
      </c>
      <c r="H13" s="46" t="s">
        <v>25</v>
      </c>
      <c r="I13" s="47">
        <v>8.3361</v>
      </c>
      <c r="J13" s="47">
        <v>8.3431</v>
      </c>
      <c r="K13" s="47">
        <v>8.2896</v>
      </c>
      <c r="L13" s="47">
        <v>8.3249</v>
      </c>
      <c r="M13" s="47">
        <v>8.3064</v>
      </c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8">
        <f t="shared" si="4"/>
        <v>-0.0938999999999997</v>
      </c>
      <c r="Z13" s="48">
        <f t="shared" si="5"/>
        <v>-0.0869</v>
      </c>
      <c r="AA13" s="48">
        <f t="shared" si="6"/>
        <v>-0.1404</v>
      </c>
      <c r="AB13" s="48">
        <f t="shared" si="7"/>
        <v>-0.1051</v>
      </c>
      <c r="AC13" s="48">
        <f t="shared" si="8"/>
        <v>-0.1236</v>
      </c>
      <c r="AD13" s="48" t="str">
        <f t="shared" ref="Y13:AN13" si="14">IF(N13="","",IF(N13&gt;($C13+$D13),(N13-$C13-$D13),IF(N13&lt;($C13+$E13),(N13-$C13-$E13),"√")))</f>
        <v/>
      </c>
      <c r="AE13" s="48" t="str">
        <f t="shared" si="14"/>
        <v/>
      </c>
      <c r="AF13" s="48" t="str">
        <f t="shared" si="14"/>
        <v/>
      </c>
      <c r="AG13" s="48" t="str">
        <f t="shared" si="14"/>
        <v/>
      </c>
      <c r="AH13" s="48" t="str">
        <f t="shared" si="14"/>
        <v/>
      </c>
      <c r="AI13" s="48" t="str">
        <f t="shared" si="14"/>
        <v/>
      </c>
      <c r="AJ13" s="48" t="str">
        <f t="shared" si="14"/>
        <v/>
      </c>
      <c r="AK13" s="48" t="str">
        <f t="shared" si="14"/>
        <v/>
      </c>
      <c r="AL13" s="48" t="str">
        <f t="shared" si="14"/>
        <v/>
      </c>
      <c r="AM13" s="48" t="str">
        <f t="shared" si="14"/>
        <v/>
      </c>
      <c r="AN13" s="48" t="str">
        <f t="shared" si="14"/>
        <v/>
      </c>
    </row>
    <row r="14" spans="1:40">
      <c r="A14" s="49"/>
      <c r="B14" s="45" t="s">
        <v>26</v>
      </c>
      <c r="C14" s="45">
        <v>8.43</v>
      </c>
      <c r="D14" s="45">
        <v>0.02</v>
      </c>
      <c r="E14" s="45">
        <v>0</v>
      </c>
      <c r="F14" s="45">
        <f t="shared" si="1"/>
        <v>8.45</v>
      </c>
      <c r="G14" s="45">
        <f t="shared" si="2"/>
        <v>8.43</v>
      </c>
      <c r="H14" s="46" t="s">
        <v>25</v>
      </c>
      <c r="I14" s="47">
        <v>8.357</v>
      </c>
      <c r="J14" s="47">
        <v>8.3651</v>
      </c>
      <c r="K14" s="47">
        <v>8.3136</v>
      </c>
      <c r="L14" s="47">
        <v>8.3415</v>
      </c>
      <c r="M14" s="47">
        <v>8.3258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8">
        <f t="shared" si="4"/>
        <v>-0.0730000000000004</v>
      </c>
      <c r="Z14" s="48">
        <f t="shared" si="5"/>
        <v>-0.0648999999999997</v>
      </c>
      <c r="AA14" s="48">
        <f t="shared" si="6"/>
        <v>-0.116400000000001</v>
      </c>
      <c r="AB14" s="48">
        <f t="shared" si="7"/>
        <v>-0.0884999999999998</v>
      </c>
      <c r="AC14" s="48">
        <f t="shared" si="8"/>
        <v>-0.104200000000001</v>
      </c>
      <c r="AD14" s="48" t="str">
        <f t="shared" ref="Y14:AN14" si="15">IF(N14="","",IF(N14&gt;($C14+$D14),(N14-$C14-$D14),IF(N14&lt;($C14+$E14),(N14-$C14-$E14),"√")))</f>
        <v/>
      </c>
      <c r="AE14" s="48" t="str">
        <f t="shared" si="15"/>
        <v/>
      </c>
      <c r="AF14" s="48" t="str">
        <f t="shared" si="15"/>
        <v/>
      </c>
      <c r="AG14" s="48" t="str">
        <f t="shared" si="15"/>
        <v/>
      </c>
      <c r="AH14" s="48" t="str">
        <f t="shared" si="15"/>
        <v/>
      </c>
      <c r="AI14" s="48" t="str">
        <f t="shared" si="15"/>
        <v/>
      </c>
      <c r="AJ14" s="48" t="str">
        <f t="shared" si="15"/>
        <v/>
      </c>
      <c r="AK14" s="48" t="str">
        <f t="shared" si="15"/>
        <v/>
      </c>
      <c r="AL14" s="48" t="str">
        <f t="shared" si="15"/>
        <v/>
      </c>
      <c r="AM14" s="48" t="str">
        <f t="shared" si="15"/>
        <v/>
      </c>
      <c r="AN14" s="48" t="str">
        <f t="shared" si="15"/>
        <v/>
      </c>
    </row>
    <row r="15" spans="1:40">
      <c r="A15" s="49"/>
      <c r="B15" s="45" t="s">
        <v>27</v>
      </c>
      <c r="C15" s="45">
        <v>8.43</v>
      </c>
      <c r="D15" s="45">
        <v>0.02</v>
      </c>
      <c r="E15" s="45">
        <v>0</v>
      </c>
      <c r="F15" s="45">
        <f t="shared" si="1"/>
        <v>8.45</v>
      </c>
      <c r="G15" s="45">
        <f t="shared" si="2"/>
        <v>8.43</v>
      </c>
      <c r="H15" s="46" t="s">
        <v>25</v>
      </c>
      <c r="I15" s="47">
        <v>8.4302</v>
      </c>
      <c r="J15" s="47">
        <v>8.4459</v>
      </c>
      <c r="K15" s="47">
        <v>8.3932</v>
      </c>
      <c r="L15" s="47">
        <v>8.4018</v>
      </c>
      <c r="M15" s="47">
        <v>8.3834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8" t="str">
        <f t="shared" si="4"/>
        <v>√</v>
      </c>
      <c r="Z15" s="48" t="str">
        <f t="shared" si="5"/>
        <v>√</v>
      </c>
      <c r="AA15" s="48">
        <f t="shared" si="6"/>
        <v>-0.0367999999999995</v>
      </c>
      <c r="AB15" s="48">
        <f t="shared" si="7"/>
        <v>-0.0282</v>
      </c>
      <c r="AC15" s="48">
        <f t="shared" si="8"/>
        <v>-0.0465999999999998</v>
      </c>
      <c r="AD15" s="48" t="str">
        <f t="shared" ref="Y15:AN15" si="16">IF(N15="","",IF(N15&gt;($C15+$D15),(N15-$C15-$D15),IF(N15&lt;($C15+$E15),(N15-$C15-$E15),"√")))</f>
        <v/>
      </c>
      <c r="AE15" s="48" t="str">
        <f t="shared" si="16"/>
        <v/>
      </c>
      <c r="AF15" s="48" t="str">
        <f t="shared" si="16"/>
        <v/>
      </c>
      <c r="AG15" s="48" t="str">
        <f t="shared" si="16"/>
        <v/>
      </c>
      <c r="AH15" s="48" t="str">
        <f t="shared" si="16"/>
        <v/>
      </c>
      <c r="AI15" s="48" t="str">
        <f t="shared" si="16"/>
        <v/>
      </c>
      <c r="AJ15" s="48" t="str">
        <f t="shared" si="16"/>
        <v/>
      </c>
      <c r="AK15" s="48" t="str">
        <f t="shared" si="16"/>
        <v/>
      </c>
      <c r="AL15" s="48" t="str">
        <f t="shared" si="16"/>
        <v/>
      </c>
      <c r="AM15" s="48" t="str">
        <f t="shared" si="16"/>
        <v/>
      </c>
      <c r="AN15" s="48" t="str">
        <f t="shared" si="16"/>
        <v/>
      </c>
    </row>
    <row r="16" spans="1:40">
      <c r="A16" s="49"/>
      <c r="B16" s="45" t="s">
        <v>28</v>
      </c>
      <c r="C16" s="45">
        <v>0.25</v>
      </c>
      <c r="D16" s="45">
        <v>0.02</v>
      </c>
      <c r="E16" s="45">
        <v>-0.02</v>
      </c>
      <c r="F16" s="45">
        <f t="shared" si="1"/>
        <v>0.27</v>
      </c>
      <c r="G16" s="45">
        <f t="shared" si="2"/>
        <v>0.23</v>
      </c>
      <c r="H16" s="46" t="s">
        <v>25</v>
      </c>
      <c r="I16" s="47">
        <v>0.2594</v>
      </c>
      <c r="J16" s="47">
        <v>0.2567</v>
      </c>
      <c r="K16" s="47">
        <v>0.2573</v>
      </c>
      <c r="L16" s="47">
        <v>0.2569</v>
      </c>
      <c r="M16" s="47">
        <v>0.2484</v>
      </c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8" t="str">
        <f t="shared" si="4"/>
        <v>√</v>
      </c>
      <c r="Z16" s="48" t="str">
        <f t="shared" si="5"/>
        <v>√</v>
      </c>
      <c r="AA16" s="48" t="str">
        <f t="shared" si="6"/>
        <v>√</v>
      </c>
      <c r="AB16" s="48" t="str">
        <f t="shared" si="7"/>
        <v>√</v>
      </c>
      <c r="AC16" s="48" t="str">
        <f t="shared" si="8"/>
        <v>√</v>
      </c>
      <c r="AD16" s="48" t="str">
        <f t="shared" ref="Y16:AN16" si="17">IF(N16="","",IF(N16&gt;($C16+$D16),(N16-$C16-$D16),IF(N16&lt;($C16+$E16),(N16-$C16-$E16),"√")))</f>
        <v/>
      </c>
      <c r="AE16" s="48" t="str">
        <f t="shared" si="17"/>
        <v/>
      </c>
      <c r="AF16" s="48" t="str">
        <f t="shared" si="17"/>
        <v/>
      </c>
      <c r="AG16" s="48" t="str">
        <f t="shared" si="17"/>
        <v/>
      </c>
      <c r="AH16" s="48" t="str">
        <f t="shared" si="17"/>
        <v/>
      </c>
      <c r="AI16" s="48" t="str">
        <f t="shared" si="17"/>
        <v/>
      </c>
      <c r="AJ16" s="48" t="str">
        <f t="shared" si="17"/>
        <v/>
      </c>
      <c r="AK16" s="48" t="str">
        <f t="shared" si="17"/>
        <v/>
      </c>
      <c r="AL16" s="48" t="str">
        <f t="shared" si="17"/>
        <v/>
      </c>
      <c r="AM16" s="48" t="str">
        <f t="shared" si="17"/>
        <v/>
      </c>
      <c r="AN16" s="48" t="str">
        <f t="shared" si="17"/>
        <v/>
      </c>
    </row>
    <row r="17" spans="1:40">
      <c r="A17" s="49"/>
      <c r="B17" s="45" t="s">
        <v>29</v>
      </c>
      <c r="C17" s="45">
        <v>0.25</v>
      </c>
      <c r="D17" s="45">
        <v>0.02</v>
      </c>
      <c r="E17" s="45">
        <v>-0.02</v>
      </c>
      <c r="F17" s="45">
        <f t="shared" si="1"/>
        <v>0.27</v>
      </c>
      <c r="G17" s="45">
        <f t="shared" si="2"/>
        <v>0.23</v>
      </c>
      <c r="H17" s="46" t="s">
        <v>25</v>
      </c>
      <c r="I17" s="47">
        <v>0.2183</v>
      </c>
      <c r="J17" s="47">
        <v>0.2859</v>
      </c>
      <c r="K17" s="47">
        <v>0.3036</v>
      </c>
      <c r="L17" s="47">
        <v>0.2755</v>
      </c>
      <c r="M17" s="47">
        <v>0.2842</v>
      </c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8">
        <f t="shared" si="4"/>
        <v>-0.0117</v>
      </c>
      <c r="Z17" s="48">
        <f t="shared" si="5"/>
        <v>0.0159</v>
      </c>
      <c r="AA17" s="48">
        <f t="shared" si="6"/>
        <v>0.0336</v>
      </c>
      <c r="AB17" s="48">
        <f t="shared" si="7"/>
        <v>0.00550000000000002</v>
      </c>
      <c r="AC17" s="48">
        <f t="shared" si="8"/>
        <v>0.0142</v>
      </c>
      <c r="AD17" s="48" t="str">
        <f t="shared" ref="Y17:AN17" si="18">IF(N17="","",IF(N17&gt;($C17+$D17),(N17-$C17-$D17),IF(N17&lt;($C17+$E17),(N17-$C17-$E17),"√")))</f>
        <v/>
      </c>
      <c r="AE17" s="48" t="str">
        <f t="shared" si="18"/>
        <v/>
      </c>
      <c r="AF17" s="48" t="str">
        <f t="shared" si="18"/>
        <v/>
      </c>
      <c r="AG17" s="48" t="str">
        <f t="shared" si="18"/>
        <v/>
      </c>
      <c r="AH17" s="48" t="str">
        <f t="shared" si="18"/>
        <v/>
      </c>
      <c r="AI17" s="48" t="str">
        <f t="shared" si="18"/>
        <v/>
      </c>
      <c r="AJ17" s="48" t="str">
        <f t="shared" si="18"/>
        <v/>
      </c>
      <c r="AK17" s="48" t="str">
        <f t="shared" si="18"/>
        <v/>
      </c>
      <c r="AL17" s="48" t="str">
        <f t="shared" si="18"/>
        <v/>
      </c>
      <c r="AM17" s="48" t="str">
        <f t="shared" si="18"/>
        <v/>
      </c>
      <c r="AN17" s="48" t="str">
        <f t="shared" si="18"/>
        <v/>
      </c>
    </row>
    <row r="18" spans="1:40">
      <c r="A18" s="49"/>
      <c r="B18" s="45" t="s">
        <v>30</v>
      </c>
      <c r="C18" s="45">
        <v>0.25</v>
      </c>
      <c r="D18" s="45">
        <v>0.02</v>
      </c>
      <c r="E18" s="45">
        <v>-0.02</v>
      </c>
      <c r="F18" s="45">
        <f t="shared" si="1"/>
        <v>0.27</v>
      </c>
      <c r="G18" s="45">
        <f t="shared" si="2"/>
        <v>0.23</v>
      </c>
      <c r="H18" s="46" t="s">
        <v>25</v>
      </c>
      <c r="I18" s="47">
        <v>0.2659</v>
      </c>
      <c r="J18" s="47">
        <v>0.2737</v>
      </c>
      <c r="K18" s="47">
        <v>0.2802</v>
      </c>
      <c r="L18" s="47">
        <v>0.265</v>
      </c>
      <c r="M18" s="47">
        <v>0.3149</v>
      </c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8" t="str">
        <f t="shared" si="4"/>
        <v>√</v>
      </c>
      <c r="Z18" s="48">
        <f t="shared" si="5"/>
        <v>0.0037</v>
      </c>
      <c r="AA18" s="48">
        <f t="shared" si="6"/>
        <v>0.0102</v>
      </c>
      <c r="AB18" s="48" t="str">
        <f t="shared" si="7"/>
        <v>√</v>
      </c>
      <c r="AC18" s="48">
        <f t="shared" si="8"/>
        <v>0.0449</v>
      </c>
      <c r="AD18" s="48" t="str">
        <f t="shared" ref="Y18:AN18" si="19">IF(N18="","",IF(N18&gt;($C18+$D18),(N18-$C18-$D18),IF(N18&lt;($C18+$E18),(N18-$C18-$E18),"√")))</f>
        <v/>
      </c>
      <c r="AE18" s="48" t="str">
        <f t="shared" si="19"/>
        <v/>
      </c>
      <c r="AF18" s="48" t="str">
        <f t="shared" si="19"/>
        <v/>
      </c>
      <c r="AG18" s="48" t="str">
        <f t="shared" si="19"/>
        <v/>
      </c>
      <c r="AH18" s="48" t="str">
        <f t="shared" si="19"/>
        <v/>
      </c>
      <c r="AI18" s="48" t="str">
        <f t="shared" si="19"/>
        <v/>
      </c>
      <c r="AJ18" s="48" t="str">
        <f t="shared" si="19"/>
        <v/>
      </c>
      <c r="AK18" s="48" t="str">
        <f t="shared" si="19"/>
        <v/>
      </c>
      <c r="AL18" s="48" t="str">
        <f t="shared" si="19"/>
        <v/>
      </c>
      <c r="AM18" s="48" t="str">
        <f t="shared" si="19"/>
        <v/>
      </c>
      <c r="AN18" s="48" t="str">
        <f t="shared" si="19"/>
        <v/>
      </c>
    </row>
    <row r="19" spans="1:40">
      <c r="A19" s="49"/>
      <c r="B19" s="45" t="s">
        <v>24</v>
      </c>
      <c r="C19" s="45">
        <v>8.43</v>
      </c>
      <c r="D19" s="45">
        <v>0.02</v>
      </c>
      <c r="E19" s="45">
        <v>0</v>
      </c>
      <c r="F19" s="45">
        <f t="shared" ref="F19:F22" si="20">C19+D19</f>
        <v>8.45</v>
      </c>
      <c r="G19" s="45">
        <f t="shared" ref="G19:G22" si="21">C19+E19</f>
        <v>8.43</v>
      </c>
      <c r="H19" s="46" t="s">
        <v>25</v>
      </c>
      <c r="I19" s="47">
        <v>8.3774</v>
      </c>
      <c r="J19" s="47">
        <v>8.3612</v>
      </c>
      <c r="K19" s="47">
        <v>8.326</v>
      </c>
      <c r="L19" s="47">
        <v>8.3872</v>
      </c>
      <c r="M19" s="47">
        <v>8.3527</v>
      </c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8">
        <f t="shared" si="4"/>
        <v>-0.0526</v>
      </c>
      <c r="Z19" s="48">
        <f t="shared" si="5"/>
        <v>-0.0687999999999995</v>
      </c>
      <c r="AA19" s="48">
        <f t="shared" si="6"/>
        <v>-0.103999999999999</v>
      </c>
      <c r="AB19" s="48">
        <f t="shared" si="7"/>
        <v>-0.0427999999999997</v>
      </c>
      <c r="AC19" s="48">
        <f t="shared" si="8"/>
        <v>-0.0772999999999993</v>
      </c>
      <c r="AD19" s="48" t="str">
        <f t="shared" ref="Y19:AN19" si="22">IF(N19="","",IF(N19&gt;($C19+$D19),(N19-$C19-$D19),IF(N19&lt;($C19+$E19),(N19-$C19-$E19),"√")))</f>
        <v/>
      </c>
      <c r="AE19" s="48" t="str">
        <f t="shared" si="22"/>
        <v/>
      </c>
      <c r="AF19" s="48" t="str">
        <f t="shared" si="22"/>
        <v/>
      </c>
      <c r="AG19" s="48" t="str">
        <f t="shared" si="22"/>
        <v/>
      </c>
      <c r="AH19" s="48" t="str">
        <f t="shared" si="22"/>
        <v/>
      </c>
      <c r="AI19" s="48" t="str">
        <f t="shared" si="22"/>
        <v/>
      </c>
      <c r="AJ19" s="48" t="str">
        <f t="shared" si="22"/>
        <v/>
      </c>
      <c r="AK19" s="48" t="str">
        <f t="shared" si="22"/>
        <v/>
      </c>
      <c r="AL19" s="48" t="str">
        <f t="shared" si="22"/>
        <v/>
      </c>
      <c r="AM19" s="48" t="str">
        <f t="shared" si="22"/>
        <v/>
      </c>
      <c r="AN19" s="48" t="str">
        <f t="shared" si="22"/>
        <v/>
      </c>
    </row>
    <row r="20" spans="1:40">
      <c r="A20" s="49"/>
      <c r="B20" s="45" t="s">
        <v>26</v>
      </c>
      <c r="C20" s="45">
        <v>8.43</v>
      </c>
      <c r="D20" s="45">
        <v>0.02</v>
      </c>
      <c r="E20" s="45">
        <v>0</v>
      </c>
      <c r="F20" s="45">
        <f t="shared" si="20"/>
        <v>8.45</v>
      </c>
      <c r="G20" s="45">
        <f t="shared" si="21"/>
        <v>8.43</v>
      </c>
      <c r="H20" s="46" t="s">
        <v>25</v>
      </c>
      <c r="I20" s="47">
        <v>8.3478</v>
      </c>
      <c r="J20" s="47">
        <v>8.3389</v>
      </c>
      <c r="K20" s="47">
        <v>8.2978</v>
      </c>
      <c r="L20" s="47">
        <v>8.3467</v>
      </c>
      <c r="M20" s="47">
        <v>8.3096</v>
      </c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8">
        <f t="shared" si="4"/>
        <v>-0.0822000000000003</v>
      </c>
      <c r="Z20" s="48">
        <f t="shared" si="5"/>
        <v>-0.0910999999999991</v>
      </c>
      <c r="AA20" s="48">
        <f t="shared" si="6"/>
        <v>-0.132199999999999</v>
      </c>
      <c r="AB20" s="48">
        <f t="shared" si="7"/>
        <v>-0.0832999999999995</v>
      </c>
      <c r="AC20" s="48">
        <f t="shared" si="8"/>
        <v>-0.1204</v>
      </c>
      <c r="AD20" s="48" t="str">
        <f t="shared" ref="Y20:AN20" si="23">IF(N20="","",IF(N20&gt;($C20+$D20),(N20-$C20-$D20),IF(N20&lt;($C20+$E20),(N20-$C20-$E20),"√")))</f>
        <v/>
      </c>
      <c r="AE20" s="48" t="str">
        <f t="shared" si="23"/>
        <v/>
      </c>
      <c r="AF20" s="48" t="str">
        <f t="shared" si="23"/>
        <v/>
      </c>
      <c r="AG20" s="48" t="str">
        <f t="shared" si="23"/>
        <v/>
      </c>
      <c r="AH20" s="48" t="str">
        <f t="shared" si="23"/>
        <v/>
      </c>
      <c r="AI20" s="48" t="str">
        <f t="shared" si="23"/>
        <v/>
      </c>
      <c r="AJ20" s="48" t="str">
        <f t="shared" si="23"/>
        <v/>
      </c>
      <c r="AK20" s="48" t="str">
        <f t="shared" si="23"/>
        <v/>
      </c>
      <c r="AL20" s="48" t="str">
        <f t="shared" si="23"/>
        <v/>
      </c>
      <c r="AM20" s="48" t="str">
        <f t="shared" si="23"/>
        <v/>
      </c>
      <c r="AN20" s="48" t="str">
        <f t="shared" si="23"/>
        <v/>
      </c>
    </row>
    <row r="21" spans="1:40">
      <c r="A21" s="49"/>
      <c r="B21" s="45" t="s">
        <v>27</v>
      </c>
      <c r="C21" s="45">
        <v>8.43</v>
      </c>
      <c r="D21" s="45">
        <v>0.02</v>
      </c>
      <c r="E21" s="45">
        <v>0</v>
      </c>
      <c r="F21" s="45">
        <f t="shared" si="20"/>
        <v>8.45</v>
      </c>
      <c r="G21" s="45">
        <f t="shared" si="21"/>
        <v>8.43</v>
      </c>
      <c r="H21" s="46" t="s">
        <v>25</v>
      </c>
      <c r="I21" s="47">
        <v>8.4552</v>
      </c>
      <c r="J21" s="47">
        <v>8.4885</v>
      </c>
      <c r="K21" s="47">
        <v>8.4153</v>
      </c>
      <c r="L21" s="47">
        <v>8.4582</v>
      </c>
      <c r="M21" s="47">
        <v>8.4146</v>
      </c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8">
        <f t="shared" si="4"/>
        <v>0.00519999999999989</v>
      </c>
      <c r="Z21" s="48">
        <f t="shared" si="5"/>
        <v>0.0385000000000004</v>
      </c>
      <c r="AA21" s="48">
        <f t="shared" si="6"/>
        <v>-0.0146999999999995</v>
      </c>
      <c r="AB21" s="48">
        <f t="shared" si="7"/>
        <v>0.0082</v>
      </c>
      <c r="AC21" s="48">
        <f t="shared" si="8"/>
        <v>-0.0153999999999996</v>
      </c>
      <c r="AD21" s="48" t="str">
        <f t="shared" ref="Y21:AN21" si="24">IF(N21="","",IF(N21&gt;($C21+$D21),(N21-$C21-$D21),IF(N21&lt;($C21+$E21),(N21-$C21-$E21),"√")))</f>
        <v/>
      </c>
      <c r="AE21" s="48" t="str">
        <f t="shared" si="24"/>
        <v/>
      </c>
      <c r="AF21" s="48" t="str">
        <f t="shared" si="24"/>
        <v/>
      </c>
      <c r="AG21" s="48" t="str">
        <f t="shared" si="24"/>
        <v/>
      </c>
      <c r="AH21" s="48" t="str">
        <f t="shared" si="24"/>
        <v/>
      </c>
      <c r="AI21" s="48" t="str">
        <f t="shared" si="24"/>
        <v/>
      </c>
      <c r="AJ21" s="48" t="str">
        <f t="shared" si="24"/>
        <v/>
      </c>
      <c r="AK21" s="48" t="str">
        <f t="shared" si="24"/>
        <v/>
      </c>
      <c r="AL21" s="48" t="str">
        <f t="shared" si="24"/>
        <v/>
      </c>
      <c r="AM21" s="48" t="str">
        <f t="shared" si="24"/>
        <v/>
      </c>
      <c r="AN21" s="48" t="str">
        <f t="shared" si="24"/>
        <v/>
      </c>
    </row>
    <row r="22" spans="1:40">
      <c r="A22" s="49"/>
      <c r="B22" s="45" t="s">
        <v>28</v>
      </c>
      <c r="C22" s="45">
        <v>0.25</v>
      </c>
      <c r="D22" s="45">
        <v>0.02</v>
      </c>
      <c r="E22" s="45">
        <v>-0.02</v>
      </c>
      <c r="F22" s="45">
        <f t="shared" si="20"/>
        <v>0.27</v>
      </c>
      <c r="G22" s="45">
        <f t="shared" si="21"/>
        <v>0.23</v>
      </c>
      <c r="H22" s="46" t="s">
        <v>25</v>
      </c>
      <c r="I22" s="47">
        <v>0.2465</v>
      </c>
      <c r="J22" s="47">
        <v>0.2629</v>
      </c>
      <c r="K22" s="47">
        <v>0.2699</v>
      </c>
      <c r="L22" s="47">
        <v>0.2807</v>
      </c>
      <c r="M22" s="47">
        <v>0.2896</v>
      </c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8" t="str">
        <f t="shared" si="4"/>
        <v>√</v>
      </c>
      <c r="Z22" s="48" t="str">
        <f t="shared" si="5"/>
        <v>√</v>
      </c>
      <c r="AA22" s="48" t="str">
        <f t="shared" si="6"/>
        <v>√</v>
      </c>
      <c r="AB22" s="48">
        <f t="shared" si="7"/>
        <v>0.0107</v>
      </c>
      <c r="AC22" s="48">
        <f t="shared" si="8"/>
        <v>0.0196</v>
      </c>
      <c r="AD22" s="48" t="str">
        <f t="shared" ref="Y22:AN24" si="25">IF(N22="","",IF(N22&gt;($C22+$D22),(N22-$C22-$D22),IF(N22&lt;($C22+$E22),(N22-$C22-$E22),"√")))</f>
        <v/>
      </c>
      <c r="AE22" s="48" t="str">
        <f t="shared" si="25"/>
        <v/>
      </c>
      <c r="AF22" s="48" t="str">
        <f t="shared" si="25"/>
        <v/>
      </c>
      <c r="AG22" s="48" t="str">
        <f t="shared" si="25"/>
        <v/>
      </c>
      <c r="AH22" s="48" t="str">
        <f t="shared" si="25"/>
        <v/>
      </c>
      <c r="AI22" s="48" t="str">
        <f t="shared" si="25"/>
        <v/>
      </c>
      <c r="AJ22" s="48" t="str">
        <f t="shared" si="25"/>
        <v/>
      </c>
      <c r="AK22" s="48" t="str">
        <f t="shared" si="25"/>
        <v/>
      </c>
      <c r="AL22" s="48" t="str">
        <f t="shared" si="25"/>
        <v/>
      </c>
      <c r="AM22" s="48" t="str">
        <f t="shared" si="25"/>
        <v/>
      </c>
      <c r="AN22" s="48" t="str">
        <f t="shared" si="25"/>
        <v/>
      </c>
    </row>
    <row r="23" spans="1:40">
      <c r="A23" s="49"/>
      <c r="B23" s="45" t="s">
        <v>29</v>
      </c>
      <c r="C23" s="45">
        <v>0.25</v>
      </c>
      <c r="D23" s="45">
        <v>0.02</v>
      </c>
      <c r="E23" s="45">
        <v>-0.02</v>
      </c>
      <c r="F23" s="45">
        <f t="shared" ref="F23:F27" si="26">C23+D23</f>
        <v>0.27</v>
      </c>
      <c r="G23" s="45">
        <f t="shared" ref="G23:G27" si="27">C23+E23</f>
        <v>0.23</v>
      </c>
      <c r="H23" s="46" t="s">
        <v>25</v>
      </c>
      <c r="I23" s="47">
        <v>0.2655</v>
      </c>
      <c r="J23" s="47">
        <v>0.2613</v>
      </c>
      <c r="K23" s="47">
        <v>0.2626</v>
      </c>
      <c r="L23" s="47">
        <v>0.2745</v>
      </c>
      <c r="M23" s="47">
        <v>0.2893</v>
      </c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8" t="str">
        <f t="shared" si="4"/>
        <v>√</v>
      </c>
      <c r="Z23" s="48" t="str">
        <f t="shared" si="5"/>
        <v>√</v>
      </c>
      <c r="AA23" s="48" t="str">
        <f t="shared" si="6"/>
        <v>√</v>
      </c>
      <c r="AB23" s="48">
        <f t="shared" si="7"/>
        <v>0.00450000000000002</v>
      </c>
      <c r="AC23" s="48">
        <f t="shared" si="8"/>
        <v>0.0193</v>
      </c>
      <c r="AD23" s="48" t="str">
        <f t="shared" si="25"/>
        <v/>
      </c>
      <c r="AE23" s="48" t="str">
        <f t="shared" si="25"/>
        <v/>
      </c>
      <c r="AF23" s="48" t="str">
        <f t="shared" si="25"/>
        <v/>
      </c>
      <c r="AG23" s="48" t="str">
        <f t="shared" si="25"/>
        <v/>
      </c>
      <c r="AH23" s="48" t="str">
        <f t="shared" si="25"/>
        <v/>
      </c>
      <c r="AI23" s="48" t="str">
        <f t="shared" si="25"/>
        <v/>
      </c>
      <c r="AJ23" s="48" t="str">
        <f t="shared" si="25"/>
        <v/>
      </c>
      <c r="AK23" s="48" t="str">
        <f t="shared" si="25"/>
        <v/>
      </c>
      <c r="AL23" s="48" t="str">
        <f t="shared" si="25"/>
        <v/>
      </c>
      <c r="AM23" s="48" t="str">
        <f t="shared" si="25"/>
        <v/>
      </c>
      <c r="AN23" s="48" t="str">
        <f t="shared" si="25"/>
        <v/>
      </c>
    </row>
    <row r="24" spans="1:40">
      <c r="A24" s="49"/>
      <c r="B24" s="45" t="s">
        <v>30</v>
      </c>
      <c r="C24" s="45">
        <v>0.25</v>
      </c>
      <c r="D24" s="45">
        <v>0.02</v>
      </c>
      <c r="E24" s="45">
        <v>-0.02</v>
      </c>
      <c r="F24" s="45">
        <f t="shared" si="26"/>
        <v>0.27</v>
      </c>
      <c r="G24" s="45">
        <f t="shared" si="27"/>
        <v>0.23</v>
      </c>
      <c r="H24" s="46" t="s">
        <v>25</v>
      </c>
      <c r="I24" s="47">
        <v>0.2715</v>
      </c>
      <c r="J24" s="47">
        <v>0.2632</v>
      </c>
      <c r="K24" s="47">
        <v>0.3069</v>
      </c>
      <c r="L24" s="47">
        <v>0.2782</v>
      </c>
      <c r="M24" s="47">
        <v>0.2908</v>
      </c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8">
        <f t="shared" si="4"/>
        <v>0.00150000000000002</v>
      </c>
      <c r="Z24" s="48" t="str">
        <f t="shared" si="5"/>
        <v>√</v>
      </c>
      <c r="AA24" s="48">
        <f t="shared" si="6"/>
        <v>0.0369</v>
      </c>
      <c r="AB24" s="48">
        <f t="shared" si="7"/>
        <v>0.0082</v>
      </c>
      <c r="AC24" s="48">
        <f t="shared" si="8"/>
        <v>0.0208</v>
      </c>
      <c r="AD24" s="48" t="str">
        <f t="shared" si="25"/>
        <v/>
      </c>
      <c r="AE24" s="48" t="str">
        <f t="shared" si="25"/>
        <v/>
      </c>
      <c r="AF24" s="48" t="str">
        <f t="shared" si="25"/>
        <v/>
      </c>
      <c r="AG24" s="48" t="str">
        <f t="shared" si="25"/>
        <v/>
      </c>
      <c r="AH24" s="48" t="str">
        <f t="shared" si="25"/>
        <v/>
      </c>
      <c r="AI24" s="48" t="str">
        <f t="shared" si="25"/>
        <v/>
      </c>
      <c r="AJ24" s="48" t="str">
        <f t="shared" si="25"/>
        <v/>
      </c>
      <c r="AK24" s="48" t="str">
        <f t="shared" si="25"/>
        <v/>
      </c>
      <c r="AL24" s="48" t="str">
        <f t="shared" si="25"/>
        <v/>
      </c>
      <c r="AM24" s="48" t="str">
        <f t="shared" si="25"/>
        <v/>
      </c>
      <c r="AN24" s="48" t="str">
        <f t="shared" si="25"/>
        <v/>
      </c>
    </row>
    <row r="25" spans="1:40">
      <c r="A25" s="49"/>
      <c r="B25" s="45" t="s">
        <v>24</v>
      </c>
      <c r="C25" s="45">
        <v>8.43</v>
      </c>
      <c r="D25" s="45">
        <v>0.02</v>
      </c>
      <c r="E25" s="45">
        <v>0</v>
      </c>
      <c r="F25" s="45">
        <f t="shared" si="26"/>
        <v>8.45</v>
      </c>
      <c r="G25" s="45">
        <f t="shared" si="27"/>
        <v>8.43</v>
      </c>
      <c r="H25" s="46" t="s">
        <v>25</v>
      </c>
      <c r="I25" s="47">
        <v>8.3533</v>
      </c>
      <c r="J25" s="47">
        <v>8.3364</v>
      </c>
      <c r="K25" s="47">
        <v>8.3113</v>
      </c>
      <c r="L25" s="47">
        <v>8.3419</v>
      </c>
      <c r="M25" s="47">
        <v>8.303</v>
      </c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8">
        <f t="shared" si="4"/>
        <v>-0.0766999999999989</v>
      </c>
      <c r="Z25" s="48">
        <f t="shared" si="5"/>
        <v>-0.0936000000000003</v>
      </c>
      <c r="AA25" s="48">
        <f t="shared" si="6"/>
        <v>-0.1187</v>
      </c>
      <c r="AB25" s="48">
        <f t="shared" si="7"/>
        <v>-0.088099999999999</v>
      </c>
      <c r="AC25" s="48">
        <f t="shared" si="8"/>
        <v>-0.126999999999999</v>
      </c>
      <c r="AD25" s="48" t="str">
        <f t="shared" ref="Y25:AN25" si="28">IF(N25="","",IF(N25&gt;($C25+$D25),(N25-$C25-$D25),IF(N25&lt;($C25+$E25),(N25-$C25-$E25),"√")))</f>
        <v/>
      </c>
      <c r="AE25" s="48" t="str">
        <f t="shared" si="28"/>
        <v/>
      </c>
      <c r="AF25" s="48" t="str">
        <f t="shared" si="28"/>
        <v/>
      </c>
      <c r="AG25" s="48" t="str">
        <f t="shared" si="28"/>
        <v/>
      </c>
      <c r="AH25" s="48" t="str">
        <f t="shared" si="28"/>
        <v/>
      </c>
      <c r="AI25" s="48" t="str">
        <f t="shared" si="28"/>
        <v/>
      </c>
      <c r="AJ25" s="48" t="str">
        <f t="shared" si="28"/>
        <v/>
      </c>
      <c r="AK25" s="48" t="str">
        <f t="shared" si="28"/>
        <v/>
      </c>
      <c r="AL25" s="48" t="str">
        <f t="shared" si="28"/>
        <v/>
      </c>
      <c r="AM25" s="48" t="str">
        <f t="shared" si="28"/>
        <v/>
      </c>
      <c r="AN25" s="48" t="str">
        <f t="shared" si="28"/>
        <v/>
      </c>
    </row>
    <row r="26" spans="1:40">
      <c r="A26" s="49"/>
      <c r="B26" s="45" t="s">
        <v>26</v>
      </c>
      <c r="C26" s="45">
        <v>8.43</v>
      </c>
      <c r="D26" s="45">
        <v>0.02</v>
      </c>
      <c r="E26" s="45">
        <v>0</v>
      </c>
      <c r="F26" s="45">
        <f t="shared" si="26"/>
        <v>8.45</v>
      </c>
      <c r="G26" s="45">
        <f t="shared" si="27"/>
        <v>8.43</v>
      </c>
      <c r="H26" s="46" t="s">
        <v>25</v>
      </c>
      <c r="I26" s="47">
        <v>8.364</v>
      </c>
      <c r="J26" s="47">
        <v>8.3604</v>
      </c>
      <c r="K26" s="47">
        <v>8.3199</v>
      </c>
      <c r="L26" s="47">
        <v>8.36</v>
      </c>
      <c r="M26" s="47">
        <v>8.3296</v>
      </c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8">
        <f t="shared" si="4"/>
        <v>-0.0659999999999989</v>
      </c>
      <c r="Z26" s="48">
        <f t="shared" si="5"/>
        <v>-0.0695999999999994</v>
      </c>
      <c r="AA26" s="48">
        <f t="shared" si="6"/>
        <v>-0.110099999999999</v>
      </c>
      <c r="AB26" s="48">
        <f t="shared" si="7"/>
        <v>-0.0700000000000003</v>
      </c>
      <c r="AC26" s="48">
        <f t="shared" si="8"/>
        <v>-0.1004</v>
      </c>
      <c r="AD26" s="48" t="str">
        <f t="shared" ref="Y26:AN26" si="29">IF(N26="","",IF(N26&gt;($C26+$D26),(N26-$C26-$D26),IF(N26&lt;($C26+$E26),(N26-$C26-$E26),"√")))</f>
        <v/>
      </c>
      <c r="AE26" s="48" t="str">
        <f t="shared" si="29"/>
        <v/>
      </c>
      <c r="AF26" s="48" t="str">
        <f t="shared" si="29"/>
        <v/>
      </c>
      <c r="AG26" s="48" t="str">
        <f t="shared" si="29"/>
        <v/>
      </c>
      <c r="AH26" s="48" t="str">
        <f t="shared" si="29"/>
        <v/>
      </c>
      <c r="AI26" s="48" t="str">
        <f t="shared" si="29"/>
        <v/>
      </c>
      <c r="AJ26" s="48" t="str">
        <f t="shared" si="29"/>
        <v/>
      </c>
      <c r="AK26" s="48" t="str">
        <f t="shared" si="29"/>
        <v/>
      </c>
      <c r="AL26" s="48" t="str">
        <f t="shared" si="29"/>
        <v/>
      </c>
      <c r="AM26" s="48" t="str">
        <f t="shared" si="29"/>
        <v/>
      </c>
      <c r="AN26" s="48" t="str">
        <f t="shared" si="29"/>
        <v/>
      </c>
    </row>
    <row r="27" spans="1:40">
      <c r="A27" s="49"/>
      <c r="B27" s="45" t="s">
        <v>27</v>
      </c>
      <c r="C27" s="45">
        <v>8.43</v>
      </c>
      <c r="D27" s="45">
        <v>0.02</v>
      </c>
      <c r="E27" s="45">
        <v>0</v>
      </c>
      <c r="F27" s="45">
        <f t="shared" si="26"/>
        <v>8.45</v>
      </c>
      <c r="G27" s="45">
        <f t="shared" si="27"/>
        <v>8.43</v>
      </c>
      <c r="H27" s="46" t="s">
        <v>25</v>
      </c>
      <c r="I27" s="47">
        <v>8.3553</v>
      </c>
      <c r="J27" s="47">
        <v>8.378</v>
      </c>
      <c r="K27" s="47">
        <v>8.3232</v>
      </c>
      <c r="L27" s="47">
        <v>8.3745</v>
      </c>
      <c r="M27" s="47">
        <v>8.3293</v>
      </c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8">
        <f t="shared" si="4"/>
        <v>-0.0747</v>
      </c>
      <c r="Z27" s="48">
        <f t="shared" si="5"/>
        <v>-0.0519999999999996</v>
      </c>
      <c r="AA27" s="48">
        <f t="shared" si="6"/>
        <v>-0.1068</v>
      </c>
      <c r="AB27" s="48">
        <f t="shared" si="7"/>
        <v>-0.0555000000000003</v>
      </c>
      <c r="AC27" s="48">
        <f t="shared" si="8"/>
        <v>-0.1007</v>
      </c>
      <c r="AD27" s="48" t="str">
        <f t="shared" ref="Y27:AN27" si="30">IF(N27="","",IF(N27&gt;($C27+$D27),(N27-$C27-$D27),IF(N27&lt;($C27+$E27),(N27-$C27-$E27),"√")))</f>
        <v/>
      </c>
      <c r="AE27" s="48" t="str">
        <f t="shared" si="30"/>
        <v/>
      </c>
      <c r="AF27" s="48" t="str">
        <f t="shared" si="30"/>
        <v/>
      </c>
      <c r="AG27" s="48" t="str">
        <f t="shared" si="30"/>
        <v/>
      </c>
      <c r="AH27" s="48" t="str">
        <f t="shared" si="30"/>
        <v/>
      </c>
      <c r="AI27" s="48" t="str">
        <f t="shared" si="30"/>
        <v/>
      </c>
      <c r="AJ27" s="48" t="str">
        <f t="shared" si="30"/>
        <v/>
      </c>
      <c r="AK27" s="48" t="str">
        <f t="shared" si="30"/>
        <v/>
      </c>
      <c r="AL27" s="48" t="str">
        <f t="shared" si="30"/>
        <v/>
      </c>
      <c r="AM27" s="48" t="str">
        <f t="shared" si="30"/>
        <v/>
      </c>
      <c r="AN27" s="48" t="str">
        <f t="shared" si="30"/>
        <v/>
      </c>
    </row>
    <row r="28" spans="1:40">
      <c r="A28" s="49"/>
      <c r="B28" s="45" t="s">
        <v>28</v>
      </c>
      <c r="C28" s="45">
        <v>0.25</v>
      </c>
      <c r="D28" s="45">
        <v>0.02</v>
      </c>
      <c r="E28" s="45">
        <v>-0.02</v>
      </c>
      <c r="F28" s="45">
        <f t="shared" ref="F28:F59" si="31">C28+D28</f>
        <v>0.27</v>
      </c>
      <c r="G28" s="45">
        <f t="shared" ref="G28:G59" si="32">C28+E28</f>
        <v>0.23</v>
      </c>
      <c r="H28" s="46" t="s">
        <v>25</v>
      </c>
      <c r="I28" s="47">
        <v>0.2664</v>
      </c>
      <c r="J28" s="47">
        <v>0.288</v>
      </c>
      <c r="K28" s="47">
        <v>0.2934</v>
      </c>
      <c r="L28" s="47">
        <v>0.2282</v>
      </c>
      <c r="M28" s="47">
        <v>0.2646</v>
      </c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8" t="str">
        <f t="shared" si="4"/>
        <v>√</v>
      </c>
      <c r="Z28" s="48">
        <f t="shared" si="5"/>
        <v>0.018</v>
      </c>
      <c r="AA28" s="48">
        <f t="shared" si="6"/>
        <v>0.0234</v>
      </c>
      <c r="AB28" s="48">
        <f t="shared" si="7"/>
        <v>-0.00180000000000001</v>
      </c>
      <c r="AC28" s="48" t="str">
        <f t="shared" si="8"/>
        <v>√</v>
      </c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</row>
    <row r="29" spans="1:40">
      <c r="A29" s="49"/>
      <c r="B29" s="45" t="s">
        <v>29</v>
      </c>
      <c r="C29" s="45">
        <v>0.25</v>
      </c>
      <c r="D29" s="45">
        <v>0.02</v>
      </c>
      <c r="E29" s="45">
        <v>-0.02</v>
      </c>
      <c r="F29" s="45">
        <f t="shared" si="31"/>
        <v>0.27</v>
      </c>
      <c r="G29" s="45">
        <f t="shared" si="32"/>
        <v>0.23</v>
      </c>
      <c r="H29" s="46" t="s">
        <v>25</v>
      </c>
      <c r="I29" s="47">
        <v>0.2381</v>
      </c>
      <c r="J29" s="47">
        <v>0.2686</v>
      </c>
      <c r="K29" s="47">
        <v>0.2455</v>
      </c>
      <c r="L29" s="47">
        <v>0.2507</v>
      </c>
      <c r="M29" s="47">
        <v>0.2362</v>
      </c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8" t="str">
        <f t="shared" si="4"/>
        <v>√</v>
      </c>
      <c r="Z29" s="48" t="str">
        <f t="shared" si="5"/>
        <v>√</v>
      </c>
      <c r="AA29" s="48" t="str">
        <f t="shared" si="6"/>
        <v>√</v>
      </c>
      <c r="AB29" s="48" t="str">
        <f t="shared" si="7"/>
        <v>√</v>
      </c>
      <c r="AC29" s="48" t="str">
        <f t="shared" si="8"/>
        <v>√</v>
      </c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</row>
    <row r="30" spans="1:40">
      <c r="A30" s="49"/>
      <c r="B30" s="45" t="s">
        <v>30</v>
      </c>
      <c r="C30" s="45">
        <v>0.25</v>
      </c>
      <c r="D30" s="45">
        <v>0.02</v>
      </c>
      <c r="E30" s="45">
        <v>-0.02</v>
      </c>
      <c r="F30" s="45">
        <f t="shared" si="31"/>
        <v>0.27</v>
      </c>
      <c r="G30" s="45">
        <f t="shared" si="32"/>
        <v>0.23</v>
      </c>
      <c r="H30" s="46" t="s">
        <v>25</v>
      </c>
      <c r="I30" s="47">
        <v>0.3288</v>
      </c>
      <c r="J30" s="47">
        <v>0.2688</v>
      </c>
      <c r="K30" s="47">
        <v>0.2807</v>
      </c>
      <c r="L30" s="47">
        <v>0.2683</v>
      </c>
      <c r="M30" s="47">
        <v>0.2487</v>
      </c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8">
        <f t="shared" si="4"/>
        <v>0.0588</v>
      </c>
      <c r="Z30" s="48" t="str">
        <f t="shared" si="5"/>
        <v>√</v>
      </c>
      <c r="AA30" s="48">
        <f t="shared" si="6"/>
        <v>0.0107</v>
      </c>
      <c r="AB30" s="48" t="str">
        <f t="shared" si="7"/>
        <v>√</v>
      </c>
      <c r="AC30" s="48" t="str">
        <f t="shared" si="8"/>
        <v>√</v>
      </c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</row>
    <row r="31" spans="1:40">
      <c r="A31" s="49"/>
      <c r="B31" s="45" t="s">
        <v>24</v>
      </c>
      <c r="C31" s="45">
        <v>8.43</v>
      </c>
      <c r="D31" s="45">
        <v>0.02</v>
      </c>
      <c r="E31" s="45">
        <v>0</v>
      </c>
      <c r="F31" s="45">
        <f t="shared" si="31"/>
        <v>8.45</v>
      </c>
      <c r="G31" s="45">
        <f t="shared" si="32"/>
        <v>8.43</v>
      </c>
      <c r="H31" s="46" t="s">
        <v>25</v>
      </c>
      <c r="I31" s="47">
        <v>8.3913</v>
      </c>
      <c r="J31" s="47">
        <v>8.3771</v>
      </c>
      <c r="K31" s="47">
        <v>8.3185</v>
      </c>
      <c r="L31" s="47">
        <v>8.3678</v>
      </c>
      <c r="M31" s="47">
        <v>8.3438</v>
      </c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8">
        <f t="shared" si="4"/>
        <v>-0.0387000000000004</v>
      </c>
      <c r="Z31" s="48">
        <f t="shared" si="5"/>
        <v>-0.0528999999999993</v>
      </c>
      <c r="AA31" s="48">
        <f t="shared" si="6"/>
        <v>-0.111499999999999</v>
      </c>
      <c r="AB31" s="48">
        <f t="shared" si="7"/>
        <v>-0.0621999999999989</v>
      </c>
      <c r="AC31" s="48">
        <f t="shared" si="8"/>
        <v>-0.0861999999999998</v>
      </c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</row>
    <row r="32" spans="1:40">
      <c r="A32" s="49"/>
      <c r="B32" s="45" t="s">
        <v>26</v>
      </c>
      <c r="C32" s="45">
        <v>8.43</v>
      </c>
      <c r="D32" s="45">
        <v>0.02</v>
      </c>
      <c r="E32" s="45">
        <v>0</v>
      </c>
      <c r="F32" s="45">
        <f t="shared" si="31"/>
        <v>8.45</v>
      </c>
      <c r="G32" s="45">
        <f t="shared" si="32"/>
        <v>8.43</v>
      </c>
      <c r="H32" s="46" t="s">
        <v>25</v>
      </c>
      <c r="I32" s="47">
        <v>8.3916</v>
      </c>
      <c r="J32" s="47">
        <v>8.3701</v>
      </c>
      <c r="K32" s="47">
        <v>8.3292</v>
      </c>
      <c r="L32" s="47">
        <v>8.3744</v>
      </c>
      <c r="M32" s="47">
        <v>8.3357</v>
      </c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8">
        <f t="shared" si="4"/>
        <v>-0.0383999999999993</v>
      </c>
      <c r="Z32" s="48">
        <f t="shared" si="5"/>
        <v>-0.059899999999999</v>
      </c>
      <c r="AA32" s="48">
        <f t="shared" si="6"/>
        <v>-0.1008</v>
      </c>
      <c r="AB32" s="48">
        <f t="shared" si="7"/>
        <v>-0.0556000000000001</v>
      </c>
      <c r="AC32" s="48">
        <f t="shared" si="8"/>
        <v>-0.0943000000000005</v>
      </c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</row>
    <row r="33" spans="1:40">
      <c r="A33" s="49"/>
      <c r="B33" s="45" t="s">
        <v>27</v>
      </c>
      <c r="C33" s="45">
        <v>8.43</v>
      </c>
      <c r="D33" s="45">
        <v>0.02</v>
      </c>
      <c r="E33" s="45">
        <v>0</v>
      </c>
      <c r="F33" s="45">
        <f t="shared" si="31"/>
        <v>8.45</v>
      </c>
      <c r="G33" s="45">
        <f t="shared" si="32"/>
        <v>8.43</v>
      </c>
      <c r="H33" s="46" t="s">
        <v>25</v>
      </c>
      <c r="I33" s="47">
        <v>8.3806</v>
      </c>
      <c r="J33" s="47">
        <v>8.4063</v>
      </c>
      <c r="K33" s="47">
        <v>8.3506</v>
      </c>
      <c r="L33" s="47">
        <v>8.3599</v>
      </c>
      <c r="M33" s="47">
        <v>8.355</v>
      </c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8">
        <f t="shared" si="4"/>
        <v>-0.0494000000000003</v>
      </c>
      <c r="Z33" s="48">
        <f t="shared" si="5"/>
        <v>-0.0236999999999998</v>
      </c>
      <c r="AA33" s="48">
        <f t="shared" si="6"/>
        <v>-0.0793999999999997</v>
      </c>
      <c r="AB33" s="48">
        <f t="shared" si="7"/>
        <v>-0.0701000000000001</v>
      </c>
      <c r="AC33" s="48">
        <f t="shared" si="8"/>
        <v>-0.0749999999999993</v>
      </c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</row>
    <row r="34" spans="1:40">
      <c r="A34" s="49"/>
      <c r="B34" s="45" t="s">
        <v>28</v>
      </c>
      <c r="C34" s="45">
        <v>0.25</v>
      </c>
      <c r="D34" s="45">
        <v>0.02</v>
      </c>
      <c r="E34" s="45">
        <v>-0.02</v>
      </c>
      <c r="F34" s="45">
        <f t="shared" si="31"/>
        <v>0.27</v>
      </c>
      <c r="G34" s="45">
        <f t="shared" si="32"/>
        <v>0.23</v>
      </c>
      <c r="H34" s="46" t="s">
        <v>25</v>
      </c>
      <c r="I34" s="47">
        <v>0.2169</v>
      </c>
      <c r="J34" s="47">
        <v>0.2669</v>
      </c>
      <c r="K34" s="47">
        <v>0.2649</v>
      </c>
      <c r="L34" s="47">
        <v>0.2505</v>
      </c>
      <c r="M34" s="47">
        <v>0.3099</v>
      </c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8">
        <f t="shared" si="4"/>
        <v>-0.0131</v>
      </c>
      <c r="Z34" s="48" t="str">
        <f t="shared" si="5"/>
        <v>√</v>
      </c>
      <c r="AA34" s="48" t="str">
        <f t="shared" si="6"/>
        <v>√</v>
      </c>
      <c r="AB34" s="48" t="str">
        <f t="shared" si="7"/>
        <v>√</v>
      </c>
      <c r="AC34" s="48">
        <f t="shared" si="8"/>
        <v>0.0399</v>
      </c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</row>
    <row r="35" spans="1:40">
      <c r="A35" s="49"/>
      <c r="B35" s="45" t="s">
        <v>29</v>
      </c>
      <c r="C35" s="45">
        <v>0.25</v>
      </c>
      <c r="D35" s="45">
        <v>0.02</v>
      </c>
      <c r="E35" s="45">
        <v>-0.02</v>
      </c>
      <c r="F35" s="45">
        <f t="shared" si="31"/>
        <v>0.27</v>
      </c>
      <c r="G35" s="45">
        <f t="shared" si="32"/>
        <v>0.23</v>
      </c>
      <c r="H35" s="46" t="s">
        <v>25</v>
      </c>
      <c r="I35" s="47">
        <v>0.2675</v>
      </c>
      <c r="J35" s="47">
        <v>0.2674</v>
      </c>
      <c r="K35" s="47">
        <v>0.2428</v>
      </c>
      <c r="L35" s="47">
        <v>0.2535</v>
      </c>
      <c r="M35" s="47">
        <v>0.269</v>
      </c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8" t="str">
        <f t="shared" si="4"/>
        <v>√</v>
      </c>
      <c r="Z35" s="48" t="str">
        <f t="shared" si="5"/>
        <v>√</v>
      </c>
      <c r="AA35" s="48" t="str">
        <f t="shared" si="6"/>
        <v>√</v>
      </c>
      <c r="AB35" s="48" t="str">
        <f t="shared" si="7"/>
        <v>√</v>
      </c>
      <c r="AC35" s="48" t="str">
        <f t="shared" si="8"/>
        <v>√</v>
      </c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</row>
    <row r="36" spans="1:40">
      <c r="A36" s="49"/>
      <c r="B36" s="45" t="s">
        <v>30</v>
      </c>
      <c r="C36" s="45">
        <v>0.25</v>
      </c>
      <c r="D36" s="45">
        <v>0.02</v>
      </c>
      <c r="E36" s="45">
        <v>-0.02</v>
      </c>
      <c r="F36" s="45">
        <f t="shared" si="31"/>
        <v>0.27</v>
      </c>
      <c r="G36" s="45">
        <f t="shared" si="32"/>
        <v>0.23</v>
      </c>
      <c r="H36" s="46" t="s">
        <v>25</v>
      </c>
      <c r="I36" s="47">
        <v>0.2731</v>
      </c>
      <c r="J36" s="47">
        <v>0.2422</v>
      </c>
      <c r="K36" s="47">
        <v>0.2801</v>
      </c>
      <c r="L36" s="47">
        <v>0.2826</v>
      </c>
      <c r="M36" s="47">
        <v>0.2882</v>
      </c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8">
        <f t="shared" si="4"/>
        <v>0.00310000000000001</v>
      </c>
      <c r="Z36" s="48" t="str">
        <f t="shared" si="5"/>
        <v>√</v>
      </c>
      <c r="AA36" s="48">
        <f t="shared" si="6"/>
        <v>0.0101</v>
      </c>
      <c r="AB36" s="48">
        <f t="shared" si="7"/>
        <v>0.0126</v>
      </c>
      <c r="AC36" s="48">
        <f t="shared" si="8"/>
        <v>0.0182</v>
      </c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</row>
    <row r="37" spans="1:40">
      <c r="A37" s="49"/>
      <c r="B37" s="45" t="s">
        <v>24</v>
      </c>
      <c r="C37" s="45">
        <v>8.43</v>
      </c>
      <c r="D37" s="45">
        <v>0.02</v>
      </c>
      <c r="E37" s="45">
        <v>0</v>
      </c>
      <c r="F37" s="45">
        <f t="shared" si="31"/>
        <v>8.45</v>
      </c>
      <c r="G37" s="45">
        <f t="shared" si="32"/>
        <v>8.43</v>
      </c>
      <c r="H37" s="46" t="s">
        <v>25</v>
      </c>
      <c r="I37" s="47">
        <v>8.3244</v>
      </c>
      <c r="J37" s="47">
        <v>8.36</v>
      </c>
      <c r="K37" s="47">
        <v>8.3929</v>
      </c>
      <c r="L37" s="47">
        <v>8.316</v>
      </c>
      <c r="M37" s="47">
        <v>8.3009</v>
      </c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8">
        <f t="shared" si="4"/>
        <v>-0.105599999999999</v>
      </c>
      <c r="Z37" s="48">
        <f t="shared" si="5"/>
        <v>-0.0700000000000003</v>
      </c>
      <c r="AA37" s="48">
        <f t="shared" si="6"/>
        <v>-0.0371000000000006</v>
      </c>
      <c r="AB37" s="48">
        <f t="shared" si="7"/>
        <v>-0.113999999999999</v>
      </c>
      <c r="AC37" s="48">
        <f t="shared" si="8"/>
        <v>-0.129099999999999</v>
      </c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</row>
    <row r="38" spans="1:40">
      <c r="A38" s="49"/>
      <c r="B38" s="45" t="s">
        <v>26</v>
      </c>
      <c r="C38" s="45">
        <v>8.43</v>
      </c>
      <c r="D38" s="45">
        <v>0.02</v>
      </c>
      <c r="E38" s="45">
        <v>0</v>
      </c>
      <c r="F38" s="45">
        <f t="shared" si="31"/>
        <v>8.45</v>
      </c>
      <c r="G38" s="45">
        <f t="shared" si="32"/>
        <v>8.43</v>
      </c>
      <c r="H38" s="46" t="s">
        <v>25</v>
      </c>
      <c r="I38" s="47">
        <v>8.367</v>
      </c>
      <c r="J38" s="47">
        <v>8.3915</v>
      </c>
      <c r="K38" s="47">
        <v>8.3525</v>
      </c>
      <c r="L38" s="47">
        <v>8.3876</v>
      </c>
      <c r="M38" s="47">
        <v>8.361</v>
      </c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8">
        <f t="shared" si="4"/>
        <v>-0.0629999999999988</v>
      </c>
      <c r="Z38" s="48">
        <f t="shared" si="5"/>
        <v>-0.0384999999999991</v>
      </c>
      <c r="AA38" s="48">
        <f t="shared" si="6"/>
        <v>-0.0775000000000006</v>
      </c>
      <c r="AB38" s="48">
        <f t="shared" si="7"/>
        <v>-0.0423999999999989</v>
      </c>
      <c r="AC38" s="48">
        <f t="shared" si="8"/>
        <v>-0.0689999999999991</v>
      </c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</row>
    <row r="39" spans="1:40">
      <c r="A39" s="49"/>
      <c r="B39" s="45" t="s">
        <v>27</v>
      </c>
      <c r="C39" s="45">
        <v>8.43</v>
      </c>
      <c r="D39" s="45">
        <v>0.02</v>
      </c>
      <c r="E39" s="45">
        <v>0</v>
      </c>
      <c r="F39" s="45">
        <f t="shared" si="31"/>
        <v>8.45</v>
      </c>
      <c r="G39" s="45">
        <f t="shared" si="32"/>
        <v>8.43</v>
      </c>
      <c r="H39" s="46" t="s">
        <v>25</v>
      </c>
      <c r="I39" s="47">
        <v>8.4332</v>
      </c>
      <c r="J39" s="47">
        <v>8.4463</v>
      </c>
      <c r="K39" s="47">
        <v>8.3956</v>
      </c>
      <c r="L39" s="47">
        <v>8.4237</v>
      </c>
      <c r="M39" s="47">
        <v>8.3953</v>
      </c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8" t="str">
        <f t="shared" si="4"/>
        <v>√</v>
      </c>
      <c r="Z39" s="48" t="str">
        <f t="shared" si="5"/>
        <v>√</v>
      </c>
      <c r="AA39" s="48">
        <f t="shared" si="6"/>
        <v>-0.0343999999999998</v>
      </c>
      <c r="AB39" s="48">
        <f t="shared" si="7"/>
        <v>-0.00629999999999953</v>
      </c>
      <c r="AC39" s="48">
        <f t="shared" si="8"/>
        <v>-0.0346999999999991</v>
      </c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</row>
    <row r="40" spans="1:40">
      <c r="A40" s="49"/>
      <c r="B40" s="45" t="s">
        <v>28</v>
      </c>
      <c r="C40" s="45">
        <v>0.25</v>
      </c>
      <c r="D40" s="45">
        <v>0.02</v>
      </c>
      <c r="E40" s="45">
        <v>-0.02</v>
      </c>
      <c r="F40" s="45">
        <f t="shared" si="31"/>
        <v>0.27</v>
      </c>
      <c r="G40" s="45">
        <f t="shared" si="32"/>
        <v>0.23</v>
      </c>
      <c r="H40" s="46" t="s">
        <v>25</v>
      </c>
      <c r="I40" s="47">
        <v>0.2973</v>
      </c>
      <c r="J40" s="47">
        <v>0.2793</v>
      </c>
      <c r="K40" s="47">
        <v>0.2479</v>
      </c>
      <c r="L40" s="47">
        <v>0.2933</v>
      </c>
      <c r="M40" s="47">
        <v>0.2725</v>
      </c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8">
        <f t="shared" si="4"/>
        <v>0.0273</v>
      </c>
      <c r="Z40" s="48">
        <f t="shared" si="5"/>
        <v>0.00929999999999999</v>
      </c>
      <c r="AA40" s="48" t="str">
        <f t="shared" si="6"/>
        <v>√</v>
      </c>
      <c r="AB40" s="48">
        <f t="shared" si="7"/>
        <v>0.0233</v>
      </c>
      <c r="AC40" s="48">
        <f t="shared" si="8"/>
        <v>0.00250000000000002</v>
      </c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</row>
    <row r="41" spans="1:40">
      <c r="A41" s="49"/>
      <c r="B41" s="45" t="s">
        <v>29</v>
      </c>
      <c r="C41" s="45">
        <v>0.25</v>
      </c>
      <c r="D41" s="45">
        <v>0.02</v>
      </c>
      <c r="E41" s="45">
        <v>-0.02</v>
      </c>
      <c r="F41" s="45">
        <f t="shared" si="31"/>
        <v>0.27</v>
      </c>
      <c r="G41" s="45">
        <f t="shared" si="32"/>
        <v>0.23</v>
      </c>
      <c r="H41" s="46" t="s">
        <v>25</v>
      </c>
      <c r="I41" s="47">
        <v>0.2601</v>
      </c>
      <c r="J41" s="47">
        <v>0.266</v>
      </c>
      <c r="K41" s="47">
        <v>0.2764</v>
      </c>
      <c r="L41" s="47">
        <v>0.2347</v>
      </c>
      <c r="M41" s="47">
        <v>0.2587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8" t="str">
        <f t="shared" si="4"/>
        <v>√</v>
      </c>
      <c r="Z41" s="48" t="str">
        <f t="shared" si="5"/>
        <v>√</v>
      </c>
      <c r="AA41" s="48">
        <f t="shared" si="6"/>
        <v>0.00639999999999998</v>
      </c>
      <c r="AB41" s="48" t="str">
        <f t="shared" si="7"/>
        <v>√</v>
      </c>
      <c r="AC41" s="48" t="str">
        <f t="shared" si="8"/>
        <v>√</v>
      </c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</row>
    <row r="42" spans="1:40">
      <c r="A42" s="49"/>
      <c r="B42" s="45" t="s">
        <v>30</v>
      </c>
      <c r="C42" s="45">
        <v>0.25</v>
      </c>
      <c r="D42" s="45">
        <v>0.02</v>
      </c>
      <c r="E42" s="45">
        <v>-0.02</v>
      </c>
      <c r="F42" s="45">
        <f t="shared" si="31"/>
        <v>0.27</v>
      </c>
      <c r="G42" s="45">
        <f t="shared" si="32"/>
        <v>0.23</v>
      </c>
      <c r="H42" s="46" t="s">
        <v>25</v>
      </c>
      <c r="I42" s="47">
        <v>0.3126</v>
      </c>
      <c r="J42" s="47">
        <v>0.2484</v>
      </c>
      <c r="K42" s="47">
        <v>0.224</v>
      </c>
      <c r="L42" s="47">
        <v>0.2757</v>
      </c>
      <c r="M42" s="47">
        <v>0.2358</v>
      </c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8">
        <f t="shared" si="4"/>
        <v>0.0426</v>
      </c>
      <c r="Z42" s="48" t="str">
        <f t="shared" si="5"/>
        <v>√</v>
      </c>
      <c r="AA42" s="48">
        <f t="shared" si="6"/>
        <v>-0.00599999999999999</v>
      </c>
      <c r="AB42" s="48">
        <f t="shared" si="7"/>
        <v>0.0057</v>
      </c>
      <c r="AC42" s="48" t="str">
        <f t="shared" si="8"/>
        <v>√</v>
      </c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</row>
    <row r="43" s="1" customFormat="1" ht="13.5" spans="1:40">
      <c r="A43" s="50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2"/>
      <c r="AK43" s="53"/>
      <c r="AL43" s="54"/>
      <c r="AM43" s="55"/>
      <c r="AN43" s="56"/>
    </row>
    <row r="44" spans="1:40">
      <c r="C44"/>
      <c r="D44"/>
      <c r="E44"/>
      <c r="F44"/>
      <c r="G44"/>
      <c r="H44"/>
    </row>
    <row r="45" spans="1:40">
      <c r="C45"/>
      <c r="D45"/>
      <c r="E45"/>
      <c r="F45"/>
      <c r="G45"/>
      <c r="H45"/>
    </row>
    <row r="46" spans="1:40">
      <c r="C46"/>
      <c r="D46"/>
      <c r="E46"/>
      <c r="F46"/>
      <c r="G46"/>
      <c r="H46"/>
    </row>
    <row r="47" spans="1:40">
      <c r="C47"/>
      <c r="D47"/>
      <c r="E47"/>
      <c r="F47"/>
      <c r="G47"/>
      <c r="H47"/>
    </row>
    <row r="48" spans="1:40">
      <c r="C48"/>
      <c r="D48"/>
      <c r="E48"/>
      <c r="F48"/>
      <c r="G48"/>
      <c r="H48"/>
    </row>
    <row r="49" spans="3:8">
      <c r="C49"/>
      <c r="D49"/>
      <c r="E49"/>
      <c r="F49"/>
      <c r="G49"/>
      <c r="H49"/>
    </row>
    <row r="50" spans="3:8">
      <c r="C50"/>
      <c r="D50"/>
      <c r="E50"/>
      <c r="F50"/>
      <c r="G50"/>
      <c r="H50"/>
    </row>
    <row r="51" spans="3:8">
      <c r="C51"/>
      <c r="D51"/>
      <c r="E51"/>
      <c r="F51"/>
      <c r="G51"/>
      <c r="H51"/>
    </row>
    <row r="52" spans="3:8">
      <c r="C52"/>
      <c r="D52"/>
      <c r="E52"/>
      <c r="F52"/>
      <c r="G52"/>
      <c r="H52"/>
    </row>
    <row r="53" spans="3:8">
      <c r="C53"/>
      <c r="D53"/>
      <c r="E53"/>
      <c r="F53"/>
      <c r="G53"/>
      <c r="H53"/>
    </row>
    <row r="54" spans="3:8">
      <c r="C54"/>
      <c r="D54"/>
      <c r="E54"/>
      <c r="F54"/>
      <c r="G54"/>
      <c r="H54"/>
    </row>
    <row r="55" spans="3:8">
      <c r="C55"/>
      <c r="D55"/>
      <c r="E55"/>
      <c r="F55"/>
      <c r="G55"/>
      <c r="H55"/>
    </row>
    <row r="56" spans="3:8">
      <c r="C56"/>
      <c r="D56"/>
      <c r="E56"/>
      <c r="F56"/>
      <c r="G56"/>
      <c r="H56"/>
    </row>
    <row r="57" spans="3:8">
      <c r="C57"/>
      <c r="D57"/>
      <c r="E57"/>
      <c r="F57"/>
      <c r="G57"/>
      <c r="H57"/>
    </row>
    <row r="58" spans="3:8">
      <c r="C58"/>
      <c r="D58"/>
      <c r="E58"/>
      <c r="F58"/>
      <c r="G58"/>
      <c r="H58"/>
    </row>
    <row r="59" spans="3:8">
      <c r="C59"/>
      <c r="D59"/>
      <c r="E59"/>
      <c r="F59"/>
      <c r="G59"/>
      <c r="H59"/>
    </row>
    <row r="60" spans="3:8">
      <c r="C60"/>
      <c r="D60"/>
      <c r="E60"/>
      <c r="F60"/>
      <c r="G60"/>
      <c r="H60"/>
    </row>
    <row r="61" spans="3:8">
      <c r="C61"/>
      <c r="D61"/>
      <c r="E61"/>
      <c r="F61"/>
      <c r="G61"/>
      <c r="H61"/>
    </row>
    <row r="62" spans="3:8">
      <c r="C62"/>
      <c r="D62"/>
      <c r="E62"/>
      <c r="F62"/>
      <c r="G62"/>
      <c r="H62"/>
    </row>
    <row r="63" spans="3:8">
      <c r="C63"/>
      <c r="D63"/>
      <c r="E63"/>
      <c r="F63"/>
      <c r="G63"/>
      <c r="H63"/>
    </row>
    <row r="64" spans="3:8">
      <c r="C64"/>
      <c r="D64"/>
      <c r="E64"/>
      <c r="F64"/>
      <c r="G64"/>
      <c r="H64"/>
    </row>
    <row r="65" spans="3:8">
      <c r="C65"/>
      <c r="D65"/>
      <c r="E65"/>
      <c r="F65"/>
      <c r="G65"/>
      <c r="H65"/>
    </row>
    <row r="66" spans="3:8">
      <c r="C66"/>
      <c r="D66"/>
      <c r="E66"/>
      <c r="F66"/>
      <c r="G66"/>
      <c r="H66"/>
    </row>
    <row r="67" spans="3:8">
      <c r="C67"/>
      <c r="D67"/>
      <c r="E67"/>
      <c r="F67"/>
      <c r="G67"/>
      <c r="H67"/>
    </row>
    <row r="68" spans="3:8">
      <c r="C68"/>
      <c r="D68"/>
      <c r="E68"/>
      <c r="F68"/>
      <c r="G68"/>
      <c r="H68"/>
    </row>
    <row r="69" spans="3:8">
      <c r="C69"/>
      <c r="D69"/>
      <c r="E69"/>
      <c r="F69"/>
      <c r="G69"/>
      <c r="H69"/>
    </row>
    <row r="70" spans="3:8">
      <c r="C70"/>
      <c r="D70"/>
      <c r="E70"/>
      <c r="F70"/>
      <c r="G70"/>
      <c r="H70"/>
    </row>
    <row r="71" spans="3:8">
      <c r="C71"/>
      <c r="D71"/>
      <c r="E71"/>
      <c r="F71"/>
      <c r="G71"/>
      <c r="H71"/>
    </row>
    <row r="72" spans="3:8">
      <c r="C72"/>
      <c r="D72"/>
      <c r="E72"/>
      <c r="F72"/>
      <c r="G72"/>
      <c r="H72"/>
    </row>
    <row r="73" spans="3:8">
      <c r="C73"/>
      <c r="D73"/>
      <c r="E73"/>
      <c r="F73"/>
      <c r="G73"/>
      <c r="H73"/>
    </row>
    <row r="74" spans="3:8">
      <c r="C74"/>
      <c r="D74"/>
      <c r="E74"/>
      <c r="F74"/>
      <c r="G74"/>
      <c r="H74"/>
    </row>
    <row r="75" spans="3:8">
      <c r="C75"/>
      <c r="D75"/>
      <c r="E75"/>
      <c r="F75"/>
      <c r="G75"/>
      <c r="H75"/>
    </row>
    <row r="76" spans="3:8">
      <c r="C76"/>
      <c r="D76"/>
      <c r="E76"/>
      <c r="F76"/>
      <c r="G76"/>
      <c r="H76"/>
    </row>
    <row r="77" spans="3:8">
      <c r="C77"/>
      <c r="D77"/>
      <c r="E77"/>
      <c r="F77"/>
      <c r="G77"/>
      <c r="H77"/>
    </row>
    <row r="78" spans="3:8">
      <c r="C78"/>
      <c r="D78"/>
      <c r="E78"/>
      <c r="F78"/>
      <c r="G78"/>
      <c r="H78"/>
    </row>
    <row r="79" spans="3:8">
      <c r="C79"/>
      <c r="D79"/>
      <c r="E79"/>
      <c r="F79"/>
      <c r="G79"/>
      <c r="H79"/>
    </row>
    <row r="80" spans="3:8">
      <c r="C80"/>
      <c r="D80"/>
      <c r="E80"/>
      <c r="F80"/>
      <c r="G80"/>
      <c r="H80"/>
    </row>
    <row r="81" spans="3:8">
      <c r="C81"/>
      <c r="D81"/>
      <c r="E81"/>
      <c r="F81"/>
      <c r="G81"/>
      <c r="H81"/>
    </row>
    <row r="82" spans="3:8">
      <c r="C82"/>
      <c r="D82"/>
      <c r="E82"/>
      <c r="F82"/>
      <c r="G82"/>
      <c r="H82"/>
    </row>
    <row r="83" spans="3:8">
      <c r="C83"/>
      <c r="D83"/>
      <c r="E83"/>
      <c r="F83"/>
      <c r="G83"/>
      <c r="H83"/>
    </row>
    <row r="84" spans="3:8">
      <c r="C84"/>
      <c r="D84"/>
      <c r="E84"/>
      <c r="F84"/>
      <c r="G84"/>
      <c r="H84"/>
    </row>
    <row r="85" spans="3:8">
      <c r="C85"/>
      <c r="D85"/>
      <c r="E85"/>
      <c r="F85"/>
      <c r="G85"/>
      <c r="H85"/>
    </row>
    <row r="86" spans="3:8">
      <c r="C86"/>
      <c r="D86"/>
      <c r="E86"/>
      <c r="F86"/>
      <c r="G86"/>
      <c r="H86"/>
    </row>
    <row r="87" spans="3:8">
      <c r="C87"/>
      <c r="D87"/>
      <c r="E87"/>
      <c r="F87"/>
      <c r="G87"/>
      <c r="H87"/>
    </row>
    <row r="88" spans="3:8">
      <c r="C88"/>
      <c r="D88"/>
      <c r="E88"/>
      <c r="F88"/>
      <c r="G88"/>
      <c r="H88"/>
    </row>
    <row r="89" spans="3:8">
      <c r="C89"/>
      <c r="D89"/>
      <c r="E89"/>
      <c r="F89"/>
      <c r="G89"/>
      <c r="H89"/>
    </row>
    <row r="90" spans="3:8">
      <c r="C90"/>
      <c r="D90"/>
      <c r="E90"/>
      <c r="F90"/>
      <c r="G90"/>
      <c r="H90"/>
    </row>
    <row r="91" spans="3:8">
      <c r="C91"/>
      <c r="D91"/>
      <c r="E91"/>
      <c r="F91"/>
      <c r="G91"/>
      <c r="H91"/>
    </row>
    <row r="92" spans="3:8">
      <c r="C92"/>
      <c r="D92"/>
      <c r="E92"/>
      <c r="F92"/>
      <c r="G92"/>
      <c r="H92"/>
    </row>
    <row r="93" spans="3:8">
      <c r="C93"/>
      <c r="D93"/>
      <c r="E93"/>
      <c r="F93"/>
      <c r="G93"/>
      <c r="H93"/>
    </row>
    <row r="94" spans="3:8">
      <c r="C94"/>
      <c r="D94"/>
      <c r="E94"/>
      <c r="F94"/>
      <c r="G94"/>
      <c r="H94"/>
    </row>
    <row r="95" spans="3:8">
      <c r="C95"/>
      <c r="D95"/>
      <c r="E95"/>
      <c r="F95"/>
      <c r="G95"/>
      <c r="H95"/>
    </row>
    <row r="96" spans="3:8">
      <c r="C96"/>
      <c r="D96"/>
      <c r="E96"/>
      <c r="F96"/>
      <c r="G96"/>
      <c r="H96"/>
    </row>
    <row r="97" spans="3:8">
      <c r="C97"/>
      <c r="D97"/>
      <c r="E97"/>
      <c r="F97"/>
      <c r="G97"/>
      <c r="H97"/>
    </row>
    <row r="98" spans="3:8">
      <c r="C98"/>
      <c r="D98"/>
      <c r="E98"/>
      <c r="F98"/>
      <c r="G98"/>
      <c r="H98"/>
    </row>
    <row r="99" spans="3:8">
      <c r="C99"/>
      <c r="D99"/>
      <c r="E99"/>
      <c r="F99"/>
      <c r="G99"/>
      <c r="H99"/>
    </row>
    <row r="100" spans="3:8">
      <c r="C100"/>
      <c r="D100"/>
      <c r="E100"/>
      <c r="F100"/>
      <c r="G100"/>
      <c r="H100"/>
    </row>
    <row r="101" spans="3:8">
      <c r="C101"/>
      <c r="D101"/>
      <c r="E101"/>
      <c r="F101"/>
      <c r="G101"/>
      <c r="H101"/>
    </row>
    <row r="102" spans="3:8">
      <c r="C102"/>
      <c r="D102"/>
      <c r="E102"/>
      <c r="F102"/>
      <c r="G102"/>
      <c r="H102"/>
    </row>
    <row r="103" spans="3:8">
      <c r="C103"/>
      <c r="D103"/>
      <c r="E103"/>
      <c r="F103"/>
      <c r="G103"/>
      <c r="H103"/>
    </row>
    <row r="104" spans="3:8">
      <c r="C104"/>
      <c r="D104"/>
      <c r="E104"/>
      <c r="F104"/>
      <c r="G104"/>
      <c r="H104"/>
    </row>
    <row r="105" spans="3:8">
      <c r="C105"/>
      <c r="D105"/>
      <c r="E105"/>
      <c r="F105"/>
      <c r="G105"/>
      <c r="H105"/>
    </row>
    <row r="106" spans="3:8">
      <c r="C106"/>
      <c r="D106"/>
      <c r="E106"/>
      <c r="F106"/>
      <c r="G106"/>
      <c r="H106"/>
    </row>
    <row r="107" spans="3:8">
      <c r="C107"/>
      <c r="D107"/>
      <c r="E107"/>
      <c r="F107"/>
      <c r="G107"/>
      <c r="H107"/>
    </row>
    <row r="108" spans="3:8">
      <c r="C108"/>
      <c r="D108"/>
      <c r="E108"/>
      <c r="F108"/>
      <c r="G108"/>
      <c r="H108"/>
    </row>
    <row r="109" spans="3:8">
      <c r="C109"/>
      <c r="D109"/>
      <c r="E109"/>
      <c r="F109"/>
      <c r="G109"/>
      <c r="H109"/>
    </row>
    <row r="110" spans="3:8">
      <c r="C110"/>
      <c r="D110"/>
      <c r="E110"/>
      <c r="F110"/>
      <c r="G110"/>
      <c r="H110"/>
    </row>
    <row r="111" spans="3:8">
      <c r="C111"/>
      <c r="D111"/>
      <c r="E111"/>
      <c r="F111"/>
      <c r="G111"/>
      <c r="H111"/>
    </row>
    <row r="112" spans="3:8">
      <c r="C112"/>
      <c r="D112"/>
      <c r="E112"/>
      <c r="F112"/>
      <c r="G112"/>
      <c r="H112"/>
    </row>
    <row r="113" spans="3:8">
      <c r="C113"/>
      <c r="D113"/>
      <c r="E113"/>
      <c r="F113"/>
      <c r="G113"/>
      <c r="H113"/>
    </row>
    <row r="114" spans="3:8">
      <c r="C114"/>
      <c r="D114"/>
      <c r="E114"/>
      <c r="F114"/>
      <c r="G114"/>
      <c r="H114"/>
    </row>
    <row r="115" spans="3:8">
      <c r="C115"/>
      <c r="D115"/>
      <c r="E115"/>
      <c r="F115"/>
      <c r="G115"/>
      <c r="H115"/>
    </row>
  </sheetData>
  <mergeCells count="31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43:AJ43"/>
    <mergeCell ref="AK43:AL43"/>
    <mergeCell ref="AM43:AN43"/>
    <mergeCell ref="A2:A3"/>
    <mergeCell ref="A4:A6"/>
    <mergeCell ref="A7:A42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22:X22">
    <cfRule type="cellIs" dxfId="0" priority="4" stopIfTrue="1" operator="notBetween">
      <formula>$F22</formula>
      <formula>$G22</formula>
    </cfRule>
  </conditionalFormatting>
  <conditionalFormatting sqref="I27:X27">
    <cfRule type="cellIs" dxfId="0" priority="12" stopIfTrue="1" operator="notBetween">
      <formula>$F27</formula>
      <formula>$G27</formula>
    </cfRule>
  </conditionalFormatting>
  <conditionalFormatting sqref="I7:X14">
    <cfRule type="cellIs" dxfId="0" priority="8" stopIfTrue="1" operator="notBetween">
      <formula>$F7</formula>
      <formula>$G7</formula>
    </cfRule>
  </conditionalFormatting>
  <conditionalFormatting sqref="I15:X16">
    <cfRule type="cellIs" dxfId="0" priority="11" stopIfTrue="1" operator="notBetween">
      <formula>$F15</formula>
      <formula>$G15</formula>
    </cfRule>
  </conditionalFormatting>
  <conditionalFormatting sqref="I17:X18">
    <cfRule type="cellIs" dxfId="0" priority="9" stopIfTrue="1" operator="notBetween">
      <formula>$F17</formula>
      <formula>$G17</formula>
    </cfRule>
  </conditionalFormatting>
  <conditionalFormatting sqref="I19:X21">
    <cfRule type="cellIs" dxfId="0" priority="2" stopIfTrue="1" operator="notBetween">
      <formula>$F19</formula>
      <formula>$G19</formula>
    </cfRule>
  </conditionalFormatting>
  <conditionalFormatting sqref="I23:X24">
    <cfRule type="cellIs" dxfId="0" priority="3" stopIfTrue="1" operator="notBetween">
      <formula>$F23</formula>
      <formula>$G23</formula>
    </cfRule>
  </conditionalFormatting>
  <conditionalFormatting sqref="I25:X26">
    <cfRule type="cellIs" dxfId="0" priority="1" stopIfTrue="1" operator="notBetween">
      <formula>$F25</formula>
      <formula>$G25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6"/>
  <sheetViews>
    <sheetView workbookViewId="0">
      <selection activeCell="I1" sqref="I1:J36"/>
    </sheetView>
  </sheetViews>
  <sheetFormatPr defaultColWidth="9" defaultRowHeight="14.25"/>
  <sheetData>
    <row r="1" spans="2:10">
      <c r="B1">
        <v>0.02</v>
      </c>
      <c r="C1">
        <v>0</v>
      </c>
      <c r="I1">
        <f>B1</f>
        <v>0.02</v>
      </c>
      <c r="J1">
        <f>-C1</f>
        <v>0</v>
      </c>
    </row>
    <row r="2" spans="2:10">
      <c r="B2">
        <v>0.02</v>
      </c>
      <c r="C2">
        <v>0</v>
      </c>
      <c r="I2">
        <f t="shared" ref="I2:I36" si="0">B2</f>
        <v>0.02</v>
      </c>
      <c r="J2">
        <f t="shared" ref="J2:J36" si="1">-C2</f>
        <v>0</v>
      </c>
    </row>
    <row r="3" spans="2:10">
      <c r="B3">
        <v>0.02</v>
      </c>
      <c r="C3">
        <v>0</v>
      </c>
      <c r="I3">
        <f t="shared" si="0"/>
        <v>0.02</v>
      </c>
      <c r="J3">
        <f t="shared" si="1"/>
        <v>0</v>
      </c>
    </row>
    <row r="4" spans="2:10">
      <c r="B4">
        <v>0.02</v>
      </c>
      <c r="C4">
        <v>0.02</v>
      </c>
      <c r="I4">
        <f t="shared" si="0"/>
        <v>0.02</v>
      </c>
      <c r="J4">
        <f t="shared" si="1"/>
        <v>-0.02</v>
      </c>
    </row>
    <row r="5" spans="2:10">
      <c r="B5">
        <v>0.02</v>
      </c>
      <c r="C5">
        <v>0.02</v>
      </c>
      <c r="I5">
        <f t="shared" si="0"/>
        <v>0.02</v>
      </c>
      <c r="J5">
        <f t="shared" si="1"/>
        <v>-0.02</v>
      </c>
    </row>
    <row r="6" spans="2:10">
      <c r="B6">
        <v>0.02</v>
      </c>
      <c r="C6">
        <v>0.02</v>
      </c>
      <c r="I6">
        <f t="shared" si="0"/>
        <v>0.02</v>
      </c>
      <c r="J6">
        <f t="shared" si="1"/>
        <v>-0.02</v>
      </c>
    </row>
    <row r="7" spans="2:10">
      <c r="B7">
        <v>0.02</v>
      </c>
      <c r="C7">
        <v>0</v>
      </c>
      <c r="I7">
        <f t="shared" si="0"/>
        <v>0.02</v>
      </c>
      <c r="J7">
        <f t="shared" si="1"/>
        <v>0</v>
      </c>
    </row>
    <row r="8" spans="2:10">
      <c r="B8">
        <v>0.02</v>
      </c>
      <c r="C8">
        <v>0</v>
      </c>
      <c r="I8">
        <f t="shared" si="0"/>
        <v>0.02</v>
      </c>
      <c r="J8">
        <f t="shared" si="1"/>
        <v>0</v>
      </c>
    </row>
    <row r="9" spans="2:10">
      <c r="B9">
        <v>0.02</v>
      </c>
      <c r="C9">
        <v>0</v>
      </c>
      <c r="I9">
        <f t="shared" si="0"/>
        <v>0.02</v>
      </c>
      <c r="J9">
        <f t="shared" si="1"/>
        <v>0</v>
      </c>
    </row>
    <row r="10" spans="2:10">
      <c r="B10">
        <v>0.02</v>
      </c>
      <c r="C10">
        <v>0.02</v>
      </c>
      <c r="I10">
        <f t="shared" si="0"/>
        <v>0.02</v>
      </c>
      <c r="J10">
        <f t="shared" si="1"/>
        <v>-0.02</v>
      </c>
    </row>
    <row r="11" spans="2:10">
      <c r="B11">
        <v>0.02</v>
      </c>
      <c r="C11">
        <v>0.02</v>
      </c>
      <c r="I11">
        <f t="shared" si="0"/>
        <v>0.02</v>
      </c>
      <c r="J11">
        <f t="shared" si="1"/>
        <v>-0.02</v>
      </c>
    </row>
    <row r="12" spans="2:10">
      <c r="B12">
        <v>0.02</v>
      </c>
      <c r="C12">
        <v>0.02</v>
      </c>
      <c r="I12">
        <f t="shared" si="0"/>
        <v>0.02</v>
      </c>
      <c r="J12">
        <f t="shared" si="1"/>
        <v>-0.02</v>
      </c>
    </row>
    <row r="13" spans="2:10">
      <c r="B13">
        <v>0.02</v>
      </c>
      <c r="C13">
        <v>0</v>
      </c>
      <c r="I13">
        <f t="shared" si="0"/>
        <v>0.02</v>
      </c>
      <c r="J13">
        <f t="shared" si="1"/>
        <v>0</v>
      </c>
    </row>
    <row r="14" spans="2:10">
      <c r="B14">
        <v>0.02</v>
      </c>
      <c r="C14">
        <v>0</v>
      </c>
      <c r="I14">
        <f t="shared" si="0"/>
        <v>0.02</v>
      </c>
      <c r="J14">
        <f t="shared" si="1"/>
        <v>0</v>
      </c>
    </row>
    <row r="15" spans="2:10">
      <c r="B15">
        <v>0.02</v>
      </c>
      <c r="C15">
        <v>0</v>
      </c>
      <c r="I15">
        <f t="shared" si="0"/>
        <v>0.02</v>
      </c>
      <c r="J15">
        <f t="shared" si="1"/>
        <v>0</v>
      </c>
    </row>
    <row r="16" spans="2:10">
      <c r="B16">
        <v>0.02</v>
      </c>
      <c r="C16">
        <v>0.02</v>
      </c>
      <c r="I16">
        <f t="shared" si="0"/>
        <v>0.02</v>
      </c>
      <c r="J16">
        <f t="shared" si="1"/>
        <v>-0.02</v>
      </c>
    </row>
    <row r="17" spans="2:10">
      <c r="B17">
        <v>0.02</v>
      </c>
      <c r="C17">
        <v>0.02</v>
      </c>
      <c r="I17">
        <f t="shared" si="0"/>
        <v>0.02</v>
      </c>
      <c r="J17">
        <f t="shared" si="1"/>
        <v>-0.02</v>
      </c>
    </row>
    <row r="18" spans="2:10">
      <c r="B18">
        <v>0.02</v>
      </c>
      <c r="C18">
        <v>0.02</v>
      </c>
      <c r="I18">
        <f t="shared" si="0"/>
        <v>0.02</v>
      </c>
      <c r="J18">
        <f t="shared" si="1"/>
        <v>-0.02</v>
      </c>
    </row>
    <row r="19" spans="2:10">
      <c r="B19">
        <v>0.02</v>
      </c>
      <c r="C19">
        <v>0</v>
      </c>
      <c r="I19">
        <f t="shared" si="0"/>
        <v>0.02</v>
      </c>
      <c r="J19">
        <f t="shared" si="1"/>
        <v>0</v>
      </c>
    </row>
    <row r="20" spans="2:10">
      <c r="B20">
        <v>0.02</v>
      </c>
      <c r="C20">
        <v>0</v>
      </c>
      <c r="I20">
        <f t="shared" si="0"/>
        <v>0.02</v>
      </c>
      <c r="J20">
        <f t="shared" si="1"/>
        <v>0</v>
      </c>
    </row>
    <row r="21" spans="2:10">
      <c r="B21">
        <v>0.02</v>
      </c>
      <c r="C21">
        <v>0</v>
      </c>
      <c r="I21">
        <f t="shared" si="0"/>
        <v>0.02</v>
      </c>
      <c r="J21">
        <f t="shared" si="1"/>
        <v>0</v>
      </c>
    </row>
    <row r="22" spans="2:10">
      <c r="B22">
        <v>0.02</v>
      </c>
      <c r="C22">
        <v>0.02</v>
      </c>
      <c r="I22">
        <f t="shared" si="0"/>
        <v>0.02</v>
      </c>
      <c r="J22">
        <f t="shared" si="1"/>
        <v>-0.02</v>
      </c>
    </row>
    <row r="23" spans="2:10">
      <c r="B23">
        <v>0.02</v>
      </c>
      <c r="C23">
        <v>0.02</v>
      </c>
      <c r="I23">
        <f t="shared" si="0"/>
        <v>0.02</v>
      </c>
      <c r="J23">
        <f t="shared" si="1"/>
        <v>-0.02</v>
      </c>
    </row>
    <row r="24" spans="2:10">
      <c r="B24">
        <v>0.02</v>
      </c>
      <c r="C24">
        <v>0.02</v>
      </c>
      <c r="I24">
        <f t="shared" si="0"/>
        <v>0.02</v>
      </c>
      <c r="J24">
        <f t="shared" si="1"/>
        <v>-0.02</v>
      </c>
    </row>
    <row r="25" spans="2:10">
      <c r="B25">
        <v>0.02</v>
      </c>
      <c r="C25">
        <v>0</v>
      </c>
      <c r="I25">
        <f t="shared" si="0"/>
        <v>0.02</v>
      </c>
      <c r="J25">
        <f t="shared" si="1"/>
        <v>0</v>
      </c>
    </row>
    <row r="26" spans="2:10">
      <c r="B26">
        <v>0.02</v>
      </c>
      <c r="C26">
        <v>0</v>
      </c>
      <c r="I26">
        <f t="shared" si="0"/>
        <v>0.02</v>
      </c>
      <c r="J26">
        <f t="shared" si="1"/>
        <v>0</v>
      </c>
    </row>
    <row r="27" spans="2:10">
      <c r="B27">
        <v>0.02</v>
      </c>
      <c r="C27">
        <v>0</v>
      </c>
      <c r="I27">
        <f t="shared" si="0"/>
        <v>0.02</v>
      </c>
      <c r="J27">
        <f t="shared" si="1"/>
        <v>0</v>
      </c>
    </row>
    <row r="28" spans="2:10">
      <c r="B28">
        <v>0.02</v>
      </c>
      <c r="C28">
        <v>0.02</v>
      </c>
      <c r="I28">
        <f t="shared" si="0"/>
        <v>0.02</v>
      </c>
      <c r="J28">
        <f t="shared" si="1"/>
        <v>-0.02</v>
      </c>
    </row>
    <row r="29" spans="2:10">
      <c r="B29">
        <v>0.02</v>
      </c>
      <c r="C29">
        <v>0.02</v>
      </c>
      <c r="I29">
        <f t="shared" si="0"/>
        <v>0.02</v>
      </c>
      <c r="J29">
        <f t="shared" si="1"/>
        <v>-0.02</v>
      </c>
    </row>
    <row r="30" spans="2:10">
      <c r="B30">
        <v>0.02</v>
      </c>
      <c r="C30">
        <v>0.02</v>
      </c>
      <c r="I30">
        <f t="shared" si="0"/>
        <v>0.02</v>
      </c>
      <c r="J30">
        <f t="shared" si="1"/>
        <v>-0.02</v>
      </c>
    </row>
    <row r="31" spans="2:10">
      <c r="B31">
        <v>0.02</v>
      </c>
      <c r="C31">
        <v>0</v>
      </c>
      <c r="I31">
        <f t="shared" si="0"/>
        <v>0.02</v>
      </c>
      <c r="J31">
        <f t="shared" si="1"/>
        <v>0</v>
      </c>
    </row>
    <row r="32" spans="2:10">
      <c r="B32">
        <v>0.02</v>
      </c>
      <c r="C32">
        <v>0</v>
      </c>
      <c r="I32">
        <f t="shared" si="0"/>
        <v>0.02</v>
      </c>
      <c r="J32">
        <f t="shared" si="1"/>
        <v>0</v>
      </c>
    </row>
    <row r="33" spans="2:10">
      <c r="B33">
        <v>0.02</v>
      </c>
      <c r="C33">
        <v>0</v>
      </c>
      <c r="I33">
        <f t="shared" si="0"/>
        <v>0.02</v>
      </c>
      <c r="J33">
        <f t="shared" si="1"/>
        <v>0</v>
      </c>
    </row>
    <row r="34" spans="2:10">
      <c r="B34">
        <v>0.02</v>
      </c>
      <c r="C34">
        <v>0.02</v>
      </c>
      <c r="I34">
        <f t="shared" si="0"/>
        <v>0.02</v>
      </c>
      <c r="J34">
        <f t="shared" si="1"/>
        <v>-0.02</v>
      </c>
    </row>
    <row r="35" spans="2:10">
      <c r="B35">
        <v>0.02</v>
      </c>
      <c r="C35">
        <v>0.02</v>
      </c>
      <c r="I35">
        <f t="shared" si="0"/>
        <v>0.02</v>
      </c>
      <c r="J35">
        <f t="shared" si="1"/>
        <v>-0.02</v>
      </c>
    </row>
    <row r="36" spans="2:10">
      <c r="B36">
        <v>0.02</v>
      </c>
      <c r="C36">
        <v>0.02</v>
      </c>
      <c r="I36">
        <f t="shared" si="0"/>
        <v>0.02</v>
      </c>
      <c r="J36">
        <f t="shared" si="1"/>
        <v>-0.02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X639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2026-06-20T13:24:38Z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AC6F37D1E89B4081AC6EFA8977A30211_13</vt:lpwstr>
  </property>
  <property fmtid="{D5CDD505-2E9C-101B-9397-08002B2CF9AE}" pid="4" name="CalculationRule">
    <vt:i4>0</vt:i4>
  </property>
</Properties>
</file>