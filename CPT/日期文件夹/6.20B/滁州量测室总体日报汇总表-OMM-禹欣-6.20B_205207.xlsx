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20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烧结</t>
        </is>
      </c>
      <c r="B3" s="40" t="inlineStr">
        <is>
          <t>/</t>
        </is>
      </c>
      <c r="C3" s="40" t="inlineStr">
        <is>
          <t>任雪</t>
        </is>
      </c>
      <c r="D3" s="40" t="inlineStr">
        <is>
          <t>无工单号</t>
        </is>
      </c>
      <c r="E3" s="40" t="inlineStr">
        <is>
          <t>/</t>
        </is>
      </c>
      <c r="F3" s="40" t="inlineStr">
        <is>
          <t>/</t>
        </is>
      </c>
      <c r="G3" s="40" t="inlineStr">
        <is>
          <t>/</t>
        </is>
      </c>
      <c r="H3" s="40" t="inlineStr">
        <is>
          <t>OMM</t>
        </is>
      </c>
      <c r="I3" s="41" t="inlineStr">
        <is>
          <t>0.2B</t>
        </is>
      </c>
      <c r="J3" s="42" t="inlineStr">
        <is>
          <t>/</t>
        </is>
      </c>
      <c r="K3" s="40" t="n">
        <v>5</v>
      </c>
      <c r="L3" s="41" t="n">
        <v>46193</v>
      </c>
      <c r="M3" s="42" t="n">
        <v>0.8333333333333334</v>
      </c>
      <c r="N3" s="42" t="n">
        <v>0.8611111111111112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烧结</t>
        </is>
      </c>
      <c r="B4" s="40" t="inlineStr">
        <is>
          <t>/</t>
        </is>
      </c>
      <c r="C4" s="40" t="inlineStr">
        <is>
          <t>任雪</t>
        </is>
      </c>
      <c r="D4" s="40" t="inlineStr">
        <is>
          <t>无工单号</t>
        </is>
      </c>
      <c r="E4" s="40" t="inlineStr">
        <is>
          <t>/</t>
        </is>
      </c>
      <c r="F4" s="40" t="inlineStr">
        <is>
          <t>/</t>
        </is>
      </c>
      <c r="G4" s="40" t="inlineStr">
        <is>
          <t>/</t>
        </is>
      </c>
      <c r="H4" s="40" t="inlineStr">
        <is>
          <t>OMM</t>
        </is>
      </c>
      <c r="I4" s="41" t="inlineStr">
        <is>
          <t>0.25B</t>
        </is>
      </c>
      <c r="J4" s="42" t="inlineStr">
        <is>
          <t>/</t>
        </is>
      </c>
      <c r="K4" s="40" t="n">
        <v>5</v>
      </c>
      <c r="L4" s="41" t="n">
        <v>46193</v>
      </c>
      <c r="M4" s="42" t="n">
        <v>0.8611111111111112</v>
      </c>
      <c r="N4" s="42" t="n">
        <v>0.8888888888888888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烧结</t>
        </is>
      </c>
      <c r="B5" s="40" t="inlineStr">
        <is>
          <t>/</t>
        </is>
      </c>
      <c r="C5" s="40" t="inlineStr">
        <is>
          <t>任雪</t>
        </is>
      </c>
      <c r="D5" s="40" t="inlineStr">
        <is>
          <t>无工单号</t>
        </is>
      </c>
      <c r="E5" s="40" t="inlineStr">
        <is>
          <t>/</t>
        </is>
      </c>
      <c r="F5" s="40" t="inlineStr">
        <is>
          <t>/</t>
        </is>
      </c>
      <c r="G5" s="40" t="inlineStr">
        <is>
          <t>/</t>
        </is>
      </c>
      <c r="H5" s="40" t="inlineStr">
        <is>
          <t>OMM</t>
        </is>
      </c>
      <c r="I5" s="41" t="inlineStr">
        <is>
          <t>6.20A</t>
        </is>
      </c>
      <c r="J5" s="42" t="inlineStr">
        <is>
          <t>/</t>
        </is>
      </c>
      <c r="K5" s="40" t="n">
        <v>5</v>
      </c>
      <c r="L5" s="41" t="n">
        <v>46193</v>
      </c>
      <c r="M5" s="42" t="n">
        <v>0.8888888888888888</v>
      </c>
      <c r="N5" s="42" t="n">
        <v>0.9166666666666666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/</t>
        </is>
      </c>
      <c r="B6" s="40" t="inlineStr">
        <is>
          <t>/</t>
        </is>
      </c>
      <c r="C6" s="40" t="inlineStr">
        <is>
          <t>/</t>
        </is>
      </c>
      <c r="D6" s="40" t="inlineStr">
        <is>
          <t>/</t>
        </is>
      </c>
      <c r="E6" s="40" t="inlineStr">
        <is>
          <t>/</t>
        </is>
      </c>
      <c r="F6" s="40" t="inlineStr">
        <is>
          <t>/</t>
        </is>
      </c>
      <c r="G6" s="40" t="inlineStr">
        <is>
          <t>/</t>
        </is>
      </c>
      <c r="H6" s="40" t="inlineStr">
        <is>
          <t>/</t>
        </is>
      </c>
      <c r="I6" s="45" t="inlineStr">
        <is>
          <t>/</t>
        </is>
      </c>
      <c r="J6" s="42" t="inlineStr">
        <is>
          <t>/</t>
        </is>
      </c>
      <c r="K6" s="40" t="inlineStr">
        <is>
          <t>/</t>
        </is>
      </c>
      <c r="L6" s="41" t="n">
        <v>46193</v>
      </c>
      <c r="M6" s="42" t="n">
        <v>0.9166666666666666</v>
      </c>
      <c r="N6" s="42" t="n">
        <v>0.9236111111111112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/</t>
        </is>
      </c>
      <c r="R6" s="44" t="inlineStr">
        <is>
          <t>休息</t>
        </is>
      </c>
    </row>
    <row r="7" s="39">
      <c r="A7" s="40" t="inlineStr">
        <is>
          <t>烧结</t>
        </is>
      </c>
      <c r="B7" s="40" t="inlineStr">
        <is>
          <t>034</t>
        </is>
      </c>
      <c r="C7" s="40" t="inlineStr">
        <is>
          <t>高露露</t>
        </is>
      </c>
      <c r="D7" s="40" t="inlineStr">
        <is>
          <t>WW132-260617002</t>
        </is>
      </c>
      <c r="E7" s="40" t="inlineStr">
        <is>
          <t>MA</t>
        </is>
      </c>
      <c r="F7" s="40" t="inlineStr">
        <is>
          <t>DC03</t>
        </is>
      </c>
      <c r="G7" s="40" t="inlineStr">
        <is>
          <t>/</t>
        </is>
      </c>
      <c r="H7" s="40" t="inlineStr">
        <is>
          <t>OMM</t>
        </is>
      </c>
      <c r="I7" s="41" t="inlineStr">
        <is>
          <t>6.20B</t>
        </is>
      </c>
      <c r="J7" s="42" t="n">
        <v>0.28125</v>
      </c>
      <c r="K7" s="40" t="n">
        <v>10</v>
      </c>
      <c r="L7" s="41" t="n">
        <v>46193</v>
      </c>
      <c r="M7" s="42" t="n">
        <v>0.9236111111111112</v>
      </c>
      <c r="N7" s="42" t="n">
        <v>0.9583333333333334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禹欣</t>
        </is>
      </c>
      <c r="R7" s="44" t="inlineStr"/>
    </row>
    <row r="8" s="39">
      <c r="A8" s="40" t="inlineStr">
        <is>
          <t>/</t>
        </is>
      </c>
      <c r="B8" s="40" t="inlineStr">
        <is>
          <t>/</t>
        </is>
      </c>
      <c r="C8" s="40" t="inlineStr">
        <is>
          <t>/</t>
        </is>
      </c>
      <c r="D8" s="40" t="inlineStr">
        <is>
          <t>/</t>
        </is>
      </c>
      <c r="E8" s="40" t="inlineStr">
        <is>
          <t>/</t>
        </is>
      </c>
      <c r="F8" s="40" t="inlineStr">
        <is>
          <t>/</t>
        </is>
      </c>
      <c r="G8" s="40" t="inlineStr">
        <is>
          <t>/</t>
        </is>
      </c>
      <c r="H8" s="40" t="inlineStr">
        <is>
          <t>/</t>
        </is>
      </c>
      <c r="I8" s="45" t="inlineStr">
        <is>
          <t>/</t>
        </is>
      </c>
      <c r="J8" s="42" t="inlineStr">
        <is>
          <t>/</t>
        </is>
      </c>
      <c r="K8" s="40" t="inlineStr">
        <is>
          <t>/</t>
        </is>
      </c>
      <c r="L8" s="41" t="n">
        <v>46193</v>
      </c>
      <c r="M8" s="42" t="n">
        <v>0.9583333333333334</v>
      </c>
      <c r="N8" s="42" t="n">
        <v>0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/</t>
        </is>
      </c>
      <c r="R8" s="44" t="inlineStr">
        <is>
          <t>休息</t>
        </is>
      </c>
    </row>
    <row r="9" s="39">
      <c r="A9" s="40" t="inlineStr">
        <is>
          <t>烧结</t>
        </is>
      </c>
      <c r="B9" s="40" t="inlineStr">
        <is>
          <t>034</t>
        </is>
      </c>
      <c r="C9" s="40" t="inlineStr">
        <is>
          <t>高露露</t>
        </is>
      </c>
      <c r="D9" s="40" t="inlineStr">
        <is>
          <t>WW132-260617002</t>
        </is>
      </c>
      <c r="E9" s="40" t="inlineStr">
        <is>
          <t>MA</t>
        </is>
      </c>
      <c r="F9" s="40" t="inlineStr">
        <is>
          <t>DC03</t>
        </is>
      </c>
      <c r="G9" s="40" t="inlineStr">
        <is>
          <t>/</t>
        </is>
      </c>
      <c r="H9" s="40" t="inlineStr">
        <is>
          <t>OMM</t>
        </is>
      </c>
      <c r="I9" s="41" t="inlineStr">
        <is>
          <t>6.20B</t>
        </is>
      </c>
      <c r="J9" s="42" t="n">
        <v>0.28125</v>
      </c>
      <c r="K9" s="40" t="n">
        <v>10</v>
      </c>
      <c r="L9" s="41" t="n">
        <v>46193</v>
      </c>
      <c r="M9" s="42" t="n">
        <v>0</v>
      </c>
      <c r="N9" s="42" t="n">
        <v>0.01388888888888889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禹欣</t>
        </is>
      </c>
      <c r="R9" s="44" t="inlineStr"/>
    </row>
    <row r="10" s="39">
      <c r="A10" s="40" t="inlineStr">
        <is>
          <t>烧结</t>
        </is>
      </c>
      <c r="B10" s="40" t="inlineStr">
        <is>
          <t>036</t>
        </is>
      </c>
      <c r="C10" s="40" t="inlineStr">
        <is>
          <t>高露露</t>
        </is>
      </c>
      <c r="D10" s="40" t="inlineStr">
        <is>
          <t>WW132-260611022</t>
        </is>
      </c>
      <c r="E10" s="40" t="inlineStr">
        <is>
          <t>MB</t>
        </is>
      </c>
      <c r="F10" s="40" t="inlineStr">
        <is>
          <t>DC03</t>
        </is>
      </c>
      <c r="G10" s="40" t="inlineStr">
        <is>
          <t>/</t>
        </is>
      </c>
      <c r="H10" s="40" t="inlineStr">
        <is>
          <t>OMM</t>
        </is>
      </c>
      <c r="I10" s="41" t="inlineStr">
        <is>
          <t>6.20B</t>
        </is>
      </c>
      <c r="J10" s="42" t="inlineStr">
        <is>
          <t>0;20</t>
        </is>
      </c>
      <c r="K10" s="40" t="n">
        <v>10</v>
      </c>
      <c r="L10" s="41" t="n">
        <v>46193</v>
      </c>
      <c r="M10" s="42" t="n">
        <v>0.01388888888888889</v>
      </c>
      <c r="N10" s="42" t="n">
        <v>0.0625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/</t>
        </is>
      </c>
      <c r="B11" s="40" t="inlineStr">
        <is>
          <t>/</t>
        </is>
      </c>
      <c r="C11" s="40" t="inlineStr">
        <is>
          <t>/</t>
        </is>
      </c>
      <c r="D11" s="40" t="inlineStr">
        <is>
          <t>/</t>
        </is>
      </c>
      <c r="E11" s="40" t="inlineStr">
        <is>
          <t>/</t>
        </is>
      </c>
      <c r="F11" s="40" t="inlineStr">
        <is>
          <t>/</t>
        </is>
      </c>
      <c r="G11" s="40" t="inlineStr">
        <is>
          <t>/</t>
        </is>
      </c>
      <c r="H11" s="40" t="inlineStr">
        <is>
          <t>OMM</t>
        </is>
      </c>
      <c r="I11" s="41" t="n">
        <v>46193</v>
      </c>
      <c r="J11" s="45" t="inlineStr">
        <is>
          <t>/</t>
        </is>
      </c>
      <c r="K11" s="40" t="inlineStr">
        <is>
          <t>/</t>
        </is>
      </c>
      <c r="L11" s="41" t="n">
        <v>46193</v>
      </c>
      <c r="M11" s="42" t="n">
        <v>0.0625</v>
      </c>
      <c r="N11" s="42" t="n">
        <v>0.1319444444444444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>
        <is>
          <t>手量</t>
        </is>
      </c>
    </row>
    <row r="12" s="39">
      <c r="A12" s="40" t="inlineStr">
        <is>
          <t>/</t>
        </is>
      </c>
      <c r="B12" s="40" t="inlineStr">
        <is>
          <t>/</t>
        </is>
      </c>
      <c r="C12" s="40" t="inlineStr">
        <is>
          <t>/</t>
        </is>
      </c>
      <c r="D12" s="40" t="inlineStr">
        <is>
          <t>/</t>
        </is>
      </c>
      <c r="E12" s="40" t="inlineStr">
        <is>
          <t>/</t>
        </is>
      </c>
      <c r="F12" s="40" t="inlineStr">
        <is>
          <t>/</t>
        </is>
      </c>
      <c r="G12" s="40" t="inlineStr">
        <is>
          <t>/</t>
        </is>
      </c>
      <c r="H12" s="40" t="inlineStr">
        <is>
          <t>/</t>
        </is>
      </c>
      <c r="I12" s="45" t="inlineStr">
        <is>
          <t>/</t>
        </is>
      </c>
      <c r="J12" s="45" t="inlineStr">
        <is>
          <t>/</t>
        </is>
      </c>
      <c r="K12" s="40" t="inlineStr">
        <is>
          <t>/</t>
        </is>
      </c>
      <c r="L12" s="41" t="n">
        <v>46193</v>
      </c>
      <c r="M12" s="42" t="n">
        <v>0.1319444444444444</v>
      </c>
      <c r="N12" s="42" t="n">
        <v>0.1388888888888889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/</t>
        </is>
      </c>
      <c r="R12" s="44" t="inlineStr">
        <is>
          <t>休息</t>
        </is>
      </c>
    </row>
    <row r="13" s="39">
      <c r="A13" s="40" t="inlineStr">
        <is>
          <t>/</t>
        </is>
      </c>
      <c r="B13" s="40" t="inlineStr">
        <is>
          <t>/</t>
        </is>
      </c>
      <c r="C13" s="40" t="inlineStr">
        <is>
          <t>/</t>
        </is>
      </c>
      <c r="D13" s="40" t="inlineStr">
        <is>
          <t>/</t>
        </is>
      </c>
      <c r="E13" s="40" t="inlineStr">
        <is>
          <t>/</t>
        </is>
      </c>
      <c r="F13" s="40" t="inlineStr">
        <is>
          <t>/</t>
        </is>
      </c>
      <c r="G13" s="40" t="inlineStr">
        <is>
          <t>/</t>
        </is>
      </c>
      <c r="H13" s="40" t="inlineStr">
        <is>
          <t>OMM</t>
        </is>
      </c>
      <c r="I13" s="41" t="n">
        <v>46193</v>
      </c>
      <c r="J13" s="45" t="inlineStr">
        <is>
          <t>/</t>
        </is>
      </c>
      <c r="K13" s="40" t="inlineStr">
        <is>
          <t>/</t>
        </is>
      </c>
      <c r="L13" s="41" t="n">
        <v>46193</v>
      </c>
      <c r="M13" s="42" t="n">
        <v>0.1388888888888889</v>
      </c>
      <c r="N13" s="42" t="n">
        <v>0.1458333333333333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>
        <is>
          <t>手量</t>
        </is>
      </c>
    </row>
    <row r="14" s="39">
      <c r="A14" s="40" t="inlineStr">
        <is>
          <t>烧结</t>
        </is>
      </c>
      <c r="B14" s="40" t="inlineStr">
        <is>
          <t>038</t>
        </is>
      </c>
      <c r="C14" s="40" t="inlineStr">
        <is>
          <t>高露露</t>
        </is>
      </c>
      <c r="D14" s="40" t="inlineStr">
        <is>
          <t>WW132-260617071</t>
        </is>
      </c>
      <c r="E14" s="40" t="inlineStr">
        <is>
          <t>MB</t>
        </is>
      </c>
      <c r="F14" s="40" t="inlineStr">
        <is>
          <t>DC03</t>
        </is>
      </c>
      <c r="G14" s="40" t="inlineStr">
        <is>
          <t>/</t>
        </is>
      </c>
      <c r="H14" s="40" t="inlineStr">
        <is>
          <t>OMM</t>
        </is>
      </c>
      <c r="I14" s="41" t="inlineStr">
        <is>
          <t>6.20B</t>
        </is>
      </c>
      <c r="J14" s="42" t="n">
        <v>0.2222222222222222</v>
      </c>
      <c r="K14" s="40" t="n">
        <v>10</v>
      </c>
      <c r="L14" s="41" t="n">
        <v>46193</v>
      </c>
      <c r="M14" s="42" t="n">
        <v>0.1458333333333333</v>
      </c>
      <c r="N14" s="42" t="n">
        <v>0.1944444444444444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烧结</t>
        </is>
      </c>
      <c r="B15" s="40" t="inlineStr">
        <is>
          <t>061</t>
        </is>
      </c>
      <c r="C15" s="40" t="inlineStr">
        <is>
          <t>高露露</t>
        </is>
      </c>
      <c r="D15" s="40" t="inlineStr">
        <is>
          <t>WW132-260619023</t>
        </is>
      </c>
      <c r="E15" s="40" t="inlineStr">
        <is>
          <t>MA</t>
        </is>
      </c>
      <c r="F15" s="40" t="inlineStr">
        <is>
          <t>DV01</t>
        </is>
      </c>
      <c r="G15" s="40" t="inlineStr">
        <is>
          <t>/</t>
        </is>
      </c>
      <c r="H15" s="40" t="inlineStr">
        <is>
          <t>OMM</t>
        </is>
      </c>
      <c r="I15" s="41" t="inlineStr">
        <is>
          <t>6.20B</t>
        </is>
      </c>
      <c r="J15" s="42" t="n">
        <v>0.9027777777777778</v>
      </c>
      <c r="K15" s="40" t="n">
        <v>10</v>
      </c>
      <c r="L15" s="41" t="n">
        <v>46193</v>
      </c>
      <c r="M15" s="42" t="n">
        <v>0.1944444444444444</v>
      </c>
      <c r="N15" s="42" t="n">
        <v>0.2361111111111111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/</t>
        </is>
      </c>
      <c r="B16" s="40" t="inlineStr">
        <is>
          <t>/</t>
        </is>
      </c>
      <c r="C16" s="40" t="inlineStr">
        <is>
          <t>/</t>
        </is>
      </c>
      <c r="D16" s="40" t="inlineStr">
        <is>
          <t>/</t>
        </is>
      </c>
      <c r="E16" s="40" t="inlineStr">
        <is>
          <t>/</t>
        </is>
      </c>
      <c r="F16" s="40" t="inlineStr">
        <is>
          <t>/</t>
        </is>
      </c>
      <c r="G16" s="40" t="inlineStr">
        <is>
          <t>/</t>
        </is>
      </c>
      <c r="H16" s="40" t="inlineStr">
        <is>
          <t>/</t>
        </is>
      </c>
      <c r="I16" s="45" t="inlineStr">
        <is>
          <t>/</t>
        </is>
      </c>
      <c r="J16" s="45" t="inlineStr">
        <is>
          <t>/</t>
        </is>
      </c>
      <c r="K16" s="40" t="inlineStr">
        <is>
          <t>/</t>
        </is>
      </c>
      <c r="L16" s="41" t="n">
        <v>46193</v>
      </c>
      <c r="M16" s="42" t="n">
        <v>0.2361111111111111</v>
      </c>
      <c r="N16" s="42" t="n">
        <v>0.2638888888888889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/</t>
        </is>
      </c>
      <c r="R16" s="44" t="inlineStr">
        <is>
          <t>休息</t>
        </is>
      </c>
    </row>
    <row r="17" s="39">
      <c r="A17" s="40" t="inlineStr">
        <is>
          <t>烧结</t>
        </is>
      </c>
      <c r="B17" s="40" t="inlineStr">
        <is>
          <t>061</t>
        </is>
      </c>
      <c r="C17" s="40" t="inlineStr">
        <is>
          <t>高露露</t>
        </is>
      </c>
      <c r="D17" s="40" t="inlineStr">
        <is>
          <t>WW132-260619023</t>
        </is>
      </c>
      <c r="E17" s="40" t="inlineStr">
        <is>
          <t>MA</t>
        </is>
      </c>
      <c r="F17" s="40" t="inlineStr">
        <is>
          <t>DV01</t>
        </is>
      </c>
      <c r="G17" s="40" t="inlineStr">
        <is>
          <t>/</t>
        </is>
      </c>
      <c r="H17" s="40" t="inlineStr">
        <is>
          <t>OMM</t>
        </is>
      </c>
      <c r="I17" s="41" t="inlineStr">
        <is>
          <t>6.20B</t>
        </is>
      </c>
      <c r="J17" s="42" t="n">
        <v>0.9027777777777778</v>
      </c>
      <c r="K17" s="40" t="n">
        <v>10</v>
      </c>
      <c r="L17" s="41" t="n">
        <v>46193</v>
      </c>
      <c r="M17" s="42" t="n">
        <v>0.2638888888888889</v>
      </c>
      <c r="N17" s="42" t="n">
        <v>0.2708333333333333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禹欣</t>
        </is>
      </c>
      <c r="R17" s="44" t="inlineStr"/>
    </row>
    <row r="18" s="39">
      <c r="A18" s="40" t="inlineStr">
        <is>
          <t>烧结</t>
        </is>
      </c>
      <c r="B18" s="40" t="inlineStr">
        <is>
          <t>061</t>
        </is>
      </c>
      <c r="C18" s="40" t="inlineStr">
        <is>
          <t>高露露</t>
        </is>
      </c>
      <c r="D18" s="40" t="inlineStr">
        <is>
          <t>WW132-260619024</t>
        </is>
      </c>
      <c r="E18" s="40" t="inlineStr">
        <is>
          <t>MA</t>
        </is>
      </c>
      <c r="F18" s="40" t="inlineStr">
        <is>
          <t>DV01</t>
        </is>
      </c>
      <c r="G18" s="40" t="inlineStr">
        <is>
          <t>/</t>
        </is>
      </c>
      <c r="H18" s="40" t="inlineStr">
        <is>
          <t>OMM</t>
        </is>
      </c>
      <c r="I18" s="41" t="inlineStr">
        <is>
          <t>6.20B</t>
        </is>
      </c>
      <c r="J18" s="42" t="n">
        <v>0.9027777777777778</v>
      </c>
      <c r="K18" s="40" t="n">
        <v>10</v>
      </c>
      <c r="L18" s="41" t="n">
        <v>46193</v>
      </c>
      <c r="M18" s="42" t="n">
        <v>0.2708333333333333</v>
      </c>
      <c r="N18" s="42" t="n">
        <v>0.3194444444444444</v>
      </c>
      <c r="O18" s="43">
        <f>IF(N18&gt;=M18,N18-M18,IF(N18+1-M18&lt;=0.5,N18+1-M18,"检查"))</f>
        <v/>
      </c>
      <c r="P18" s="40">
        <f>IF(ISBLANK(M18),"待测","已完成")</f>
        <v/>
      </c>
      <c r="Q18" s="44" t="inlineStr">
        <is>
          <t>禹欣</t>
        </is>
      </c>
      <c r="R18" s="44" t="inlineStr"/>
    </row>
    <row r="19" s="3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5" t="n"/>
      <c r="J19" s="45" t="n"/>
      <c r="K19" s="40" t="n"/>
      <c r="L19" s="40" t="n"/>
      <c r="M19" s="40" t="n"/>
      <c r="N19" s="42" t="n"/>
      <c r="O19" s="43">
        <f>N19-M19</f>
        <v/>
      </c>
      <c r="P19" s="40">
        <f>IF(ISBLANK(M19),"待测","已完成")</f>
        <v/>
      </c>
      <c r="Q19" s="44" t="n"/>
      <c r="R19" s="44" t="n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2026-06-22T12:52:09Z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