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806-65038" sheetId="8" r:id="rId1"/>
  </sheets>
  <definedNames>
    <definedName name="_xlnm.Print_Area" localSheetId="0">'806-65038'!$B$1:$AE$6</definedName>
    <definedName name="_xlnm.Print_Titles" localSheetId="0">'806-65038'!$1:$6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<sst xmlns="http://schemas.openxmlformats.org/spreadsheetml/2006/main" count="49" uniqueCount="39">
  <si>
    <t>安徽中耀智能科技有限公司首件尺寸报告</t>
  </si>
  <si>
    <t>料号</t>
  </si>
  <si>
    <t>806-65038</t>
  </si>
  <si>
    <t>工单号</t>
  </si>
  <si>
    <t>ww132-260617071</t>
  </si>
  <si>
    <t>工站</t>
  </si>
  <si>
    <t>烧结炉号</t>
  </si>
  <si>
    <t>量测机台号</t>
  </si>
  <si>
    <t>测量人员</t>
  </si>
  <si>
    <t>审核</t>
  </si>
  <si>
    <t>烧结</t>
  </si>
  <si>
    <t>DC03</t>
  </si>
  <si>
    <t>OMM5#</t>
  </si>
  <si>
    <t>禹欣</t>
  </si>
  <si>
    <t>陈跃进</t>
  </si>
  <si>
    <t>日期</t>
  </si>
  <si>
    <t>尺寸编号</t>
  </si>
  <si>
    <t>SIP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</si>
  <si>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</si>
  <si>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</si>
  <si>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</si>
  <si>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</si>
  <si>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</si>
  <si>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</si>
  <si>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</si>
  <si>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</si>
  <si>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</si>
  <si>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</si>
  <si>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 21</t>
  </si>
  <si>
    <t>OMM</t>
  </si>
  <si>
    <t>FAI 14</t>
  </si>
  <si>
    <t>N</t>
  </si>
  <si>
    <t>FAI 16</t>
  </si>
  <si>
    <t>CMM</t>
  </si>
  <si>
    <t>FAI 19</t>
  </si>
  <si>
    <t>FAI 22</t>
  </si>
  <si>
    <t>V</t>
  </si>
  <si>
    <t>FAI 4</t>
  </si>
  <si>
    <t>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</si>
</sst>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6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sz val="10"/>
      <color rgb="FFFF0000"/>
      <name val="宋体"/>
      <charset val="134"/>
    </font>
    <font>
      <sz val="10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6805932798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17" applyNumberFormat="0" applyAlignment="0" applyProtection="0">
      <alignment vertical="center"/>
    </xf>
    <xf numFmtId="0" fontId="24" fillId="6" borderId="18" applyNumberFormat="0" applyAlignment="0" applyProtection="0">
      <alignment vertical="center"/>
    </xf>
    <xf numFmtId="0" fontId="25" fillId="6" borderId="17" applyNumberFormat="0" applyAlignment="0" applyProtection="0">
      <alignment vertical="center"/>
    </xf>
    <xf numFmtId="0" fontId="26" fillId="7" borderId="19" applyNumberFormat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0" borderId="0">
      <alignment vertical="center"/>
    </xf>
  </cellStyleXfs>
  <cellXfs count="60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60" applyFont="1" applyFill="1" applyBorder="1" applyAlignment="1" applyProtection="1">
      <alignment horizontal="center" vertical="center"/>
      <protection locked="0"/>
    </xf>
    <xf numFmtId="177" fontId="5" fillId="0" borderId="1" xfId="60" applyNumberFormat="1" applyFont="1" applyFill="1" applyBorder="1" applyAlignment="1">
      <alignment horizontal="center" vertical="center"/>
    </xf>
    <xf numFmtId="177" fontId="5" fillId="0" borderId="1" xfId="60" applyNumberFormat="1" applyFont="1" applyFill="1" applyBorder="1" applyAlignment="1" applyProtection="1">
      <alignment horizontal="center" vertical="center"/>
      <protection locked="0"/>
    </xf>
    <xf numFmtId="0" fontId="5" fillId="0" borderId="1" xfId="60" applyFont="1" applyFill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Fill="1" applyBorder="1" applyAlignment="1" applyProtection="1">
      <alignment horizontal="center" vertical="center"/>
      <protection locked="0"/>
    </xf>
    <xf numFmtId="49" fontId="5" fillId="0" borderId="12" xfId="60" applyNumberFormat="1" applyFont="1" applyFill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Fill="1" applyBorder="1" applyAlignment="1" applyProtection="1">
      <alignment horizontal="center" vertical="center" wrapText="1"/>
      <protection locked="0"/>
    </xf>
    <xf numFmtId="0" fontId="8" fillId="2" borderId="1" xfId="60" applyNumberFormat="1" applyFont="1" applyFill="1" applyBorder="1" applyAlignment="1" applyProtection="1">
      <alignment horizontal="center" vertical="center"/>
      <protection locked="0"/>
    </xf>
    <xf numFmtId="0" fontId="6" fillId="2" borderId="1" xfId="60" applyNumberFormat="1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1" xfId="0" applyNumberFormat="1" applyFont="1" applyBorder="1" applyAlignment="1">
      <alignment horizontal="center" vertical="center"/>
    </xf>
    <xf numFmtId="0" fontId="10" fillId="0" borderId="7" xfId="53" applyFont="1" applyFill="1" applyBorder="1" applyAlignment="1">
      <alignment horizontal="center" vertical="center"/>
    </xf>
    <xf numFmtId="0" fontId="11" fillId="0" borderId="1" xfId="59" applyFont="1" applyFill="1" applyBorder="1" applyAlignment="1">
      <alignment horizontal="center" vertical="center"/>
    </xf>
    <xf numFmtId="0" fontId="11" fillId="0" borderId="1" xfId="59" applyFont="1" applyBorder="1" applyAlignment="1">
      <alignment horizontal="center" vertical="center"/>
    </xf>
    <xf numFmtId="177" fontId="10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/>
    </xf>
    <xf numFmtId="177" fontId="13" fillId="2" borderId="1" xfId="61" applyNumberFormat="1" applyFont="1" applyFill="1" applyBorder="1" applyAlignment="1">
      <alignment horizontal="center" vertical="center"/>
    </xf>
    <xf numFmtId="0" fontId="14" fillId="0" borderId="7" xfId="53" applyFont="1" applyFill="1" applyBorder="1" applyAlignment="1">
      <alignment horizontal="center" vertical="center"/>
    </xf>
    <xf numFmtId="0" fontId="10" fillId="0" borderId="7" xfId="53" applyFont="1" applyBorder="1" applyAlignment="1">
      <alignment horizontal="center" vertical="center"/>
    </xf>
    <xf numFmtId="14" fontId="9" fillId="0" borderId="13" xfId="0" applyNumberFormat="1" applyFont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576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8"/>
  <sheetViews>
    <sheetView tabSelected="1" workbookViewId="0">
      <selection activeCell="J8" sqref="J8:S8"/>
    </sheetView>
  </sheetViews>
  <sheetFormatPr defaultColWidth="9" defaultRowHeight="14.25"/>
  <cols>
    <col min="1" max="41" width="9.27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13" t="s">
        <v>11</v>
      </c>
      <c r="Z3" s="14"/>
      <c r="AA3" s="14"/>
      <c r="AB3" s="14"/>
      <c r="AC3" s="14"/>
      <c r="AD3" s="15"/>
      <c r="AE3" s="28" t="s">
        <v>12</v>
      </c>
      <c r="AF3" s="29"/>
      <c r="AG3" s="29"/>
      <c r="AH3" s="29"/>
      <c r="AI3" s="30"/>
      <c r="AJ3" s="28" t="s">
        <v>13</v>
      </c>
      <c r="AK3" s="29"/>
      <c r="AL3" s="29"/>
      <c r="AM3" s="30"/>
      <c r="AN3" s="28" t="s">
        <v>14</v>
      </c>
      <c r="AO3" s="30"/>
    </row>
    <row r="4" customHeight="1" spans="1:41">
      <c r="A4" s="31" t="s">
        <v>15</v>
      </c>
      <c r="B4" s="31" t="s">
        <v>16</v>
      </c>
      <c r="C4" s="32" t="s">
        <v>17</v>
      </c>
      <c r="D4" s="33" t="s">
        <v>18</v>
      </c>
      <c r="E4" s="34" t="s">
        <v>19</v>
      </c>
      <c r="F4" s="35" t="s">
        <v>20</v>
      </c>
      <c r="G4" s="35" t="s">
        <v>21</v>
      </c>
      <c r="H4" s="35" t="s">
        <v>22</v>
      </c>
      <c r="I4" s="36" t="s">
        <v>23</v>
      </c>
      <c r="J4" s="37" t="s">
        <v>24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25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26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27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>
        <v>5</v>
      </c>
      <c r="O6" s="46">
        <v>6</v>
      </c>
      <c r="P6" s="46">
        <v>7</v>
      </c>
      <c r="Q6" s="46">
        <v>8</v>
      </c>
      <c r="R6" s="46">
        <v>9</v>
      </c>
      <c r="S6" s="46">
        <v>10</v>
      </c>
      <c r="T6" s="46">
        <v>11</v>
      </c>
      <c r="U6" s="46">
        <v>12</v>
      </c>
      <c r="V6" s="46">
        <v>13</v>
      </c>
      <c r="W6" s="47">
        <v>14</v>
      </c>
      <c r="X6" s="46">
        <v>15</v>
      </c>
      <c r="Y6" s="46">
        <v>16</v>
      </c>
      <c r="Z6" s="48">
        <f t="shared" ref="Z6:AO6" si="0">J6</f>
        <v>1</v>
      </c>
      <c r="AA6" s="48">
        <f t="shared" si="0"/>
        <v>2</v>
      </c>
      <c r="AB6" s="48">
        <f t="shared" si="0"/>
        <v>3</v>
      </c>
      <c r="AC6" s="48">
        <f t="shared" si="0"/>
        <v>4</v>
      </c>
      <c r="AD6" s="48">
        <f t="shared" si="0"/>
        <v>5</v>
      </c>
      <c r="AE6" s="48">
        <f t="shared" si="0"/>
        <v>6</v>
      </c>
      <c r="AF6" s="48">
        <f t="shared" si="0"/>
        <v>7</v>
      </c>
      <c r="AG6" s="48">
        <f t="shared" si="0"/>
        <v>8</v>
      </c>
      <c r="AH6" s="48">
        <f t="shared" si="0"/>
        <v>9</v>
      </c>
      <c r="AI6" s="48">
        <f t="shared" si="0"/>
        <v>10</v>
      </c>
      <c r="AJ6" s="48">
        <f t="shared" si="0"/>
        <v>11</v>
      </c>
      <c r="AK6" s="48">
        <f t="shared" si="0"/>
        <v>12</v>
      </c>
      <c r="AL6" s="48">
        <f t="shared" si="0"/>
        <v>13</v>
      </c>
      <c r="AM6" s="48">
        <f t="shared" si="0"/>
        <v>14</v>
      </c>
      <c r="AN6" s="48">
        <f t="shared" si="0"/>
        <v>15</v>
      </c>
      <c r="AO6" s="48">
        <f t="shared" si="0"/>
        <v>16</v>
      </c>
    </row>
    <row r="7" ht="15" customHeight="1" spans="1:41">
      <c r="A7" s="49">
        <v>46194</v>
      </c>
      <c r="B7" s="50" t="s">
        <v>28</v>
      </c>
      <c r="C7" s="50"/>
      <c r="D7" s="51">
        <v>8.22</v>
      </c>
      <c r="E7" s="51">
        <v>0.05</v>
      </c>
      <c r="F7" s="52">
        <v>-0.05</v>
      </c>
      <c r="G7" s="51">
        <f t="shared" ref="G7:G12" si="1">D7+E7</f>
        <v>8.27</v>
      </c>
      <c r="H7" s="51">
        <f t="shared" ref="H7:H12" si="2">D7+F7</f>
        <v>8.17</v>
      </c>
      <c r="I7" s="52" t="s">
        <v>29</v>
      </c>
      <c r="J7" s="53">
        <v>8.197</v>
      </c>
      <c r="K7" s="53">
        <v>8.195</v>
      </c>
      <c r="L7" s="53">
        <v>8.196</v>
      </c>
      <c r="M7" s="53">
        <v>8.199</v>
      </c>
      <c r="N7" s="53">
        <v>8.199</v>
      </c>
      <c r="O7" s="53">
        <v>8.212</v>
      </c>
      <c r="P7" s="53">
        <v>8.197</v>
      </c>
      <c r="Q7" s="53">
        <v>8.191</v>
      </c>
      <c r="R7" s="53">
        <v>8.208</v>
      </c>
      <c r="S7" s="53">
        <v>8.184</v>
      </c>
      <c r="T7" s="53"/>
      <c r="U7" s="53"/>
      <c r="V7" s="53"/>
      <c r="W7" s="53"/>
      <c r="X7" s="53"/>
      <c r="Y7" s="53"/>
      <c r="Z7" s="54" t="str">
        <f t="shared" ref="Z7:AO7" si="3">IF(J7="","",IF(J7&gt;($D7+$E7),(J7-$D7-$E7),IF(J7&lt;($D7+$F7),(J7-$D7-$F7),"√")))</f>
        <v>√</v>
      </c>
      <c r="AA7" s="54" t="str">
        <f t="shared" si="3"/>
        <v>√</v>
      </c>
      <c r="AB7" s="54" t="str">
        <f t="shared" si="3"/>
        <v>√</v>
      </c>
      <c r="AC7" s="54" t="str">
        <f t="shared" si="3"/>
        <v>√</v>
      </c>
      <c r="AD7" s="54" t="str">
        <f t="shared" si="3"/>
        <v>√</v>
      </c>
      <c r="AE7" s="54" t="str">
        <f t="shared" si="3"/>
        <v>√</v>
      </c>
      <c r="AF7" s="54" t="str">
        <f t="shared" si="3"/>
        <v>√</v>
      </c>
      <c r="AG7" s="54" t="str">
        <f t="shared" si="3"/>
        <v>√</v>
      </c>
      <c r="AH7" s="54" t="str">
        <f t="shared" si="3"/>
        <v>√</v>
      </c>
      <c r="AI7" s="54" t="str">
        <f t="shared" si="3"/>
        <v>√</v>
      </c>
      <c r="AJ7" s="54" t="str">
        <f t="shared" si="3"/>
        <v/>
      </c>
      <c r="AK7" s="54" t="str">
        <f t="shared" si="3"/>
        <v/>
      </c>
      <c r="AL7" s="54" t="str">
        <f t="shared" si="3"/>
        <v/>
      </c>
      <c r="AM7" s="54" t="str">
        <f t="shared" si="3"/>
        <v/>
      </c>
      <c r="AN7" s="54" t="str">
        <f t="shared" si="3"/>
        <v/>
      </c>
      <c r="AO7" s="54" t="str">
        <f t="shared" si="3"/>
        <v/>
      </c>
    </row>
    <row r="8" ht="15" customHeight="1" spans="1:41">
      <c r="A8" s="55"/>
      <c r="B8" s="50" t="s">
        <v>30</v>
      </c>
      <c r="C8" s="50" t="s">
        <v>31</v>
      </c>
      <c r="D8" s="51">
        <v>0.5</v>
      </c>
      <c r="E8" s="51">
        <v>0.03</v>
      </c>
      <c r="F8" s="52">
        <v>-0.03</v>
      </c>
      <c r="G8" s="51">
        <f t="shared" si="1"/>
        <v>0.53</v>
      </c>
      <c r="H8" s="51">
        <f t="shared" si="2"/>
        <v>0.47</v>
      </c>
      <c r="I8" s="52" t="s">
        <v>29</v>
      </c>
      <c r="J8" s="53">
        <v>0.4961</v>
      </c>
      <c r="K8" s="53">
        <v>0.5153</v>
      </c>
      <c r="L8" s="53">
        <v>0.4981</v>
      </c>
      <c r="M8" s="53">
        <v>0.4796</v>
      </c>
      <c r="N8" s="53">
        <v>0.4949</v>
      </c>
      <c r="O8" s="53">
        <v>0.4908</v>
      </c>
      <c r="P8" s="53">
        <v>0.4728</v>
      </c>
      <c r="Q8" s="53">
        <v>0.5003</v>
      </c>
      <c r="R8" s="53">
        <v>0.4934</v>
      </c>
      <c r="S8" s="53">
        <v>0.4943</v>
      </c>
      <c r="T8" s="53"/>
      <c r="U8" s="53"/>
      <c r="V8" s="53"/>
      <c r="W8" s="53"/>
      <c r="X8" s="53"/>
      <c r="Y8" s="53"/>
      <c r="Z8" s="54" t="str">
        <f t="shared" ref="Z8:AO8" si="4">IF(J8="","",IF(J8&gt;($D8+$E8),(J8-$D8-$E8),IF(J8&lt;($D8+$F8),(J8-$D8-$F8),"√")))</f>
        <v>√</v>
      </c>
      <c r="AA8" s="54" t="str">
        <f t="shared" si="4"/>
        <v>√</v>
      </c>
      <c r="AB8" s="54" t="str">
        <f t="shared" si="4"/>
        <v>√</v>
      </c>
      <c r="AC8" s="54" t="str">
        <f t="shared" si="4"/>
        <v>√</v>
      </c>
      <c r="AD8" s="54" t="str">
        <f t="shared" si="4"/>
        <v>√</v>
      </c>
      <c r="AE8" s="54" t="str">
        <f t="shared" si="4"/>
        <v>√</v>
      </c>
      <c r="AF8" s="54" t="str">
        <f t="shared" si="4"/>
        <v>√</v>
      </c>
      <c r="AG8" s="54" t="str">
        <f t="shared" si="4"/>
        <v>√</v>
      </c>
      <c r="AH8" s="54" t="str">
        <f t="shared" si="4"/>
        <v>√</v>
      </c>
      <c r="AI8" s="54" t="str">
        <f t="shared" si="4"/>
        <v>√</v>
      </c>
      <c r="AJ8" s="54" t="str">
        <f t="shared" si="4"/>
        <v/>
      </c>
      <c r="AK8" s="54" t="str">
        <f t="shared" si="4"/>
        <v/>
      </c>
      <c r="AL8" s="54" t="str">
        <f t="shared" si="4"/>
        <v/>
      </c>
      <c r="AM8" s="54" t="str">
        <f t="shared" si="4"/>
        <v/>
      </c>
      <c r="AN8" s="54" t="str">
        <f t="shared" si="4"/>
        <v/>
      </c>
      <c r="AO8" s="54" t="str">
        <f t="shared" si="4"/>
        <v/>
      </c>
    </row>
    <row r="9" ht="15" customHeight="1" spans="1:41">
      <c r="A9" s="55"/>
      <c r="B9" s="50" t="s">
        <v>32</v>
      </c>
      <c r="C9" s="50"/>
      <c r="D9" s="51">
        <v>3.71</v>
      </c>
      <c r="E9" s="51">
        <v>0.03</v>
      </c>
      <c r="F9" s="52">
        <v>-0.03</v>
      </c>
      <c r="G9" s="51">
        <f t="shared" si="1"/>
        <v>3.74</v>
      </c>
      <c r="H9" s="51">
        <f t="shared" si="2"/>
        <v>3.68</v>
      </c>
      <c r="I9" s="52" t="s">
        <v>33</v>
      </c>
      <c r="J9" s="53"/>
      <c r="K9" s="53"/>
      <c r="L9" s="53"/>
      <c r="M9" s="53"/>
      <c r="N9" s="53"/>
      <c r="O9" s="53"/>
      <c r="P9" s="53"/>
      <c r="Q9" s="53"/>
      <c r="R9" s="53"/>
      <c r="S9" s="53"/>
      <c r="T9" s="56"/>
      <c r="U9" s="56"/>
      <c r="V9" s="53"/>
      <c r="W9" s="53"/>
      <c r="X9" s="53"/>
      <c r="Y9" s="53"/>
      <c r="Z9" s="54" t="str">
        <f t="shared" ref="Z8:AO10" si="5">IF(J9="","",IF(J9&gt;($D9+$E9),(J9-$D9-$E9),IF(J9&lt;($D9+$F9),(J9-$D9-$F9),"√")))</f>
        <v/>
      </c>
      <c r="AA9" s="54" t="str">
        <f t="shared" si="5"/>
        <v/>
      </c>
      <c r="AB9" s="54" t="str">
        <f t="shared" si="5"/>
        <v/>
      </c>
      <c r="AC9" s="54" t="str">
        <f t="shared" si="5"/>
        <v/>
      </c>
      <c r="AD9" s="54" t="str">
        <f t="shared" si="5"/>
        <v/>
      </c>
      <c r="AE9" s="54" t="str">
        <f t="shared" si="5"/>
        <v/>
      </c>
      <c r="AF9" s="54" t="str">
        <f t="shared" si="5"/>
        <v/>
      </c>
      <c r="AG9" s="54" t="str">
        <f t="shared" si="5"/>
        <v/>
      </c>
      <c r="AH9" s="54" t="str">
        <f t="shared" si="5"/>
        <v/>
      </c>
      <c r="AI9" s="54" t="str">
        <f t="shared" si="5"/>
        <v/>
      </c>
      <c r="AJ9" s="54" t="str">
        <f t="shared" si="5"/>
        <v/>
      </c>
      <c r="AK9" s="54" t="str">
        <f t="shared" si="5"/>
        <v/>
      </c>
      <c r="AL9" s="54" t="str">
        <f t="shared" si="5"/>
        <v/>
      </c>
      <c r="AM9" s="54" t="str">
        <f t="shared" si="5"/>
        <v/>
      </c>
      <c r="AN9" s="54" t="str">
        <f t="shared" si="5"/>
        <v/>
      </c>
      <c r="AO9" s="54" t="str">
        <f t="shared" si="5"/>
        <v/>
      </c>
    </row>
    <row r="10" ht="15" customHeight="1" spans="1:41">
      <c r="A10" s="55"/>
      <c r="B10" s="50" t="s">
        <v>34</v>
      </c>
      <c r="C10" s="57"/>
      <c r="D10" s="51">
        <v>4.47</v>
      </c>
      <c r="E10" s="51">
        <v>0.03</v>
      </c>
      <c r="F10" s="52">
        <v>-0.03</v>
      </c>
      <c r="G10" s="51">
        <f t="shared" si="1"/>
        <v>4.5</v>
      </c>
      <c r="H10" s="51">
        <f t="shared" si="2"/>
        <v>4.44</v>
      </c>
      <c r="I10" s="52" t="s">
        <v>33</v>
      </c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4" t="str">
        <f t="shared" si="5"/>
        <v/>
      </c>
      <c r="AA10" s="54" t="str">
        <f t="shared" si="5"/>
        <v/>
      </c>
      <c r="AB10" s="54" t="str">
        <f t="shared" si="5"/>
        <v/>
      </c>
      <c r="AC10" s="54" t="str">
        <f t="shared" si="5"/>
        <v/>
      </c>
      <c r="AD10" s="54" t="str">
        <f t="shared" si="5"/>
        <v/>
      </c>
      <c r="AE10" s="54" t="str">
        <f t="shared" si="5"/>
        <v/>
      </c>
      <c r="AF10" s="54" t="str">
        <f t="shared" si="5"/>
        <v/>
      </c>
      <c r="AG10" s="54" t="str">
        <f t="shared" si="5"/>
        <v/>
      </c>
      <c r="AH10" s="54" t="str">
        <f t="shared" si="5"/>
        <v/>
      </c>
      <c r="AI10" s="54" t="str">
        <f t="shared" si="5"/>
        <v/>
      </c>
      <c r="AJ10" s="54" t="str">
        <f t="shared" si="5"/>
        <v/>
      </c>
      <c r="AK10" s="54" t="str">
        <f t="shared" si="5"/>
        <v/>
      </c>
      <c r="AL10" s="54" t="str">
        <f t="shared" si="5"/>
        <v/>
      </c>
      <c r="AM10" s="54" t="str">
        <f t="shared" si="5"/>
        <v/>
      </c>
      <c r="AN10" s="54" t="str">
        <f t="shared" si="5"/>
        <v/>
      </c>
      <c r="AO10" s="54" t="str">
        <f t="shared" si="5"/>
        <v/>
      </c>
    </row>
    <row r="11" ht="15" customHeight="1" spans="1:41">
      <c r="A11" s="55"/>
      <c r="B11" s="50" t="s">
        <v>35</v>
      </c>
      <c r="C11" s="50" t="s">
        <v>36</v>
      </c>
      <c r="D11" s="51">
        <v>3.19</v>
      </c>
      <c r="E11" s="51">
        <v>0.03</v>
      </c>
      <c r="F11" s="52">
        <v>-0.03</v>
      </c>
      <c r="G11" s="51">
        <f t="shared" si="1"/>
        <v>3.22</v>
      </c>
      <c r="H11" s="51">
        <f t="shared" si="2"/>
        <v>3.16</v>
      </c>
      <c r="I11" s="52" t="s">
        <v>33</v>
      </c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4" t="str">
        <f t="shared" ref="Z11:AO11" si="6">IF(J11="","",IF(J11&gt;($D11+$E11),(J11-$D11-$E11),IF(J11&lt;($D11+$F11),(J11-$D11-$F11),"√")))</f>
        <v/>
      </c>
      <c r="AA11" s="54" t="str">
        <f t="shared" si="6"/>
        <v/>
      </c>
      <c r="AB11" s="54" t="str">
        <f t="shared" si="6"/>
        <v/>
      </c>
      <c r="AC11" s="54" t="str">
        <f t="shared" si="6"/>
        <v/>
      </c>
      <c r="AD11" s="54" t="str">
        <f t="shared" si="6"/>
        <v/>
      </c>
      <c r="AE11" s="54" t="str">
        <f t="shared" si="6"/>
        <v/>
      </c>
      <c r="AF11" s="54" t="str">
        <f t="shared" si="6"/>
        <v/>
      </c>
      <c r="AG11" s="54" t="str">
        <f t="shared" si="6"/>
        <v/>
      </c>
      <c r="AH11" s="54" t="str">
        <f t="shared" si="6"/>
        <v/>
      </c>
      <c r="AI11" s="54" t="str">
        <f t="shared" si="6"/>
        <v/>
      </c>
      <c r="AJ11" s="54" t="str">
        <f t="shared" si="6"/>
        <v/>
      </c>
      <c r="AK11" s="54" t="str">
        <f t="shared" si="6"/>
        <v/>
      </c>
      <c r="AL11" s="54" t="str">
        <f t="shared" si="6"/>
        <v/>
      </c>
      <c r="AM11" s="54" t="str">
        <f t="shared" si="6"/>
        <v/>
      </c>
      <c r="AN11" s="54" t="str">
        <f t="shared" si="6"/>
        <v/>
      </c>
      <c r="AO11" s="54" t="str">
        <f t="shared" si="6"/>
        <v/>
      </c>
    </row>
    <row r="12" ht="15" customHeight="1" spans="1:41">
      <c r="A12" s="55"/>
      <c r="B12" s="50" t="s">
        <v>37</v>
      </c>
      <c r="C12" s="50" t="s">
        <v>38</v>
      </c>
      <c r="D12" s="51">
        <v>0</v>
      </c>
      <c r="E12" s="51">
        <v>0.05</v>
      </c>
      <c r="F12" s="52">
        <v>0</v>
      </c>
      <c r="G12" s="51">
        <f t="shared" si="1"/>
        <v>0.05</v>
      </c>
      <c r="H12" s="51">
        <f t="shared" si="2"/>
        <v>0</v>
      </c>
      <c r="I12" s="52" t="s">
        <v>33</v>
      </c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4" t="str">
        <f t="shared" ref="Z12:AO12" si="7">IF(J12="","",IF(J12&gt;($D12+$E12),(J12-$D12-$E12),IF(J12&lt;($D12+$F12),(J12-$D12-$F12),"√")))</f>
        <v/>
      </c>
      <c r="AA12" s="54" t="str">
        <f t="shared" si="7"/>
        <v/>
      </c>
      <c r="AB12" s="54" t="str">
        <f t="shared" si="7"/>
        <v/>
      </c>
      <c r="AC12" s="54" t="str">
        <f t="shared" si="7"/>
        <v/>
      </c>
      <c r="AD12" s="54" t="str">
        <f t="shared" si="7"/>
        <v/>
      </c>
      <c r="AE12" s="54" t="str">
        <f t="shared" si="7"/>
        <v/>
      </c>
      <c r="AF12" s="54" t="str">
        <f t="shared" si="7"/>
        <v/>
      </c>
      <c r="AG12" s="54" t="str">
        <f t="shared" si="7"/>
        <v/>
      </c>
      <c r="AH12" s="54" t="str">
        <f t="shared" si="7"/>
        <v/>
      </c>
      <c r="AI12" s="54" t="str">
        <f t="shared" si="7"/>
        <v/>
      </c>
      <c r="AJ12" s="54" t="str">
        <f t="shared" si="7"/>
        <v/>
      </c>
      <c r="AK12" s="54" t="str">
        <f t="shared" si="7"/>
        <v/>
      </c>
      <c r="AL12" s="54" t="str">
        <f t="shared" si="7"/>
        <v/>
      </c>
      <c r="AM12" s="54" t="str">
        <f t="shared" si="7"/>
        <v/>
      </c>
      <c r="AN12" s="54" t="str">
        <f t="shared" si="7"/>
        <v/>
      </c>
      <c r="AO12" s="54" t="str">
        <f t="shared" si="7"/>
        <v/>
      </c>
    </row>
    <row r="13" ht="15" customHeight="1" spans="1:41">
      <c r="A13" s="55"/>
      <c r="B13" s="58">
        <v>1</v>
      </c>
      <c r="C13" s="58"/>
      <c r="D13" s="52"/>
      <c r="E13" s="52"/>
      <c r="F13" s="52"/>
      <c r="G13" s="51"/>
      <c r="H13" s="51"/>
      <c r="I13" s="52" t="s">
        <v>33</v>
      </c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</row>
    <row r="14" ht="15" customHeight="1" spans="1:41">
      <c r="A14" s="55"/>
      <c r="B14" s="58">
        <v>2</v>
      </c>
      <c r="C14" s="58"/>
      <c r="D14" s="52"/>
      <c r="E14" s="52"/>
      <c r="F14" s="52"/>
      <c r="G14" s="51"/>
      <c r="H14" s="51"/>
      <c r="I14" s="52" t="s">
        <v>33</v>
      </c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</row>
    <row r="15" ht="15" customHeight="1" spans="1:41">
      <c r="A15" s="55"/>
      <c r="B15" s="58">
        <v>3</v>
      </c>
      <c r="C15" s="58"/>
      <c r="D15" s="52"/>
      <c r="E15" s="52"/>
      <c r="F15" s="52"/>
      <c r="G15" s="51"/>
      <c r="H15" s="51"/>
      <c r="I15" s="52" t="s">
        <v>33</v>
      </c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</row>
    <row r="16" ht="15" customHeight="1" spans="1:41">
      <c r="A16" s="55"/>
      <c r="B16" s="58">
        <v>4</v>
      </c>
      <c r="C16" s="58"/>
      <c r="D16" s="52"/>
      <c r="E16" s="52"/>
      <c r="F16" s="52"/>
      <c r="G16" s="51"/>
      <c r="H16" s="51"/>
      <c r="I16" s="52" t="s">
        <v>33</v>
      </c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</row>
    <row r="17" ht="15" customHeight="1" spans="1:41">
      <c r="A17" s="55"/>
      <c r="B17" s="58">
        <v>5</v>
      </c>
      <c r="C17" s="58"/>
      <c r="D17" s="52"/>
      <c r="E17" s="52"/>
      <c r="F17" s="52"/>
      <c r="G17" s="51"/>
      <c r="H17" s="51"/>
      <c r="I17" s="52" t="s">
        <v>33</v>
      </c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</row>
    <row r="18" ht="15" customHeight="1" spans="1:41">
      <c r="A18" s="59"/>
      <c r="B18" s="58">
        <v>6</v>
      </c>
      <c r="C18" s="58"/>
      <c r="D18" s="52"/>
      <c r="E18" s="52"/>
      <c r="F18" s="52"/>
      <c r="G18" s="51"/>
      <c r="H18" s="51"/>
      <c r="I18" s="52" t="s">
        <v>33</v>
      </c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18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9">
    <cfRule type="cellIs" dxfId="0" priority="48" operator="notBetween">
      <formula>$G9</formula>
      <formula>$H9</formula>
    </cfRule>
  </conditionalFormatting>
  <conditionalFormatting sqref="K9">
    <cfRule type="cellIs" dxfId="0" priority="47" operator="notBetween">
      <formula>$G9</formula>
      <formula>$H9</formula>
    </cfRule>
  </conditionalFormatting>
  <conditionalFormatting sqref="L9">
    <cfRule type="cellIs" dxfId="0" priority="46" operator="notBetween">
      <formula>$G9</formula>
      <formula>$H9</formula>
    </cfRule>
  </conditionalFormatting>
  <conditionalFormatting sqref="M9">
    <cfRule type="cellIs" dxfId="0" priority="45" operator="notBetween">
      <formula>$G9</formula>
      <formula>$H9</formula>
    </cfRule>
  </conditionalFormatting>
  <conditionalFormatting sqref="N9">
    <cfRule type="cellIs" dxfId="0" priority="44" operator="notBetween">
      <formula>$G9</formula>
      <formula>$H9</formula>
    </cfRule>
  </conditionalFormatting>
  <conditionalFormatting sqref="O9">
    <cfRule type="cellIs" dxfId="0" priority="43" operator="notBetween">
      <formula>$G9</formula>
      <formula>$H9</formula>
    </cfRule>
  </conditionalFormatting>
  <conditionalFormatting sqref="P9">
    <cfRule type="cellIs" dxfId="0" priority="42" operator="notBetween">
      <formula>$G9</formula>
      <formula>$H9</formula>
    </cfRule>
  </conditionalFormatting>
  <conditionalFormatting sqref="Q9">
    <cfRule type="cellIs" dxfId="0" priority="41" operator="notBetween">
      <formula>$G9</formula>
      <formula>$H9</formula>
    </cfRule>
  </conditionalFormatting>
  <conditionalFormatting sqref="R9">
    <cfRule type="cellIs" dxfId="0" priority="40" operator="notBetween">
      <formula>$G9</formula>
      <formula>$H9</formula>
    </cfRule>
  </conditionalFormatting>
  <conditionalFormatting sqref="S9">
    <cfRule type="cellIs" dxfId="0" priority="39" operator="notBetween">
      <formula>$G9</formula>
      <formula>$H9</formula>
    </cfRule>
  </conditionalFormatting>
  <conditionalFormatting sqref="T9">
    <cfRule type="cellIs" dxfId="0" priority="38" operator="notBetween">
      <formula>$G9</formula>
      <formula>$H9</formula>
    </cfRule>
  </conditionalFormatting>
  <conditionalFormatting sqref="U9">
    <cfRule type="cellIs" dxfId="0" priority="37" operator="notBetween">
      <formula>$G9</formula>
      <formula>$H9</formula>
    </cfRule>
  </conditionalFormatting>
  <conditionalFormatting sqref="V9">
    <cfRule type="cellIs" dxfId="0" priority="36" operator="notBetween">
      <formula>$G9</formula>
      <formula>$H9</formula>
    </cfRule>
  </conditionalFormatting>
  <conditionalFormatting sqref="W9">
    <cfRule type="cellIs" dxfId="0" priority="35" operator="notBetween">
      <formula>$G9</formula>
      <formula>$H9</formula>
    </cfRule>
  </conditionalFormatting>
  <conditionalFormatting sqref="X9">
    <cfRule type="cellIs" dxfId="0" priority="34" operator="notBetween">
      <formula>$G9</formula>
      <formula>$H9</formula>
    </cfRule>
  </conditionalFormatting>
  <conditionalFormatting sqref="Y9">
    <cfRule type="cellIs" dxfId="0" priority="33" operator="notBetween">
      <formula>$G9</formula>
      <formula>$H9</formula>
    </cfRule>
  </conditionalFormatting>
  <conditionalFormatting sqref="J10">
    <cfRule type="cellIs" dxfId="0" priority="32" operator="notBetween">
      <formula>$G10</formula>
      <formula>$H10</formula>
    </cfRule>
  </conditionalFormatting>
  <conditionalFormatting sqref="K10">
    <cfRule type="cellIs" dxfId="0" priority="31" operator="notBetween">
      <formula>$G10</formula>
      <formula>$H10</formula>
    </cfRule>
  </conditionalFormatting>
  <conditionalFormatting sqref="L10">
    <cfRule type="cellIs" dxfId="0" priority="30" operator="notBetween">
      <formula>$G10</formula>
      <formula>$H10</formula>
    </cfRule>
  </conditionalFormatting>
  <conditionalFormatting sqref="M10">
    <cfRule type="cellIs" dxfId="0" priority="29" operator="notBetween">
      <formula>$G10</formula>
      <formula>$H10</formula>
    </cfRule>
  </conditionalFormatting>
  <conditionalFormatting sqref="N10">
    <cfRule type="cellIs" dxfId="0" priority="28" operator="notBetween">
      <formula>$G10</formula>
      <formula>$H10</formula>
    </cfRule>
  </conditionalFormatting>
  <conditionalFormatting sqref="O10">
    <cfRule type="cellIs" dxfId="0" priority="27" operator="notBetween">
      <formula>$G10</formula>
      <formula>$H10</formula>
    </cfRule>
  </conditionalFormatting>
  <conditionalFormatting sqref="P10">
    <cfRule type="cellIs" dxfId="0" priority="26" operator="notBetween">
      <formula>$G10</formula>
      <formula>$H10</formula>
    </cfRule>
  </conditionalFormatting>
  <conditionalFormatting sqref="Q10">
    <cfRule type="cellIs" dxfId="0" priority="25" operator="notBetween">
      <formula>$G10</formula>
      <formula>$H10</formula>
    </cfRule>
  </conditionalFormatting>
  <conditionalFormatting sqref="R10">
    <cfRule type="cellIs" dxfId="0" priority="24" operator="notBetween">
      <formula>$G10</formula>
      <formula>$H10</formula>
    </cfRule>
  </conditionalFormatting>
  <conditionalFormatting sqref="S10">
    <cfRule type="cellIs" dxfId="0" priority="23" operator="notBetween">
      <formula>$G10</formula>
      <formula>$H10</formula>
    </cfRule>
  </conditionalFormatting>
  <conditionalFormatting sqref="T10">
    <cfRule type="cellIs" dxfId="0" priority="22" operator="notBetween">
      <formula>$G10</formula>
      <formula>$H10</formula>
    </cfRule>
  </conditionalFormatting>
  <conditionalFormatting sqref="U10">
    <cfRule type="cellIs" dxfId="0" priority="21" operator="notBetween">
      <formula>$G10</formula>
      <formula>$H10</formula>
    </cfRule>
  </conditionalFormatting>
  <conditionalFormatting sqref="V10">
    <cfRule type="cellIs" dxfId="0" priority="20" operator="notBetween">
      <formula>$G10</formula>
      <formula>$H10</formula>
    </cfRule>
  </conditionalFormatting>
  <conditionalFormatting sqref="W10">
    <cfRule type="cellIs" dxfId="0" priority="19" operator="notBetween">
      <formula>$G10</formula>
      <formula>$H10</formula>
    </cfRule>
  </conditionalFormatting>
  <conditionalFormatting sqref="X10">
    <cfRule type="cellIs" dxfId="0" priority="18" operator="notBetween">
      <formula>$G10</formula>
      <formula>$H10</formula>
    </cfRule>
  </conditionalFormatting>
  <conditionalFormatting sqref="Y10">
    <cfRule type="cellIs" dxfId="0" priority="17" operator="notBetween">
      <formula>$G10</formula>
      <formula>$H10</formula>
    </cfRule>
  </conditionalFormatting>
  <conditionalFormatting sqref="J7:Y8">
    <cfRule type="cellIs" dxfId="0" priority="171" operator="notBetween">
      <formula>$G7</formula>
      <formula>$H7</formula>
    </cfRule>
  </conditionalFormatting>
  <conditionalFormatting sqref="J11:Y12">
    <cfRule type="cellIs" dxfId="0" priority="111" operator="notBetween">
      <formula>$G11</formula>
      <formula>$H11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2026-06-20T23:27:13Z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