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646-647" sheetId="1" r:id="rId1"/>
  </sheets>
  <definedNames>
    <definedName name="_xlnm.Print_Area" localSheetId="0">'X646-647'!#REF!</definedName>
    <definedName name="_xlnm.Print_Titles" localSheetId="0">'X646-647'!#REF!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<sst xmlns="http://schemas.openxmlformats.org/spreadsheetml/2006/main" count="45" uniqueCount="36">
  <si>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安徽中耀智能科技有限公司首件尺寸报告</t>
  </si>
  <si>
    <t>料号</t>
  </si>
  <si>
    <r>
      <rPr>
        <b/>
        <sz val="12"/>
        <rFont val="宋体"/>
        <charset val="134"/>
      </rPr>
      <t>X</t>
    </r>
    <r>
      <rPr>
        <b/>
        <sz val="12"/>
        <rFont val="宋体"/>
        <charset val="134"/>
      </rPr>
      <t>564-565</t>
    </r>
  </si>
  <si>
    <t>工单号</t>
  </si>
  <si>
    <t>工站</t>
  </si>
  <si>
    <t>炉号</t>
  </si>
  <si>
    <t>测量机台</t>
  </si>
  <si>
    <t>测量人员</t>
  </si>
  <si>
    <t>审核</t>
  </si>
  <si>
    <t>IQC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</si>
  <si>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</si>
  <si>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</si>
  <si>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</si>
  <si>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</si>
  <si>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</si>
  <si>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</si>
  <si>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</si>
  <si>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</si>
  <si>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</si>
  <si>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</si>
  <si>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</si>
  <si>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</si>
  <si>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</si>
  <si>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</si>
  <si>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</si>
  <si>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</si>
  <si>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</si>
  <si>
    <t>P1</t>
  </si>
  <si>
    <t>P2</t>
  </si>
  <si>
    <t>P3</t>
  </si>
  <si>
    <t>P4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</si>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</sst>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4"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5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3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2" fillId="2" borderId="1" xfId="60" applyFont="1" applyFill="1" applyBorder="1" applyAlignment="1" applyProtection="1">
      <alignment horizontal="center" vertical="center"/>
      <protection locked="0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4" fillId="0" borderId="2" xfId="60" applyFont="1" applyFill="1" applyBorder="1" applyAlignment="1" applyProtection="1">
      <alignment horizontal="center" vertical="center"/>
      <protection locked="0"/>
    </xf>
    <xf numFmtId="0" fontId="5" fillId="0" borderId="3" xfId="60" applyFont="1" applyFill="1" applyBorder="1" applyAlignment="1" applyProtection="1">
      <alignment horizontal="center" vertical="center"/>
      <protection locked="0"/>
    </xf>
    <xf numFmtId="0" fontId="5" fillId="0" borderId="4" xfId="60" applyFont="1" applyFill="1" applyBorder="1" applyAlignment="1" applyProtection="1">
      <alignment horizontal="center" vertical="center"/>
      <protection locked="0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>
      <alignment horizontal="center" vertical="center"/>
    </xf>
    <xf numFmtId="49" fontId="5" fillId="0" borderId="5" xfId="60" applyNumberFormat="1" applyFont="1" applyFill="1" applyBorder="1" applyAlignment="1">
      <alignment horizontal="center" vertical="center"/>
    </xf>
    <xf numFmtId="49" fontId="5" fillId="0" borderId="6" xfId="60" applyNumberFormat="1" applyFont="1" applyFill="1" applyBorder="1" applyAlignment="1">
      <alignment horizontal="center" vertical="center"/>
    </xf>
    <xf numFmtId="49" fontId="5" fillId="0" borderId="7" xfId="60" applyNumberFormat="1" applyFont="1" applyFill="1" applyBorder="1" applyAlignment="1">
      <alignment horizontal="center" vertical="center"/>
    </xf>
    <xf numFmtId="49" fontId="6" fillId="0" borderId="5" xfId="60" applyNumberFormat="1" applyFont="1" applyFill="1" applyBorder="1" applyAlignment="1" applyProtection="1">
      <alignment horizontal="center" vertical="center"/>
      <protection locked="0"/>
    </xf>
    <xf numFmtId="49" fontId="6" fillId="0" borderId="6" xfId="60" applyNumberFormat="1" applyFont="1" applyFill="1" applyBorder="1" applyAlignment="1" applyProtection="1">
      <alignment horizontal="center" vertical="center"/>
      <protection locked="0"/>
    </xf>
    <xf numFmtId="49" fontId="6" fillId="0" borderId="7" xfId="60" applyNumberFormat="1" applyFont="1" applyFill="1" applyBorder="1" applyAlignment="1" applyProtection="1">
      <alignment horizontal="center" vertical="center"/>
      <protection locked="0"/>
    </xf>
    <xf numFmtId="49" fontId="5" fillId="0" borderId="5" xfId="79" applyNumberFormat="1" applyFont="1" applyFill="1" applyBorder="1" applyAlignment="1">
      <alignment horizontal="center" vertical="center"/>
    </xf>
    <xf numFmtId="49" fontId="5" fillId="0" borderId="6" xfId="79" applyNumberFormat="1" applyFont="1" applyFill="1" applyBorder="1" applyAlignment="1">
      <alignment horizontal="center" vertical="center"/>
    </xf>
    <xf numFmtId="49" fontId="5" fillId="0" borderId="7" xfId="79" applyNumberFormat="1" applyFont="1" applyFill="1" applyBorder="1" applyAlignment="1">
      <alignment horizontal="center" vertical="center"/>
    </xf>
    <xf numFmtId="0" fontId="5" fillId="0" borderId="8" xfId="60" applyFont="1" applyFill="1" applyBorder="1" applyAlignment="1" applyProtection="1">
      <alignment horizontal="center" vertical="center"/>
      <protection locked="0"/>
    </xf>
    <xf numFmtId="0" fontId="5" fillId="0" borderId="9" xfId="60" applyFont="1" applyFill="1" applyBorder="1" applyAlignment="1" applyProtection="1">
      <alignment horizontal="center" vertical="center"/>
      <protection locked="0"/>
    </xf>
    <xf numFmtId="0" fontId="5" fillId="0" borderId="10" xfId="60" applyFont="1" applyFill="1" applyBorder="1" applyAlignment="1" applyProtection="1">
      <alignment horizontal="center" vertical="center"/>
      <protection locked="0"/>
    </xf>
    <xf numFmtId="49" fontId="3" fillId="0" borderId="8" xfId="60" applyNumberFormat="1" applyFont="1" applyFill="1" applyBorder="1" applyAlignment="1">
      <alignment horizontal="center" vertical="center"/>
    </xf>
    <xf numFmtId="49" fontId="3" fillId="0" borderId="9" xfId="60" applyNumberFormat="1" applyFont="1" applyFill="1" applyBorder="1" applyAlignment="1">
      <alignment horizontal="center" vertical="center"/>
    </xf>
    <xf numFmtId="49" fontId="3" fillId="0" borderId="10" xfId="60" applyNumberFormat="1" applyFont="1" applyFill="1" applyBorder="1" applyAlignment="1">
      <alignment horizontal="center" vertical="center"/>
    </xf>
    <xf numFmtId="0" fontId="5" fillId="0" borderId="5" xfId="60" applyFont="1" applyFill="1" applyBorder="1" applyAlignment="1" applyProtection="1">
      <alignment horizontal="center" vertical="center"/>
      <protection locked="0"/>
    </xf>
    <xf numFmtId="0" fontId="5" fillId="0" borderId="6" xfId="60" applyFont="1" applyFill="1" applyBorder="1" applyAlignment="1" applyProtection="1">
      <alignment horizontal="center" vertical="center"/>
      <protection locked="0"/>
    </xf>
    <xf numFmtId="0" fontId="5" fillId="0" borderId="7" xfId="60" applyFont="1" applyFill="1" applyBorder="1" applyAlignment="1" applyProtection="1">
      <alignment horizontal="center" vertical="center"/>
      <protection locked="0"/>
    </xf>
    <xf numFmtId="176" fontId="5" fillId="0" borderId="5" xfId="79" applyNumberFormat="1" applyFont="1" applyFill="1" applyBorder="1" applyAlignment="1">
      <alignment horizontal="center" vertical="center"/>
    </xf>
    <xf numFmtId="176" fontId="5" fillId="0" borderId="6" xfId="79" applyNumberFormat="1" applyFont="1" applyFill="1" applyBorder="1" applyAlignment="1">
      <alignment horizontal="center" vertical="center"/>
    </xf>
    <xf numFmtId="176" fontId="5" fillId="0" borderId="7" xfId="79" applyNumberFormat="1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Border="1" applyAlignment="1" applyProtection="1">
      <alignment horizontal="center" vertical="center"/>
      <protection locked="0"/>
    </xf>
    <xf numFmtId="0" fontId="7" fillId="4" borderId="1" xfId="60" applyFont="1" applyFill="1" applyBorder="1" applyAlignment="1">
      <alignment horizontal="center" vertical="center"/>
    </xf>
    <xf numFmtId="0" fontId="8" fillId="3" borderId="1" xfId="60" applyFont="1" applyFill="1" applyBorder="1" applyAlignment="1" applyProtection="1">
      <alignment horizontal="center" vertical="center"/>
      <protection locked="0"/>
    </xf>
    <xf numFmtId="0" fontId="8" fillId="4" borderId="1" xfId="60" applyFont="1" applyFill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0" fillId="3" borderId="1" xfId="0" applyFont="1" applyFill="1" applyBorder="1" applyAlignment="1">
      <alignment horizontal="right" vertical="center"/>
    </xf>
    <xf numFmtId="0" fontId="11" fillId="4" borderId="1" xfId="6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9"/>
  <sheetViews>
    <sheetView tabSelected="1" topLeftCell="J1" workbookViewId="0">
      <selection activeCell="AM3" sqref="AM3:AN3"/>
    </sheetView>
  </sheetViews>
  <sheetFormatPr defaultColWidth="9" defaultRowHeight="14.25"/>
  <cols>
    <col min="1" max="1" width="11" customWidth="1"/>
    <col min="2" max="2" width="15.0833333333333" customWidth="1"/>
    <col min="3" max="3" width="8.75" style="2" customWidth="1"/>
    <col min="4" max="5" width="7.83333333333333" style="2" customWidth="1"/>
    <col min="6" max="7" width="8" style="2" customWidth="1"/>
    <col min="8" max="8" width="5.5" style="2" customWidth="1"/>
    <col min="9" max="24" width="7.58333333333333" customWidth="1"/>
    <col min="25" max="40" width="6.58333333333333" customWidth="1"/>
  </cols>
  <sheetData>
    <row r="1" ht="70.5" customHeight="1" spans="1:40">
      <c r="A1" s="3" t="s">
        <v>0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5" t="s">
        <v>1</v>
      </c>
      <c r="B2" s="6" t="s">
        <v>2</v>
      </c>
      <c r="C2" s="7"/>
      <c r="D2" s="7"/>
      <c r="E2" s="7"/>
      <c r="F2" s="8"/>
      <c r="G2" s="9" t="s">
        <v>3</v>
      </c>
      <c r="H2" s="10"/>
      <c r="I2" s="10"/>
      <c r="J2" s="11"/>
      <c r="K2" s="12"/>
      <c r="L2" s="12"/>
      <c r="M2" s="12"/>
      <c r="N2" s="12"/>
      <c r="O2" s="12"/>
      <c r="P2" s="12"/>
      <c r="Q2" s="12"/>
      <c r="R2" s="13" t="s">
        <v>4</v>
      </c>
      <c r="S2" s="14"/>
      <c r="T2" s="14"/>
      <c r="U2" s="14"/>
      <c r="V2" s="14"/>
      <c r="W2" s="15"/>
      <c r="X2" s="16" t="s">
        <v>5</v>
      </c>
      <c r="Y2" s="17"/>
      <c r="Z2" s="17"/>
      <c r="AA2" s="17"/>
      <c r="AB2" s="17"/>
      <c r="AC2" s="18"/>
      <c r="AD2" s="16" t="s">
        <v>6</v>
      </c>
      <c r="AE2" s="17"/>
      <c r="AF2" s="17"/>
      <c r="AG2" s="17"/>
      <c r="AH2" s="18"/>
      <c r="AI2" s="19" t="s">
        <v>7</v>
      </c>
      <c r="AJ2" s="20"/>
      <c r="AK2" s="20"/>
      <c r="AL2" s="21"/>
      <c r="AM2" s="19" t="s">
        <v>8</v>
      </c>
      <c r="AN2" s="21"/>
    </row>
    <row r="3" ht="15" customHeight="1" spans="1:40">
      <c r="A3" s="5"/>
      <c r="B3" s="22"/>
      <c r="C3" s="23"/>
      <c r="D3" s="23"/>
      <c r="E3" s="23"/>
      <c r="F3" s="24"/>
      <c r="G3" s="25"/>
      <c r="H3" s="26"/>
      <c r="I3" s="26"/>
      <c r="J3" s="27"/>
      <c r="K3" s="12"/>
      <c r="L3" s="12"/>
      <c r="M3" s="12"/>
      <c r="N3" s="12"/>
      <c r="O3" s="12"/>
      <c r="P3" s="12"/>
      <c r="Q3" s="12"/>
      <c r="R3" s="28" t="s">
        <v>9</v>
      </c>
      <c r="S3" s="29"/>
      <c r="T3" s="29"/>
      <c r="U3" s="29"/>
      <c r="V3" s="29"/>
      <c r="W3" s="30"/>
      <c r="X3" s="28"/>
      <c r="Y3" s="29"/>
      <c r="Z3" s="29"/>
      <c r="AA3" s="29"/>
      <c r="AB3" s="29"/>
      <c r="AC3" s="30"/>
      <c r="AD3" s="31" t="s">
        <v>10</v>
      </c>
      <c r="AE3" s="32"/>
      <c r="AF3" s="32"/>
      <c r="AG3" s="32"/>
      <c r="AH3" s="33"/>
      <c r="AI3" s="31" t="s">
        <v>11</v>
      </c>
      <c r="AJ3" s="32"/>
      <c r="AK3" s="32"/>
      <c r="AL3" s="33"/>
      <c r="AM3" s="31" t="s">
        <v>12</v>
      </c>
      <c r="AN3" s="33"/>
    </row>
    <row r="4" customHeight="1" spans="1:40">
      <c r="A4" s="34" t="s">
        <v>13</v>
      </c>
      <c r="B4" s="34" t="s">
        <v>14</v>
      </c>
      <c r="C4" s="34" t="s">
        <v>15</v>
      </c>
      <c r="D4" s="34" t="s">
        <v>16</v>
      </c>
      <c r="E4" s="34" t="s">
        <v>17</v>
      </c>
      <c r="F4" s="34" t="s">
        <v>18</v>
      </c>
      <c r="G4" s="34" t="s">
        <v>19</v>
      </c>
      <c r="H4" s="34" t="s">
        <v>20</v>
      </c>
      <c r="I4" s="35" t="s">
        <v>21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6" t="s">
        <v>22</v>
      </c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8"/>
    </row>
    <row r="5" ht="13.5" customHeight="1" spans="1:40">
      <c r="A5" s="39"/>
      <c r="B5" s="40"/>
      <c r="C5" s="40"/>
      <c r="D5" s="40"/>
      <c r="E5" s="40"/>
      <c r="F5" s="40"/>
      <c r="G5" s="40"/>
      <c r="H5" s="40"/>
      <c r="I5" s="35" t="s">
        <v>23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41" t="s">
        <v>24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</row>
    <row r="6" customHeight="1" spans="1:40">
      <c r="A6" s="39"/>
      <c r="B6" s="40"/>
      <c r="C6" s="40"/>
      <c r="D6" s="40"/>
      <c r="E6" s="40"/>
      <c r="F6" s="40"/>
      <c r="G6" s="40"/>
      <c r="H6" s="40"/>
      <c r="I6" s="42">
        <v>1</v>
      </c>
      <c r="J6" s="42">
        <v>2</v>
      </c>
      <c r="K6" s="42">
        <v>3</v>
      </c>
      <c r="L6" s="42">
        <v>4</v>
      </c>
      <c r="M6" s="42">
        <v>5</v>
      </c>
      <c r="N6" s="42">
        <v>6</v>
      </c>
      <c r="O6" s="42">
        <v>7</v>
      </c>
      <c r="P6" s="42">
        <v>8</v>
      </c>
      <c r="Q6" s="42">
        <v>9</v>
      </c>
      <c r="R6" s="42">
        <v>10</v>
      </c>
      <c r="S6" s="42">
        <v>11</v>
      </c>
      <c r="T6" s="42">
        <v>12</v>
      </c>
      <c r="U6" s="42">
        <v>13</v>
      </c>
      <c r="V6" s="42">
        <v>14</v>
      </c>
      <c r="W6" s="42">
        <v>15</v>
      </c>
      <c r="X6" s="42">
        <v>16</v>
      </c>
      <c r="Y6" s="43">
        <f t="shared" ref="Y6:AN6" si="0">I6</f>
        <v>1</v>
      </c>
      <c r="Z6" s="43">
        <f t="shared" si="0"/>
        <v>2</v>
      </c>
      <c r="AA6" s="43">
        <f t="shared" si="0"/>
        <v>3</v>
      </c>
      <c r="AB6" s="43">
        <f t="shared" si="0"/>
        <v>4</v>
      </c>
      <c r="AC6" s="43">
        <f t="shared" si="0"/>
        <v>5</v>
      </c>
      <c r="AD6" s="43">
        <f t="shared" si="0"/>
        <v>6</v>
      </c>
      <c r="AE6" s="43">
        <f t="shared" si="0"/>
        <v>7</v>
      </c>
      <c r="AF6" s="43">
        <f t="shared" si="0"/>
        <v>8</v>
      </c>
      <c r="AG6" s="43">
        <f t="shared" si="0"/>
        <v>9</v>
      </c>
      <c r="AH6" s="43">
        <f t="shared" si="0"/>
        <v>10</v>
      </c>
      <c r="AI6" s="43">
        <f t="shared" si="0"/>
        <v>11</v>
      </c>
      <c r="AJ6" s="43">
        <f t="shared" si="0"/>
        <v>12</v>
      </c>
      <c r="AK6" s="43">
        <f t="shared" si="0"/>
        <v>13</v>
      </c>
      <c r="AL6" s="43">
        <f t="shared" si="0"/>
        <v>14</v>
      </c>
      <c r="AM6" s="43">
        <f t="shared" si="0"/>
        <v>15</v>
      </c>
      <c r="AN6" s="43">
        <f t="shared" si="0"/>
        <v>16</v>
      </c>
    </row>
    <row r="7" spans="1:40">
      <c r="A7" s="44">
        <v>46193</v>
      </c>
      <c r="B7" s="45" t="s">
        <v>25</v>
      </c>
      <c r="C7" s="45">
        <v>0</v>
      </c>
      <c r="D7" s="45">
        <v>0.1</v>
      </c>
      <c r="E7" s="45">
        <v>0</v>
      </c>
      <c r="F7" s="45">
        <f t="shared" ref="F7:F16" si="1">C7+D7</f>
        <v>0.1</v>
      </c>
      <c r="G7" s="45">
        <f t="shared" ref="G7:G16" si="2">C7+E7</f>
        <v>0</v>
      </c>
      <c r="H7" s="46" t="s">
        <v>26</v>
      </c>
      <c r="I7" s="47">
        <v>0.0214</v>
      </c>
      <c r="J7" s="47">
        <v>0.0374</v>
      </c>
      <c r="K7" s="47">
        <v>0.0267</v>
      </c>
      <c r="L7" s="47">
        <v>0.0331</v>
      </c>
      <c r="M7" s="47">
        <v>0.0331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 t="str">
        <f t="shared" ref="Y7:AN7" si="3">IF(I7="","",IF(I7&gt;($C7+$D7),(I7-$C7-$D7),IF(I7&lt;($C7+$E7),(I7-$C7-$E7),"√")))</f>
        <v>√</v>
      </c>
      <c r="Z7" s="48" t="str">
        <f t="shared" si="3"/>
        <v>√</v>
      </c>
      <c r="AA7" s="48" t="str">
        <f t="shared" si="3"/>
        <v>√</v>
      </c>
      <c r="AB7" s="48" t="str">
        <f t="shared" si="3"/>
        <v>√</v>
      </c>
      <c r="AC7" s="48" t="str">
        <f t="shared" si="3"/>
        <v>√</v>
      </c>
      <c r="AD7" s="48" t="str">
        <f t="shared" si="3"/>
        <v/>
      </c>
      <c r="AE7" s="48" t="str">
        <f t="shared" si="3"/>
        <v/>
      </c>
      <c r="AF7" s="48" t="str">
        <f t="shared" si="3"/>
        <v/>
      </c>
      <c r="AG7" s="48" t="str">
        <f t="shared" si="3"/>
        <v/>
      </c>
      <c r="AH7" s="48" t="str">
        <f t="shared" si="3"/>
        <v/>
      </c>
      <c r="AI7" s="48" t="str">
        <f t="shared" si="3"/>
        <v/>
      </c>
      <c r="AJ7" s="48" t="str">
        <f t="shared" si="3"/>
        <v/>
      </c>
      <c r="AK7" s="48" t="str">
        <f t="shared" si="3"/>
        <v/>
      </c>
      <c r="AL7" s="48" t="str">
        <f t="shared" si="3"/>
        <v/>
      </c>
      <c r="AM7" s="48" t="str">
        <f t="shared" si="3"/>
        <v/>
      </c>
      <c r="AN7" s="48" t="str">
        <f t="shared" si="3"/>
        <v/>
      </c>
    </row>
    <row r="8" spans="1:40">
      <c r="A8" s="49"/>
      <c r="B8" s="45" t="s">
        <v>27</v>
      </c>
      <c r="C8" s="45">
        <v>0</v>
      </c>
      <c r="D8" s="45">
        <v>0.05</v>
      </c>
      <c r="E8" s="45">
        <v>-0.05</v>
      </c>
      <c r="F8" s="45">
        <f t="shared" si="1"/>
        <v>0.05</v>
      </c>
      <c r="G8" s="45">
        <f t="shared" si="2"/>
        <v>-0.05</v>
      </c>
      <c r="H8" s="46" t="s">
        <v>26</v>
      </c>
      <c r="I8" s="47">
        <v>0.005</v>
      </c>
      <c r="J8" s="47">
        <v>0.0082</v>
      </c>
      <c r="K8" s="47">
        <v>0.0026</v>
      </c>
      <c r="L8" s="47">
        <v>0.0116</v>
      </c>
      <c r="M8" s="47">
        <v>0.0116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8" t="str">
        <f t="shared" ref="Y8:Y16" si="4">IF(I8="","",IF(I8&gt;($C8+$D8),(I8-$C8-$D8),IF(I8&lt;($C8+$E8),(I8-$C8-$E8),"√")))</f>
        <v>√</v>
      </c>
      <c r="Z8" s="48" t="str">
        <f t="shared" ref="Z8:Z16" si="5">IF(J8="","",IF(J8&gt;($C8+$D8),(J8-$C8-$D8),IF(J8&lt;($C8+$E8),(J8-$C8-$E8),"√")))</f>
        <v>√</v>
      </c>
      <c r="AA8" s="48" t="str">
        <f t="shared" ref="AA8:AA16" si="6">IF(K8="","",IF(K8&gt;($C8+$D8),(K8-$C8-$D8),IF(K8&lt;($C8+$E8),(K8-$C8-$E8),"√")))</f>
        <v>√</v>
      </c>
      <c r="AB8" s="48" t="str">
        <f t="shared" ref="AB8:AB16" si="7">IF(L8="","",IF(L8&gt;($C8+$D8),(L8-$C8-$D8),IF(L8&lt;($C8+$E8),(L8-$C8-$E8),"√")))</f>
        <v>√</v>
      </c>
      <c r="AC8" s="48" t="str">
        <f t="shared" ref="AC8:AC16" si="8">IF(M8="","",IF(M8&gt;($C8+$D8),(M8-$C8-$D8),IF(M8&lt;($C8+$E8),(M8-$C8-$E8),"√")))</f>
        <v>√</v>
      </c>
      <c r="AD8" s="48" t="str">
        <f t="shared" ref="AD8:AN8" si="9">IF(N8="","",IF(N8&gt;($C8+$D8),(N8-$C8-$D8),IF(N8&lt;($C8+$E8),(N8-$C8-$E8),"√")))</f>
        <v/>
      </c>
      <c r="AE8" s="48" t="str">
        <f t="shared" si="9"/>
        <v/>
      </c>
      <c r="AF8" s="48" t="str">
        <f t="shared" si="9"/>
        <v/>
      </c>
      <c r="AG8" s="48" t="str">
        <f t="shared" si="9"/>
        <v/>
      </c>
      <c r="AH8" s="48" t="str">
        <f t="shared" si="9"/>
        <v/>
      </c>
      <c r="AI8" s="48" t="str">
        <f t="shared" si="9"/>
        <v/>
      </c>
      <c r="AJ8" s="48" t="str">
        <f t="shared" si="9"/>
        <v/>
      </c>
      <c r="AK8" s="48" t="str">
        <f t="shared" si="9"/>
        <v/>
      </c>
      <c r="AL8" s="48" t="str">
        <f t="shared" si="9"/>
        <v/>
      </c>
      <c r="AM8" s="48" t="str">
        <f t="shared" si="9"/>
        <v/>
      </c>
      <c r="AN8" s="48" t="str">
        <f t="shared" si="9"/>
        <v/>
      </c>
    </row>
    <row r="9" spans="1:40">
      <c r="A9" s="49"/>
      <c r="B9" s="45" t="s">
        <v>28</v>
      </c>
      <c r="C9" s="45">
        <v>0</v>
      </c>
      <c r="D9" s="45">
        <v>0.05</v>
      </c>
      <c r="E9" s="45">
        <v>-0.05</v>
      </c>
      <c r="F9" s="45">
        <f t="shared" si="1"/>
        <v>0.05</v>
      </c>
      <c r="G9" s="45">
        <f t="shared" si="2"/>
        <v>-0.05</v>
      </c>
      <c r="H9" s="46" t="s">
        <v>26</v>
      </c>
      <c r="I9" s="47">
        <v>-0.0058</v>
      </c>
      <c r="J9" s="47">
        <v>-0.0178</v>
      </c>
      <c r="K9" s="47">
        <v>-0.0122</v>
      </c>
      <c r="L9" s="47">
        <v>-0.0189</v>
      </c>
      <c r="M9" s="47">
        <v>-0.0189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8" t="str">
        <f t="shared" si="4"/>
        <v>√</v>
      </c>
      <c r="Z9" s="48" t="str">
        <f t="shared" si="5"/>
        <v>√</v>
      </c>
      <c r="AA9" s="48" t="str">
        <f t="shared" si="6"/>
        <v>√</v>
      </c>
      <c r="AB9" s="48" t="str">
        <f t="shared" si="7"/>
        <v>√</v>
      </c>
      <c r="AC9" s="48" t="str">
        <f t="shared" si="8"/>
        <v>√</v>
      </c>
      <c r="AD9" s="48" t="str">
        <f t="shared" ref="AD9:AN9" si="10">IF(N9="","",IF(N9&gt;($C9+$D9),(N9-$C9-$D9),IF(N9&lt;($C9+$E9),(N9-$C9-$E9),"√")))</f>
        <v/>
      </c>
      <c r="AE9" s="48" t="str">
        <f t="shared" si="10"/>
        <v/>
      </c>
      <c r="AF9" s="48" t="str">
        <f t="shared" si="10"/>
        <v/>
      </c>
      <c r="AG9" s="48" t="str">
        <f t="shared" si="10"/>
        <v/>
      </c>
      <c r="AH9" s="48" t="str">
        <f t="shared" si="10"/>
        <v/>
      </c>
      <c r="AI9" s="48" t="str">
        <f t="shared" si="10"/>
        <v/>
      </c>
      <c r="AJ9" s="48" t="str">
        <f t="shared" si="10"/>
        <v/>
      </c>
      <c r="AK9" s="48" t="str">
        <f t="shared" si="10"/>
        <v/>
      </c>
      <c r="AL9" s="48" t="str">
        <f t="shared" si="10"/>
        <v/>
      </c>
      <c r="AM9" s="48" t="str">
        <f t="shared" si="10"/>
        <v/>
      </c>
      <c r="AN9" s="48" t="str">
        <f t="shared" si="10"/>
        <v/>
      </c>
    </row>
    <row r="10" spans="1:40">
      <c r="A10" s="49"/>
      <c r="B10" s="45" t="s">
        <v>29</v>
      </c>
      <c r="C10" s="45">
        <v>0</v>
      </c>
      <c r="D10" s="45">
        <v>0.05</v>
      </c>
      <c r="E10" s="45">
        <v>-0.05</v>
      </c>
      <c r="F10" s="45">
        <f t="shared" si="1"/>
        <v>0.05</v>
      </c>
      <c r="G10" s="45">
        <f t="shared" si="2"/>
        <v>-0.05</v>
      </c>
      <c r="H10" s="46" t="s">
        <v>26</v>
      </c>
      <c r="I10" s="47">
        <v>0.008</v>
      </c>
      <c r="J10" s="47">
        <v>0.0134</v>
      </c>
      <c r="K10" s="47">
        <v>0.0145</v>
      </c>
      <c r="L10" s="47">
        <v>0.0125</v>
      </c>
      <c r="M10" s="47">
        <v>0.0125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 t="str">
        <f t="shared" si="4"/>
        <v>√</v>
      </c>
      <c r="Z10" s="48" t="str">
        <f t="shared" si="5"/>
        <v>√</v>
      </c>
      <c r="AA10" s="48" t="str">
        <f t="shared" si="6"/>
        <v>√</v>
      </c>
      <c r="AB10" s="48" t="str">
        <f t="shared" si="7"/>
        <v>√</v>
      </c>
      <c r="AC10" s="48" t="str">
        <f t="shared" si="8"/>
        <v>√</v>
      </c>
      <c r="AD10" s="48" t="str">
        <f t="shared" ref="AD10:AN10" si="11">IF(N10="","",IF(N10&gt;($C10+$D10),(N10-$C10-$D10),IF(N10&lt;($C10+$E10),(N10-$C10-$E10),"√")))</f>
        <v/>
      </c>
      <c r="AE10" s="48" t="str">
        <f t="shared" si="11"/>
        <v/>
      </c>
      <c r="AF10" s="48" t="str">
        <f t="shared" si="11"/>
        <v/>
      </c>
      <c r="AG10" s="48" t="str">
        <f t="shared" si="11"/>
        <v/>
      </c>
      <c r="AH10" s="48" t="str">
        <f t="shared" si="11"/>
        <v/>
      </c>
      <c r="AI10" s="48" t="str">
        <f t="shared" si="11"/>
        <v/>
      </c>
      <c r="AJ10" s="48" t="str">
        <f t="shared" si="11"/>
        <v/>
      </c>
      <c r="AK10" s="48" t="str">
        <f t="shared" si="11"/>
        <v/>
      </c>
      <c r="AL10" s="48" t="str">
        <f t="shared" si="11"/>
        <v/>
      </c>
      <c r="AM10" s="48" t="str">
        <f t="shared" si="11"/>
        <v/>
      </c>
      <c r="AN10" s="48" t="str">
        <f t="shared" si="11"/>
        <v/>
      </c>
    </row>
    <row r="11" spans="1:40">
      <c r="A11" s="49"/>
      <c r="B11" s="45" t="s">
        <v>30</v>
      </c>
      <c r="C11" s="45">
        <v>0</v>
      </c>
      <c r="D11" s="45">
        <v>0.05</v>
      </c>
      <c r="E11" s="45">
        <v>-0.05</v>
      </c>
      <c r="F11" s="45">
        <f t="shared" si="1"/>
        <v>0.05</v>
      </c>
      <c r="G11" s="45">
        <f t="shared" si="2"/>
        <v>-0.05</v>
      </c>
      <c r="H11" s="46" t="s">
        <v>26</v>
      </c>
      <c r="I11" s="47">
        <v>-0.0014</v>
      </c>
      <c r="J11" s="47">
        <v>0.0085</v>
      </c>
      <c r="K11" s="47">
        <v>0.0015</v>
      </c>
      <c r="L11" s="47">
        <v>0.0073</v>
      </c>
      <c r="M11" s="47">
        <v>0.0073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 t="str">
        <f t="shared" si="4"/>
        <v>√</v>
      </c>
      <c r="Z11" s="48" t="str">
        <f t="shared" si="5"/>
        <v>√</v>
      </c>
      <c r="AA11" s="48" t="str">
        <f t="shared" si="6"/>
        <v>√</v>
      </c>
      <c r="AB11" s="48" t="str">
        <f t="shared" si="7"/>
        <v>√</v>
      </c>
      <c r="AC11" s="48" t="str">
        <f t="shared" si="8"/>
        <v>√</v>
      </c>
      <c r="AD11" s="48" t="str">
        <f t="shared" ref="AD11:AN11" si="12">IF(N11="","",IF(N11&gt;($C11+$D11),(N11-$C11-$D11),IF(N11&lt;($C11+$E11),(N11-$C11-$E11),"√")))</f>
        <v/>
      </c>
      <c r="AE11" s="48" t="str">
        <f t="shared" si="12"/>
        <v/>
      </c>
      <c r="AF11" s="48" t="str">
        <f t="shared" si="12"/>
        <v/>
      </c>
      <c r="AG11" s="48" t="str">
        <f t="shared" si="12"/>
        <v/>
      </c>
      <c r="AH11" s="48" t="str">
        <f t="shared" si="12"/>
        <v/>
      </c>
      <c r="AI11" s="48" t="str">
        <f t="shared" si="12"/>
        <v/>
      </c>
      <c r="AJ11" s="48" t="str">
        <f t="shared" si="12"/>
        <v/>
      </c>
      <c r="AK11" s="48" t="str">
        <f t="shared" si="12"/>
        <v/>
      </c>
      <c r="AL11" s="48" t="str">
        <f t="shared" si="12"/>
        <v/>
      </c>
      <c r="AM11" s="48" t="str">
        <f t="shared" si="12"/>
        <v/>
      </c>
      <c r="AN11" s="48" t="str">
        <f t="shared" si="12"/>
        <v/>
      </c>
    </row>
    <row r="12" spans="1:40">
      <c r="A12" s="49"/>
      <c r="B12" s="45" t="s">
        <v>31</v>
      </c>
      <c r="C12" s="45">
        <v>0</v>
      </c>
      <c r="D12" s="45">
        <v>0.05</v>
      </c>
      <c r="E12" s="45">
        <v>-0.05</v>
      </c>
      <c r="F12" s="45">
        <f t="shared" si="1"/>
        <v>0.05</v>
      </c>
      <c r="G12" s="45">
        <f t="shared" si="2"/>
        <v>-0.05</v>
      </c>
      <c r="H12" s="46" t="s">
        <v>26</v>
      </c>
      <c r="I12" s="47">
        <v>-0.0118</v>
      </c>
      <c r="J12" s="47">
        <v>-0.0236</v>
      </c>
      <c r="K12" s="47">
        <v>-0.0115</v>
      </c>
      <c r="L12" s="47">
        <v>-0.0206</v>
      </c>
      <c r="M12" s="47">
        <v>-0.0206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 t="str">
        <f t="shared" si="4"/>
        <v>√</v>
      </c>
      <c r="Z12" s="48" t="str">
        <f t="shared" si="5"/>
        <v>√</v>
      </c>
      <c r="AA12" s="48" t="str">
        <f t="shared" si="6"/>
        <v>√</v>
      </c>
      <c r="AB12" s="48" t="str">
        <f t="shared" si="7"/>
        <v>√</v>
      </c>
      <c r="AC12" s="48" t="str">
        <f t="shared" si="8"/>
        <v>√</v>
      </c>
      <c r="AD12" s="48" t="str">
        <f t="shared" ref="AD12:AN12" si="13">IF(N12="","",IF(N12&gt;($C12+$D12),(N12-$C12-$D12),IF(N12&lt;($C12+$E12),(N12-$C12-$E12),"√")))</f>
        <v/>
      </c>
      <c r="AE12" s="48" t="str">
        <f t="shared" si="13"/>
        <v/>
      </c>
      <c r="AF12" s="48" t="str">
        <f t="shared" si="13"/>
        <v/>
      </c>
      <c r="AG12" s="48" t="str">
        <f t="shared" si="13"/>
        <v/>
      </c>
      <c r="AH12" s="48" t="str">
        <f t="shared" si="13"/>
        <v/>
      </c>
      <c r="AI12" s="48" t="str">
        <f t="shared" si="13"/>
        <v/>
      </c>
      <c r="AJ12" s="48" t="str">
        <f t="shared" si="13"/>
        <v/>
      </c>
      <c r="AK12" s="48" t="str">
        <f t="shared" si="13"/>
        <v/>
      </c>
      <c r="AL12" s="48" t="str">
        <f t="shared" si="13"/>
        <v/>
      </c>
      <c r="AM12" s="48" t="str">
        <f t="shared" si="13"/>
        <v/>
      </c>
      <c r="AN12" s="48" t="str">
        <f t="shared" si="13"/>
        <v/>
      </c>
    </row>
    <row r="13" spans="1:40">
      <c r="A13" s="49"/>
      <c r="B13" s="45" t="s">
        <v>32</v>
      </c>
      <c r="C13" s="45">
        <v>0</v>
      </c>
      <c r="D13" s="45">
        <v>0.05</v>
      </c>
      <c r="E13" s="45">
        <v>-0.05</v>
      </c>
      <c r="F13" s="45">
        <f t="shared" si="1"/>
        <v>0.05</v>
      </c>
      <c r="G13" s="45">
        <f t="shared" si="2"/>
        <v>-0.05</v>
      </c>
      <c r="H13" s="46" t="s">
        <v>26</v>
      </c>
      <c r="I13" s="47">
        <v>-0.0014</v>
      </c>
      <c r="J13" s="47">
        <v>0.0076</v>
      </c>
      <c r="K13" s="47">
        <v>0.0001</v>
      </c>
      <c r="L13" s="47">
        <v>0.0028</v>
      </c>
      <c r="M13" s="47">
        <v>0.0028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 t="str">
        <f t="shared" si="4"/>
        <v>√</v>
      </c>
      <c r="Z13" s="48" t="str">
        <f t="shared" si="5"/>
        <v>√</v>
      </c>
      <c r="AA13" s="48" t="str">
        <f t="shared" si="6"/>
        <v>√</v>
      </c>
      <c r="AB13" s="48" t="str">
        <f t="shared" si="7"/>
        <v>√</v>
      </c>
      <c r="AC13" s="48" t="str">
        <f t="shared" si="8"/>
        <v>√</v>
      </c>
      <c r="AD13" s="48" t="str">
        <f t="shared" ref="AD13:AN13" si="14">IF(N13="","",IF(N13&gt;($C13+$D13),(N13-$C13-$D13),IF(N13&lt;($C13+$E13),(N13-$C13-$E13),"√")))</f>
        <v/>
      </c>
      <c r="AE13" s="48" t="str">
        <f t="shared" si="14"/>
        <v/>
      </c>
      <c r="AF13" s="48" t="str">
        <f t="shared" si="14"/>
        <v/>
      </c>
      <c r="AG13" s="48" t="str">
        <f t="shared" si="14"/>
        <v/>
      </c>
      <c r="AH13" s="48" t="str">
        <f t="shared" si="14"/>
        <v/>
      </c>
      <c r="AI13" s="48" t="str">
        <f t="shared" si="14"/>
        <v/>
      </c>
      <c r="AJ13" s="48" t="str">
        <f t="shared" si="14"/>
        <v/>
      </c>
      <c r="AK13" s="48" t="str">
        <f t="shared" si="14"/>
        <v/>
      </c>
      <c r="AL13" s="48" t="str">
        <f t="shared" si="14"/>
        <v/>
      </c>
      <c r="AM13" s="48" t="str">
        <f t="shared" si="14"/>
        <v/>
      </c>
      <c r="AN13" s="48" t="str">
        <f t="shared" si="14"/>
        <v/>
      </c>
    </row>
    <row r="14" spans="1:40">
      <c r="A14" s="49"/>
      <c r="B14" s="45" t="s">
        <v>33</v>
      </c>
      <c r="C14" s="45">
        <v>0</v>
      </c>
      <c r="D14" s="45">
        <v>0.05</v>
      </c>
      <c r="E14" s="45">
        <v>-0.05</v>
      </c>
      <c r="F14" s="45">
        <f t="shared" si="1"/>
        <v>0.05</v>
      </c>
      <c r="G14" s="45">
        <f t="shared" si="2"/>
        <v>-0.05</v>
      </c>
      <c r="H14" s="46" t="s">
        <v>26</v>
      </c>
      <c r="I14" s="47">
        <v>0.0097</v>
      </c>
      <c r="J14" s="47">
        <v>0.0138</v>
      </c>
      <c r="K14" s="47">
        <v>0.0119</v>
      </c>
      <c r="L14" s="47">
        <v>0.0074</v>
      </c>
      <c r="M14" s="47">
        <v>0.0074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 t="str">
        <f t="shared" si="4"/>
        <v>√</v>
      </c>
      <c r="Z14" s="48" t="str">
        <f t="shared" si="5"/>
        <v>√</v>
      </c>
      <c r="AA14" s="48" t="str">
        <f t="shared" si="6"/>
        <v>√</v>
      </c>
      <c r="AB14" s="48" t="str">
        <f t="shared" si="7"/>
        <v>√</v>
      </c>
      <c r="AC14" s="48" t="str">
        <f t="shared" si="8"/>
        <v>√</v>
      </c>
      <c r="AD14" s="48" t="str">
        <f t="shared" ref="AD14:AN14" si="15">IF(N14="","",IF(N14&gt;($C14+$D14),(N14-$C14-$D14),IF(N14&lt;($C14+$E14),(N14-$C14-$E14),"√")))</f>
        <v/>
      </c>
      <c r="AE14" s="48" t="str">
        <f t="shared" si="15"/>
        <v/>
      </c>
      <c r="AF14" s="48" t="str">
        <f t="shared" si="15"/>
        <v/>
      </c>
      <c r="AG14" s="48" t="str">
        <f t="shared" si="15"/>
        <v/>
      </c>
      <c r="AH14" s="48" t="str">
        <f t="shared" si="15"/>
        <v/>
      </c>
      <c r="AI14" s="48" t="str">
        <f t="shared" si="15"/>
        <v/>
      </c>
      <c r="AJ14" s="48" t="str">
        <f t="shared" si="15"/>
        <v/>
      </c>
      <c r="AK14" s="48" t="str">
        <f t="shared" si="15"/>
        <v/>
      </c>
      <c r="AL14" s="48" t="str">
        <f t="shared" si="15"/>
        <v/>
      </c>
      <c r="AM14" s="48" t="str">
        <f t="shared" si="15"/>
        <v/>
      </c>
      <c r="AN14" s="48" t="str">
        <f t="shared" si="15"/>
        <v/>
      </c>
    </row>
    <row r="15" spans="1:40">
      <c r="A15" s="49"/>
      <c r="B15" s="45" t="s">
        <v>34</v>
      </c>
      <c r="C15" s="45">
        <v>0</v>
      </c>
      <c r="D15" s="45">
        <v>0.05</v>
      </c>
      <c r="E15" s="45">
        <v>-0.05</v>
      </c>
      <c r="F15" s="45">
        <f t="shared" si="1"/>
        <v>0.05</v>
      </c>
      <c r="G15" s="45">
        <f t="shared" si="2"/>
        <v>-0.05</v>
      </c>
      <c r="H15" s="46" t="s">
        <v>26</v>
      </c>
      <c r="I15" s="47">
        <v>-0.0092</v>
      </c>
      <c r="J15" s="47">
        <v>-0.0194</v>
      </c>
      <c r="K15" s="47">
        <v>-0.0083</v>
      </c>
      <c r="L15" s="47">
        <v>-0.0132</v>
      </c>
      <c r="M15" s="47">
        <v>-0.0132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 t="str">
        <f t="shared" si="4"/>
        <v>√</v>
      </c>
      <c r="Z15" s="48" t="str">
        <f t="shared" si="5"/>
        <v>√</v>
      </c>
      <c r="AA15" s="48" t="str">
        <f t="shared" si="6"/>
        <v>√</v>
      </c>
      <c r="AB15" s="48" t="str">
        <f t="shared" si="7"/>
        <v>√</v>
      </c>
      <c r="AC15" s="48" t="str">
        <f t="shared" si="8"/>
        <v>√</v>
      </c>
      <c r="AD15" s="48" t="str">
        <f t="shared" ref="AD15:AN15" si="16">IF(N15="","",IF(N15&gt;($C15+$D15),(N15-$C15-$D15),IF(N15&lt;($C15+$E15),(N15-$C15-$E15),"√")))</f>
        <v/>
      </c>
      <c r="AE15" s="48" t="str">
        <f t="shared" si="16"/>
        <v/>
      </c>
      <c r="AF15" s="48" t="str">
        <f t="shared" si="16"/>
        <v/>
      </c>
      <c r="AG15" s="48" t="str">
        <f t="shared" si="16"/>
        <v/>
      </c>
      <c r="AH15" s="48" t="str">
        <f t="shared" si="16"/>
        <v/>
      </c>
      <c r="AI15" s="48" t="str">
        <f t="shared" si="16"/>
        <v/>
      </c>
      <c r="AJ15" s="48" t="str">
        <f t="shared" si="16"/>
        <v/>
      </c>
      <c r="AK15" s="48" t="str">
        <f t="shared" si="16"/>
        <v/>
      </c>
      <c r="AL15" s="48" t="str">
        <f t="shared" si="16"/>
        <v/>
      </c>
      <c r="AM15" s="48" t="str">
        <f t="shared" si="16"/>
        <v/>
      </c>
      <c r="AN15" s="48" t="str">
        <f t="shared" si="16"/>
        <v/>
      </c>
    </row>
    <row r="16" spans="1:40">
      <c r="A16" s="49"/>
      <c r="B16" s="45" t="s">
        <v>35</v>
      </c>
      <c r="C16" s="45">
        <v>0</v>
      </c>
      <c r="D16" s="45">
        <v>0.05</v>
      </c>
      <c r="E16" s="45">
        <v>-0.05</v>
      </c>
      <c r="F16" s="45">
        <f t="shared" si="1"/>
        <v>0.05</v>
      </c>
      <c r="G16" s="45">
        <f t="shared" si="2"/>
        <v>-0.05</v>
      </c>
      <c r="H16" s="46" t="s">
        <v>26</v>
      </c>
      <c r="I16" s="47">
        <v>0.0068</v>
      </c>
      <c r="J16" s="47">
        <v>0.0094</v>
      </c>
      <c r="K16" s="47">
        <v>0.0013</v>
      </c>
      <c r="L16" s="47">
        <v>0.011</v>
      </c>
      <c r="M16" s="47">
        <v>0.011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 t="str">
        <f t="shared" si="4"/>
        <v>√</v>
      </c>
      <c r="Z16" s="48" t="str">
        <f t="shared" si="5"/>
        <v>√</v>
      </c>
      <c r="AA16" s="48" t="str">
        <f t="shared" si="6"/>
        <v>√</v>
      </c>
      <c r="AB16" s="48" t="str">
        <f t="shared" si="7"/>
        <v>√</v>
      </c>
      <c r="AC16" s="48" t="str">
        <f t="shared" si="8"/>
        <v>√</v>
      </c>
      <c r="AD16" s="48" t="str">
        <f t="shared" ref="AD16:AN16" si="17">IF(N16="","",IF(N16&gt;($C16+$D16),(N16-$C16-$D16),IF(N16&lt;($C16+$E16),(N16-$C16-$E16),"√")))</f>
        <v/>
      </c>
      <c r="AE16" s="48" t="str">
        <f t="shared" si="17"/>
        <v/>
      </c>
      <c r="AF16" s="48" t="str">
        <f t="shared" si="17"/>
        <v/>
      </c>
      <c r="AG16" s="48" t="str">
        <f t="shared" si="17"/>
        <v/>
      </c>
      <c r="AH16" s="48" t="str">
        <f t="shared" si="17"/>
        <v/>
      </c>
      <c r="AI16" s="48" t="str">
        <f t="shared" si="17"/>
        <v/>
      </c>
      <c r="AJ16" s="48" t="str">
        <f t="shared" si="17"/>
        <v/>
      </c>
      <c r="AK16" s="48" t="str">
        <f t="shared" si="17"/>
        <v/>
      </c>
      <c r="AL16" s="48" t="str">
        <f t="shared" si="17"/>
        <v/>
      </c>
      <c r="AM16" s="48" t="str">
        <f t="shared" si="17"/>
        <v/>
      </c>
      <c r="AN16" s="48" t="str">
        <f t="shared" si="17"/>
        <v/>
      </c>
    </row>
    <row r="17" s="1" customFormat="1" ht="13.5" spans="1:40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2"/>
      <c r="AK17" s="53"/>
      <c r="AL17" s="54"/>
      <c r="AM17" s="55"/>
      <c r="AN17" s="56"/>
    </row>
    <row r="18" spans="1:40">
      <c r="C18"/>
      <c r="D18"/>
      <c r="E18"/>
      <c r="F18"/>
      <c r="G18"/>
      <c r="H18"/>
    </row>
    <row r="19" spans="1:40">
      <c r="C19"/>
      <c r="D19"/>
      <c r="E19"/>
      <c r="F19"/>
      <c r="G19"/>
      <c r="H19"/>
    </row>
    <row r="20" spans="1:40">
      <c r="C20"/>
      <c r="D20"/>
      <c r="E20"/>
      <c r="F20"/>
      <c r="G20"/>
      <c r="H20"/>
    </row>
    <row r="21" spans="1:40">
      <c r="C21"/>
      <c r="D21"/>
      <c r="E21"/>
      <c r="F21"/>
      <c r="G21"/>
      <c r="H21"/>
    </row>
    <row r="22" spans="1:40">
      <c r="C22"/>
      <c r="D22"/>
      <c r="E22"/>
      <c r="F22"/>
      <c r="G22"/>
      <c r="H22"/>
    </row>
    <row r="23" spans="1:40">
      <c r="C23"/>
      <c r="D23"/>
      <c r="E23"/>
      <c r="F23"/>
      <c r="G23"/>
      <c r="H23"/>
    </row>
    <row r="24" spans="1:40">
      <c r="C24"/>
      <c r="D24"/>
      <c r="E24"/>
      <c r="F24"/>
      <c r="G24"/>
      <c r="H24"/>
    </row>
    <row r="25" spans="1:40">
      <c r="C25"/>
      <c r="D25"/>
      <c r="E25"/>
      <c r="F25"/>
      <c r="G25"/>
      <c r="H25"/>
    </row>
    <row r="26" spans="1:40">
      <c r="C26"/>
      <c r="D26"/>
      <c r="E26"/>
      <c r="F26"/>
      <c r="G26"/>
      <c r="H26"/>
    </row>
    <row r="27" spans="1:40">
      <c r="C27"/>
      <c r="D27"/>
      <c r="E27"/>
      <c r="F27"/>
      <c r="G27"/>
      <c r="H27"/>
    </row>
    <row r="28" spans="1:40">
      <c r="C28"/>
      <c r="D28"/>
      <c r="E28"/>
      <c r="F28"/>
      <c r="G28"/>
      <c r="H28"/>
    </row>
    <row r="29" spans="1:40">
      <c r="C29"/>
      <c r="D29"/>
      <c r="E29"/>
      <c r="F29"/>
      <c r="G29"/>
      <c r="H29"/>
    </row>
    <row r="30" spans="1:40">
      <c r="C30"/>
      <c r="D30"/>
      <c r="E30"/>
      <c r="F30"/>
      <c r="G30"/>
      <c r="H30"/>
    </row>
    <row r="31" spans="1:40">
      <c r="C31"/>
      <c r="D31"/>
      <c r="E31"/>
      <c r="F31"/>
      <c r="G31"/>
      <c r="H31"/>
    </row>
    <row r="32" spans="1:40">
      <c r="C32"/>
      <c r="D32"/>
      <c r="E32"/>
      <c r="F32"/>
      <c r="G32"/>
      <c r="H32"/>
    </row>
    <row r="33" spans="3:8">
      <c r="C33"/>
      <c r="D33"/>
      <c r="E33"/>
      <c r="F33"/>
      <c r="G33"/>
      <c r="H33"/>
    </row>
    <row r="34" spans="3:8">
      <c r="C34"/>
      <c r="D34"/>
      <c r="E34"/>
      <c r="F34"/>
      <c r="G34"/>
      <c r="H34"/>
    </row>
    <row r="35" spans="3:8">
      <c r="C35"/>
      <c r="D35"/>
      <c r="E35"/>
      <c r="F35"/>
      <c r="G35"/>
      <c r="H35"/>
    </row>
    <row r="36" spans="3:8">
      <c r="C36"/>
      <c r="D36"/>
      <c r="E36"/>
      <c r="F36"/>
      <c r="G36"/>
      <c r="H36"/>
    </row>
    <row r="37" spans="3:8">
      <c r="C37"/>
      <c r="D37"/>
      <c r="E37"/>
      <c r="F37"/>
      <c r="G37"/>
      <c r="H37"/>
    </row>
    <row r="38" spans="3:8">
      <c r="C38"/>
      <c r="D38"/>
      <c r="E38"/>
      <c r="F38"/>
      <c r="G38"/>
      <c r="H38"/>
    </row>
    <row r="39" spans="3:8">
      <c r="C39"/>
      <c r="D39"/>
      <c r="E39"/>
      <c r="F39"/>
      <c r="G39"/>
      <c r="H39"/>
    </row>
    <row r="40" spans="3:8">
      <c r="C40"/>
      <c r="D40"/>
      <c r="E40"/>
      <c r="F40"/>
      <c r="G40"/>
      <c r="H40"/>
    </row>
    <row r="41" spans="3:8">
      <c r="C41"/>
      <c r="D41"/>
      <c r="E41"/>
      <c r="F41"/>
      <c r="G41"/>
      <c r="H41"/>
    </row>
    <row r="42" spans="3:8">
      <c r="C42"/>
      <c r="D42"/>
      <c r="E42"/>
      <c r="F42"/>
      <c r="G42"/>
      <c r="H42"/>
    </row>
    <row r="43" spans="3:8">
      <c r="C43"/>
      <c r="D43"/>
      <c r="E43"/>
      <c r="F43"/>
      <c r="G43"/>
      <c r="H43"/>
    </row>
    <row r="44" spans="3:8">
      <c r="C44"/>
      <c r="D44"/>
      <c r="E44"/>
      <c r="F44"/>
      <c r="G44"/>
      <c r="H44"/>
    </row>
    <row r="45" spans="3:8">
      <c r="C45"/>
      <c r="D45"/>
      <c r="E45"/>
      <c r="F45"/>
      <c r="G45"/>
      <c r="H45"/>
    </row>
    <row r="46" spans="3:8">
      <c r="C46"/>
      <c r="D46"/>
      <c r="E46"/>
      <c r="F46"/>
      <c r="G46"/>
      <c r="H46"/>
    </row>
    <row r="47" spans="3:8">
      <c r="C47"/>
      <c r="D47"/>
      <c r="E47"/>
      <c r="F47"/>
      <c r="G47"/>
      <c r="H47"/>
    </row>
    <row r="48" spans="3:8">
      <c r="C48"/>
      <c r="D48"/>
      <c r="E48"/>
      <c r="F48"/>
      <c r="G48"/>
      <c r="H48"/>
    </row>
    <row r="49" spans="3:8">
      <c r="C49"/>
      <c r="D49"/>
      <c r="E49"/>
      <c r="F49"/>
      <c r="G49"/>
      <c r="H49"/>
    </row>
    <row r="50" spans="3:8">
      <c r="C50"/>
      <c r="D50"/>
      <c r="E50"/>
      <c r="F50"/>
      <c r="G50"/>
      <c r="H50"/>
    </row>
    <row r="51" spans="3:8">
      <c r="C51"/>
      <c r="D51"/>
      <c r="E51"/>
      <c r="F51"/>
      <c r="G51"/>
      <c r="H51"/>
    </row>
    <row r="52" spans="3:8">
      <c r="C52"/>
      <c r="D52"/>
      <c r="E52"/>
      <c r="F52"/>
      <c r="G52"/>
      <c r="H52"/>
    </row>
    <row r="53" spans="3:8">
      <c r="C53"/>
      <c r="D53"/>
      <c r="E53"/>
      <c r="F53"/>
      <c r="G53"/>
      <c r="H53"/>
    </row>
    <row r="54" spans="3:8">
      <c r="C54"/>
      <c r="D54"/>
      <c r="E54"/>
      <c r="F54"/>
      <c r="G54"/>
      <c r="H54"/>
    </row>
    <row r="55" spans="3:8">
      <c r="C55"/>
      <c r="D55"/>
      <c r="E55"/>
      <c r="F55"/>
      <c r="G55"/>
      <c r="H55"/>
    </row>
    <row r="56" spans="3:8">
      <c r="C56"/>
      <c r="D56"/>
      <c r="E56"/>
      <c r="F56"/>
      <c r="G56"/>
      <c r="H56"/>
    </row>
    <row r="57" spans="3:8">
      <c r="C57"/>
      <c r="D57"/>
      <c r="E57"/>
      <c r="F57"/>
      <c r="G57"/>
      <c r="H57"/>
    </row>
    <row r="58" spans="3:8">
      <c r="C58"/>
      <c r="D58"/>
      <c r="E58"/>
      <c r="F58"/>
      <c r="G58"/>
      <c r="H58"/>
    </row>
    <row r="59" spans="3:8">
      <c r="C59"/>
      <c r="D59"/>
      <c r="E59"/>
      <c r="F59"/>
      <c r="G59"/>
      <c r="H59"/>
    </row>
    <row r="60" spans="3:8">
      <c r="C60"/>
      <c r="D60"/>
      <c r="E60"/>
      <c r="F60"/>
      <c r="G60"/>
      <c r="H60"/>
    </row>
    <row r="61" spans="3:8">
      <c r="C61"/>
      <c r="D61"/>
      <c r="E61"/>
      <c r="F61"/>
      <c r="G61"/>
      <c r="H61"/>
    </row>
    <row r="62" spans="3:8">
      <c r="C62"/>
      <c r="D62"/>
      <c r="E62"/>
      <c r="F62"/>
      <c r="G62"/>
      <c r="H62"/>
    </row>
    <row r="63" spans="3:8">
      <c r="C63"/>
      <c r="D63"/>
      <c r="E63"/>
      <c r="F63"/>
      <c r="G63"/>
      <c r="H63"/>
    </row>
    <row r="64" spans="3:8">
      <c r="C64"/>
      <c r="D64"/>
      <c r="E64"/>
      <c r="F64"/>
      <c r="G64"/>
      <c r="H64"/>
    </row>
    <row r="65" spans="3:8">
      <c r="C65"/>
      <c r="D65"/>
      <c r="E65"/>
      <c r="F65"/>
      <c r="G65"/>
      <c r="H65"/>
    </row>
    <row r="66" spans="3:8">
      <c r="C66"/>
      <c r="D66"/>
      <c r="E66"/>
      <c r="F66"/>
      <c r="G66"/>
      <c r="H66"/>
    </row>
    <row r="67" spans="3:8">
      <c r="C67"/>
      <c r="D67"/>
      <c r="E67"/>
      <c r="F67"/>
      <c r="G67"/>
      <c r="H67"/>
    </row>
    <row r="68" spans="3:8">
      <c r="C68"/>
      <c r="D68"/>
      <c r="E68"/>
      <c r="F68"/>
      <c r="G68"/>
      <c r="H68"/>
    </row>
    <row r="69" spans="3:8">
      <c r="C69"/>
      <c r="D69"/>
      <c r="E69"/>
      <c r="F69"/>
      <c r="G69"/>
      <c r="H69"/>
    </row>
    <row r="70" spans="3:8">
      <c r="C70"/>
      <c r="D70"/>
      <c r="E70"/>
      <c r="F70"/>
      <c r="G70"/>
      <c r="H70"/>
    </row>
    <row r="71" spans="3:8">
      <c r="C71"/>
      <c r="D71"/>
      <c r="E71"/>
      <c r="F71"/>
      <c r="G71"/>
      <c r="H71"/>
    </row>
    <row r="72" spans="3:8">
      <c r="C72"/>
      <c r="D72"/>
      <c r="E72"/>
      <c r="F72"/>
      <c r="G72"/>
      <c r="H72"/>
    </row>
    <row r="73" spans="3:8">
      <c r="C73"/>
      <c r="D73"/>
      <c r="E73"/>
      <c r="F73"/>
      <c r="G73"/>
      <c r="H73"/>
    </row>
    <row r="74" spans="3:8">
      <c r="C74"/>
      <c r="D74"/>
      <c r="E74"/>
      <c r="F74"/>
      <c r="G74"/>
      <c r="H74"/>
    </row>
    <row r="75" spans="3:8">
      <c r="C75"/>
      <c r="D75"/>
      <c r="E75"/>
      <c r="F75"/>
      <c r="G75"/>
      <c r="H75"/>
    </row>
    <row r="76" spans="3:8">
      <c r="C76"/>
      <c r="D76"/>
      <c r="E76"/>
      <c r="F76"/>
      <c r="G76"/>
      <c r="H76"/>
    </row>
    <row r="77" spans="3:8">
      <c r="C77"/>
      <c r="D77"/>
      <c r="E77"/>
      <c r="F77"/>
      <c r="G77"/>
      <c r="H77"/>
    </row>
    <row r="78" spans="3:8">
      <c r="C78"/>
      <c r="D78"/>
      <c r="E78"/>
      <c r="F78"/>
      <c r="G78"/>
      <c r="H78"/>
    </row>
    <row r="79" spans="3:8">
      <c r="C79"/>
      <c r="D79"/>
      <c r="E79"/>
      <c r="F79"/>
      <c r="G79"/>
      <c r="H79"/>
    </row>
    <row r="80" spans="3:8">
      <c r="C80"/>
      <c r="D80"/>
      <c r="E80"/>
      <c r="F80"/>
      <c r="G80"/>
      <c r="H80"/>
    </row>
    <row r="81" spans="3:8">
      <c r="C81"/>
      <c r="D81"/>
      <c r="E81"/>
      <c r="F81"/>
      <c r="G81"/>
      <c r="H81"/>
    </row>
    <row r="82" spans="3:8">
      <c r="C82"/>
      <c r="D82"/>
      <c r="E82"/>
      <c r="F82"/>
      <c r="G82"/>
      <c r="H82"/>
    </row>
    <row r="83" spans="3:8">
      <c r="C83"/>
      <c r="D83"/>
      <c r="E83"/>
      <c r="F83"/>
      <c r="G83"/>
      <c r="H83"/>
    </row>
    <row r="84" spans="3:8">
      <c r="C84"/>
      <c r="D84"/>
      <c r="E84"/>
      <c r="F84"/>
      <c r="G84"/>
      <c r="H84"/>
    </row>
    <row r="85" spans="3:8">
      <c r="C85"/>
      <c r="D85"/>
      <c r="E85"/>
      <c r="F85"/>
      <c r="G85"/>
      <c r="H85"/>
    </row>
    <row r="86" spans="3:8">
      <c r="C86"/>
      <c r="D86"/>
      <c r="E86"/>
      <c r="F86"/>
      <c r="G86"/>
      <c r="H86"/>
    </row>
    <row r="87" spans="3:8">
      <c r="C87"/>
      <c r="D87"/>
      <c r="E87"/>
      <c r="F87"/>
      <c r="G87"/>
      <c r="H87"/>
    </row>
    <row r="88" spans="3:8">
      <c r="C88"/>
      <c r="D88"/>
      <c r="E88"/>
      <c r="F88"/>
      <c r="G88"/>
      <c r="H88"/>
    </row>
    <row r="89" spans="3:8">
      <c r="C89"/>
      <c r="D89"/>
      <c r="E89"/>
      <c r="F89"/>
      <c r="G89"/>
      <c r="H89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7:AJ17"/>
    <mergeCell ref="AK17:AL17"/>
    <mergeCell ref="AM17:AN17"/>
    <mergeCell ref="A2:A3"/>
    <mergeCell ref="A4:A6"/>
    <mergeCell ref="A7:A16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14">
    <cfRule type="cellIs" dxfId="0" priority="8" stopIfTrue="1" operator="notBetween">
      <formula>$F7</formula>
      <formula>$G7</formula>
    </cfRule>
  </conditionalFormatting>
  <conditionalFormatting sqref="I15:X16">
    <cfRule type="cellIs" dxfId="0" priority="11" stopIfTrue="1" operator="notBetween">
      <formula>$F15</formula>
      <formula>$G15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X646-647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2026-06-20T12:26:18Z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AC6F37D1E89B4081AC6EFA8977A30211_13</vt:lpwstr>
  </property>
  <property fmtid="{D5CDD505-2E9C-101B-9397-08002B2CF9AE}" pid="4" name="CalculationRule">
    <vt:i4>0</vt:i4>
  </property>
</Properties>
</file>