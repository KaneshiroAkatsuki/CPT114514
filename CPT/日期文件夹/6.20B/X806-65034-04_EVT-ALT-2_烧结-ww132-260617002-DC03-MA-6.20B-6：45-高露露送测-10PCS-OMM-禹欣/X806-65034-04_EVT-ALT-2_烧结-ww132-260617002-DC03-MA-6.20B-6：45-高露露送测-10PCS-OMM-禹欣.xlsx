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8" r:id="rId1"/>
  </sheets>
  <definedNames>
    <definedName name="_xlnm.Print_Area" localSheetId="0">'806-65034'!$B$1:$AE$6</definedName>
    <definedName name="_xlnm.Print_Titles" localSheetId="0">'806-65034'!$1:$6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<sst xmlns="http://schemas.openxmlformats.org/spreadsheetml/2006/main" count="47" uniqueCount="38">
  <si>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安徽中耀智能科技有限公司首件尺寸报告</t>
  </si>
  <si>
    <t>料号</t>
  </si>
  <si>
    <t>806-65034</t>
  </si>
  <si>
    <t>工单号</t>
  </si>
  <si>
    <t>ww132-260617002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</si>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</sst>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J7" sqref="J7:S7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46193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30</v>
      </c>
      <c r="J7" s="51">
        <v>0.4937</v>
      </c>
      <c r="K7" s="51">
        <v>0.4987</v>
      </c>
      <c r="L7" s="51">
        <v>0.4912</v>
      </c>
      <c r="M7" s="51">
        <v>0.4934</v>
      </c>
      <c r="N7" s="51">
        <v>0.4938</v>
      </c>
      <c r="O7" s="51">
        <v>0.5051</v>
      </c>
      <c r="P7" s="51">
        <v>0.5025</v>
      </c>
      <c r="Q7" s="51">
        <v>0.4974</v>
      </c>
      <c r="R7" s="51">
        <v>0.4835</v>
      </c>
      <c r="S7" s="51">
        <v>0.497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48"/>
      <c r="B8" s="49" t="s">
        <v>31</v>
      </c>
      <c r="C8" s="53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32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 t="str">
        <f t="shared" ref="Z8:AO8" si="2">IF(J8="","",IF(J8&gt;($D8+$E8),(J8-$D8-$E8),IF(J8&lt;($D8+$F8),(J8-$D8-$F8),"√")))</f>
        <v/>
      </c>
      <c r="AA8" s="52" t="str">
        <f t="shared" si="2"/>
        <v/>
      </c>
      <c r="AB8" s="52" t="str">
        <f t="shared" si="2"/>
        <v/>
      </c>
      <c r="AC8" s="52" t="str">
        <f t="shared" si="2"/>
        <v/>
      </c>
      <c r="AD8" s="52" t="str">
        <f t="shared" si="2"/>
        <v/>
      </c>
      <c r="AE8" s="52" t="str">
        <f t="shared" si="2"/>
        <v/>
      </c>
      <c r="AF8" s="52" t="str">
        <f t="shared" si="2"/>
        <v/>
      </c>
      <c r="AG8" s="52" t="str">
        <f t="shared" si="2"/>
        <v/>
      </c>
      <c r="AH8" s="52" t="str">
        <f t="shared" si="2"/>
        <v/>
      </c>
      <c r="AI8" s="52" t="str">
        <f t="shared" si="2"/>
        <v/>
      </c>
      <c r="AJ8" s="52" t="str">
        <f t="shared" si="2"/>
        <v/>
      </c>
      <c r="AK8" s="52" t="str">
        <f t="shared" si="2"/>
        <v/>
      </c>
      <c r="AL8" s="52" t="str">
        <f t="shared" si="2"/>
        <v/>
      </c>
      <c r="AM8" s="52" t="str">
        <f t="shared" si="2"/>
        <v/>
      </c>
      <c r="AN8" s="52" t="str">
        <f t="shared" si="2"/>
        <v/>
      </c>
      <c r="AO8" s="52" t="str">
        <f t="shared" si="2"/>
        <v/>
      </c>
    </row>
    <row r="9" ht="15" customHeight="1" spans="1:41">
      <c r="A9" s="48"/>
      <c r="B9" s="49" t="s">
        <v>33</v>
      </c>
      <c r="C9" s="53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32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 t="str">
        <f t="shared" ref="Z9:AO9" si="3">IF(J9="","",IF(J9&gt;($D9+$E9),(J9-$D9-$E9),IF(J9&lt;($D9+$F9),(J9-$D9-$F9),"√")))</f>
        <v/>
      </c>
      <c r="AA9" s="52" t="str">
        <f t="shared" si="3"/>
        <v/>
      </c>
      <c r="AB9" s="52" t="str">
        <f t="shared" si="3"/>
        <v/>
      </c>
      <c r="AC9" s="52" t="str">
        <f t="shared" si="3"/>
        <v/>
      </c>
      <c r="AD9" s="52" t="str">
        <f t="shared" si="3"/>
        <v/>
      </c>
      <c r="AE9" s="52" t="str">
        <f t="shared" si="3"/>
        <v/>
      </c>
      <c r="AF9" s="52" t="str">
        <f t="shared" si="3"/>
        <v/>
      </c>
      <c r="AG9" s="52" t="str">
        <f t="shared" si="3"/>
        <v/>
      </c>
      <c r="AH9" s="52" t="str">
        <f t="shared" si="3"/>
        <v/>
      </c>
      <c r="AI9" s="52" t="str">
        <f t="shared" si="3"/>
        <v/>
      </c>
      <c r="AJ9" s="52" t="str">
        <f t="shared" si="3"/>
        <v/>
      </c>
      <c r="AK9" s="52" t="str">
        <f t="shared" si="3"/>
        <v/>
      </c>
      <c r="AL9" s="52" t="str">
        <f t="shared" si="3"/>
        <v/>
      </c>
      <c r="AM9" s="52" t="str">
        <f t="shared" si="3"/>
        <v/>
      </c>
      <c r="AN9" s="52" t="str">
        <f t="shared" si="3"/>
        <v/>
      </c>
      <c r="AO9" s="52" t="str">
        <f t="shared" si="3"/>
        <v/>
      </c>
    </row>
    <row r="10" ht="15" customHeight="1" spans="1:41">
      <c r="A10" s="48"/>
      <c r="B10" s="49" t="s">
        <v>34</v>
      </c>
      <c r="C10" s="49" t="s">
        <v>35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32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/>
      </c>
      <c r="AA10" s="52" t="str">
        <f t="shared" si="6"/>
        <v/>
      </c>
      <c r="AB10" s="52" t="str">
        <f t="shared" si="6"/>
        <v/>
      </c>
      <c r="AC10" s="52" t="str">
        <f t="shared" si="6"/>
        <v/>
      </c>
      <c r="AD10" s="52" t="str">
        <f t="shared" si="6"/>
        <v/>
      </c>
      <c r="AE10" s="52" t="str">
        <f t="shared" si="6"/>
        <v/>
      </c>
      <c r="AF10" s="52" t="str">
        <f t="shared" si="6"/>
        <v/>
      </c>
      <c r="AG10" s="52" t="str">
        <f t="shared" si="6"/>
        <v/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36</v>
      </c>
      <c r="C11" s="49" t="s">
        <v>37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32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/>
      </c>
      <c r="AA11" s="52" t="str">
        <f t="shared" si="7"/>
        <v/>
      </c>
      <c r="AB11" s="52" t="str">
        <f t="shared" si="7"/>
        <v/>
      </c>
      <c r="AC11" s="52" t="str">
        <f t="shared" si="7"/>
        <v/>
      </c>
      <c r="AD11" s="52" t="str">
        <f t="shared" si="7"/>
        <v/>
      </c>
      <c r="AE11" s="52" t="str">
        <f t="shared" si="7"/>
        <v/>
      </c>
      <c r="AF11" s="52" t="str">
        <f t="shared" si="7"/>
        <v/>
      </c>
      <c r="AG11" s="52" t="str">
        <f t="shared" si="7"/>
        <v/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>
        <v>1</v>
      </c>
      <c r="C12" s="49"/>
      <c r="D12" s="50"/>
      <c r="E12" s="50"/>
      <c r="F12" s="50"/>
      <c r="G12" s="50"/>
      <c r="H12" s="50"/>
      <c r="I12" s="50" t="s">
        <v>32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</row>
    <row r="13" ht="15" customHeight="1" spans="1:41">
      <c r="A13" s="48"/>
      <c r="B13" s="49">
        <v>2</v>
      </c>
      <c r="C13" s="49"/>
      <c r="D13" s="50"/>
      <c r="E13" s="50"/>
      <c r="F13" s="50"/>
      <c r="G13" s="50"/>
      <c r="H13" s="50"/>
      <c r="I13" s="50" t="s">
        <v>32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3</v>
      </c>
      <c r="C14" s="49"/>
      <c r="D14" s="50"/>
      <c r="E14" s="50"/>
      <c r="F14" s="50"/>
      <c r="G14" s="50"/>
      <c r="H14" s="50"/>
      <c r="I14" s="50" t="s">
        <v>32</v>
      </c>
      <c r="J14" s="51"/>
      <c r="K14" s="51"/>
      <c r="L14" s="51"/>
      <c r="M14" s="51"/>
      <c r="N14" s="51"/>
      <c r="O14" s="51"/>
      <c r="P14" s="54"/>
      <c r="Q14" s="51"/>
      <c r="R14" s="51"/>
      <c r="S14" s="51"/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4</v>
      </c>
      <c r="C15" s="49"/>
      <c r="D15" s="50"/>
      <c r="E15" s="50"/>
      <c r="F15" s="50"/>
      <c r="G15" s="50"/>
      <c r="H15" s="50"/>
      <c r="I15" s="50" t="s">
        <v>32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5</v>
      </c>
      <c r="C16" s="49"/>
      <c r="D16" s="50"/>
      <c r="E16" s="50"/>
      <c r="F16" s="50"/>
      <c r="G16" s="50"/>
      <c r="H16" s="50"/>
      <c r="I16" s="50" t="s">
        <v>32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55"/>
      <c r="B17" s="49">
        <v>6</v>
      </c>
      <c r="C17" s="49"/>
      <c r="D17" s="50"/>
      <c r="E17" s="50"/>
      <c r="F17" s="50"/>
      <c r="G17" s="50"/>
      <c r="H17" s="50"/>
      <c r="I17" s="50" t="s">
        <v>32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M9">
    <cfRule type="cellIs" dxfId="0" priority="6" operator="notBetween">
      <formula>$G9</formula>
      <formula>$H9</formula>
    </cfRule>
  </conditionalFormatting>
  <conditionalFormatting sqref="J7:Y7 J9:L9 N9:Y9">
    <cfRule type="cellIs" dxfId="0" priority="89" operator="notBetween">
      <formula>$G7</formula>
      <formula>$H7</formula>
    </cfRule>
  </conditionalFormatting>
  <conditionalFormatting sqref="J8:Y8 J10:Y11">
    <cfRule type="cellIs" dxfId="0" priority="10" operator="notBetween">
      <formula>$G8</formula>
      <formula>$H8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15:AO15 AL7:AO8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2026-06-20T23:50:08Z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