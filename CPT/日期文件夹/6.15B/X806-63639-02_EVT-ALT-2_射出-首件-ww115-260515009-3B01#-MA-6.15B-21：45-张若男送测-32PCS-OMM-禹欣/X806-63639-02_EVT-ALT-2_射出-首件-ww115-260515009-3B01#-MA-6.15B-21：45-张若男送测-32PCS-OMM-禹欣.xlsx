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<sst xmlns="http://schemas.openxmlformats.org/spreadsheetml/2006/main" count="77" uniqueCount="46">
  <si>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安徽中耀智能科技有限公司首件尺寸报告</t>
  </si>
  <si>
    <t>料号</t>
  </si>
  <si>
    <t>X806-63639</t>
  </si>
  <si>
    <t>工单号</t>
  </si>
  <si>
    <t>ww115-260515009</t>
  </si>
  <si>
    <t>工站</t>
  </si>
  <si>
    <t xml:space="preserve">射出机台号     
</t>
  </si>
  <si>
    <t>量测机台号</t>
  </si>
  <si>
    <t>测量人员</t>
  </si>
  <si>
    <t>审核</t>
  </si>
  <si>
    <t>射出</t>
  </si>
  <si>
    <t>3B01#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</si>
  <si>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</si>
  <si>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</si>
  <si>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</si>
  <si>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</si>
  <si>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</si>
  <si>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</si>
  <si>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</si>
  <si>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</si>
  <si>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</si>
  <si>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</si>
  <si>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</si>
  <si>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</si>
  <si>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</si>
  <si>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</si>
  <si>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</si>
  <si>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</si>
  <si>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</si>
  <si>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</si>
  <si>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</si>
  <si>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</si>
  <si>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</si>
  <si>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</si>
  <si>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</si>
  <si>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</si>
  <si>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</si>
  <si>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</si>
  <si>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</si>
  <si>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</si>
  <si>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</si>
  <si>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</si>
  <si>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</si>
  <si>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</si>
  <si>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 15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</si>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</sst>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topLeftCell="F1" workbookViewId="0">
      <selection activeCell="Q20" sqref="Q20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2-1</v>
      </c>
      <c r="AI6" s="54" t="str">
        <f t="shared" si="0"/>
        <v>2-2</v>
      </c>
      <c r="AJ6" s="54" t="str">
        <f t="shared" si="0"/>
        <v>2-3</v>
      </c>
      <c r="AK6" s="54" t="str">
        <f t="shared" si="0"/>
        <v>2-4</v>
      </c>
      <c r="AL6" s="54" t="str">
        <f t="shared" si="0"/>
        <v>2-5</v>
      </c>
      <c r="AM6" s="54" t="str">
        <f t="shared" si="0"/>
        <v>2-6</v>
      </c>
      <c r="AN6" s="54" t="str">
        <f t="shared" si="0"/>
        <v>2-7</v>
      </c>
      <c r="AO6" s="54" t="str">
        <f t="shared" si="0"/>
        <v>2-8</v>
      </c>
    </row>
    <row r="7" ht="15" customHeight="1" spans="1:41">
      <c r="A7" s="55">
        <v>46188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6.2732</v>
      </c>
      <c r="K7" s="59">
        <v>6.2731</v>
      </c>
      <c r="L7" s="59">
        <v>6.2644</v>
      </c>
      <c r="M7" s="59">
        <v>6.268</v>
      </c>
      <c r="N7" s="59">
        <v>6.2688</v>
      </c>
      <c r="O7" s="59">
        <v>6.2721</v>
      </c>
      <c r="P7" s="59">
        <v>6.2594</v>
      </c>
      <c r="Q7" s="59">
        <v>6.2678</v>
      </c>
      <c r="R7" s="59">
        <v>6.2651</v>
      </c>
      <c r="S7" s="59">
        <v>6.2661</v>
      </c>
      <c r="T7" s="59">
        <v>6.2692</v>
      </c>
      <c r="U7" s="59">
        <v>6.272</v>
      </c>
      <c r="V7" s="59">
        <v>6.2648</v>
      </c>
      <c r="W7" s="59">
        <v>6.2661</v>
      </c>
      <c r="X7" s="59">
        <v>6.2689</v>
      </c>
      <c r="Y7" s="59">
        <v>6.2681</v>
      </c>
      <c r="Z7" s="60" t="str">
        <f t="shared" ref="Z7" si="3">IF(J7="","",IF(J7&gt;($D7+$E7),(J7-$D7-$E7),IF(J7&lt;($D7+$F7),(J7-$D7-$F7),"√")))</f>
        <v>√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28</v>
      </c>
      <c r="K12" s="53" t="s">
        <v>29</v>
      </c>
      <c r="L12" s="53" t="s">
        <v>30</v>
      </c>
      <c r="M12" s="53" t="s">
        <v>31</v>
      </c>
      <c r="N12" s="53" t="s">
        <v>32</v>
      </c>
      <c r="O12" s="53" t="s">
        <v>33</v>
      </c>
      <c r="P12" s="53" t="s">
        <v>34</v>
      </c>
      <c r="Q12" s="53" t="s">
        <v>35</v>
      </c>
      <c r="R12" s="53" t="s">
        <v>36</v>
      </c>
      <c r="S12" s="53" t="s">
        <v>37</v>
      </c>
      <c r="T12" s="53" t="s">
        <v>38</v>
      </c>
      <c r="U12" s="53" t="s">
        <v>39</v>
      </c>
      <c r="V12" s="53" t="s">
        <v>40</v>
      </c>
      <c r="W12" s="53" t="s">
        <v>41</v>
      </c>
      <c r="X12" s="53" t="s">
        <v>42</v>
      </c>
      <c r="Y12" s="53" t="s">
        <v>43</v>
      </c>
      <c r="Z12" s="54" t="str">
        <f t="shared" ref="Z12:AO12" si="6">J12</f>
        <v>1-1</v>
      </c>
      <c r="AA12" s="54" t="str">
        <f t="shared" si="6"/>
        <v>1-2</v>
      </c>
      <c r="AB12" s="54" t="str">
        <f t="shared" si="6"/>
        <v>1-3</v>
      </c>
      <c r="AC12" s="54" t="str">
        <f t="shared" si="6"/>
        <v>1-4</v>
      </c>
      <c r="AD12" s="54" t="str">
        <f t="shared" si="6"/>
        <v>1-5</v>
      </c>
      <c r="AE12" s="54" t="str">
        <f t="shared" si="6"/>
        <v>1-6</v>
      </c>
      <c r="AF12" s="54" t="str">
        <f t="shared" si="6"/>
        <v>1-7</v>
      </c>
      <c r="AG12" s="54" t="str">
        <f t="shared" si="6"/>
        <v>1-8</v>
      </c>
      <c r="AH12" s="54" t="str">
        <f t="shared" si="6"/>
        <v>2-1</v>
      </c>
      <c r="AI12" s="54" t="str">
        <f t="shared" si="6"/>
        <v>2-2</v>
      </c>
      <c r="AJ12" s="54" t="str">
        <f t="shared" si="6"/>
        <v>2-3</v>
      </c>
      <c r="AK12" s="54" t="str">
        <f t="shared" si="6"/>
        <v>2-4</v>
      </c>
      <c r="AL12" s="54" t="str">
        <f t="shared" si="6"/>
        <v>2-5</v>
      </c>
      <c r="AM12" s="54" t="str">
        <f t="shared" si="6"/>
        <v>2-6</v>
      </c>
      <c r="AN12" s="54" t="str">
        <f t="shared" si="6"/>
        <v>2-7</v>
      </c>
      <c r="AO12" s="54" t="str">
        <f t="shared" si="6"/>
        <v>2-8</v>
      </c>
    </row>
    <row r="13" ht="15" customHeight="1" spans="1:41">
      <c r="A13" s="55">
        <v>46188</v>
      </c>
      <c r="B13" s="56" t="s">
        <v>44</v>
      </c>
      <c r="C13" s="56"/>
      <c r="D13" s="57">
        <v>6.26</v>
      </c>
      <c r="E13" s="57">
        <v>0.015</v>
      </c>
      <c r="F13" s="57">
        <v>-0.015</v>
      </c>
      <c r="G13" s="58">
        <f>D13+E13</f>
        <v>6.275</v>
      </c>
      <c r="H13" s="58">
        <f>D13+F13</f>
        <v>6.245</v>
      </c>
      <c r="I13" s="57" t="s">
        <v>45</v>
      </c>
      <c r="J13" s="59">
        <v>6.2661</v>
      </c>
      <c r="K13" s="59">
        <v>6.2709</v>
      </c>
      <c r="L13" s="59">
        <v>6.2693</v>
      </c>
      <c r="M13" s="59">
        <v>6.2724</v>
      </c>
      <c r="N13" s="59">
        <v>6.2711</v>
      </c>
      <c r="O13" s="59">
        <v>6.2723</v>
      </c>
      <c r="P13" s="59">
        <v>6.2698</v>
      </c>
      <c r="Q13" s="59">
        <v>6.2674</v>
      </c>
      <c r="R13" s="59">
        <v>6.2662</v>
      </c>
      <c r="S13" s="59">
        <v>6.2676</v>
      </c>
      <c r="T13" s="59">
        <v>6.269</v>
      </c>
      <c r="U13" s="59">
        <v>6.2732</v>
      </c>
      <c r="V13" s="59">
        <v>6.2676</v>
      </c>
      <c r="W13" s="59">
        <v>6.2674</v>
      </c>
      <c r="X13" s="59">
        <v>6.2695</v>
      </c>
      <c r="Y13" s="59">
        <v>6.2681</v>
      </c>
      <c r="Z13" s="60" t="str">
        <f t="shared" ref="Z13:AO13" si="7">IF(J13="","",IF(J13&gt;($D13+$E13),(J13-$D13-$E13),IF(J13&lt;($D13+$F13),(J13-$D13-$F13),"√")))</f>
        <v>√</v>
      </c>
      <c r="AA13" s="60" t="str">
        <f t="shared" si="7"/>
        <v>√</v>
      </c>
      <c r="AB13" s="60" t="str">
        <f t="shared" si="7"/>
        <v>√</v>
      </c>
      <c r="AC13" s="60" t="str">
        <f t="shared" si="7"/>
        <v>√</v>
      </c>
      <c r="AD13" s="60" t="str">
        <f t="shared" si="7"/>
        <v>√</v>
      </c>
      <c r="AE13" s="60" t="str">
        <f t="shared" si="7"/>
        <v>√</v>
      </c>
      <c r="AF13" s="60" t="str">
        <f t="shared" si="7"/>
        <v>√</v>
      </c>
      <c r="AG13" s="60" t="str">
        <f t="shared" si="7"/>
        <v>√</v>
      </c>
      <c r="AH13" s="60" t="str">
        <f t="shared" si="7"/>
        <v>√</v>
      </c>
      <c r="AI13" s="60" t="str">
        <f t="shared" si="7"/>
        <v>√</v>
      </c>
      <c r="AJ13" s="60" t="str">
        <f t="shared" si="7"/>
        <v>√</v>
      </c>
      <c r="AK13" s="60" t="str">
        <f t="shared" si="7"/>
        <v>√</v>
      </c>
      <c r="AL13" s="60" t="str">
        <f t="shared" si="7"/>
        <v>√</v>
      </c>
      <c r="AM13" s="60" t="str">
        <f t="shared" si="7"/>
        <v>√</v>
      </c>
      <c r="AN13" s="60" t="str">
        <f t="shared" si="7"/>
        <v>√</v>
      </c>
      <c r="AO13" s="60" t="str">
        <f t="shared" si="7"/>
        <v>√</v>
      </c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H2:K3"/>
    <mergeCell ref="L2:R3"/>
    <mergeCell ref="B2:G3"/>
  </mergeCells>
  <conditionalFormatting sqref="J7">
    <cfRule type="cellIs" dxfId="0" priority="2" operator="notBetween">
      <formula>$G7</formula>
      <formula>$H7</formula>
    </cfRule>
  </conditionalFormatting>
  <conditionalFormatting sqref="S7">
    <cfRule type="cellIs" dxfId="0" priority="4" operator="notBetween">
      <formula>$G7</formula>
      <formula>$H7</formula>
    </cfRule>
  </conditionalFormatting>
  <conditionalFormatting sqref="U7">
    <cfRule type="cellIs" dxfId="0" priority="1" operator="notBetween">
      <formula>$G7</formula>
      <formula>$H7</formula>
    </cfRule>
  </conditionalFormatting>
  <conditionalFormatting sqref="J13">
    <cfRule type="cellIs" dxfId="0" priority="3" operator="notBetween">
      <formula>$G13</formula>
      <formula>$H13</formula>
    </cfRule>
  </conditionalFormatting>
  <conditionalFormatting sqref="K13:Y13">
    <cfRule type="cellIs" dxfId="0" priority="5" operator="notBetween">
      <formula>$G13</formula>
      <formula>$H13</formula>
    </cfRule>
  </conditionalFormatting>
  <conditionalFormatting sqref="K7:R7 T7 V7:Y7">
    <cfRule type="cellIs" dxfId="0" priority="22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2026-06-15T18:36:37Z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