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806-64563" sheetId="8" r:id="rId1"/>
  </sheets>
  <definedNames>
    <definedName name="_xlnm.Print_Area" localSheetId="0">'806-64563'!$B$1:$AE$6</definedName>
    <definedName name="_xlnm.Print_Titles" localSheetId="0">'806-64563'!$1:$6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<sst xmlns="http://schemas.openxmlformats.org/spreadsheetml/2006/main" count="45" uniqueCount="38">
  <si>
    <t>安徽中耀智能科技有限公司首件尺寸报告</t>
  </si>
  <si>
    <t>料号</t>
  </si>
  <si>
    <t>X806-64563</t>
  </si>
  <si>
    <t>工单号</t>
  </si>
  <si>
    <t>ww115-260506003</t>
  </si>
  <si>
    <t>工站</t>
  </si>
  <si>
    <t>射出机台号</t>
  </si>
  <si>
    <t>测量机台</t>
  </si>
  <si>
    <t>测量人员</t>
  </si>
  <si>
    <t>审核</t>
  </si>
  <si>
    <t>射出</t>
  </si>
  <si>
    <t>1#</t>
  </si>
  <si>
    <t>OMM4#</t>
  </si>
  <si>
    <t>禹欣</t>
  </si>
  <si>
    <t>陈跃进</t>
  </si>
  <si>
    <t>日期</t>
  </si>
  <si>
    <t>尺寸编号</t>
  </si>
  <si>
    <t>SPC</t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</si>
  <si>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</si>
  <si>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</si>
  <si>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</si>
  <si>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</si>
  <si>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</si>
  <si>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</si>
  <si>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</si>
  <si>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</si>
  <si>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</si>
  <si>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</si>
  <si>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FAI15</t>
  </si>
  <si>
    <t>O</t>
  </si>
  <si>
    <t>OMM</t>
  </si>
  <si>
    <t>FAI13_1</t>
  </si>
  <si>
    <t>AD</t>
  </si>
  <si>
    <t>FAI13_2</t>
  </si>
  <si>
    <t>FAI2_1</t>
  </si>
  <si>
    <t>FAI2_2</t>
  </si>
  <si>
    <t>FAI5_1</t>
  </si>
  <si>
    <t>FAI5_2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</si>
</sst>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</numFmts>
  <fonts count="35">
    <font>
      <sz val="11"/>
      <color theme="1"/>
      <name val="等线"/>
      <charset val="134"/>
      <scheme val="minor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9"/>
      <name val="宋体"/>
      <charset val="134"/>
    </font>
    <font>
      <b/>
      <sz val="11"/>
      <name val="宋体"/>
      <charset val="134"/>
    </font>
    <font>
      <b/>
      <sz val="9"/>
      <name val="Arial"/>
      <charset val="134"/>
    </font>
    <font>
      <b/>
      <sz val="11"/>
      <name val="Arial"/>
      <charset val="134"/>
    </font>
    <font>
      <sz val="10"/>
      <color theme="1"/>
      <name val="等线"/>
      <charset val="134"/>
      <scheme val="minor"/>
    </font>
    <font>
      <sz val="10"/>
      <color theme="1"/>
      <name val="Arial"/>
      <charset val="134"/>
    </font>
    <font>
      <sz val="10"/>
      <name val="Arial"/>
      <charset val="134"/>
    </font>
    <font>
      <sz val="8"/>
      <name val="Arial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indexed="8"/>
      <name val="等线"/>
      <charset val="134"/>
    </font>
    <font>
      <sz val="12"/>
      <name val="新細明體"/>
      <charset val="134"/>
    </font>
    <font>
      <sz val="12"/>
      <color indexed="8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7998290963469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12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4" borderId="14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5" borderId="17" applyNumberFormat="0" applyAlignment="0" applyProtection="0">
      <alignment vertical="center"/>
    </xf>
    <xf numFmtId="0" fontId="22" fillId="6" borderId="18" applyNumberFormat="0" applyAlignment="0" applyProtection="0">
      <alignment vertical="center"/>
    </xf>
    <xf numFmtId="0" fontId="23" fillId="6" borderId="17" applyNumberFormat="0" applyAlignment="0" applyProtection="0">
      <alignment vertical="center"/>
    </xf>
    <xf numFmtId="0" fontId="24" fillId="7" borderId="19" applyNumberFormat="0" applyAlignment="0" applyProtection="0">
      <alignment vertical="center"/>
    </xf>
    <xf numFmtId="0" fontId="25" fillId="0" borderId="20" applyNumberFormat="0" applyFill="0" applyAlignment="0" applyProtection="0">
      <alignment vertical="center"/>
    </xf>
    <xf numFmtId="0" fontId="26" fillId="0" borderId="21" applyNumberFormat="0" applyFill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33" fillId="0" borderId="0"/>
    <xf numFmtId="0" fontId="33" fillId="0" borderId="0"/>
    <xf numFmtId="0" fontId="33" fillId="0" borderId="0">
      <alignment vertical="center"/>
    </xf>
    <xf numFmtId="0" fontId="33" fillId="0" borderId="0"/>
    <xf numFmtId="0" fontId="33" fillId="0" borderId="0">
      <alignment vertical="center"/>
    </xf>
    <xf numFmtId="0" fontId="33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/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34" fillId="0" borderId="0">
      <alignment vertical="center"/>
    </xf>
  </cellStyleXfs>
  <cellXfs count="57">
    <xf numFmtId="0" fontId="0" fillId="0" borderId="0" xfId="0">
      <alignment vertical="center"/>
    </xf>
    <xf numFmtId="0" fontId="1" fillId="0" borderId="1" xfId="70" applyFont="1" applyFill="1" applyBorder="1" applyAlignment="1" applyProtection="1">
      <alignment horizontal="center" vertical="center"/>
      <protection locked="0"/>
    </xf>
    <xf numFmtId="0" fontId="2" fillId="0" borderId="1" xfId="70" applyFont="1" applyFill="1" applyBorder="1" applyAlignment="1" applyProtection="1">
      <alignment horizontal="center" vertical="center"/>
      <protection locked="0"/>
    </xf>
    <xf numFmtId="0" fontId="3" fillId="0" borderId="2" xfId="70" applyFont="1" applyFill="1" applyBorder="1" applyAlignment="1" applyProtection="1">
      <alignment horizontal="center" vertical="center"/>
      <protection locked="0"/>
    </xf>
    <xf numFmtId="0" fontId="3" fillId="0" borderId="3" xfId="70" applyFont="1" applyFill="1" applyBorder="1" applyAlignment="1" applyProtection="1">
      <alignment horizontal="center" vertical="center"/>
      <protection locked="0"/>
    </xf>
    <xf numFmtId="0" fontId="3" fillId="0" borderId="4" xfId="70" applyFont="1" applyFill="1" applyBorder="1" applyAlignment="1" applyProtection="1">
      <alignment horizontal="center" vertical="center"/>
      <protection locked="0"/>
    </xf>
    <xf numFmtId="49" fontId="2" fillId="0" borderId="2" xfId="70" applyNumberFormat="1" applyFont="1" applyFill="1" applyBorder="1" applyAlignment="1">
      <alignment horizontal="center" vertical="center"/>
    </xf>
    <xf numFmtId="49" fontId="2" fillId="0" borderId="3" xfId="70" applyNumberFormat="1" applyFont="1" applyFill="1" applyBorder="1" applyAlignment="1">
      <alignment horizontal="center" vertical="center"/>
    </xf>
    <xf numFmtId="49" fontId="2" fillId="0" borderId="4" xfId="70" applyNumberFormat="1" applyFont="1" applyFill="1" applyBorder="1" applyAlignment="1">
      <alignment horizontal="center" vertical="center"/>
    </xf>
    <xf numFmtId="49" fontId="3" fillId="0" borderId="1" xfId="70" applyNumberFormat="1" applyFont="1" applyFill="1" applyBorder="1" applyAlignment="1">
      <alignment horizontal="center" vertical="center"/>
    </xf>
    <xf numFmtId="49" fontId="3" fillId="0" borderId="5" xfId="70" applyNumberFormat="1" applyFont="1" applyFill="1" applyBorder="1" applyAlignment="1">
      <alignment horizontal="center" vertical="center"/>
    </xf>
    <xf numFmtId="49" fontId="3" fillId="0" borderId="6" xfId="70" applyNumberFormat="1" applyFont="1" applyFill="1" applyBorder="1" applyAlignment="1">
      <alignment horizontal="center" vertical="center"/>
    </xf>
    <xf numFmtId="49" fontId="3" fillId="0" borderId="7" xfId="70" applyNumberFormat="1" applyFont="1" applyFill="1" applyBorder="1" applyAlignment="1">
      <alignment horizontal="center" vertical="center"/>
    </xf>
    <xf numFmtId="49" fontId="4" fillId="0" borderId="5" xfId="70" applyNumberFormat="1" applyFont="1" applyFill="1" applyBorder="1" applyAlignment="1" applyProtection="1">
      <alignment horizontal="center" vertical="center"/>
      <protection locked="0"/>
    </xf>
    <xf numFmtId="49" fontId="4" fillId="0" borderId="6" xfId="70" applyNumberFormat="1" applyFont="1" applyFill="1" applyBorder="1" applyAlignment="1" applyProtection="1">
      <alignment horizontal="center" vertical="center"/>
      <protection locked="0"/>
    </xf>
    <xf numFmtId="49" fontId="4" fillId="0" borderId="7" xfId="70" applyNumberFormat="1" applyFont="1" applyFill="1" applyBorder="1" applyAlignment="1" applyProtection="1">
      <alignment horizontal="center" vertical="center"/>
      <protection locked="0"/>
    </xf>
    <xf numFmtId="49" fontId="3" fillId="0" borderId="5" xfId="111" applyNumberFormat="1" applyFont="1" applyFill="1" applyBorder="1" applyAlignment="1">
      <alignment horizontal="center" vertical="center"/>
    </xf>
    <xf numFmtId="49" fontId="3" fillId="0" borderId="6" xfId="111" applyNumberFormat="1" applyFont="1" applyFill="1" applyBorder="1" applyAlignment="1">
      <alignment horizontal="center" vertical="center"/>
    </xf>
    <xf numFmtId="49" fontId="3" fillId="0" borderId="7" xfId="111" applyNumberFormat="1" applyFont="1" applyFill="1" applyBorder="1" applyAlignment="1">
      <alignment horizontal="center" vertical="center"/>
    </xf>
    <xf numFmtId="0" fontId="3" fillId="0" borderId="8" xfId="70" applyFont="1" applyFill="1" applyBorder="1" applyAlignment="1" applyProtection="1">
      <alignment horizontal="center" vertical="center"/>
      <protection locked="0"/>
    </xf>
    <xf numFmtId="0" fontId="3" fillId="0" borderId="9" xfId="70" applyFont="1" applyFill="1" applyBorder="1" applyAlignment="1" applyProtection="1">
      <alignment horizontal="center" vertical="center"/>
      <protection locked="0"/>
    </xf>
    <xf numFmtId="0" fontId="3" fillId="0" borderId="10" xfId="70" applyFont="1" applyFill="1" applyBorder="1" applyAlignment="1" applyProtection="1">
      <alignment horizontal="center" vertical="center"/>
      <protection locked="0"/>
    </xf>
    <xf numFmtId="49" fontId="2" fillId="0" borderId="8" xfId="70" applyNumberFormat="1" applyFont="1" applyFill="1" applyBorder="1" applyAlignment="1">
      <alignment horizontal="center" vertical="center"/>
    </xf>
    <xf numFmtId="49" fontId="2" fillId="0" borderId="9" xfId="70" applyNumberFormat="1" applyFont="1" applyFill="1" applyBorder="1" applyAlignment="1">
      <alignment horizontal="center" vertical="center"/>
    </xf>
    <xf numFmtId="49" fontId="2" fillId="0" borderId="10" xfId="70" applyNumberFormat="1" applyFont="1" applyFill="1" applyBorder="1" applyAlignment="1">
      <alignment horizontal="center" vertical="center"/>
    </xf>
    <xf numFmtId="0" fontId="3" fillId="0" borderId="5" xfId="70" applyFont="1" applyFill="1" applyBorder="1" applyAlignment="1" applyProtection="1">
      <alignment horizontal="center" vertical="center"/>
      <protection locked="0"/>
    </xf>
    <xf numFmtId="0" fontId="3" fillId="0" borderId="6" xfId="70" applyFont="1" applyFill="1" applyBorder="1" applyAlignment="1" applyProtection="1">
      <alignment horizontal="center" vertical="center"/>
      <protection locked="0"/>
    </xf>
    <xf numFmtId="0" fontId="3" fillId="0" borderId="7" xfId="70" applyFont="1" applyFill="1" applyBorder="1" applyAlignment="1" applyProtection="1">
      <alignment horizontal="center" vertical="center"/>
      <protection locked="0"/>
    </xf>
    <xf numFmtId="176" fontId="3" fillId="0" borderId="5" xfId="111" applyNumberFormat="1" applyFont="1" applyFill="1" applyBorder="1" applyAlignment="1">
      <alignment horizontal="center" vertical="center"/>
    </xf>
    <xf numFmtId="176" fontId="3" fillId="0" borderId="6" xfId="111" applyNumberFormat="1" applyFont="1" applyFill="1" applyBorder="1" applyAlignment="1">
      <alignment horizontal="center" vertical="center"/>
    </xf>
    <xf numFmtId="176" fontId="3" fillId="0" borderId="7" xfId="111" applyNumberFormat="1" applyFont="1" applyFill="1" applyBorder="1" applyAlignment="1">
      <alignment horizontal="center" vertical="center"/>
    </xf>
    <xf numFmtId="49" fontId="5" fillId="0" borderId="1" xfId="70" applyNumberFormat="1" applyFont="1" applyFill="1" applyBorder="1" applyAlignment="1" applyProtection="1">
      <alignment horizontal="center" vertical="center" wrapText="1"/>
      <protection locked="0"/>
    </xf>
    <xf numFmtId="49" fontId="5" fillId="0" borderId="11" xfId="70" applyNumberFormat="1" applyFont="1" applyFill="1" applyBorder="1" applyAlignment="1" applyProtection="1">
      <alignment horizontal="center" vertical="center" wrapText="1"/>
      <protection locked="0"/>
    </xf>
    <xf numFmtId="0" fontId="5" fillId="0" borderId="1" xfId="70" applyFont="1" applyFill="1" applyBorder="1" applyAlignment="1" applyProtection="1">
      <alignment horizontal="center" vertical="center"/>
      <protection locked="0"/>
    </xf>
    <xf numFmtId="177" fontId="5" fillId="0" borderId="1" xfId="70" applyNumberFormat="1" applyFont="1" applyFill="1" applyBorder="1" applyAlignment="1">
      <alignment horizontal="center" vertical="center"/>
    </xf>
    <xf numFmtId="177" fontId="5" fillId="0" borderId="1" xfId="70" applyNumberFormat="1" applyFont="1" applyFill="1" applyBorder="1" applyAlignment="1" applyProtection="1">
      <alignment horizontal="center" vertical="center"/>
      <protection locked="0"/>
    </xf>
    <xf numFmtId="0" fontId="5" fillId="0" borderId="1" xfId="70" applyFont="1" applyFill="1" applyBorder="1" applyAlignment="1" applyProtection="1">
      <alignment horizontal="center" vertical="center" wrapText="1"/>
      <protection locked="0"/>
    </xf>
    <xf numFmtId="0" fontId="6" fillId="2" borderId="1" xfId="70" applyFont="1" applyFill="1" applyBorder="1" applyAlignment="1" applyProtection="1">
      <alignment horizontal="center" vertical="center"/>
      <protection locked="0"/>
    </xf>
    <xf numFmtId="0" fontId="6" fillId="3" borderId="5" xfId="70" applyFont="1" applyFill="1" applyBorder="1" applyAlignment="1">
      <alignment horizontal="center" vertical="center"/>
    </xf>
    <xf numFmtId="0" fontId="6" fillId="3" borderId="6" xfId="70" applyFont="1" applyFill="1" applyBorder="1" applyAlignment="1">
      <alignment horizontal="center" vertical="center"/>
    </xf>
    <xf numFmtId="0" fontId="6" fillId="3" borderId="7" xfId="70" applyFont="1" applyFill="1" applyBorder="1" applyAlignment="1">
      <alignment horizontal="center" vertical="center"/>
    </xf>
    <xf numFmtId="49" fontId="7" fillId="0" borderId="1" xfId="70" applyNumberFormat="1" applyFont="1" applyFill="1" applyBorder="1" applyAlignment="1" applyProtection="1">
      <alignment horizontal="center" vertical="center" wrapText="1"/>
      <protection locked="0"/>
    </xf>
    <xf numFmtId="49" fontId="7" fillId="0" borderId="1" xfId="70" applyNumberFormat="1" applyFont="1" applyFill="1" applyBorder="1" applyAlignment="1" applyProtection="1">
      <alignment horizontal="center" vertical="center"/>
      <protection locked="0"/>
    </xf>
    <xf numFmtId="49" fontId="5" fillId="0" borderId="12" xfId="70" applyNumberFormat="1" applyFont="1" applyFill="1" applyBorder="1" applyAlignment="1" applyProtection="1">
      <alignment horizontal="center" vertical="center" wrapText="1"/>
      <protection locked="0"/>
    </xf>
    <xf numFmtId="0" fontId="6" fillId="3" borderId="1" xfId="70" applyFont="1" applyFill="1" applyBorder="1" applyAlignment="1">
      <alignment horizontal="center" vertical="center"/>
    </xf>
    <xf numFmtId="49" fontId="5" fillId="0" borderId="13" xfId="70" applyNumberFormat="1" applyFont="1" applyFill="1" applyBorder="1" applyAlignment="1" applyProtection="1">
      <alignment horizontal="center" vertical="center" wrapText="1"/>
      <protection locked="0"/>
    </xf>
    <xf numFmtId="0" fontId="8" fillId="2" borderId="1" xfId="70" applyNumberFormat="1" applyFont="1" applyFill="1" applyBorder="1" applyAlignment="1" applyProtection="1">
      <alignment horizontal="center" vertical="center" wrapText="1"/>
      <protection locked="0"/>
    </xf>
    <xf numFmtId="0" fontId="8" fillId="2" borderId="1" xfId="70" applyNumberFormat="1" applyFont="1" applyFill="1" applyBorder="1" applyAlignment="1" applyProtection="1">
      <alignment horizontal="center" vertical="center"/>
      <protection locked="0"/>
    </xf>
    <xf numFmtId="0" fontId="8" fillId="3" borderId="1" xfId="70" applyFont="1" applyFill="1" applyBorder="1" applyAlignment="1">
      <alignment horizontal="center" vertical="center"/>
    </xf>
    <xf numFmtId="14" fontId="9" fillId="0" borderId="11" xfId="0" applyNumberFormat="1" applyFont="1" applyBorder="1" applyAlignment="1">
      <alignment horizontal="center" vertical="center" wrapText="1"/>
    </xf>
    <xf numFmtId="0" fontId="10" fillId="0" borderId="7" xfId="57" applyFont="1" applyBorder="1" applyAlignment="1">
      <alignment horizontal="center" vertical="center"/>
    </xf>
    <xf numFmtId="0" fontId="11" fillId="0" borderId="1" xfId="69" applyFont="1" applyBorder="1" applyAlignment="1">
      <alignment horizontal="center" vertical="center"/>
    </xf>
    <xf numFmtId="0" fontId="11" fillId="0" borderId="1" xfId="69" applyFont="1" applyFill="1" applyBorder="1" applyAlignment="1">
      <alignment horizontal="center" vertical="center"/>
    </xf>
    <xf numFmtId="177" fontId="10" fillId="2" borderId="1" xfId="72" applyNumberFormat="1" applyFont="1" applyFill="1" applyBorder="1" applyAlignment="1">
      <alignment horizontal="center" vertical="center"/>
    </xf>
    <xf numFmtId="0" fontId="12" fillId="3" borderId="1" xfId="70" applyFont="1" applyFill="1" applyBorder="1" applyAlignment="1">
      <alignment horizontal="center" vertical="center"/>
    </xf>
    <xf numFmtId="14" fontId="9" fillId="0" borderId="12" xfId="0" applyNumberFormat="1" applyFont="1" applyBorder="1" applyAlignment="1">
      <alignment horizontal="center" vertical="center" wrapText="1"/>
    </xf>
    <xf numFmtId="14" fontId="9" fillId="0" borderId="13" xfId="0" applyNumberFormat="1" applyFont="1" applyBorder="1" applyAlignment="1">
      <alignment horizontal="center" vertical="center" wrapText="1"/>
    </xf>
  </cellXfs>
  <cellStyles count="11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0 2" xfId="50"/>
    <cellStyle name="常规 11" xfId="51"/>
    <cellStyle name="常规 11 2" xfId="52"/>
    <cellStyle name="常规 12" xfId="53"/>
    <cellStyle name="常规 12 2" xfId="54"/>
    <cellStyle name="常规 13" xfId="55"/>
    <cellStyle name="常规 13 2" xfId="56"/>
    <cellStyle name="常规 14" xfId="57"/>
    <cellStyle name="常规 14 2" xfId="58"/>
    <cellStyle name="常规 15" xfId="59"/>
    <cellStyle name="常规 15 2" xfId="60"/>
    <cellStyle name="常规 16" xfId="61"/>
    <cellStyle name="常规 16 2" xfId="62"/>
    <cellStyle name="常规 17" xfId="63"/>
    <cellStyle name="常规 17 2" xfId="64"/>
    <cellStyle name="常规 18" xfId="65"/>
    <cellStyle name="常规 18 2" xfId="66"/>
    <cellStyle name="常规 19" xfId="67"/>
    <cellStyle name="常规 19 2" xfId="68"/>
    <cellStyle name="常规 2" xfId="69"/>
    <cellStyle name="常规 2 2" xfId="70"/>
    <cellStyle name="常规 2 2 2" xfId="71"/>
    <cellStyle name="常规 2 2 2 4" xfId="72"/>
    <cellStyle name="常规 2 2 2 4 2" xfId="73"/>
    <cellStyle name="常规 2 3" xfId="74"/>
    <cellStyle name="常规 20" xfId="75"/>
    <cellStyle name="常规 20 2" xfId="76"/>
    <cellStyle name="常规 21" xfId="77"/>
    <cellStyle name="常规 21 2" xfId="78"/>
    <cellStyle name="常规 22" xfId="79"/>
    <cellStyle name="常规 22 2" xfId="80"/>
    <cellStyle name="常规 23" xfId="81"/>
    <cellStyle name="常规 23 2" xfId="82"/>
    <cellStyle name="常规 24" xfId="83"/>
    <cellStyle name="常规 24 2" xfId="84"/>
    <cellStyle name="常规 25" xfId="85"/>
    <cellStyle name="常规 25 2" xfId="86"/>
    <cellStyle name="常规 26" xfId="87"/>
    <cellStyle name="常规 26 2" xfId="88"/>
    <cellStyle name="常规 27" xfId="89"/>
    <cellStyle name="常规 27 2" xfId="90"/>
    <cellStyle name="常规 28" xfId="91"/>
    <cellStyle name="常规 28 2" xfId="92"/>
    <cellStyle name="常规 29" xfId="93"/>
    <cellStyle name="常规 29 2" xfId="94"/>
    <cellStyle name="常规 3" xfId="95"/>
    <cellStyle name="常规 3 2" xfId="96"/>
    <cellStyle name="常规 30" xfId="97"/>
    <cellStyle name="常规 31" xfId="98"/>
    <cellStyle name="常规 4" xfId="99"/>
    <cellStyle name="常规 4 2" xfId="100"/>
    <cellStyle name="常规 5" xfId="101"/>
    <cellStyle name="常规 5 2" xfId="102"/>
    <cellStyle name="常规 6" xfId="103"/>
    <cellStyle name="常规 6 2" xfId="104"/>
    <cellStyle name="常规 7" xfId="105"/>
    <cellStyle name="常规 7 2" xfId="106"/>
    <cellStyle name="常规 8" xfId="107"/>
    <cellStyle name="常规 8 2" xfId="108"/>
    <cellStyle name="常规 9" xfId="109"/>
    <cellStyle name="常规 9 2" xfId="110"/>
    <cellStyle name="普通 2" xfId="111"/>
  </cellStyles>
  <dxfs count="1"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89648</xdr:rowOff>
    </xdr:from>
    <xdr:to>
      <xdr:col>2</xdr:col>
      <xdr:colOff>262255</xdr:colOff>
      <xdr:row>0</xdr:row>
      <xdr:rowOff>775448</xdr:rowOff>
    </xdr:to>
    <xdr:pic>
      <xdr:nvPicPr>
        <xdr:cNvPr id="3" name="Picture 1" descr="D:\Documents\WXWork\1688851116443126\Cache\Image\2022-09\企业微信截图_16637321137590.png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0" y="89535"/>
          <a:ext cx="1671955" cy="685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3"/>
  <sheetViews>
    <sheetView tabSelected="1" workbookViewId="0">
      <selection activeCell="L2" sqref="L2:R3"/>
    </sheetView>
  </sheetViews>
  <sheetFormatPr defaultColWidth="9" defaultRowHeight="14.25"/>
  <cols>
    <col min="1" max="41" width="9.25" customWidth="1"/>
  </cols>
  <sheetData>
    <row r="1" ht="70.5" customHeight="1" spans="1:4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ht="15" customHeight="1" spans="1:41">
      <c r="A2" s="2" t="s">
        <v>1</v>
      </c>
      <c r="B2" s="3" t="s">
        <v>2</v>
      </c>
      <c r="C2" s="4"/>
      <c r="D2" s="4"/>
      <c r="E2" s="4"/>
      <c r="F2" s="4"/>
      <c r="G2" s="5"/>
      <c r="H2" s="6" t="s">
        <v>3</v>
      </c>
      <c r="I2" s="7"/>
      <c r="J2" s="7"/>
      <c r="K2" s="8"/>
      <c r="L2" s="9" t="s">
        <v>4</v>
      </c>
      <c r="M2" s="9"/>
      <c r="N2" s="9"/>
      <c r="O2" s="9"/>
      <c r="P2" s="9"/>
      <c r="Q2" s="9"/>
      <c r="R2" s="9"/>
      <c r="S2" s="10" t="s">
        <v>5</v>
      </c>
      <c r="T2" s="11"/>
      <c r="U2" s="11"/>
      <c r="V2" s="11"/>
      <c r="W2" s="11"/>
      <c r="X2" s="12"/>
      <c r="Y2" s="13" t="s">
        <v>6</v>
      </c>
      <c r="Z2" s="14"/>
      <c r="AA2" s="14"/>
      <c r="AB2" s="14"/>
      <c r="AC2" s="14"/>
      <c r="AD2" s="15"/>
      <c r="AE2" s="13" t="s">
        <v>7</v>
      </c>
      <c r="AF2" s="14"/>
      <c r="AG2" s="14"/>
      <c r="AH2" s="14"/>
      <c r="AI2" s="15"/>
      <c r="AJ2" s="16" t="s">
        <v>8</v>
      </c>
      <c r="AK2" s="17"/>
      <c r="AL2" s="17"/>
      <c r="AM2" s="18"/>
      <c r="AN2" s="16" t="s">
        <v>9</v>
      </c>
      <c r="AO2" s="18"/>
    </row>
    <row r="3" ht="15" customHeight="1" spans="1:41">
      <c r="A3" s="2"/>
      <c r="B3" s="19"/>
      <c r="C3" s="20"/>
      <c r="D3" s="20"/>
      <c r="E3" s="20"/>
      <c r="F3" s="20"/>
      <c r="G3" s="21"/>
      <c r="H3" s="22"/>
      <c r="I3" s="23"/>
      <c r="J3" s="23"/>
      <c r="K3" s="24"/>
      <c r="L3" s="9"/>
      <c r="M3" s="9"/>
      <c r="N3" s="9"/>
      <c r="O3" s="9"/>
      <c r="P3" s="9"/>
      <c r="Q3" s="9"/>
      <c r="R3" s="9"/>
      <c r="S3" s="25" t="s">
        <v>10</v>
      </c>
      <c r="T3" s="26"/>
      <c r="U3" s="26"/>
      <c r="V3" s="26"/>
      <c r="W3" s="26"/>
      <c r="X3" s="27"/>
      <c r="Y3" s="25" t="s">
        <v>11</v>
      </c>
      <c r="Z3" s="26"/>
      <c r="AA3" s="26"/>
      <c r="AB3" s="26"/>
      <c r="AC3" s="26"/>
      <c r="AD3" s="27"/>
      <c r="AE3" s="28" t="s">
        <v>12</v>
      </c>
      <c r="AF3" s="29"/>
      <c r="AG3" s="29"/>
      <c r="AH3" s="29"/>
      <c r="AI3" s="30"/>
      <c r="AJ3" s="28" t="s">
        <v>13</v>
      </c>
      <c r="AK3" s="29"/>
      <c r="AL3" s="29"/>
      <c r="AM3" s="30"/>
      <c r="AN3" s="28" t="s">
        <v>14</v>
      </c>
      <c r="AO3" s="30"/>
    </row>
    <row r="4" customHeight="1" spans="1:41">
      <c r="A4" s="31" t="s">
        <v>15</v>
      </c>
      <c r="B4" s="31" t="s">
        <v>16</v>
      </c>
      <c r="C4" s="32" t="s">
        <v>17</v>
      </c>
      <c r="D4" s="33" t="s">
        <v>18</v>
      </c>
      <c r="E4" s="34" t="s">
        <v>19</v>
      </c>
      <c r="F4" s="35" t="s">
        <v>20</v>
      </c>
      <c r="G4" s="35" t="s">
        <v>21</v>
      </c>
      <c r="H4" s="35" t="s">
        <v>22</v>
      </c>
      <c r="I4" s="36" t="s">
        <v>23</v>
      </c>
      <c r="J4" s="37" t="s">
        <v>24</v>
      </c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8" t="s">
        <v>25</v>
      </c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40"/>
    </row>
    <row r="5" ht="13.5" customHeight="1" spans="1:41">
      <c r="A5" s="41"/>
      <c r="B5" s="42"/>
      <c r="C5" s="43"/>
      <c r="D5" s="33"/>
      <c r="E5" s="34"/>
      <c r="F5" s="35"/>
      <c r="G5" s="35"/>
      <c r="H5" s="35"/>
      <c r="I5" s="33"/>
      <c r="J5" s="37" t="s">
        <v>26</v>
      </c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44" t="s">
        <v>27</v>
      </c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</row>
    <row r="6" customHeight="1" spans="1:41">
      <c r="A6" s="41"/>
      <c r="B6" s="42"/>
      <c r="C6" s="45"/>
      <c r="D6" s="33"/>
      <c r="E6" s="34"/>
      <c r="F6" s="35"/>
      <c r="G6" s="35"/>
      <c r="H6" s="35"/>
      <c r="I6" s="33"/>
      <c r="J6" s="46">
        <v>1</v>
      </c>
      <c r="K6" s="46">
        <v>2</v>
      </c>
      <c r="L6" s="46">
        <v>3</v>
      </c>
      <c r="M6" s="46">
        <v>4</v>
      </c>
      <c r="N6" s="46">
        <v>5</v>
      </c>
      <c r="O6" s="46">
        <v>6</v>
      </c>
      <c r="P6" s="46">
        <v>7</v>
      </c>
      <c r="Q6" s="46">
        <v>8</v>
      </c>
      <c r="R6" s="46">
        <v>9</v>
      </c>
      <c r="S6" s="46">
        <v>10</v>
      </c>
      <c r="T6" s="46">
        <v>11</v>
      </c>
      <c r="U6" s="46">
        <v>12</v>
      </c>
      <c r="V6" s="46">
        <v>13</v>
      </c>
      <c r="W6" s="46">
        <v>14</v>
      </c>
      <c r="X6" s="47">
        <v>15</v>
      </c>
      <c r="Y6" s="47">
        <v>16</v>
      </c>
      <c r="Z6" s="48">
        <f t="shared" ref="Z6:AO6" si="0">J6</f>
        <v>1</v>
      </c>
      <c r="AA6" s="48">
        <f t="shared" si="0"/>
        <v>2</v>
      </c>
      <c r="AB6" s="48">
        <f t="shared" si="0"/>
        <v>3</v>
      </c>
      <c r="AC6" s="48">
        <f t="shared" si="0"/>
        <v>4</v>
      </c>
      <c r="AD6" s="48">
        <f t="shared" si="0"/>
        <v>5</v>
      </c>
      <c r="AE6" s="48">
        <f t="shared" si="0"/>
        <v>6</v>
      </c>
      <c r="AF6" s="48">
        <f t="shared" si="0"/>
        <v>7</v>
      </c>
      <c r="AG6" s="48">
        <f t="shared" si="0"/>
        <v>8</v>
      </c>
      <c r="AH6" s="48">
        <f t="shared" si="0"/>
        <v>9</v>
      </c>
      <c r="AI6" s="48">
        <f t="shared" si="0"/>
        <v>10</v>
      </c>
      <c r="AJ6" s="48">
        <f t="shared" si="0"/>
        <v>11</v>
      </c>
      <c r="AK6" s="48">
        <f t="shared" si="0"/>
        <v>12</v>
      </c>
      <c r="AL6" s="48">
        <f t="shared" si="0"/>
        <v>13</v>
      </c>
      <c r="AM6" s="48">
        <f t="shared" si="0"/>
        <v>14</v>
      </c>
      <c r="AN6" s="48">
        <f t="shared" si="0"/>
        <v>15</v>
      </c>
      <c r="AO6" s="48">
        <f t="shared" si="0"/>
        <v>16</v>
      </c>
    </row>
    <row r="7" ht="15" customHeight="1" spans="1:41">
      <c r="A7" s="49">
        <v>46189</v>
      </c>
      <c r="B7" s="50" t="s">
        <v>28</v>
      </c>
      <c r="C7" s="50" t="s">
        <v>29</v>
      </c>
      <c r="D7" s="51">
        <v>6.26</v>
      </c>
      <c r="E7" s="51">
        <v>0.025</v>
      </c>
      <c r="F7" s="51">
        <v>-0.025</v>
      </c>
      <c r="G7" s="52">
        <f t="shared" ref="G7:G13" si="1">D7+E7</f>
        <v>6.285</v>
      </c>
      <c r="H7" s="52">
        <f t="shared" ref="H7:H13" si="2">D7+F7</f>
        <v>6.235</v>
      </c>
      <c r="I7" s="51" t="s">
        <v>30</v>
      </c>
      <c r="J7" s="53">
        <v>6.2469</v>
      </c>
      <c r="K7" s="53">
        <v>6.2696</v>
      </c>
      <c r="L7" s="53">
        <v>6.2678</v>
      </c>
      <c r="M7" s="53">
        <v>6.2768</v>
      </c>
      <c r="N7" s="53">
        <v>6.2672</v>
      </c>
      <c r="O7" s="53">
        <v>6.2848</v>
      </c>
      <c r="P7" s="53">
        <v>6.2767</v>
      </c>
      <c r="Q7" s="53">
        <v>6.2519</v>
      </c>
      <c r="R7" s="53">
        <v>6.2559</v>
      </c>
      <c r="S7" s="53">
        <v>6.2821</v>
      </c>
      <c r="T7" s="53">
        <v>6.2426</v>
      </c>
      <c r="U7" s="53">
        <v>6.2585</v>
      </c>
      <c r="V7" s="53">
        <v>6.2583</v>
      </c>
      <c r="W7" s="53">
        <v>6.2463</v>
      </c>
      <c r="X7" s="53">
        <v>6.2513</v>
      </c>
      <c r="Y7" s="53">
        <v>6.2768</v>
      </c>
      <c r="Z7" s="54" t="str">
        <f t="shared" ref="Z7:Z13" si="3">IF(J7="","",IF(J7&gt;($D7+$E7),(J7-$D7-$E7),IF(J7&lt;($D7+$F7),(J7-$D7-$F7),"√")))</f>
        <v>√</v>
      </c>
      <c r="AA7" s="54" t="str">
        <f t="shared" ref="AA7:AA13" si="4">IF(K7="","",IF(K7&gt;($D7+$E7),(K7-$D7-$E7),IF(K7&lt;($D7+$F7),(K7-$D7-$F7),"√")))</f>
        <v>√</v>
      </c>
      <c r="AB7" s="54" t="str">
        <f t="shared" ref="AB7:AO11" si="5">IF(L7="","",IF(L7&gt;($D7+$E7),(L7-$D7-$E7),IF(L7&lt;($D7+$F7),(L7-$D7-$F7),"√")))</f>
        <v>√</v>
      </c>
      <c r="AC7" s="54" t="str">
        <f t="shared" si="5"/>
        <v>√</v>
      </c>
      <c r="AD7" s="54" t="str">
        <f t="shared" si="5"/>
        <v>√</v>
      </c>
      <c r="AE7" s="54" t="str">
        <f t="shared" si="5"/>
        <v>√</v>
      </c>
      <c r="AF7" s="54" t="str">
        <f t="shared" si="5"/>
        <v>√</v>
      </c>
      <c r="AG7" s="54" t="str">
        <f t="shared" si="5"/>
        <v>√</v>
      </c>
      <c r="AH7" s="54" t="str">
        <f t="shared" si="5"/>
        <v>√</v>
      </c>
      <c r="AI7" s="54" t="str">
        <f t="shared" si="5"/>
        <v>√</v>
      </c>
      <c r="AJ7" s="54" t="str">
        <f t="shared" si="5"/>
        <v>√</v>
      </c>
      <c r="AK7" s="54" t="str">
        <f t="shared" si="5"/>
        <v>√</v>
      </c>
      <c r="AL7" s="54" t="str">
        <f t="shared" si="5"/>
        <v>√</v>
      </c>
      <c r="AM7" s="54" t="str">
        <f t="shared" si="5"/>
        <v>√</v>
      </c>
      <c r="AN7" s="54" t="str">
        <f t="shared" si="5"/>
        <v>√</v>
      </c>
      <c r="AO7" s="54" t="str">
        <f t="shared" si="5"/>
        <v>√</v>
      </c>
    </row>
    <row r="8" ht="15" customHeight="1" spans="1:41">
      <c r="A8" s="55"/>
      <c r="B8" s="50" t="s">
        <v>31</v>
      </c>
      <c r="C8" s="50" t="s">
        <v>32</v>
      </c>
      <c r="D8" s="51">
        <v>2.44</v>
      </c>
      <c r="E8" s="51">
        <v>0.03</v>
      </c>
      <c r="F8" s="51">
        <v>-0.03</v>
      </c>
      <c r="G8" s="52">
        <f t="shared" si="1"/>
        <v>2.47</v>
      </c>
      <c r="H8" s="52">
        <f t="shared" si="2"/>
        <v>2.41</v>
      </c>
      <c r="I8" s="51" t="s">
        <v>30</v>
      </c>
      <c r="J8" s="53">
        <v>2.4339</v>
      </c>
      <c r="K8" s="53">
        <v>2.4339</v>
      </c>
      <c r="L8" s="53">
        <v>2.4328</v>
      </c>
      <c r="M8" s="53">
        <v>2.4406</v>
      </c>
      <c r="N8" s="53">
        <v>2.4311</v>
      </c>
      <c r="O8" s="53">
        <v>2.4369</v>
      </c>
      <c r="P8" s="53">
        <v>2.4329</v>
      </c>
      <c r="Q8" s="53">
        <v>2.4336</v>
      </c>
      <c r="R8" s="53">
        <v>2.4363</v>
      </c>
      <c r="S8" s="53">
        <v>2.4333</v>
      </c>
      <c r="T8" s="53">
        <v>2.4327</v>
      </c>
      <c r="U8" s="53">
        <v>2.4317</v>
      </c>
      <c r="V8" s="53">
        <v>2.4319</v>
      </c>
      <c r="W8" s="53">
        <v>2.4433</v>
      </c>
      <c r="X8" s="53">
        <v>2.4336</v>
      </c>
      <c r="Y8" s="53">
        <v>2.4331</v>
      </c>
      <c r="Z8" s="54" t="str">
        <f t="shared" si="3"/>
        <v>√</v>
      </c>
      <c r="AA8" s="54" t="str">
        <f t="shared" si="4"/>
        <v>√</v>
      </c>
      <c r="AB8" s="54" t="str">
        <f t="shared" ref="AB8:AO8" si="6">IF(L8="","",IF(L8&gt;($D8+$E8),(L8-$D8-$E8),IF(L8&lt;($D8+$F8),(L8-$D8-$F8),"√")))</f>
        <v>√</v>
      </c>
      <c r="AC8" s="54" t="str">
        <f t="shared" si="6"/>
        <v>√</v>
      </c>
      <c r="AD8" s="54" t="str">
        <f t="shared" si="6"/>
        <v>√</v>
      </c>
      <c r="AE8" s="54" t="str">
        <f t="shared" si="6"/>
        <v>√</v>
      </c>
      <c r="AF8" s="54" t="str">
        <f t="shared" si="6"/>
        <v>√</v>
      </c>
      <c r="AG8" s="54" t="str">
        <f t="shared" si="6"/>
        <v>√</v>
      </c>
      <c r="AH8" s="54" t="str">
        <f t="shared" si="6"/>
        <v>√</v>
      </c>
      <c r="AI8" s="54" t="str">
        <f t="shared" si="6"/>
        <v>√</v>
      </c>
      <c r="AJ8" s="54" t="str">
        <f t="shared" si="6"/>
        <v>√</v>
      </c>
      <c r="AK8" s="54" t="str">
        <f t="shared" si="6"/>
        <v>√</v>
      </c>
      <c r="AL8" s="54" t="str">
        <f t="shared" si="6"/>
        <v>√</v>
      </c>
      <c r="AM8" s="54" t="str">
        <f t="shared" si="6"/>
        <v>√</v>
      </c>
      <c r="AN8" s="54" t="str">
        <f t="shared" si="6"/>
        <v>√</v>
      </c>
      <c r="AO8" s="54" t="str">
        <f t="shared" si="6"/>
        <v>√</v>
      </c>
    </row>
    <row r="9" ht="15" customHeight="1" spans="1:41">
      <c r="A9" s="55"/>
      <c r="B9" s="50" t="s">
        <v>33</v>
      </c>
      <c r="C9" s="50" t="s">
        <v>32</v>
      </c>
      <c r="D9" s="51">
        <v>2.44</v>
      </c>
      <c r="E9" s="51">
        <v>0.03</v>
      </c>
      <c r="F9" s="51">
        <v>-0.03</v>
      </c>
      <c r="G9" s="52">
        <f t="shared" si="1"/>
        <v>2.47</v>
      </c>
      <c r="H9" s="52">
        <f t="shared" si="2"/>
        <v>2.41</v>
      </c>
      <c r="I9" s="51" t="s">
        <v>30</v>
      </c>
      <c r="J9" s="53">
        <v>2.4355</v>
      </c>
      <c r="K9" s="53">
        <v>2.4389</v>
      </c>
      <c r="L9" s="53">
        <v>2.4373</v>
      </c>
      <c r="M9" s="53">
        <v>2.4338</v>
      </c>
      <c r="N9" s="53">
        <v>2.4308</v>
      </c>
      <c r="O9" s="53">
        <v>2.4337</v>
      </c>
      <c r="P9" s="53">
        <v>2.4358</v>
      </c>
      <c r="Q9" s="53">
        <v>2.4373</v>
      </c>
      <c r="R9" s="53">
        <v>2.4364</v>
      </c>
      <c r="S9" s="53">
        <v>2.4358</v>
      </c>
      <c r="T9" s="53">
        <v>2.434</v>
      </c>
      <c r="U9" s="53">
        <v>2.4344</v>
      </c>
      <c r="V9" s="53">
        <v>2.4346</v>
      </c>
      <c r="W9" s="53">
        <v>2.4357</v>
      </c>
      <c r="X9" s="53">
        <v>2.4373</v>
      </c>
      <c r="Y9" s="53">
        <v>2.4357</v>
      </c>
      <c r="Z9" s="54" t="str">
        <f t="shared" si="3"/>
        <v>√</v>
      </c>
      <c r="AA9" s="54" t="str">
        <f t="shared" si="4"/>
        <v>√</v>
      </c>
      <c r="AB9" s="54" t="str">
        <f t="shared" ref="AB9:AO9" si="7">IF(L9="","",IF(L9&gt;($D9+$E9),(L9-$D9-$E9),IF(L9&lt;($D9+$F9),(L9-$D9-$F9),"√")))</f>
        <v>√</v>
      </c>
      <c r="AC9" s="54" t="str">
        <f t="shared" si="7"/>
        <v>√</v>
      </c>
      <c r="AD9" s="54" t="str">
        <f t="shared" si="7"/>
        <v>√</v>
      </c>
      <c r="AE9" s="54" t="str">
        <f t="shared" si="7"/>
        <v>√</v>
      </c>
      <c r="AF9" s="54" t="str">
        <f t="shared" si="7"/>
        <v>√</v>
      </c>
      <c r="AG9" s="54" t="str">
        <f t="shared" si="7"/>
        <v>√</v>
      </c>
      <c r="AH9" s="54" t="str">
        <f t="shared" si="7"/>
        <v>√</v>
      </c>
      <c r="AI9" s="54" t="str">
        <f t="shared" si="7"/>
        <v>√</v>
      </c>
      <c r="AJ9" s="54" t="str">
        <f t="shared" si="7"/>
        <v>√</v>
      </c>
      <c r="AK9" s="54" t="str">
        <f t="shared" si="7"/>
        <v>√</v>
      </c>
      <c r="AL9" s="54" t="str">
        <f t="shared" si="7"/>
        <v>√</v>
      </c>
      <c r="AM9" s="54" t="str">
        <f t="shared" si="7"/>
        <v>√</v>
      </c>
      <c r="AN9" s="54" t="str">
        <f t="shared" si="7"/>
        <v>√</v>
      </c>
      <c r="AO9" s="54" t="str">
        <f t="shared" si="7"/>
        <v>√</v>
      </c>
    </row>
    <row r="10" ht="15" customHeight="1" spans="1:41">
      <c r="A10" s="55"/>
      <c r="B10" s="50" t="s">
        <v>34</v>
      </c>
      <c r="C10" s="50"/>
      <c r="D10" s="51">
        <v>0.81</v>
      </c>
      <c r="E10" s="51">
        <v>0.03</v>
      </c>
      <c r="F10" s="51">
        <v>-0.03</v>
      </c>
      <c r="G10" s="52">
        <f t="shared" ref="G10:G11" si="8">D10+E10</f>
        <v>0.84</v>
      </c>
      <c r="H10" s="52">
        <f t="shared" ref="H10:H11" si="9">D10+F10</f>
        <v>0.78</v>
      </c>
      <c r="I10" s="51" t="s">
        <v>30</v>
      </c>
      <c r="J10" s="53">
        <v>0.7971</v>
      </c>
      <c r="K10" s="53">
        <v>0.7961</v>
      </c>
      <c r="L10" s="53">
        <v>0.7924</v>
      </c>
      <c r="M10" s="53">
        <v>0.7975</v>
      </c>
      <c r="N10" s="53">
        <v>0.7897</v>
      </c>
      <c r="O10" s="53">
        <v>0.7963</v>
      </c>
      <c r="P10" s="53">
        <v>0.7977</v>
      </c>
      <c r="Q10" s="53">
        <v>0.7942</v>
      </c>
      <c r="R10" s="53">
        <v>0.7983</v>
      </c>
      <c r="S10" s="53">
        <v>0.7944</v>
      </c>
      <c r="T10" s="53">
        <v>0.7901</v>
      </c>
      <c r="U10" s="53">
        <v>0.7926</v>
      </c>
      <c r="V10" s="53">
        <v>0.7935</v>
      </c>
      <c r="W10" s="53">
        <v>0.7967</v>
      </c>
      <c r="X10" s="53">
        <v>0.7922</v>
      </c>
      <c r="Y10" s="53">
        <v>0.7942</v>
      </c>
      <c r="Z10" s="54" t="str">
        <f t="shared" ref="Z10:Z11" si="10">IF(J10="","",IF(J10&gt;($D10+$E10),(J10-$D10-$E10),IF(J10&lt;($D10+$F10),(J10-$D10-$F10),"√")))</f>
        <v>√</v>
      </c>
      <c r="AA10" s="54" t="str">
        <f t="shared" ref="AA10:AA11" si="11">IF(K10="","",IF(K10&gt;($D10+$E10),(K10-$D10-$E10),IF(K10&lt;($D10+$F10),(K10-$D10-$F10),"√")))</f>
        <v>√</v>
      </c>
      <c r="AB10" s="54" t="str">
        <f t="shared" ref="AB10:AB13" si="12">IF(L10="","",IF(L10&gt;($D10+$E10),(L10-$D10-$E10),IF(L10&lt;($D10+$F10),(L10-$D10-$F10),"√")))</f>
        <v>√</v>
      </c>
      <c r="AC10" s="54" t="str">
        <f t="shared" si="5"/>
        <v>√</v>
      </c>
      <c r="AD10" s="54" t="str">
        <f t="shared" si="5"/>
        <v>√</v>
      </c>
      <c r="AE10" s="54" t="str">
        <f t="shared" si="5"/>
        <v>√</v>
      </c>
      <c r="AF10" s="54" t="str">
        <f t="shared" si="5"/>
        <v>√</v>
      </c>
      <c r="AG10" s="54" t="str">
        <f t="shared" si="5"/>
        <v>√</v>
      </c>
      <c r="AH10" s="54" t="str">
        <f t="shared" si="5"/>
        <v>√</v>
      </c>
      <c r="AI10" s="54" t="str">
        <f t="shared" si="5"/>
        <v>√</v>
      </c>
      <c r="AJ10" s="54" t="str">
        <f t="shared" si="5"/>
        <v>√</v>
      </c>
      <c r="AK10" s="54" t="str">
        <f t="shared" si="5"/>
        <v>√</v>
      </c>
      <c r="AL10" s="54" t="str">
        <f t="shared" si="5"/>
        <v>√</v>
      </c>
      <c r="AM10" s="54" t="str">
        <f t="shared" si="5"/>
        <v>√</v>
      </c>
      <c r="AN10" s="54" t="str">
        <f t="shared" si="5"/>
        <v>√</v>
      </c>
      <c r="AO10" s="54" t="str">
        <f t="shared" si="5"/>
        <v>√</v>
      </c>
    </row>
    <row r="11" ht="15" customHeight="1" spans="1:41">
      <c r="A11" s="55"/>
      <c r="B11" s="50" t="s">
        <v>35</v>
      </c>
      <c r="C11" s="50"/>
      <c r="D11" s="51">
        <v>0.81</v>
      </c>
      <c r="E11" s="51">
        <v>0.03</v>
      </c>
      <c r="F11" s="51">
        <v>-0.03</v>
      </c>
      <c r="G11" s="52">
        <f t="shared" si="8"/>
        <v>0.84</v>
      </c>
      <c r="H11" s="52">
        <f t="shared" si="9"/>
        <v>0.78</v>
      </c>
      <c r="I11" s="51" t="s">
        <v>30</v>
      </c>
      <c r="J11" s="53">
        <v>0.802</v>
      </c>
      <c r="K11" s="53">
        <v>0.7981</v>
      </c>
      <c r="L11" s="53">
        <v>0.7967</v>
      </c>
      <c r="M11" s="53">
        <v>0.7997</v>
      </c>
      <c r="N11" s="53">
        <v>0.8002</v>
      </c>
      <c r="O11" s="53">
        <v>0.7994</v>
      </c>
      <c r="P11" s="53">
        <v>0.8007</v>
      </c>
      <c r="Q11" s="53">
        <v>0.7873</v>
      </c>
      <c r="R11" s="53">
        <v>0.7968</v>
      </c>
      <c r="S11" s="53">
        <v>0.7966</v>
      </c>
      <c r="T11" s="53">
        <v>0.7935</v>
      </c>
      <c r="U11" s="53">
        <v>0.7916</v>
      </c>
      <c r="V11" s="53">
        <v>0.8119</v>
      </c>
      <c r="W11" s="53">
        <v>0.7999</v>
      </c>
      <c r="X11" s="53">
        <v>0.8014</v>
      </c>
      <c r="Y11" s="53">
        <v>0.799</v>
      </c>
      <c r="Z11" s="54" t="str">
        <f t="shared" si="10"/>
        <v>√</v>
      </c>
      <c r="AA11" s="54" t="str">
        <f t="shared" si="11"/>
        <v>√</v>
      </c>
      <c r="AB11" s="54" t="str">
        <f t="shared" si="12"/>
        <v>√</v>
      </c>
      <c r="AC11" s="54" t="str">
        <f t="shared" si="5"/>
        <v>√</v>
      </c>
      <c r="AD11" s="54" t="str">
        <f t="shared" si="5"/>
        <v>√</v>
      </c>
      <c r="AE11" s="54" t="str">
        <f t="shared" si="5"/>
        <v>√</v>
      </c>
      <c r="AF11" s="54" t="str">
        <f t="shared" si="5"/>
        <v>√</v>
      </c>
      <c r="AG11" s="54" t="str">
        <f t="shared" si="5"/>
        <v>√</v>
      </c>
      <c r="AH11" s="54" t="str">
        <f t="shared" si="5"/>
        <v>√</v>
      </c>
      <c r="AI11" s="54" t="str">
        <f t="shared" si="5"/>
        <v>√</v>
      </c>
      <c r="AJ11" s="54" t="str">
        <f t="shared" si="5"/>
        <v>√</v>
      </c>
      <c r="AK11" s="54" t="str">
        <f t="shared" si="5"/>
        <v>√</v>
      </c>
      <c r="AL11" s="54" t="str">
        <f t="shared" si="5"/>
        <v>√</v>
      </c>
      <c r="AM11" s="54" t="str">
        <f t="shared" si="5"/>
        <v>√</v>
      </c>
      <c r="AN11" s="54" t="str">
        <f t="shared" si="5"/>
        <v>√</v>
      </c>
      <c r="AO11" s="54" t="str">
        <f t="shared" si="5"/>
        <v>√</v>
      </c>
    </row>
    <row r="12" ht="15" customHeight="1" spans="1:41">
      <c r="A12" s="55"/>
      <c r="B12" s="50" t="s">
        <v>36</v>
      </c>
      <c r="C12" s="50"/>
      <c r="D12" s="51">
        <v>2.03</v>
      </c>
      <c r="E12" s="51">
        <v>0.05</v>
      </c>
      <c r="F12" s="51">
        <v>-0.05</v>
      </c>
      <c r="G12" s="52">
        <f t="shared" si="1"/>
        <v>2.08</v>
      </c>
      <c r="H12" s="52">
        <f t="shared" si="2"/>
        <v>1.98</v>
      </c>
      <c r="I12" s="51" t="s">
        <v>30</v>
      </c>
      <c r="J12" s="53">
        <v>2.0167</v>
      </c>
      <c r="K12" s="53">
        <v>2.0181</v>
      </c>
      <c r="L12" s="53">
        <v>2.0362</v>
      </c>
      <c r="M12" s="53">
        <v>2.0109</v>
      </c>
      <c r="N12" s="53">
        <v>2.0062</v>
      </c>
      <c r="O12" s="53">
        <v>2.0312</v>
      </c>
      <c r="P12" s="53">
        <v>1.9965</v>
      </c>
      <c r="Q12" s="53">
        <v>2.0044</v>
      </c>
      <c r="R12" s="53">
        <v>2.0119</v>
      </c>
      <c r="S12" s="53">
        <v>2.0125</v>
      </c>
      <c r="T12" s="53">
        <v>2.0309</v>
      </c>
      <c r="U12" s="53">
        <v>2.0065</v>
      </c>
      <c r="V12" s="53">
        <v>2.0372</v>
      </c>
      <c r="W12" s="53">
        <v>2.0089</v>
      </c>
      <c r="X12" s="53">
        <v>2.0097</v>
      </c>
      <c r="Y12" s="53">
        <v>2.0148</v>
      </c>
      <c r="Z12" s="54" t="str">
        <f t="shared" si="3"/>
        <v>√</v>
      </c>
      <c r="AA12" s="54" t="str">
        <f t="shared" si="4"/>
        <v>√</v>
      </c>
      <c r="AB12" s="54" t="str">
        <f t="shared" si="12"/>
        <v>√</v>
      </c>
      <c r="AC12" s="54" t="str">
        <f t="shared" ref="AC12:AO12" si="13">IF(M12="","",IF(M12&gt;($D12+$E12),(M12-$D12-$E12),IF(M12&lt;($D12+$F12),(M12-$D12-$F12),"√")))</f>
        <v>√</v>
      </c>
      <c r="AD12" s="54" t="str">
        <f t="shared" si="13"/>
        <v>√</v>
      </c>
      <c r="AE12" s="54" t="str">
        <f t="shared" si="13"/>
        <v>√</v>
      </c>
      <c r="AF12" s="54" t="str">
        <f t="shared" si="13"/>
        <v>√</v>
      </c>
      <c r="AG12" s="54" t="str">
        <f t="shared" si="13"/>
        <v>√</v>
      </c>
      <c r="AH12" s="54" t="str">
        <f t="shared" si="13"/>
        <v>√</v>
      </c>
      <c r="AI12" s="54" t="str">
        <f t="shared" si="13"/>
        <v>√</v>
      </c>
      <c r="AJ12" s="54" t="str">
        <f t="shared" si="13"/>
        <v>√</v>
      </c>
      <c r="AK12" s="54" t="str">
        <f t="shared" si="13"/>
        <v>√</v>
      </c>
      <c r="AL12" s="54" t="str">
        <f t="shared" si="13"/>
        <v>√</v>
      </c>
      <c r="AM12" s="54" t="str">
        <f t="shared" si="13"/>
        <v>√</v>
      </c>
      <c r="AN12" s="54" t="str">
        <f t="shared" si="13"/>
        <v>√</v>
      </c>
      <c r="AO12" s="54" t="str">
        <f t="shared" si="13"/>
        <v>√</v>
      </c>
    </row>
    <row r="13" ht="15" customHeight="1" spans="1:41">
      <c r="A13" s="56"/>
      <c r="B13" s="50" t="s">
        <v>37</v>
      </c>
      <c r="C13" s="50"/>
      <c r="D13" s="51">
        <v>2.03</v>
      </c>
      <c r="E13" s="51">
        <v>0.05</v>
      </c>
      <c r="F13" s="51">
        <v>-0.05</v>
      </c>
      <c r="G13" s="52">
        <f t="shared" si="1"/>
        <v>2.08</v>
      </c>
      <c r="H13" s="52">
        <f t="shared" si="2"/>
        <v>1.98</v>
      </c>
      <c r="I13" s="51" t="s">
        <v>30</v>
      </c>
      <c r="J13" s="53">
        <v>2.0214</v>
      </c>
      <c r="K13" s="53">
        <v>2.024</v>
      </c>
      <c r="L13" s="53">
        <v>2.0289</v>
      </c>
      <c r="M13" s="53">
        <v>2.0143</v>
      </c>
      <c r="N13" s="53">
        <v>1.9936</v>
      </c>
      <c r="O13" s="53">
        <v>2.0349</v>
      </c>
      <c r="P13" s="53">
        <v>1.9937</v>
      </c>
      <c r="Q13" s="53">
        <v>2.0185</v>
      </c>
      <c r="R13" s="53">
        <v>2.0177</v>
      </c>
      <c r="S13" s="53">
        <v>2.0191</v>
      </c>
      <c r="T13" s="53">
        <v>2.0292</v>
      </c>
      <c r="U13" s="53">
        <v>2.0097</v>
      </c>
      <c r="V13" s="53">
        <v>2.0461</v>
      </c>
      <c r="W13" s="53">
        <v>2.0054</v>
      </c>
      <c r="X13" s="53">
        <v>2.0081</v>
      </c>
      <c r="Y13" s="53">
        <v>2.0112</v>
      </c>
      <c r="Z13" s="54" t="str">
        <f t="shared" si="3"/>
        <v>√</v>
      </c>
      <c r="AA13" s="54" t="str">
        <f t="shared" si="4"/>
        <v>√</v>
      </c>
      <c r="AB13" s="54" t="str">
        <f t="shared" si="12"/>
        <v>√</v>
      </c>
      <c r="AC13" s="54" t="str">
        <f t="shared" ref="AC13:AO13" si="14">IF(M13="","",IF(M13&gt;($D13+$E13),(M13-$D13-$E13),IF(M13&lt;($D13+$F13),(M13-$D13-$F13),"√")))</f>
        <v>√</v>
      </c>
      <c r="AD13" s="54" t="str">
        <f t="shared" si="14"/>
        <v>√</v>
      </c>
      <c r="AE13" s="54" t="str">
        <f t="shared" si="14"/>
        <v>√</v>
      </c>
      <c r="AF13" s="54" t="str">
        <f t="shared" si="14"/>
        <v>√</v>
      </c>
      <c r="AG13" s="54" t="str">
        <f t="shared" si="14"/>
        <v>√</v>
      </c>
      <c r="AH13" s="54" t="str">
        <f t="shared" si="14"/>
        <v>√</v>
      </c>
      <c r="AI13" s="54" t="str">
        <f t="shared" si="14"/>
        <v>√</v>
      </c>
      <c r="AJ13" s="54" t="str">
        <f t="shared" si="14"/>
        <v>√</v>
      </c>
      <c r="AK13" s="54" t="str">
        <f t="shared" si="14"/>
        <v>√</v>
      </c>
      <c r="AL13" s="54" t="str">
        <f t="shared" si="14"/>
        <v>√</v>
      </c>
      <c r="AM13" s="54" t="str">
        <f t="shared" si="14"/>
        <v>√</v>
      </c>
      <c r="AN13" s="54" t="str">
        <f t="shared" si="14"/>
        <v>√</v>
      </c>
      <c r="AO13" s="54" t="str">
        <f t="shared" si="14"/>
        <v>√</v>
      </c>
    </row>
  </sheetData>
  <mergeCells count="29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A2:A3"/>
    <mergeCell ref="A4:A6"/>
    <mergeCell ref="A7:A13"/>
    <mergeCell ref="B4:B6"/>
    <mergeCell ref="C4:C6"/>
    <mergeCell ref="D4:D6"/>
    <mergeCell ref="E4:E6"/>
    <mergeCell ref="F4:F6"/>
    <mergeCell ref="G4:G6"/>
    <mergeCell ref="H4:H6"/>
    <mergeCell ref="I4:I6"/>
    <mergeCell ref="B2:G3"/>
    <mergeCell ref="H2:K3"/>
    <mergeCell ref="L2:R3"/>
  </mergeCells>
  <conditionalFormatting sqref="J12:Y13 J7:Y9">
    <cfRule type="cellIs" dxfId="0" priority="18" operator="notBetween">
      <formula>$G7</formula>
      <formula>$H7</formula>
    </cfRule>
  </conditionalFormatting>
  <conditionalFormatting sqref="J10:Y11">
    <cfRule type="cellIs" dxfId="0" priority="1" operator="notBetween">
      <formula>$G10</formula>
      <formula>$H10</formula>
    </cfRule>
  </conditionalFormatting>
  <printOptions horizontalCentered="1"/>
  <pageMargins left="0.16" right="0" top="0.39" bottom="0.2" header="0" footer="0.12"/>
  <pageSetup paperSize="9" scale="51" orientation="portrait"/>
  <headerFooter alignWithMargins="0"/>
  <ignoredErrors>
    <ignoredError sqref="Z7:AO7 Z12:AO13" emptyCellReference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806-64563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2026-06-15T16:59:16Z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