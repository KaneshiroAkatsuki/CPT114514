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290"/>
  </bookViews>
  <sheets>
    <sheet name="806-63452" sheetId="8" r:id="rId1"/>
  </sheets>
  <definedNames>
    <definedName name="_xlnm.Print_Area" localSheetId="0">'806-63452'!$B$1:$AE$7</definedName>
    <definedName name="_xlnm.Print_Titles" localSheetId="0">'806-63452'!$1:$7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<sst xmlns="http://schemas.openxmlformats.org/spreadsheetml/2006/main" count="118" uniqueCount="79">
  <si>
    <t>安徽中耀智能科技有限公司首件尺寸报告</t>
  </si>
  <si>
    <t>料号</t>
  </si>
  <si>
    <t>806-63452</t>
  </si>
  <si>
    <t>工单号</t>
  </si>
  <si>
    <t>WW132-260601061</t>
  </si>
  <si>
    <t>工站</t>
  </si>
  <si>
    <t>烧结炉号</t>
  </si>
  <si>
    <t>量测机台号</t>
  </si>
  <si>
    <t>测量人员</t>
  </si>
  <si>
    <t>审核</t>
  </si>
  <si>
    <t>烧结</t>
  </si>
  <si>
    <t>DC03</t>
  </si>
  <si>
    <t>CMM6#/OMM5#</t>
  </si>
  <si>
    <t>吴嘉庆/禹欣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</si>
  <si>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</si>
  <si>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</si>
  <si>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</si>
  <si>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</si>
  <si>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</si>
  <si>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</si>
  <si>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</si>
  <si>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</si>
  <si>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</si>
  <si>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</si>
  <si>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</si>
  <si>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</si>
  <si>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</si>
  <si>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</si>
  <si>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FAI24_1</t>
  </si>
  <si>
    <t>CK</t>
  </si>
  <si>
    <t>OMM</t>
  </si>
  <si>
    <t>FAI24_2</t>
  </si>
  <si>
    <t>FAI28_1</t>
  </si>
  <si>
    <t>FAI28_2</t>
  </si>
  <si>
    <t>FAI1</t>
  </si>
  <si>
    <t>CMM</t>
  </si>
  <si>
    <t>FAI37</t>
  </si>
  <si>
    <t>CM</t>
  </si>
  <si>
    <t>FAI54</t>
  </si>
  <si>
    <t>CT</t>
  </si>
  <si>
    <t>FAI55</t>
  </si>
  <si>
    <t>CU</t>
  </si>
  <si>
    <t>FAI25_1X</t>
  </si>
  <si>
    <t>FAI25_1Z</t>
  </si>
  <si>
    <t>FAI25_1</t>
  </si>
  <si>
    <t>CL</t>
  </si>
  <si>
    <t>FAI25_2X</t>
  </si>
  <si>
    <t>FAI25_2Z</t>
  </si>
  <si>
    <t>FAI25_2</t>
  </si>
  <si>
    <t>FAI29</t>
  </si>
  <si>
    <t>CJ</t>
  </si>
  <si>
    <t>FAI29_1</t>
  </si>
  <si>
    <t>FAI29_2</t>
  </si>
  <si>
    <t>FAI29_3</t>
  </si>
  <si>
    <t>FAI29_4</t>
  </si>
  <si>
    <t>FAI29_5</t>
  </si>
  <si>
    <t>FAI29_6</t>
  </si>
  <si>
    <t>FAI29_7</t>
  </si>
  <si>
    <t>FAI29_8</t>
  </si>
  <si>
    <t>FAI47</t>
  </si>
  <si>
    <t>CP</t>
  </si>
  <si>
    <t>FAI47_1</t>
  </si>
  <si>
    <t>FAI47_2</t>
  </si>
  <si>
    <t>FAI47_3</t>
  </si>
  <si>
    <t>FAI48</t>
  </si>
  <si>
    <t>CQ</t>
  </si>
  <si>
    <t>FAI48_1</t>
  </si>
  <si>
    <t>FAI48_2</t>
  </si>
  <si>
    <t>FAI48_3</t>
  </si>
  <si>
    <t>FAI49</t>
  </si>
  <si>
    <t>CR</t>
  </si>
  <si>
    <t>FAI49_1</t>
  </si>
  <si>
    <t>FAI49_2</t>
  </si>
  <si>
    <t>FAI49_3</t>
  </si>
  <si>
    <t>FAI50</t>
  </si>
  <si>
    <t>CS</t>
  </si>
  <si>
    <t>FAI50_1</t>
  </si>
  <si>
    <t>FAI50_2</t>
  </si>
  <si>
    <t>FAI50_3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</si>
</sst>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  <numFmt numFmtId="178" formatCode="yyyy/m/d;@"/>
  </numFmts>
  <fonts count="33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070223090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17" applyNumberFormat="0" applyAlignment="0" applyProtection="0">
      <alignment vertical="center"/>
    </xf>
    <xf numFmtId="0" fontId="21" fillId="7" borderId="18" applyNumberFormat="0" applyAlignment="0" applyProtection="0">
      <alignment vertical="center"/>
    </xf>
    <xf numFmtId="0" fontId="22" fillId="7" borderId="17" applyNumberFormat="0" applyAlignment="0" applyProtection="0">
      <alignment vertical="center"/>
    </xf>
    <xf numFmtId="0" fontId="23" fillId="8" borderId="19" applyNumberFormat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</cellStyleXfs>
  <cellXfs count="62">
    <xf numFmtId="0" fontId="0" fillId="0" borderId="0" xfId="0">
      <alignment vertical="center"/>
    </xf>
    <xf numFmtId="0" fontId="0" fillId="0" borderId="0" xfId="0" applyFont="1" applyFill="1" applyBorder="1" applyAlignment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6" fillId="2" borderId="11" xfId="60" applyFont="1" applyFill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6" fillId="2" borderId="2" xfId="60" applyFont="1" applyFill="1" applyBorder="1" applyAlignment="1" applyProtection="1">
      <alignment horizontal="center" vertical="center"/>
      <protection locked="0"/>
    </xf>
    <xf numFmtId="0" fontId="6" fillId="2" borderId="3" xfId="60" applyFont="1" applyFill="1" applyBorder="1" applyAlignment="1" applyProtection="1">
      <alignment horizontal="center" vertical="center"/>
      <protection locked="0"/>
    </xf>
    <xf numFmtId="0" fontId="6" fillId="2" borderId="4" xfId="60" applyFont="1" applyFill="1" applyBorder="1" applyAlignment="1" applyProtection="1">
      <alignment horizontal="center" vertical="center"/>
      <protection locked="0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8" fillId="3" borderId="1" xfId="60" applyFont="1" applyFill="1" applyBorder="1" applyAlignment="1">
      <alignment horizontal="center" vertical="center"/>
    </xf>
    <xf numFmtId="178" fontId="7" fillId="0" borderId="12" xfId="60" applyNumberFormat="1" applyFont="1" applyBorder="1" applyAlignment="1" applyProtection="1">
      <alignment horizontal="center" vertical="center" wrapText="1"/>
      <protection locked="0"/>
    </xf>
    <xf numFmtId="0" fontId="9" fillId="0" borderId="7" xfId="53" applyFont="1" applyFill="1" applyBorder="1" applyAlignment="1">
      <alignment horizontal="center" vertical="center"/>
    </xf>
    <xf numFmtId="0" fontId="10" fillId="0" borderId="1" xfId="59" applyFont="1" applyBorder="1" applyAlignment="1">
      <alignment horizontal="center" vertical="center"/>
    </xf>
    <xf numFmtId="177" fontId="9" fillId="2" borderId="1" xfId="61" applyNumberFormat="1" applyFont="1" applyFill="1" applyBorder="1" applyAlignment="1">
      <alignment horizontal="center" vertical="center"/>
    </xf>
    <xf numFmtId="0" fontId="11" fillId="3" borderId="1" xfId="60" applyFont="1" applyFill="1" applyBorder="1" applyAlignment="1">
      <alignment horizontal="center" vertical="center"/>
    </xf>
    <xf numFmtId="0" fontId="9" fillId="4" borderId="7" xfId="53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576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7"/>
  <sheetViews>
    <sheetView tabSelected="1" topLeftCell="R1" workbookViewId="0">
      <selection activeCell="AJ3" sqref="AJ3:AM3"/>
    </sheetView>
  </sheetViews>
  <sheetFormatPr defaultColWidth="9" defaultRowHeight="14.25"/>
  <cols>
    <col min="1" max="41" width="9.275" customWidth="1"/>
  </cols>
  <sheetData>
    <row r="1" ht="70.5" customHeight="1" spans="1:4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15" customHeight="1" spans="1:41">
      <c r="A2" s="3" t="s">
        <v>1</v>
      </c>
      <c r="B2" s="4" t="s">
        <v>2</v>
      </c>
      <c r="C2" s="5"/>
      <c r="D2" s="5"/>
      <c r="E2" s="5"/>
      <c r="F2" s="5"/>
      <c r="G2" s="6"/>
      <c r="H2" s="7" t="s">
        <v>3</v>
      </c>
      <c r="I2" s="8"/>
      <c r="J2" s="8"/>
      <c r="K2" s="9"/>
      <c r="L2" s="10" t="s">
        <v>4</v>
      </c>
      <c r="M2" s="10"/>
      <c r="N2" s="10"/>
      <c r="O2" s="10"/>
      <c r="P2" s="10"/>
      <c r="Q2" s="10"/>
      <c r="R2" s="10"/>
      <c r="S2" s="11" t="s">
        <v>5</v>
      </c>
      <c r="T2" s="12"/>
      <c r="U2" s="12"/>
      <c r="V2" s="12"/>
      <c r="W2" s="12"/>
      <c r="X2" s="13"/>
      <c r="Y2" s="14" t="s">
        <v>6</v>
      </c>
      <c r="Z2" s="15"/>
      <c r="AA2" s="15"/>
      <c r="AB2" s="15"/>
      <c r="AC2" s="15"/>
      <c r="AD2" s="16"/>
      <c r="AE2" s="14" t="s">
        <v>7</v>
      </c>
      <c r="AF2" s="15"/>
      <c r="AG2" s="15"/>
      <c r="AH2" s="15"/>
      <c r="AI2" s="16"/>
      <c r="AJ2" s="17" t="s">
        <v>8</v>
      </c>
      <c r="AK2" s="18"/>
      <c r="AL2" s="18"/>
      <c r="AM2" s="19"/>
      <c r="AN2" s="17" t="s">
        <v>9</v>
      </c>
      <c r="AO2" s="19"/>
    </row>
    <row r="3" ht="15" customHeight="1" spans="1:41">
      <c r="A3" s="3"/>
      <c r="B3" s="20"/>
      <c r="C3" s="21"/>
      <c r="D3" s="21"/>
      <c r="E3" s="21"/>
      <c r="F3" s="21"/>
      <c r="G3" s="22"/>
      <c r="H3" s="23"/>
      <c r="I3" s="24"/>
      <c r="J3" s="24"/>
      <c r="K3" s="25"/>
      <c r="L3" s="10"/>
      <c r="M3" s="10"/>
      <c r="N3" s="10"/>
      <c r="O3" s="10"/>
      <c r="P3" s="10"/>
      <c r="Q3" s="10"/>
      <c r="R3" s="10"/>
      <c r="S3" s="26" t="s">
        <v>10</v>
      </c>
      <c r="T3" s="27"/>
      <c r="U3" s="27"/>
      <c r="V3" s="27"/>
      <c r="W3" s="27"/>
      <c r="X3" s="28"/>
      <c r="Y3" s="14" t="s">
        <v>11</v>
      </c>
      <c r="Z3" s="15"/>
      <c r="AA3" s="15"/>
      <c r="AB3" s="15"/>
      <c r="AC3" s="15"/>
      <c r="AD3" s="16"/>
      <c r="AE3" s="29" t="s">
        <v>12</v>
      </c>
      <c r="AF3" s="30"/>
      <c r="AG3" s="30"/>
      <c r="AH3" s="30"/>
      <c r="AI3" s="31"/>
      <c r="AJ3" s="29" t="s">
        <v>13</v>
      </c>
      <c r="AK3" s="30"/>
      <c r="AL3" s="30"/>
      <c r="AM3" s="31"/>
      <c r="AN3" s="29" t="s">
        <v>14</v>
      </c>
      <c r="AO3" s="31"/>
    </row>
    <row r="4" customHeight="1" spans="1:41">
      <c r="A4" s="32" t="s">
        <v>15</v>
      </c>
      <c r="B4" s="32" t="s">
        <v>16</v>
      </c>
      <c r="C4" s="33" t="s">
        <v>17</v>
      </c>
      <c r="D4" s="34" t="s">
        <v>18</v>
      </c>
      <c r="E4" s="35" t="s">
        <v>19</v>
      </c>
      <c r="F4" s="36" t="s">
        <v>20</v>
      </c>
      <c r="G4" s="36" t="s">
        <v>21</v>
      </c>
      <c r="H4" s="36" t="s">
        <v>22</v>
      </c>
      <c r="I4" s="37" t="s">
        <v>23</v>
      </c>
      <c r="J4" s="38" t="s">
        <v>24</v>
      </c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9" t="s">
        <v>25</v>
      </c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1"/>
    </row>
    <row r="5" ht="13.5" customHeight="1" spans="1:41">
      <c r="A5" s="42"/>
      <c r="B5" s="43"/>
      <c r="C5" s="44"/>
      <c r="D5" s="34"/>
      <c r="E5" s="35"/>
      <c r="F5" s="36"/>
      <c r="G5" s="36"/>
      <c r="H5" s="36"/>
      <c r="I5" s="34"/>
      <c r="J5" s="45" t="s">
        <v>26</v>
      </c>
      <c r="K5" s="45"/>
      <c r="L5" s="45"/>
      <c r="M5" s="45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46" t="s">
        <v>27</v>
      </c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</row>
    <row r="6" ht="13.5" customHeight="1" spans="1:41">
      <c r="A6" s="42"/>
      <c r="B6" s="43"/>
      <c r="C6" s="44"/>
      <c r="D6" s="34"/>
      <c r="E6" s="35"/>
      <c r="F6" s="36"/>
      <c r="G6" s="36"/>
      <c r="H6" s="36"/>
      <c r="I6" s="34"/>
      <c r="J6" s="47"/>
      <c r="K6" s="47"/>
      <c r="L6" s="47"/>
      <c r="M6" s="47"/>
      <c r="N6" s="38"/>
      <c r="O6" s="38"/>
      <c r="P6" s="48"/>
      <c r="Q6" s="49"/>
      <c r="R6" s="50"/>
      <c r="S6" s="38"/>
      <c r="T6" s="38"/>
      <c r="U6" s="38"/>
      <c r="V6" s="38"/>
      <c r="W6" s="38"/>
      <c r="X6" s="38"/>
      <c r="Y6" s="38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</row>
    <row r="7" customHeight="1" spans="1:41">
      <c r="A7" s="42"/>
      <c r="B7" s="43"/>
      <c r="C7" s="51"/>
      <c r="D7" s="34"/>
      <c r="E7" s="35"/>
      <c r="F7" s="36"/>
      <c r="G7" s="36"/>
      <c r="H7" s="36"/>
      <c r="I7" s="34"/>
      <c r="J7" s="47">
        <v>1</v>
      </c>
      <c r="K7" s="47">
        <v>2</v>
      </c>
      <c r="L7" s="47">
        <v>3</v>
      </c>
      <c r="M7" s="47">
        <v>4</v>
      </c>
      <c r="N7" s="47">
        <v>5</v>
      </c>
      <c r="O7" s="47">
        <v>6</v>
      </c>
      <c r="P7" s="47">
        <v>7</v>
      </c>
      <c r="Q7" s="47">
        <v>8</v>
      </c>
      <c r="R7" s="47">
        <v>9</v>
      </c>
      <c r="S7" s="47">
        <v>10</v>
      </c>
      <c r="T7" s="47">
        <v>11</v>
      </c>
      <c r="U7" s="47">
        <v>12</v>
      </c>
      <c r="V7" s="47">
        <v>13</v>
      </c>
      <c r="W7" s="38">
        <v>14</v>
      </c>
      <c r="X7" s="47">
        <v>15</v>
      </c>
      <c r="Y7" s="47">
        <v>16</v>
      </c>
      <c r="Z7" s="52">
        <f t="shared" ref="Z7:AO7" si="0">J7</f>
        <v>1</v>
      </c>
      <c r="AA7" s="52">
        <f t="shared" si="0"/>
        <v>2</v>
      </c>
      <c r="AB7" s="52">
        <f t="shared" si="0"/>
        <v>3</v>
      </c>
      <c r="AC7" s="52">
        <f t="shared" si="0"/>
        <v>4</v>
      </c>
      <c r="AD7" s="52">
        <f t="shared" si="0"/>
        <v>5</v>
      </c>
      <c r="AE7" s="52">
        <f t="shared" si="0"/>
        <v>6</v>
      </c>
      <c r="AF7" s="52">
        <f t="shared" si="0"/>
        <v>7</v>
      </c>
      <c r="AG7" s="52">
        <f t="shared" si="0"/>
        <v>8</v>
      </c>
      <c r="AH7" s="52">
        <f t="shared" si="0"/>
        <v>9</v>
      </c>
      <c r="AI7" s="52">
        <f t="shared" si="0"/>
        <v>10</v>
      </c>
      <c r="AJ7" s="52">
        <f t="shared" si="0"/>
        <v>11</v>
      </c>
      <c r="AK7" s="52">
        <f t="shared" si="0"/>
        <v>12</v>
      </c>
      <c r="AL7" s="52">
        <f t="shared" si="0"/>
        <v>13</v>
      </c>
      <c r="AM7" s="52">
        <f t="shared" si="0"/>
        <v>14</v>
      </c>
      <c r="AN7" s="52">
        <f t="shared" si="0"/>
        <v>15</v>
      </c>
      <c r="AO7" s="52">
        <f t="shared" si="0"/>
        <v>16</v>
      </c>
    </row>
    <row r="8" ht="15" customHeight="1" spans="1:41">
      <c r="A8" s="53">
        <v>46188</v>
      </c>
      <c r="B8" s="54" t="s">
        <v>28</v>
      </c>
      <c r="C8" s="54" t="s">
        <v>29</v>
      </c>
      <c r="D8" s="55">
        <v>1.32</v>
      </c>
      <c r="E8" s="55">
        <v>0.03</v>
      </c>
      <c r="F8" s="55">
        <v>-0.03</v>
      </c>
      <c r="G8" s="55">
        <f t="shared" ref="G8:G13" si="1">D8+E8</f>
        <v>1.35</v>
      </c>
      <c r="H8" s="55">
        <f t="shared" ref="H8:H13" si="2">D8+F8</f>
        <v>1.29</v>
      </c>
      <c r="I8" s="55" t="s">
        <v>30</v>
      </c>
      <c r="J8" s="56">
        <v>1.2911</v>
      </c>
      <c r="K8" s="56">
        <v>1.2932</v>
      </c>
      <c r="L8" s="56">
        <v>1.2932</v>
      </c>
      <c r="M8" s="56">
        <v>1.2948</v>
      </c>
      <c r="N8" s="56">
        <v>1.2916</v>
      </c>
      <c r="O8" s="56">
        <v>1.2954</v>
      </c>
      <c r="P8" s="56">
        <v>1.2915</v>
      </c>
      <c r="Q8" s="56">
        <v>1.2993</v>
      </c>
      <c r="R8" s="56">
        <v>1.2943</v>
      </c>
      <c r="S8" s="56">
        <v>1.3012</v>
      </c>
      <c r="T8" s="56"/>
      <c r="U8" s="56"/>
      <c r="V8" s="56"/>
      <c r="W8" s="56"/>
      <c r="X8" s="56"/>
      <c r="Y8" s="56"/>
      <c r="Z8" s="57" t="str">
        <f t="shared" ref="Z8:AO8" si="3">IF(J8="","",IF(J8&gt;($D8+$E8),(J8-$D8-$E8),IF(J8&lt;($D8+$F8),(J8-$D8-$F8),"√")))</f>
        <v>√</v>
      </c>
      <c r="AA8" s="57" t="str">
        <f t="shared" si="3"/>
        <v>√</v>
      </c>
      <c r="AB8" s="57" t="str">
        <f t="shared" si="3"/>
        <v>√</v>
      </c>
      <c r="AC8" s="57" t="str">
        <f t="shared" si="3"/>
        <v>√</v>
      </c>
      <c r="AD8" s="57" t="str">
        <f t="shared" si="3"/>
        <v>√</v>
      </c>
      <c r="AE8" s="57" t="str">
        <f t="shared" si="3"/>
        <v>√</v>
      </c>
      <c r="AF8" s="57" t="str">
        <f t="shared" si="3"/>
        <v>√</v>
      </c>
      <c r="AG8" s="57" t="str">
        <f t="shared" si="3"/>
        <v>√</v>
      </c>
      <c r="AH8" s="57" t="str">
        <f t="shared" si="3"/>
        <v>√</v>
      </c>
      <c r="AI8" s="57" t="str">
        <f t="shared" si="3"/>
        <v>√</v>
      </c>
      <c r="AJ8" s="57" t="str">
        <f t="shared" si="3"/>
        <v/>
      </c>
      <c r="AK8" s="57" t="str">
        <f t="shared" si="3"/>
        <v/>
      </c>
      <c r="AL8" s="57" t="str">
        <f t="shared" si="3"/>
        <v/>
      </c>
      <c r="AM8" s="57" t="str">
        <f t="shared" si="3"/>
        <v/>
      </c>
      <c r="AN8" s="57" t="str">
        <f t="shared" si="3"/>
        <v/>
      </c>
      <c r="AO8" s="57" t="str">
        <f t="shared" si="3"/>
        <v/>
      </c>
    </row>
    <row r="9" ht="15" customHeight="1" spans="1:41">
      <c r="A9" s="53"/>
      <c r="B9" s="54" t="s">
        <v>31</v>
      </c>
      <c r="C9" s="54" t="s">
        <v>29</v>
      </c>
      <c r="D9" s="55">
        <v>1.32</v>
      </c>
      <c r="E9" s="55">
        <v>0.03</v>
      </c>
      <c r="F9" s="55">
        <v>-0.03</v>
      </c>
      <c r="G9" s="55">
        <f t="shared" si="1"/>
        <v>1.35</v>
      </c>
      <c r="H9" s="55">
        <f t="shared" si="2"/>
        <v>1.29</v>
      </c>
      <c r="I9" s="55" t="s">
        <v>30</v>
      </c>
      <c r="J9" s="56">
        <v>1.2986</v>
      </c>
      <c r="K9" s="56">
        <v>1.3039</v>
      </c>
      <c r="L9" s="56">
        <v>1.3091</v>
      </c>
      <c r="M9" s="56">
        <v>1.3028</v>
      </c>
      <c r="N9" s="56">
        <v>1.3004</v>
      </c>
      <c r="O9" s="56">
        <v>1.3002</v>
      </c>
      <c r="P9" s="56">
        <v>1.2973</v>
      </c>
      <c r="Q9" s="56">
        <v>1.3064</v>
      </c>
      <c r="R9" s="56">
        <v>1.3038</v>
      </c>
      <c r="S9" s="56">
        <v>1.3081</v>
      </c>
      <c r="T9" s="56"/>
      <c r="U9" s="56"/>
      <c r="V9" s="56"/>
      <c r="W9" s="56"/>
      <c r="X9" s="56"/>
      <c r="Y9" s="56"/>
      <c r="Z9" s="57" t="str">
        <f t="shared" ref="Z9:AO9" si="4">IF(J9="","",IF(J9&gt;($D9+$E9),(J9-$D9-$E9),IF(J9&lt;($D9+$F9),(J9-$D9-$F9),"√")))</f>
        <v>√</v>
      </c>
      <c r="AA9" s="57" t="str">
        <f t="shared" si="4"/>
        <v>√</v>
      </c>
      <c r="AB9" s="57" t="str">
        <f t="shared" si="4"/>
        <v>√</v>
      </c>
      <c r="AC9" s="57" t="str">
        <f t="shared" si="4"/>
        <v>√</v>
      </c>
      <c r="AD9" s="57" t="str">
        <f t="shared" si="4"/>
        <v>√</v>
      </c>
      <c r="AE9" s="57" t="str">
        <f t="shared" si="4"/>
        <v>√</v>
      </c>
      <c r="AF9" s="57" t="str">
        <f t="shared" si="4"/>
        <v>√</v>
      </c>
      <c r="AG9" s="57" t="str">
        <f t="shared" si="4"/>
        <v>√</v>
      </c>
      <c r="AH9" s="57" t="str">
        <f t="shared" si="4"/>
        <v>√</v>
      </c>
      <c r="AI9" s="57" t="str">
        <f t="shared" si="4"/>
        <v>√</v>
      </c>
      <c r="AJ9" s="57" t="str">
        <f t="shared" si="4"/>
        <v/>
      </c>
      <c r="AK9" s="57" t="str">
        <f t="shared" si="4"/>
        <v/>
      </c>
      <c r="AL9" s="57" t="str">
        <f t="shared" si="4"/>
        <v/>
      </c>
      <c r="AM9" s="57" t="str">
        <f t="shared" si="4"/>
        <v/>
      </c>
      <c r="AN9" s="57" t="str">
        <f t="shared" si="4"/>
        <v/>
      </c>
      <c r="AO9" s="57" t="str">
        <f t="shared" si="4"/>
        <v/>
      </c>
    </row>
    <row r="10" ht="15" customHeight="1" spans="1:41">
      <c r="A10" s="53"/>
      <c r="B10" s="54" t="s">
        <v>32</v>
      </c>
      <c r="C10" s="54"/>
      <c r="D10" s="55">
        <v>2.14</v>
      </c>
      <c r="E10" s="55">
        <v>0.05</v>
      </c>
      <c r="F10" s="55">
        <v>-0.05</v>
      </c>
      <c r="G10" s="55">
        <f t="shared" si="1"/>
        <v>2.19</v>
      </c>
      <c r="H10" s="55">
        <f t="shared" si="2"/>
        <v>2.09</v>
      </c>
      <c r="I10" s="55" t="s">
        <v>30</v>
      </c>
      <c r="J10" s="56">
        <v>2.1597</v>
      </c>
      <c r="K10" s="56">
        <v>2.159</v>
      </c>
      <c r="L10" s="56">
        <v>2.159</v>
      </c>
      <c r="M10" s="56">
        <v>2.161</v>
      </c>
      <c r="N10" s="56">
        <v>2.1601</v>
      </c>
      <c r="O10" s="56">
        <v>2.1603</v>
      </c>
      <c r="P10" s="56">
        <v>2.1588</v>
      </c>
      <c r="Q10" s="56">
        <v>2.1592</v>
      </c>
      <c r="R10" s="56">
        <v>2.161</v>
      </c>
      <c r="S10" s="56">
        <v>2.1614</v>
      </c>
      <c r="T10" s="56"/>
      <c r="U10" s="56"/>
      <c r="V10" s="56"/>
      <c r="W10" s="56"/>
      <c r="X10" s="56"/>
      <c r="Y10" s="56"/>
      <c r="Z10" s="57" t="str">
        <f t="shared" ref="Z10:AO10" si="5">IF(J10="","",IF(J10&gt;($D10+$E10),(J10-$D10-$E10),IF(J10&lt;($D10+$F10),(J10-$D10-$F10),"√")))</f>
        <v>√</v>
      </c>
      <c r="AA10" s="57" t="str">
        <f t="shared" si="5"/>
        <v>√</v>
      </c>
      <c r="AB10" s="57" t="str">
        <f t="shared" si="5"/>
        <v>√</v>
      </c>
      <c r="AC10" s="57" t="str">
        <f t="shared" si="5"/>
        <v>√</v>
      </c>
      <c r="AD10" s="57" t="str">
        <f t="shared" si="5"/>
        <v>√</v>
      </c>
      <c r="AE10" s="57" t="str">
        <f t="shared" si="5"/>
        <v>√</v>
      </c>
      <c r="AF10" s="57" t="str">
        <f t="shared" si="5"/>
        <v>√</v>
      </c>
      <c r="AG10" s="57" t="str">
        <f t="shared" si="5"/>
        <v>√</v>
      </c>
      <c r="AH10" s="57" t="str">
        <f t="shared" si="5"/>
        <v>√</v>
      </c>
      <c r="AI10" s="57" t="str">
        <f t="shared" si="5"/>
        <v>√</v>
      </c>
      <c r="AJ10" s="57" t="str">
        <f t="shared" si="5"/>
        <v/>
      </c>
      <c r="AK10" s="57" t="str">
        <f t="shared" si="5"/>
        <v/>
      </c>
      <c r="AL10" s="57" t="str">
        <f t="shared" si="5"/>
        <v/>
      </c>
      <c r="AM10" s="57" t="str">
        <f t="shared" si="5"/>
        <v/>
      </c>
      <c r="AN10" s="57" t="str">
        <f t="shared" si="5"/>
        <v/>
      </c>
      <c r="AO10" s="57" t="str">
        <f t="shared" si="5"/>
        <v/>
      </c>
    </row>
    <row r="11" ht="15" customHeight="1" spans="1:41">
      <c r="A11" s="53"/>
      <c r="B11" s="54" t="s">
        <v>33</v>
      </c>
      <c r="C11" s="54"/>
      <c r="D11" s="55">
        <v>2.14</v>
      </c>
      <c r="E11" s="55">
        <v>0.05</v>
      </c>
      <c r="F11" s="55">
        <v>-0.05</v>
      </c>
      <c r="G11" s="55">
        <f t="shared" si="1"/>
        <v>2.19</v>
      </c>
      <c r="H11" s="55">
        <f t="shared" si="2"/>
        <v>2.09</v>
      </c>
      <c r="I11" s="55" t="s">
        <v>30</v>
      </c>
      <c r="J11" s="56">
        <v>2.1691</v>
      </c>
      <c r="K11" s="56">
        <v>2.1682</v>
      </c>
      <c r="L11" s="56">
        <v>2.146</v>
      </c>
      <c r="M11" s="56">
        <v>2.1453</v>
      </c>
      <c r="N11" s="56">
        <v>2.1475</v>
      </c>
      <c r="O11" s="56">
        <v>2.1426</v>
      </c>
      <c r="P11" s="56">
        <v>2.1458</v>
      </c>
      <c r="Q11" s="56">
        <v>2.1423</v>
      </c>
      <c r="R11" s="56">
        <v>2.15</v>
      </c>
      <c r="S11" s="56">
        <v>2.1494</v>
      </c>
      <c r="T11" s="56"/>
      <c r="U11" s="56"/>
      <c r="V11" s="56"/>
      <c r="W11" s="56"/>
      <c r="X11" s="56"/>
      <c r="Y11" s="56"/>
      <c r="Z11" s="57" t="str">
        <f t="shared" ref="Z11:AO11" si="6">IF(J11="","",IF(J11&gt;($D11+$E11),(J11-$D11-$E11),IF(J11&lt;($D11+$F11),(J11-$D11-$F11),"√")))</f>
        <v>√</v>
      </c>
      <c r="AA11" s="57" t="str">
        <f t="shared" si="6"/>
        <v>√</v>
      </c>
      <c r="AB11" s="57" t="str">
        <f t="shared" si="6"/>
        <v>√</v>
      </c>
      <c r="AC11" s="57" t="str">
        <f t="shared" si="6"/>
        <v>√</v>
      </c>
      <c r="AD11" s="57" t="str">
        <f t="shared" si="6"/>
        <v>√</v>
      </c>
      <c r="AE11" s="57" t="str">
        <f t="shared" si="6"/>
        <v>√</v>
      </c>
      <c r="AF11" s="57" t="str">
        <f t="shared" si="6"/>
        <v>√</v>
      </c>
      <c r="AG11" s="57" t="str">
        <f t="shared" si="6"/>
        <v>√</v>
      </c>
      <c r="AH11" s="57" t="str">
        <f t="shared" si="6"/>
        <v>√</v>
      </c>
      <c r="AI11" s="57" t="str">
        <f t="shared" si="6"/>
        <v>√</v>
      </c>
      <c r="AJ11" s="57" t="str">
        <f t="shared" si="6"/>
        <v/>
      </c>
      <c r="AK11" s="57" t="str">
        <f t="shared" si="6"/>
        <v/>
      </c>
      <c r="AL11" s="57" t="str">
        <f t="shared" si="6"/>
        <v/>
      </c>
      <c r="AM11" s="57" t="str">
        <f t="shared" si="6"/>
        <v/>
      </c>
      <c r="AN11" s="57" t="str">
        <f t="shared" si="6"/>
        <v/>
      </c>
      <c r="AO11" s="57" t="str">
        <f t="shared" si="6"/>
        <v/>
      </c>
    </row>
    <row r="12" ht="15" customHeight="1" spans="1:41">
      <c r="A12" s="53"/>
      <c r="B12" s="54" t="s">
        <v>34</v>
      </c>
      <c r="C12" s="54"/>
      <c r="D12" s="55">
        <v>5.39</v>
      </c>
      <c r="E12" s="55">
        <v>0.015</v>
      </c>
      <c r="F12" s="55">
        <v>-0.015</v>
      </c>
      <c r="G12" s="55">
        <f t="shared" si="1"/>
        <v>5.405</v>
      </c>
      <c r="H12" s="55">
        <f t="shared" si="2"/>
        <v>5.375</v>
      </c>
      <c r="I12" s="55" t="s">
        <v>35</v>
      </c>
      <c r="J12" s="56">
        <v>5.3917</v>
      </c>
      <c r="K12" s="56">
        <v>5.3975</v>
      </c>
      <c r="L12" s="56">
        <v>5.3952</v>
      </c>
      <c r="M12" s="56">
        <v>5.3983</v>
      </c>
      <c r="N12" s="56">
        <v>5.3896</v>
      </c>
      <c r="O12" s="56">
        <v>5.3899</v>
      </c>
      <c r="P12" s="56">
        <v>5.3928</v>
      </c>
      <c r="Q12" s="56">
        <v>5.3949</v>
      </c>
      <c r="R12" s="56">
        <v>5.3932</v>
      </c>
      <c r="S12" s="56">
        <v>5.4004</v>
      </c>
      <c r="T12" s="56"/>
      <c r="U12" s="56"/>
      <c r="V12" s="56"/>
      <c r="W12" s="56"/>
      <c r="X12" s="56"/>
      <c r="Y12" s="56"/>
      <c r="Z12" s="57" t="str">
        <f t="shared" ref="Z12:AO12" si="7">IF(J12="","",IF(J12&gt;($D12+$E12),(J12-$D12-$E12),IF(J12&lt;($D12+$F12),(J12-$D12-$F12),"√")))</f>
        <v>√</v>
      </c>
      <c r="AA12" s="57" t="str">
        <f t="shared" si="7"/>
        <v>√</v>
      </c>
      <c r="AB12" s="57" t="str">
        <f t="shared" si="7"/>
        <v>√</v>
      </c>
      <c r="AC12" s="57" t="str">
        <f t="shared" si="7"/>
        <v>√</v>
      </c>
      <c r="AD12" s="57" t="str">
        <f t="shared" si="7"/>
        <v>√</v>
      </c>
      <c r="AE12" s="57" t="str">
        <f t="shared" si="7"/>
        <v>√</v>
      </c>
      <c r="AF12" s="57" t="str">
        <f t="shared" si="7"/>
        <v>√</v>
      </c>
      <c r="AG12" s="57" t="str">
        <f t="shared" si="7"/>
        <v>√</v>
      </c>
      <c r="AH12" s="57" t="str">
        <f t="shared" si="7"/>
        <v>√</v>
      </c>
      <c r="AI12" s="57" t="str">
        <f t="shared" si="7"/>
        <v>√</v>
      </c>
      <c r="AJ12" s="57" t="str">
        <f t="shared" si="7"/>
        <v/>
      </c>
      <c r="AK12" s="57" t="str">
        <f t="shared" si="7"/>
        <v/>
      </c>
      <c r="AL12" s="57" t="str">
        <f t="shared" si="7"/>
        <v/>
      </c>
      <c r="AM12" s="57" t="str">
        <f t="shared" si="7"/>
        <v/>
      </c>
      <c r="AN12" s="57" t="str">
        <f t="shared" si="7"/>
        <v/>
      </c>
      <c r="AO12" s="57" t="str">
        <f t="shared" si="7"/>
        <v/>
      </c>
    </row>
    <row r="13" customFormat="1" ht="15" customHeight="1" spans="1:41">
      <c r="A13" s="53"/>
      <c r="B13" s="58" t="s">
        <v>36</v>
      </c>
      <c r="C13" s="58" t="s">
        <v>37</v>
      </c>
      <c r="D13" s="55">
        <v>0.61</v>
      </c>
      <c r="E13" s="55">
        <v>0.02</v>
      </c>
      <c r="F13" s="55">
        <v>-0.02</v>
      </c>
      <c r="G13" s="55">
        <f t="shared" si="1"/>
        <v>0.63</v>
      </c>
      <c r="H13" s="55">
        <f t="shared" si="2"/>
        <v>0.59</v>
      </c>
      <c r="I13" s="55" t="s">
        <v>35</v>
      </c>
      <c r="J13" s="56">
        <v>0.6055</v>
      </c>
      <c r="K13" s="56">
        <v>0.6051</v>
      </c>
      <c r="L13" s="56">
        <v>0.6037</v>
      </c>
      <c r="M13" s="56">
        <v>0.6032</v>
      </c>
      <c r="N13" s="56">
        <v>0.6027</v>
      </c>
      <c r="O13" s="56">
        <v>0.6046</v>
      </c>
      <c r="P13" s="56">
        <v>0.6017</v>
      </c>
      <c r="Q13" s="56">
        <v>0.6015</v>
      </c>
      <c r="R13" s="56">
        <v>0.6033</v>
      </c>
      <c r="S13" s="56">
        <v>0.6023</v>
      </c>
      <c r="T13" s="56"/>
      <c r="U13" s="56"/>
      <c r="V13" s="56"/>
      <c r="W13" s="56"/>
      <c r="X13" s="56"/>
      <c r="Y13" s="56"/>
      <c r="Z13" s="57" t="str">
        <f t="shared" ref="Z13:AO13" si="8">IF(J13="","",IF(J13&gt;($D13+$E13),(J13-$D13-$E13),IF(J13&lt;($D13+$F13),(J13-$D13-$F13),"√")))</f>
        <v>√</v>
      </c>
      <c r="AA13" s="57" t="str">
        <f t="shared" si="8"/>
        <v>√</v>
      </c>
      <c r="AB13" s="57" t="str">
        <f t="shared" si="8"/>
        <v>√</v>
      </c>
      <c r="AC13" s="57" t="str">
        <f t="shared" si="8"/>
        <v>√</v>
      </c>
      <c r="AD13" s="57" t="str">
        <f t="shared" si="8"/>
        <v>√</v>
      </c>
      <c r="AE13" s="57" t="str">
        <f t="shared" si="8"/>
        <v>√</v>
      </c>
      <c r="AF13" s="57" t="str">
        <f t="shared" si="8"/>
        <v>√</v>
      </c>
      <c r="AG13" s="57" t="str">
        <f t="shared" si="8"/>
        <v>√</v>
      </c>
      <c r="AH13" s="57" t="str">
        <f t="shared" si="8"/>
        <v>√</v>
      </c>
      <c r="AI13" s="57" t="str">
        <f t="shared" si="8"/>
        <v>√</v>
      </c>
      <c r="AJ13" s="57" t="str">
        <f t="shared" si="8"/>
        <v/>
      </c>
      <c r="AK13" s="57" t="str">
        <f t="shared" si="8"/>
        <v/>
      </c>
      <c r="AL13" s="57" t="str">
        <f t="shared" si="8"/>
        <v/>
      </c>
      <c r="AM13" s="57" t="str">
        <f t="shared" si="8"/>
        <v/>
      </c>
      <c r="AN13" s="57" t="str">
        <f t="shared" si="8"/>
        <v/>
      </c>
      <c r="AO13" s="57" t="str">
        <f t="shared" si="8"/>
        <v/>
      </c>
    </row>
    <row r="14" customFormat="1" ht="15" customHeight="1" spans="1:41">
      <c r="A14" s="53"/>
      <c r="B14" s="58" t="s">
        <v>38</v>
      </c>
      <c r="C14" s="58" t="s">
        <v>39</v>
      </c>
      <c r="D14" s="55">
        <v>0</v>
      </c>
      <c r="E14" s="55">
        <v>0.025</v>
      </c>
      <c r="F14" s="55">
        <v>-0.025</v>
      </c>
      <c r="G14" s="55">
        <f t="shared" ref="G14:G21" si="9">D14+E14</f>
        <v>0.025</v>
      </c>
      <c r="H14" s="55">
        <f t="shared" ref="H14:H21" si="10">D14+F14</f>
        <v>-0.025</v>
      </c>
      <c r="I14" s="55" t="s">
        <v>35</v>
      </c>
      <c r="J14" s="56">
        <v>0.0161</v>
      </c>
      <c r="K14" s="56">
        <v>0.0125</v>
      </c>
      <c r="L14" s="56">
        <v>0.0105</v>
      </c>
      <c r="M14" s="56">
        <v>0.0086</v>
      </c>
      <c r="N14" s="56">
        <v>0.0025</v>
      </c>
      <c r="O14" s="56">
        <v>0.0039</v>
      </c>
      <c r="P14" s="56">
        <v>0.0129</v>
      </c>
      <c r="Q14" s="56">
        <v>0.011</v>
      </c>
      <c r="R14" s="56">
        <v>0.0154</v>
      </c>
      <c r="S14" s="56">
        <v>0.0127</v>
      </c>
      <c r="T14" s="56"/>
      <c r="U14" s="56"/>
      <c r="V14" s="56"/>
      <c r="W14" s="56"/>
      <c r="X14" s="56"/>
      <c r="Y14" s="56"/>
      <c r="Z14" s="57" t="str">
        <f t="shared" ref="Z14:AO14" si="11">IF(J14="","",IF(J14&gt;($D14+$E14),(J14-$D14-$E14),IF(J14&lt;($D14+$F14),(J14-$D14-$F14),"√")))</f>
        <v>√</v>
      </c>
      <c r="AA14" s="57" t="str">
        <f t="shared" si="11"/>
        <v>√</v>
      </c>
      <c r="AB14" s="57" t="str">
        <f t="shared" si="11"/>
        <v>√</v>
      </c>
      <c r="AC14" s="57" t="str">
        <f t="shared" si="11"/>
        <v>√</v>
      </c>
      <c r="AD14" s="57" t="str">
        <f t="shared" si="11"/>
        <v>√</v>
      </c>
      <c r="AE14" s="57" t="str">
        <f t="shared" si="11"/>
        <v>√</v>
      </c>
      <c r="AF14" s="57" t="str">
        <f t="shared" si="11"/>
        <v>√</v>
      </c>
      <c r="AG14" s="57" t="str">
        <f t="shared" si="11"/>
        <v>√</v>
      </c>
      <c r="AH14" s="57" t="str">
        <f t="shared" si="11"/>
        <v>√</v>
      </c>
      <c r="AI14" s="57" t="str">
        <f t="shared" si="11"/>
        <v>√</v>
      </c>
      <c r="AJ14" s="57" t="str">
        <f t="shared" si="11"/>
        <v/>
      </c>
      <c r="AK14" s="57" t="str">
        <f t="shared" si="11"/>
        <v/>
      </c>
      <c r="AL14" s="57" t="str">
        <f t="shared" si="11"/>
        <v/>
      </c>
      <c r="AM14" s="57" t="str">
        <f t="shared" si="11"/>
        <v/>
      </c>
      <c r="AN14" s="57" t="str">
        <f t="shared" si="11"/>
        <v/>
      </c>
      <c r="AO14" s="57" t="str">
        <f t="shared" si="11"/>
        <v/>
      </c>
    </row>
    <row r="15" customFormat="1" ht="15" customHeight="1" spans="1:41">
      <c r="A15" s="53"/>
      <c r="B15" s="58" t="s">
        <v>40</v>
      </c>
      <c r="C15" s="58" t="s">
        <v>41</v>
      </c>
      <c r="D15" s="55">
        <v>3.31</v>
      </c>
      <c r="E15" s="55">
        <v>0.03</v>
      </c>
      <c r="F15" s="55">
        <v>-0.03</v>
      </c>
      <c r="G15" s="55">
        <f t="shared" si="9"/>
        <v>3.34</v>
      </c>
      <c r="H15" s="55">
        <f t="shared" si="10"/>
        <v>3.28</v>
      </c>
      <c r="I15" s="55" t="s">
        <v>35</v>
      </c>
      <c r="J15" s="56">
        <v>3.2913</v>
      </c>
      <c r="K15" s="56">
        <v>3.2993</v>
      </c>
      <c r="L15" s="56">
        <v>3.3064</v>
      </c>
      <c r="M15" s="56">
        <v>3.3017</v>
      </c>
      <c r="N15" s="56">
        <v>3.2915</v>
      </c>
      <c r="O15" s="56">
        <v>3.2972</v>
      </c>
      <c r="P15" s="56">
        <v>3.2996</v>
      </c>
      <c r="Q15" s="56">
        <v>3.2997</v>
      </c>
      <c r="R15" s="56">
        <v>3.3052</v>
      </c>
      <c r="S15" s="56">
        <v>3.31</v>
      </c>
      <c r="T15" s="56"/>
      <c r="U15" s="56"/>
      <c r="V15" s="56"/>
      <c r="W15" s="56"/>
      <c r="X15" s="56"/>
      <c r="Y15" s="56"/>
      <c r="Z15" s="57" t="str">
        <f t="shared" ref="Z15:AO15" si="12">IF(J15="","",IF(J15&gt;($D15+$E15),(J15-$D15-$E15),IF(J15&lt;($D15+$F15),(J15-$D15-$F15),"√")))</f>
        <v>√</v>
      </c>
      <c r="AA15" s="57" t="str">
        <f t="shared" si="12"/>
        <v>√</v>
      </c>
      <c r="AB15" s="57" t="str">
        <f t="shared" si="12"/>
        <v>√</v>
      </c>
      <c r="AC15" s="57" t="str">
        <f t="shared" si="12"/>
        <v>√</v>
      </c>
      <c r="AD15" s="57" t="str">
        <f t="shared" si="12"/>
        <v>√</v>
      </c>
      <c r="AE15" s="57" t="str">
        <f t="shared" si="12"/>
        <v>√</v>
      </c>
      <c r="AF15" s="57" t="str">
        <f t="shared" si="12"/>
        <v>√</v>
      </c>
      <c r="AG15" s="57" t="str">
        <f t="shared" si="12"/>
        <v>√</v>
      </c>
      <c r="AH15" s="57" t="str">
        <f t="shared" si="12"/>
        <v>√</v>
      </c>
      <c r="AI15" s="57" t="str">
        <f t="shared" si="12"/>
        <v>√</v>
      </c>
      <c r="AJ15" s="57" t="str">
        <f t="shared" si="12"/>
        <v/>
      </c>
      <c r="AK15" s="57" t="str">
        <f t="shared" si="12"/>
        <v/>
      </c>
      <c r="AL15" s="57" t="str">
        <f t="shared" si="12"/>
        <v/>
      </c>
      <c r="AM15" s="57" t="str">
        <f t="shared" si="12"/>
        <v/>
      </c>
      <c r="AN15" s="57" t="str">
        <f t="shared" si="12"/>
        <v/>
      </c>
      <c r="AO15" s="57" t="str">
        <f t="shared" si="12"/>
        <v/>
      </c>
    </row>
    <row r="16" customFormat="1" ht="15" customHeight="1" spans="1:41">
      <c r="A16" s="53"/>
      <c r="B16" s="58" t="s">
        <v>42</v>
      </c>
      <c r="C16" s="58"/>
      <c r="D16" s="55"/>
      <c r="E16" s="55"/>
      <c r="F16" s="55"/>
      <c r="G16" s="55">
        <f t="shared" si="9"/>
        <v>0</v>
      </c>
      <c r="H16" s="55">
        <f t="shared" si="10"/>
        <v>0</v>
      </c>
      <c r="I16" s="55" t="s">
        <v>35</v>
      </c>
      <c r="J16" s="56">
        <v>0.0072</v>
      </c>
      <c r="K16" s="56">
        <v>0.0083</v>
      </c>
      <c r="L16" s="56">
        <v>0.0065</v>
      </c>
      <c r="M16" s="56">
        <v>0.0116</v>
      </c>
      <c r="N16" s="56">
        <v>0.0054</v>
      </c>
      <c r="O16" s="56">
        <v>0.0055</v>
      </c>
      <c r="P16" s="56">
        <v>0.0112</v>
      </c>
      <c r="Q16" s="56">
        <v>0.008</v>
      </c>
      <c r="R16" s="56">
        <v>0.0066</v>
      </c>
      <c r="S16" s="56">
        <v>0.0116</v>
      </c>
      <c r="T16" s="56"/>
      <c r="U16" s="56"/>
      <c r="V16" s="56"/>
      <c r="W16" s="56"/>
      <c r="X16" s="56"/>
      <c r="Y16" s="56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</row>
    <row r="17" customFormat="1" ht="15" customHeight="1" spans="1:41">
      <c r="A17" s="53"/>
      <c r="B17" s="58" t="s">
        <v>43</v>
      </c>
      <c r="C17" s="58"/>
      <c r="D17" s="55"/>
      <c r="E17" s="55"/>
      <c r="F17" s="55"/>
      <c r="G17" s="55">
        <f t="shared" si="9"/>
        <v>0</v>
      </c>
      <c r="H17" s="55">
        <f t="shared" si="10"/>
        <v>0</v>
      </c>
      <c r="I17" s="55" t="s">
        <v>35</v>
      </c>
      <c r="J17" s="56">
        <v>0.0092</v>
      </c>
      <c r="K17" s="56">
        <v>0.005</v>
      </c>
      <c r="L17" s="56">
        <v>-0.0025</v>
      </c>
      <c r="M17" s="56">
        <v>0.0106</v>
      </c>
      <c r="N17" s="56">
        <v>0.0153</v>
      </c>
      <c r="O17" s="56">
        <v>0.0076</v>
      </c>
      <c r="P17" s="56">
        <v>0.0099</v>
      </c>
      <c r="Q17" s="56">
        <v>0.0099</v>
      </c>
      <c r="R17" s="56">
        <v>0</v>
      </c>
      <c r="S17" s="56">
        <v>0.0042</v>
      </c>
      <c r="T17" s="56"/>
      <c r="U17" s="56"/>
      <c r="V17" s="56"/>
      <c r="W17" s="56"/>
      <c r="X17" s="56"/>
      <c r="Y17" s="56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</row>
    <row r="18" customFormat="1" ht="15" customHeight="1" spans="1:41">
      <c r="A18" s="53"/>
      <c r="B18" s="58" t="s">
        <v>44</v>
      </c>
      <c r="C18" s="58" t="s">
        <v>45</v>
      </c>
      <c r="D18" s="55">
        <v>0</v>
      </c>
      <c r="E18" s="55">
        <v>0.08</v>
      </c>
      <c r="F18" s="55">
        <v>0</v>
      </c>
      <c r="G18" s="55">
        <f t="shared" si="9"/>
        <v>0.08</v>
      </c>
      <c r="H18" s="55">
        <f t="shared" si="10"/>
        <v>0</v>
      </c>
      <c r="I18" s="55" t="s">
        <v>35</v>
      </c>
      <c r="J18" s="56">
        <v>0.0233</v>
      </c>
      <c r="K18" s="56">
        <v>0.0194</v>
      </c>
      <c r="L18" s="56">
        <v>0.014</v>
      </c>
      <c r="M18" s="56">
        <v>0.0315</v>
      </c>
      <c r="N18" s="56">
        <v>0.0325</v>
      </c>
      <c r="O18" s="56">
        <v>0.0187</v>
      </c>
      <c r="P18" s="56">
        <v>0.0298</v>
      </c>
      <c r="Q18" s="56">
        <v>0.0254</v>
      </c>
      <c r="R18" s="56">
        <v>0.0132</v>
      </c>
      <c r="S18" s="56">
        <v>0.0247</v>
      </c>
      <c r="T18" s="56"/>
      <c r="U18" s="56"/>
      <c r="V18" s="56"/>
      <c r="W18" s="56"/>
      <c r="X18" s="56"/>
      <c r="Y18" s="56"/>
      <c r="Z18" s="57" t="str">
        <f t="shared" ref="Z18:AO18" si="13">IF(J18="","",IF(J18&gt;($D18+$E18),(J18-$D18-$E18),IF(J18&lt;($D18+$F18),(J18-$D18-$F18),"√")))</f>
        <v>√</v>
      </c>
      <c r="AA18" s="57" t="str">
        <f t="shared" si="13"/>
        <v>√</v>
      </c>
      <c r="AB18" s="57" t="str">
        <f t="shared" si="13"/>
        <v>√</v>
      </c>
      <c r="AC18" s="57" t="str">
        <f t="shared" si="13"/>
        <v>√</v>
      </c>
      <c r="AD18" s="57" t="str">
        <f t="shared" si="13"/>
        <v>√</v>
      </c>
      <c r="AE18" s="57" t="str">
        <f t="shared" si="13"/>
        <v>√</v>
      </c>
      <c r="AF18" s="57" t="str">
        <f t="shared" si="13"/>
        <v>√</v>
      </c>
      <c r="AG18" s="57" t="str">
        <f t="shared" si="13"/>
        <v>√</v>
      </c>
      <c r="AH18" s="57" t="str">
        <f t="shared" si="13"/>
        <v>√</v>
      </c>
      <c r="AI18" s="57" t="str">
        <f t="shared" si="13"/>
        <v>√</v>
      </c>
      <c r="AJ18" s="57" t="str">
        <f t="shared" si="13"/>
        <v/>
      </c>
      <c r="AK18" s="57" t="str">
        <f t="shared" si="13"/>
        <v/>
      </c>
      <c r="AL18" s="57" t="str">
        <f t="shared" si="13"/>
        <v/>
      </c>
      <c r="AM18" s="57" t="str">
        <f t="shared" si="13"/>
        <v/>
      </c>
      <c r="AN18" s="57" t="str">
        <f t="shared" si="13"/>
        <v/>
      </c>
      <c r="AO18" s="57" t="str">
        <f t="shared" si="13"/>
        <v/>
      </c>
    </row>
    <row r="19" customFormat="1" ht="15" customHeight="1" spans="1:41">
      <c r="A19" s="53"/>
      <c r="B19" s="58" t="s">
        <v>46</v>
      </c>
      <c r="C19" s="58"/>
      <c r="D19" s="55"/>
      <c r="E19" s="55"/>
      <c r="F19" s="55"/>
      <c r="G19" s="55">
        <f t="shared" si="9"/>
        <v>0</v>
      </c>
      <c r="H19" s="55">
        <f t="shared" si="10"/>
        <v>0</v>
      </c>
      <c r="I19" s="55" t="s">
        <v>35</v>
      </c>
      <c r="J19" s="56">
        <v>0.0085</v>
      </c>
      <c r="K19" s="56">
        <v>0.0101</v>
      </c>
      <c r="L19" s="56">
        <v>0.0067</v>
      </c>
      <c r="M19" s="56">
        <v>0.0125</v>
      </c>
      <c r="N19" s="56">
        <v>0.0065</v>
      </c>
      <c r="O19" s="56">
        <v>0.007</v>
      </c>
      <c r="P19" s="56">
        <v>0.014</v>
      </c>
      <c r="Q19" s="56">
        <v>0.0107</v>
      </c>
      <c r="R19" s="56">
        <v>0.0069</v>
      </c>
      <c r="S19" s="56">
        <v>0.0137</v>
      </c>
      <c r="T19" s="56"/>
      <c r="U19" s="56"/>
      <c r="V19" s="56"/>
      <c r="W19" s="56"/>
      <c r="X19" s="56"/>
      <c r="Y19" s="56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</row>
    <row r="20" customFormat="1" ht="15" customHeight="1" spans="1:41">
      <c r="A20" s="53"/>
      <c r="B20" s="58" t="s">
        <v>47</v>
      </c>
      <c r="C20" s="58"/>
      <c r="D20" s="55"/>
      <c r="E20" s="55"/>
      <c r="F20" s="55"/>
      <c r="G20" s="55">
        <f t="shared" si="9"/>
        <v>0</v>
      </c>
      <c r="H20" s="55">
        <f t="shared" si="10"/>
        <v>0</v>
      </c>
      <c r="I20" s="55" t="s">
        <v>35</v>
      </c>
      <c r="J20" s="56">
        <v>0.012</v>
      </c>
      <c r="K20" s="56">
        <v>0.0108</v>
      </c>
      <c r="L20" s="56">
        <v>0.0019</v>
      </c>
      <c r="M20" s="56">
        <v>0.01</v>
      </c>
      <c r="N20" s="56">
        <v>0.0149</v>
      </c>
      <c r="O20" s="56">
        <v>0.0107</v>
      </c>
      <c r="P20" s="56">
        <v>0.0109</v>
      </c>
      <c r="Q20" s="56">
        <v>0.0121</v>
      </c>
      <c r="R20" s="56">
        <v>0.0037</v>
      </c>
      <c r="S20" s="56">
        <v>0.0085</v>
      </c>
      <c r="T20" s="56"/>
      <c r="U20" s="56"/>
      <c r="V20" s="56"/>
      <c r="W20" s="56"/>
      <c r="X20" s="56"/>
      <c r="Y20" s="56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</row>
    <row r="21" customFormat="1" ht="15" customHeight="1" spans="1:41">
      <c r="A21" s="53"/>
      <c r="B21" s="58" t="s">
        <v>48</v>
      </c>
      <c r="C21" s="58" t="s">
        <v>45</v>
      </c>
      <c r="D21" s="55">
        <v>0</v>
      </c>
      <c r="E21" s="55">
        <v>0.08</v>
      </c>
      <c r="F21" s="55">
        <v>0</v>
      </c>
      <c r="G21" s="55">
        <f t="shared" si="9"/>
        <v>0.08</v>
      </c>
      <c r="H21" s="55">
        <f t="shared" si="10"/>
        <v>0</v>
      </c>
      <c r="I21" s="55" t="s">
        <v>35</v>
      </c>
      <c r="J21" s="56">
        <v>0.0295</v>
      </c>
      <c r="K21" s="56">
        <v>0.0295</v>
      </c>
      <c r="L21" s="56">
        <v>0.0139</v>
      </c>
      <c r="M21" s="56">
        <v>0.0321</v>
      </c>
      <c r="N21" s="56">
        <v>0.0326</v>
      </c>
      <c r="O21" s="56">
        <v>0.0256</v>
      </c>
      <c r="P21" s="56">
        <v>0.0354</v>
      </c>
      <c r="Q21" s="56">
        <v>0.0323</v>
      </c>
      <c r="R21" s="56">
        <v>0.0156</v>
      </c>
      <c r="S21" s="56">
        <v>0.0323</v>
      </c>
      <c r="T21" s="56"/>
      <c r="U21" s="56"/>
      <c r="V21" s="56"/>
      <c r="W21" s="56"/>
      <c r="X21" s="56"/>
      <c r="Y21" s="56"/>
      <c r="Z21" s="57" t="str">
        <f t="shared" ref="Z21:AO21" si="14">IF(J21="","",IF(J21&gt;($D21+$E21),(J21-$D21-$E21),IF(J21&lt;($D21+$F21),(J21-$D21-$F21),"√")))</f>
        <v>√</v>
      </c>
      <c r="AA21" s="57" t="str">
        <f t="shared" si="14"/>
        <v>√</v>
      </c>
      <c r="AB21" s="57" t="str">
        <f t="shared" si="14"/>
        <v>√</v>
      </c>
      <c r="AC21" s="57" t="str">
        <f t="shared" si="14"/>
        <v>√</v>
      </c>
      <c r="AD21" s="57" t="str">
        <f t="shared" si="14"/>
        <v>√</v>
      </c>
      <c r="AE21" s="57" t="str">
        <f t="shared" si="14"/>
        <v>√</v>
      </c>
      <c r="AF21" s="57" t="str">
        <f t="shared" si="14"/>
        <v>√</v>
      </c>
      <c r="AG21" s="57" t="str">
        <f t="shared" si="14"/>
        <v>√</v>
      </c>
      <c r="AH21" s="57" t="str">
        <f t="shared" si="14"/>
        <v>√</v>
      </c>
      <c r="AI21" s="57" t="str">
        <f t="shared" si="14"/>
        <v>√</v>
      </c>
      <c r="AJ21" s="57" t="str">
        <f t="shared" si="14"/>
        <v/>
      </c>
      <c r="AK21" s="57" t="str">
        <f t="shared" si="14"/>
        <v/>
      </c>
      <c r="AL21" s="57" t="str">
        <f t="shared" si="14"/>
        <v/>
      </c>
      <c r="AM21" s="57" t="str">
        <f t="shared" si="14"/>
        <v/>
      </c>
      <c r="AN21" s="57" t="str">
        <f t="shared" si="14"/>
        <v/>
      </c>
      <c r="AO21" s="57" t="str">
        <f t="shared" si="14"/>
        <v/>
      </c>
    </row>
    <row r="22" customFormat="1" ht="15" customHeight="1" spans="1:41">
      <c r="A22" s="53"/>
      <c r="B22" s="58" t="s">
        <v>49</v>
      </c>
      <c r="C22" s="58" t="s">
        <v>50</v>
      </c>
      <c r="D22" s="55">
        <v>0</v>
      </c>
      <c r="E22" s="55">
        <v>0.03</v>
      </c>
      <c r="F22" s="55">
        <v>0</v>
      </c>
      <c r="G22" s="55">
        <f t="shared" ref="G22:G30" si="15">D22+E22</f>
        <v>0.03</v>
      </c>
      <c r="H22" s="55">
        <f t="shared" ref="H22:H30" si="16">D22+F22</f>
        <v>0</v>
      </c>
      <c r="I22" s="55" t="s">
        <v>35</v>
      </c>
      <c r="J22" s="56">
        <v>0.0113</v>
      </c>
      <c r="K22" s="56">
        <v>0.0093</v>
      </c>
      <c r="L22" s="56">
        <v>0.009</v>
      </c>
      <c r="M22" s="56">
        <v>0.0133</v>
      </c>
      <c r="N22" s="56">
        <v>0.012</v>
      </c>
      <c r="O22" s="56">
        <v>0.0095</v>
      </c>
      <c r="P22" s="56">
        <v>0.0101</v>
      </c>
      <c r="Q22" s="56">
        <v>0.0096</v>
      </c>
      <c r="R22" s="56">
        <v>0.0108</v>
      </c>
      <c r="S22" s="56">
        <v>0.0112</v>
      </c>
      <c r="T22" s="56"/>
      <c r="U22" s="56"/>
      <c r="V22" s="56"/>
      <c r="W22" s="56"/>
      <c r="X22" s="56"/>
      <c r="Y22" s="56"/>
      <c r="Z22" s="57" t="str">
        <f t="shared" ref="Z22:AO22" si="17">IF(J22="","",IF(J22&gt;($D22+$E22),(J22-$D22-$E22),IF(J22&lt;($D22+$F22),(J22-$D22-$F22),"√")))</f>
        <v>√</v>
      </c>
      <c r="AA22" s="57" t="str">
        <f t="shared" si="17"/>
        <v>√</v>
      </c>
      <c r="AB22" s="57" t="str">
        <f t="shared" si="17"/>
        <v>√</v>
      </c>
      <c r="AC22" s="57" t="str">
        <f t="shared" si="17"/>
        <v>√</v>
      </c>
      <c r="AD22" s="57" t="str">
        <f t="shared" si="17"/>
        <v>√</v>
      </c>
      <c r="AE22" s="57" t="str">
        <f t="shared" si="17"/>
        <v>√</v>
      </c>
      <c r="AF22" s="57" t="str">
        <f t="shared" si="17"/>
        <v>√</v>
      </c>
      <c r="AG22" s="57" t="str">
        <f t="shared" si="17"/>
        <v>√</v>
      </c>
      <c r="AH22" s="57" t="str">
        <f t="shared" si="17"/>
        <v>√</v>
      </c>
      <c r="AI22" s="57" t="str">
        <f t="shared" si="17"/>
        <v>√</v>
      </c>
      <c r="AJ22" s="57" t="str">
        <f t="shared" si="17"/>
        <v/>
      </c>
      <c r="AK22" s="57" t="str">
        <f t="shared" si="17"/>
        <v/>
      </c>
      <c r="AL22" s="57" t="str">
        <f t="shared" si="17"/>
        <v/>
      </c>
      <c r="AM22" s="57" t="str">
        <f t="shared" si="17"/>
        <v/>
      </c>
      <c r="AN22" s="57" t="str">
        <f t="shared" si="17"/>
        <v/>
      </c>
      <c r="AO22" s="57" t="str">
        <f t="shared" si="17"/>
        <v/>
      </c>
    </row>
    <row r="23" customFormat="1" ht="15" customHeight="1" spans="1:41">
      <c r="A23" s="53"/>
      <c r="B23" s="58" t="s">
        <v>51</v>
      </c>
      <c r="C23" s="58"/>
      <c r="D23" s="55"/>
      <c r="E23" s="55"/>
      <c r="F23" s="55"/>
      <c r="G23" s="55">
        <f t="shared" si="15"/>
        <v>0</v>
      </c>
      <c r="H23" s="55">
        <f t="shared" si="16"/>
        <v>0</v>
      </c>
      <c r="I23" s="55" t="s">
        <v>35</v>
      </c>
      <c r="J23" s="56">
        <v>-0.0052</v>
      </c>
      <c r="K23" s="56">
        <v>-0.004</v>
      </c>
      <c r="L23" s="56">
        <v>-0.0058</v>
      </c>
      <c r="M23" s="56">
        <v>-0.0071</v>
      </c>
      <c r="N23" s="56">
        <v>-0.0074</v>
      </c>
      <c r="O23" s="56">
        <v>-0.0053</v>
      </c>
      <c r="P23" s="56">
        <v>-0.0061</v>
      </c>
      <c r="Q23" s="56">
        <v>-0.0053</v>
      </c>
      <c r="R23" s="56">
        <v>-0.0064</v>
      </c>
      <c r="S23" s="56">
        <v>-0.0064</v>
      </c>
      <c r="T23" s="56"/>
      <c r="U23" s="56"/>
      <c r="V23" s="56"/>
      <c r="W23" s="56"/>
      <c r="X23" s="56"/>
      <c r="Y23" s="56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</row>
    <row r="24" customFormat="1" ht="15" customHeight="1" spans="1:41">
      <c r="A24" s="53"/>
      <c r="B24" s="58" t="s">
        <v>52</v>
      </c>
      <c r="C24" s="58"/>
      <c r="D24" s="55"/>
      <c r="E24" s="55"/>
      <c r="F24" s="55"/>
      <c r="G24" s="55">
        <f t="shared" si="15"/>
        <v>0</v>
      </c>
      <c r="H24" s="55">
        <f t="shared" si="16"/>
        <v>0</v>
      </c>
      <c r="I24" s="55" t="s">
        <v>35</v>
      </c>
      <c r="J24" s="56">
        <v>0.005</v>
      </c>
      <c r="K24" s="56">
        <v>0.0037</v>
      </c>
      <c r="L24" s="56">
        <v>0.0032</v>
      </c>
      <c r="M24" s="56">
        <v>0.0046</v>
      </c>
      <c r="N24" s="56">
        <v>0.0045</v>
      </c>
      <c r="O24" s="56">
        <v>0.0042</v>
      </c>
      <c r="P24" s="56">
        <v>0.0032</v>
      </c>
      <c r="Q24" s="56">
        <v>0.004</v>
      </c>
      <c r="R24" s="56">
        <v>0.0029</v>
      </c>
      <c r="S24" s="56">
        <v>0.0047</v>
      </c>
      <c r="T24" s="56"/>
      <c r="U24" s="56"/>
      <c r="V24" s="56"/>
      <c r="W24" s="56"/>
      <c r="X24" s="56"/>
      <c r="Y24" s="56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</row>
    <row r="25" customFormat="1" ht="15" customHeight="1" spans="1:41">
      <c r="A25" s="53"/>
      <c r="B25" s="58" t="s">
        <v>53</v>
      </c>
      <c r="C25" s="58"/>
      <c r="D25" s="55"/>
      <c r="E25" s="55"/>
      <c r="F25" s="55"/>
      <c r="G25" s="55">
        <f t="shared" si="15"/>
        <v>0</v>
      </c>
      <c r="H25" s="55">
        <f t="shared" si="16"/>
        <v>0</v>
      </c>
      <c r="I25" s="55" t="s">
        <v>35</v>
      </c>
      <c r="J25" s="56">
        <v>0.0037</v>
      </c>
      <c r="K25" s="56">
        <v>0.0029</v>
      </c>
      <c r="L25" s="56">
        <v>0.0032</v>
      </c>
      <c r="M25" s="56">
        <v>0.0061</v>
      </c>
      <c r="N25" s="56">
        <v>0.0034</v>
      </c>
      <c r="O25" s="56">
        <v>0.0037</v>
      </c>
      <c r="P25" s="56">
        <v>0.0041</v>
      </c>
      <c r="Q25" s="56">
        <v>0.0037</v>
      </c>
      <c r="R25" s="56">
        <v>0.0044</v>
      </c>
      <c r="S25" s="56">
        <v>0.0036</v>
      </c>
      <c r="T25" s="56"/>
      <c r="U25" s="56"/>
      <c r="V25" s="56"/>
      <c r="W25" s="56"/>
      <c r="X25" s="56"/>
      <c r="Y25" s="56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</row>
    <row r="26" customFormat="1" ht="15" customHeight="1" spans="1:41">
      <c r="A26" s="53"/>
      <c r="B26" s="58" t="s">
        <v>54</v>
      </c>
      <c r="C26" s="58"/>
      <c r="D26" s="55"/>
      <c r="E26" s="55"/>
      <c r="F26" s="55"/>
      <c r="G26" s="55">
        <f t="shared" si="15"/>
        <v>0</v>
      </c>
      <c r="H26" s="55">
        <f t="shared" si="16"/>
        <v>0</v>
      </c>
      <c r="I26" s="55" t="s">
        <v>35</v>
      </c>
      <c r="J26" s="56">
        <v>-0.0033</v>
      </c>
      <c r="K26" s="56">
        <v>-0.0024</v>
      </c>
      <c r="L26" s="56">
        <v>-0.0009</v>
      </c>
      <c r="M26" s="56">
        <v>-0.0039</v>
      </c>
      <c r="N26" s="56">
        <v>-0.0008</v>
      </c>
      <c r="O26" s="56">
        <v>-0.0027</v>
      </c>
      <c r="P26" s="56">
        <v>-0.0015</v>
      </c>
      <c r="Q26" s="56">
        <v>-0.0023</v>
      </c>
      <c r="R26" s="56">
        <v>-0.0013</v>
      </c>
      <c r="S26" s="56">
        <v>-0.0022</v>
      </c>
      <c r="T26" s="56"/>
      <c r="U26" s="56"/>
      <c r="V26" s="56"/>
      <c r="W26" s="56"/>
      <c r="X26" s="56"/>
      <c r="Y26" s="56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</row>
    <row r="27" customFormat="1" ht="15" customHeight="1" spans="1:41">
      <c r="A27" s="53"/>
      <c r="B27" s="58" t="s">
        <v>55</v>
      </c>
      <c r="C27" s="58"/>
      <c r="D27" s="55"/>
      <c r="E27" s="55"/>
      <c r="F27" s="55"/>
      <c r="G27" s="55">
        <f t="shared" si="15"/>
        <v>0</v>
      </c>
      <c r="H27" s="55">
        <f t="shared" si="16"/>
        <v>0</v>
      </c>
      <c r="I27" s="55" t="s">
        <v>35</v>
      </c>
      <c r="J27" s="56">
        <v>-0.0063</v>
      </c>
      <c r="K27" s="56">
        <v>-0.0049</v>
      </c>
      <c r="L27" s="56">
        <v>-0.0035</v>
      </c>
      <c r="M27" s="56">
        <v>-0.0049</v>
      </c>
      <c r="N27" s="56">
        <v>-0.0052</v>
      </c>
      <c r="O27" s="56">
        <v>-0.0046</v>
      </c>
      <c r="P27" s="56">
        <v>-0.0043</v>
      </c>
      <c r="Q27" s="56">
        <v>-0.0056</v>
      </c>
      <c r="R27" s="56">
        <v>-0.0041</v>
      </c>
      <c r="S27" s="56">
        <v>-0.0039</v>
      </c>
      <c r="T27" s="56"/>
      <c r="U27" s="56"/>
      <c r="V27" s="56"/>
      <c r="W27" s="56"/>
      <c r="X27" s="56"/>
      <c r="Y27" s="56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</row>
    <row r="28" customFormat="1" ht="15" customHeight="1" spans="1:41">
      <c r="A28" s="53"/>
      <c r="B28" s="58" t="s">
        <v>56</v>
      </c>
      <c r="C28" s="58"/>
      <c r="D28" s="55"/>
      <c r="E28" s="55"/>
      <c r="F28" s="55"/>
      <c r="G28" s="55">
        <f t="shared" si="15"/>
        <v>0</v>
      </c>
      <c r="H28" s="55">
        <f t="shared" si="16"/>
        <v>0</v>
      </c>
      <c r="I28" s="55" t="s">
        <v>35</v>
      </c>
      <c r="J28" s="56">
        <v>0.0021</v>
      </c>
      <c r="K28" s="56">
        <v>0.0015</v>
      </c>
      <c r="L28" s="56">
        <v>0.0031</v>
      </c>
      <c r="M28" s="56">
        <v>0.0023</v>
      </c>
      <c r="N28" s="56">
        <v>0.0047</v>
      </c>
      <c r="O28" s="56">
        <v>0.0019</v>
      </c>
      <c r="P28" s="56">
        <v>0.0034</v>
      </c>
      <c r="Q28" s="56">
        <v>0.003</v>
      </c>
      <c r="R28" s="56">
        <v>0.0039</v>
      </c>
      <c r="S28" s="56">
        <v>0.0023</v>
      </c>
      <c r="T28" s="56"/>
      <c r="U28" s="56"/>
      <c r="V28" s="56"/>
      <c r="W28" s="56"/>
      <c r="X28" s="56"/>
      <c r="Y28" s="56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</row>
    <row r="29" customFormat="1" ht="15" customHeight="1" spans="1:41">
      <c r="A29" s="53"/>
      <c r="B29" s="58" t="s">
        <v>57</v>
      </c>
      <c r="C29" s="58"/>
      <c r="D29" s="55"/>
      <c r="E29" s="55"/>
      <c r="F29" s="55"/>
      <c r="G29" s="55">
        <f t="shared" si="15"/>
        <v>0</v>
      </c>
      <c r="H29" s="55">
        <f t="shared" si="16"/>
        <v>0</v>
      </c>
      <c r="I29" s="55" t="s">
        <v>35</v>
      </c>
      <c r="J29" s="56">
        <v>0.0049</v>
      </c>
      <c r="K29" s="56">
        <v>0.0044</v>
      </c>
      <c r="L29" s="56">
        <v>0.0029</v>
      </c>
      <c r="M29" s="56">
        <v>0.0043</v>
      </c>
      <c r="N29" s="56">
        <v>0.0035</v>
      </c>
      <c r="O29" s="56">
        <v>0.0039</v>
      </c>
      <c r="P29" s="56">
        <v>0.0036</v>
      </c>
      <c r="Q29" s="56">
        <v>0.004</v>
      </c>
      <c r="R29" s="56">
        <v>0.0029</v>
      </c>
      <c r="S29" s="56">
        <v>0.0031</v>
      </c>
      <c r="T29" s="56"/>
      <c r="U29" s="56"/>
      <c r="V29" s="56"/>
      <c r="W29" s="56"/>
      <c r="X29" s="56"/>
      <c r="Y29" s="56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</row>
    <row r="30" customFormat="1" ht="15" customHeight="1" spans="1:41">
      <c r="A30" s="53"/>
      <c r="B30" s="58" t="s">
        <v>58</v>
      </c>
      <c r="C30" s="58"/>
      <c r="D30" s="55"/>
      <c r="E30" s="55"/>
      <c r="F30" s="55"/>
      <c r="G30" s="55">
        <f t="shared" si="15"/>
        <v>0</v>
      </c>
      <c r="H30" s="55">
        <f t="shared" si="16"/>
        <v>0</v>
      </c>
      <c r="I30" s="55" t="s">
        <v>35</v>
      </c>
      <c r="J30" s="56">
        <v>-0.001</v>
      </c>
      <c r="K30" s="56">
        <v>-0.0012</v>
      </c>
      <c r="L30" s="56">
        <v>-0.0022</v>
      </c>
      <c r="M30" s="56">
        <v>-0.0013</v>
      </c>
      <c r="N30" s="56">
        <v>-0.0027</v>
      </c>
      <c r="O30" s="56">
        <v>-0.0011</v>
      </c>
      <c r="P30" s="56">
        <v>-0.0024</v>
      </c>
      <c r="Q30" s="56">
        <v>-0.0015</v>
      </c>
      <c r="R30" s="56">
        <v>-0.0023</v>
      </c>
      <c r="S30" s="56">
        <v>-0.0011</v>
      </c>
      <c r="T30" s="56"/>
      <c r="U30" s="56"/>
      <c r="V30" s="56"/>
      <c r="W30" s="56"/>
      <c r="X30" s="56"/>
      <c r="Y30" s="56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</row>
    <row r="31" customFormat="1" ht="15" customHeight="1" spans="1:41">
      <c r="A31" s="53"/>
      <c r="B31" s="58" t="s">
        <v>59</v>
      </c>
      <c r="C31" s="58" t="s">
        <v>60</v>
      </c>
      <c r="D31" s="55">
        <v>0</v>
      </c>
      <c r="E31" s="55">
        <v>0.06</v>
      </c>
      <c r="F31" s="55">
        <v>0</v>
      </c>
      <c r="G31" s="55">
        <f t="shared" ref="G31:G34" si="18">D31+E31</f>
        <v>0.06</v>
      </c>
      <c r="H31" s="55">
        <f t="shared" ref="H31:H34" si="19">D31+F31</f>
        <v>0</v>
      </c>
      <c r="I31" s="55" t="s">
        <v>35</v>
      </c>
      <c r="J31" s="56">
        <v>0.0159</v>
      </c>
      <c r="K31" s="56">
        <v>0.0155</v>
      </c>
      <c r="L31" s="56">
        <v>0.0225</v>
      </c>
      <c r="M31" s="56">
        <v>0.0257</v>
      </c>
      <c r="N31" s="56">
        <v>0.0257</v>
      </c>
      <c r="O31" s="56">
        <v>0.0262</v>
      </c>
      <c r="P31" s="56">
        <v>0.0279</v>
      </c>
      <c r="Q31" s="56">
        <v>0.0177</v>
      </c>
      <c r="R31" s="56">
        <v>0.0226</v>
      </c>
      <c r="S31" s="56">
        <v>0.0188</v>
      </c>
      <c r="T31" s="56"/>
      <c r="U31" s="56"/>
      <c r="V31" s="56"/>
      <c r="W31" s="56"/>
      <c r="X31" s="56"/>
      <c r="Y31" s="56"/>
      <c r="Z31" s="57" t="str">
        <f t="shared" ref="Z31:AO31" si="20">IF(J31="","",IF(J31&gt;($D31+$E31),(J31-$D31-$E31),IF(J31&lt;($D31+$F31),(J31-$D31-$F31),"√")))</f>
        <v>√</v>
      </c>
      <c r="AA31" s="57" t="str">
        <f t="shared" si="20"/>
        <v>√</v>
      </c>
      <c r="AB31" s="57" t="str">
        <f t="shared" si="20"/>
        <v>√</v>
      </c>
      <c r="AC31" s="57" t="str">
        <f t="shared" si="20"/>
        <v>√</v>
      </c>
      <c r="AD31" s="57" t="str">
        <f t="shared" si="20"/>
        <v>√</v>
      </c>
      <c r="AE31" s="57" t="str">
        <f t="shared" si="20"/>
        <v>√</v>
      </c>
      <c r="AF31" s="57" t="str">
        <f t="shared" si="20"/>
        <v>√</v>
      </c>
      <c r="AG31" s="57" t="str">
        <f t="shared" si="20"/>
        <v>√</v>
      </c>
      <c r="AH31" s="57" t="str">
        <f t="shared" si="20"/>
        <v>√</v>
      </c>
      <c r="AI31" s="57" t="str">
        <f t="shared" si="20"/>
        <v>√</v>
      </c>
      <c r="AJ31" s="57" t="str">
        <f t="shared" si="20"/>
        <v/>
      </c>
      <c r="AK31" s="57" t="str">
        <f t="shared" si="20"/>
        <v/>
      </c>
      <c r="AL31" s="57" t="str">
        <f t="shared" si="20"/>
        <v/>
      </c>
      <c r="AM31" s="57" t="str">
        <f t="shared" si="20"/>
        <v/>
      </c>
      <c r="AN31" s="57" t="str">
        <f t="shared" si="20"/>
        <v/>
      </c>
      <c r="AO31" s="57" t="str">
        <f t="shared" si="20"/>
        <v/>
      </c>
    </row>
    <row r="32" customFormat="1" ht="15" customHeight="1" spans="1:41">
      <c r="A32" s="53"/>
      <c r="B32" s="58" t="s">
        <v>61</v>
      </c>
      <c r="C32" s="58"/>
      <c r="D32" s="55"/>
      <c r="E32" s="55"/>
      <c r="F32" s="55"/>
      <c r="G32" s="55">
        <f t="shared" si="18"/>
        <v>0</v>
      </c>
      <c r="H32" s="55">
        <f t="shared" si="19"/>
        <v>0</v>
      </c>
      <c r="I32" s="55" t="s">
        <v>35</v>
      </c>
      <c r="J32" s="56">
        <v>-0.0063</v>
      </c>
      <c r="K32" s="56">
        <v>-0.0072</v>
      </c>
      <c r="L32" s="56">
        <v>-0.0083</v>
      </c>
      <c r="M32" s="56">
        <v>-0.0118</v>
      </c>
      <c r="N32" s="56">
        <v>-0.0099</v>
      </c>
      <c r="O32" s="56">
        <v>-0.0106</v>
      </c>
      <c r="P32" s="56">
        <v>-0.0128</v>
      </c>
      <c r="Q32" s="56">
        <v>-0.0065</v>
      </c>
      <c r="R32" s="56">
        <v>-0.0088</v>
      </c>
      <c r="S32" s="56">
        <v>-0.0049</v>
      </c>
      <c r="T32" s="56"/>
      <c r="U32" s="56"/>
      <c r="V32" s="56"/>
      <c r="W32" s="56"/>
      <c r="X32" s="56"/>
      <c r="Y32" s="56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</row>
    <row r="33" customFormat="1" ht="15" customHeight="1" spans="1:41">
      <c r="A33" s="53"/>
      <c r="B33" s="58" t="s">
        <v>62</v>
      </c>
      <c r="C33" s="58"/>
      <c r="D33" s="55"/>
      <c r="E33" s="55"/>
      <c r="F33" s="55"/>
      <c r="G33" s="55">
        <f t="shared" si="18"/>
        <v>0</v>
      </c>
      <c r="H33" s="55">
        <f t="shared" si="19"/>
        <v>0</v>
      </c>
      <c r="I33" s="55" t="s">
        <v>35</v>
      </c>
      <c r="J33" s="56">
        <v>-0.0079</v>
      </c>
      <c r="K33" s="56">
        <v>-0.0077</v>
      </c>
      <c r="L33" s="56">
        <v>-0.0082</v>
      </c>
      <c r="M33" s="56">
        <v>-0.0118</v>
      </c>
      <c r="N33" s="56">
        <v>-0.0103</v>
      </c>
      <c r="O33" s="56">
        <v>-0.0122</v>
      </c>
      <c r="P33" s="56">
        <v>-0.0136</v>
      </c>
      <c r="Q33" s="56">
        <v>-0.0084</v>
      </c>
      <c r="R33" s="56">
        <v>-0.0098</v>
      </c>
      <c r="S33" s="56">
        <v>-0.0081</v>
      </c>
      <c r="T33" s="56"/>
      <c r="U33" s="56"/>
      <c r="V33" s="56"/>
      <c r="W33" s="56"/>
      <c r="X33" s="56"/>
      <c r="Y33" s="56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</row>
    <row r="34" customFormat="1" ht="15" customHeight="1" spans="1:41">
      <c r="A34" s="53"/>
      <c r="B34" s="58" t="s">
        <v>63</v>
      </c>
      <c r="C34" s="58"/>
      <c r="D34" s="55"/>
      <c r="E34" s="55"/>
      <c r="F34" s="55"/>
      <c r="G34" s="55">
        <f t="shared" si="18"/>
        <v>0</v>
      </c>
      <c r="H34" s="55">
        <f t="shared" si="19"/>
        <v>0</v>
      </c>
      <c r="I34" s="55" t="s">
        <v>35</v>
      </c>
      <c r="J34" s="56">
        <v>-0.008</v>
      </c>
      <c r="K34" s="56">
        <v>-0.0073</v>
      </c>
      <c r="L34" s="56">
        <v>-0.0112</v>
      </c>
      <c r="M34" s="56">
        <v>-0.0128</v>
      </c>
      <c r="N34" s="56">
        <v>-0.0129</v>
      </c>
      <c r="O34" s="56">
        <v>-0.0131</v>
      </c>
      <c r="P34" s="56">
        <v>-0.014</v>
      </c>
      <c r="Q34" s="56">
        <v>-0.0089</v>
      </c>
      <c r="R34" s="56">
        <v>-0.0113</v>
      </c>
      <c r="S34" s="56">
        <v>-0.0094</v>
      </c>
      <c r="T34" s="56"/>
      <c r="U34" s="56"/>
      <c r="V34" s="56"/>
      <c r="W34" s="56"/>
      <c r="X34" s="56"/>
      <c r="Y34" s="56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</row>
    <row r="35" customFormat="1" ht="15" customHeight="1" spans="1:41">
      <c r="A35" s="53"/>
      <c r="B35" s="58" t="s">
        <v>64</v>
      </c>
      <c r="C35" s="58" t="s">
        <v>65</v>
      </c>
      <c r="D35" s="55">
        <v>0</v>
      </c>
      <c r="E35" s="55">
        <v>0.06</v>
      </c>
      <c r="F35" s="55">
        <v>0</v>
      </c>
      <c r="G35" s="55">
        <f t="shared" ref="G35:G38" si="21">D35+E35</f>
        <v>0.06</v>
      </c>
      <c r="H35" s="55">
        <f t="shared" ref="H35:H38" si="22">D35+F35</f>
        <v>0</v>
      </c>
      <c r="I35" s="55" t="s">
        <v>35</v>
      </c>
      <c r="J35" s="56">
        <v>0.0297</v>
      </c>
      <c r="K35" s="56">
        <v>0.0319</v>
      </c>
      <c r="L35" s="56">
        <v>0.0261</v>
      </c>
      <c r="M35" s="56">
        <v>0.0354</v>
      </c>
      <c r="N35" s="56">
        <v>0.0358</v>
      </c>
      <c r="O35" s="56">
        <v>0.0305</v>
      </c>
      <c r="P35" s="56">
        <v>0.0387</v>
      </c>
      <c r="Q35" s="56">
        <v>0.0302</v>
      </c>
      <c r="R35" s="56">
        <v>0.0269</v>
      </c>
      <c r="S35" s="56">
        <v>0.0283</v>
      </c>
      <c r="T35" s="56"/>
      <c r="U35" s="56"/>
      <c r="V35" s="56"/>
      <c r="W35" s="56"/>
      <c r="X35" s="56"/>
      <c r="Y35" s="56"/>
      <c r="Z35" s="57" t="str">
        <f t="shared" ref="Z35:AO35" si="23">IF(J35="","",IF(J35&gt;($D35+$E35),(J35-$D35-$E35),IF(J35&lt;($D35+$F35),(J35-$D35-$F35),"√")))</f>
        <v>√</v>
      </c>
      <c r="AA35" s="57" t="str">
        <f t="shared" si="23"/>
        <v>√</v>
      </c>
      <c r="AB35" s="57" t="str">
        <f t="shared" si="23"/>
        <v>√</v>
      </c>
      <c r="AC35" s="57" t="str">
        <f t="shared" si="23"/>
        <v>√</v>
      </c>
      <c r="AD35" s="57" t="str">
        <f t="shared" si="23"/>
        <v>√</v>
      </c>
      <c r="AE35" s="57" t="str">
        <f t="shared" si="23"/>
        <v>√</v>
      </c>
      <c r="AF35" s="57" t="str">
        <f t="shared" si="23"/>
        <v>√</v>
      </c>
      <c r="AG35" s="57" t="str">
        <f t="shared" si="23"/>
        <v>√</v>
      </c>
      <c r="AH35" s="57" t="str">
        <f t="shared" si="23"/>
        <v>√</v>
      </c>
      <c r="AI35" s="57" t="str">
        <f t="shared" si="23"/>
        <v>√</v>
      </c>
      <c r="AJ35" s="57" t="str">
        <f t="shared" si="23"/>
        <v/>
      </c>
      <c r="AK35" s="57" t="str">
        <f t="shared" si="23"/>
        <v/>
      </c>
      <c r="AL35" s="57" t="str">
        <f t="shared" si="23"/>
        <v/>
      </c>
      <c r="AM35" s="57" t="str">
        <f t="shared" si="23"/>
        <v/>
      </c>
      <c r="AN35" s="57" t="str">
        <f t="shared" si="23"/>
        <v/>
      </c>
      <c r="AO35" s="57" t="str">
        <f t="shared" si="23"/>
        <v/>
      </c>
    </row>
    <row r="36" customFormat="1" ht="15" customHeight="1" spans="1:41">
      <c r="A36" s="53"/>
      <c r="B36" s="58" t="s">
        <v>66</v>
      </c>
      <c r="C36" s="58"/>
      <c r="D36" s="55"/>
      <c r="E36" s="55"/>
      <c r="F36" s="55"/>
      <c r="G36" s="55">
        <f t="shared" si="21"/>
        <v>0</v>
      </c>
      <c r="H36" s="55">
        <f t="shared" si="22"/>
        <v>0</v>
      </c>
      <c r="I36" s="55" t="s">
        <v>35</v>
      </c>
      <c r="J36" s="56">
        <v>-0.0149</v>
      </c>
      <c r="K36" s="56">
        <v>-0.0159</v>
      </c>
      <c r="L36" s="56">
        <v>-0.0126</v>
      </c>
      <c r="M36" s="56">
        <v>-0.0174</v>
      </c>
      <c r="N36" s="56">
        <v>-0.0179</v>
      </c>
      <c r="O36" s="56">
        <v>-0.015</v>
      </c>
      <c r="P36" s="56">
        <v>-0.0193</v>
      </c>
      <c r="Q36" s="56">
        <v>-0.0149</v>
      </c>
      <c r="R36" s="56">
        <v>-0.0134</v>
      </c>
      <c r="S36" s="56">
        <v>-0.0142</v>
      </c>
      <c r="T36" s="56"/>
      <c r="U36" s="56"/>
      <c r="V36" s="56"/>
      <c r="W36" s="56"/>
      <c r="X36" s="56"/>
      <c r="Y36" s="56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</row>
    <row r="37" customFormat="1" ht="15" customHeight="1" spans="1:41">
      <c r="A37" s="53"/>
      <c r="B37" s="58" t="s">
        <v>67</v>
      </c>
      <c r="C37" s="58"/>
      <c r="D37" s="55"/>
      <c r="E37" s="55"/>
      <c r="F37" s="55"/>
      <c r="G37" s="55">
        <f t="shared" si="21"/>
        <v>0</v>
      </c>
      <c r="H37" s="55">
        <f t="shared" si="22"/>
        <v>0</v>
      </c>
      <c r="I37" s="55" t="s">
        <v>35</v>
      </c>
      <c r="J37" s="56">
        <v>-0.0144</v>
      </c>
      <c r="K37" s="56">
        <v>-0.0148</v>
      </c>
      <c r="L37" s="56">
        <v>-0.013</v>
      </c>
      <c r="M37" s="56">
        <v>-0.0177</v>
      </c>
      <c r="N37" s="56">
        <v>-0.0167</v>
      </c>
      <c r="O37" s="56">
        <v>-0.015</v>
      </c>
      <c r="P37" s="56">
        <v>-0.0188</v>
      </c>
      <c r="Q37" s="56">
        <v>-0.0151</v>
      </c>
      <c r="R37" s="56">
        <v>-0.0132</v>
      </c>
      <c r="S37" s="56">
        <v>-0.0121</v>
      </c>
      <c r="T37" s="56"/>
      <c r="U37" s="56"/>
      <c r="V37" s="56"/>
      <c r="W37" s="56"/>
      <c r="X37" s="56"/>
      <c r="Y37" s="56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</row>
    <row r="38" customFormat="1" ht="15" customHeight="1" spans="1:41">
      <c r="A38" s="53"/>
      <c r="B38" s="58" t="s">
        <v>68</v>
      </c>
      <c r="C38" s="58"/>
      <c r="D38" s="55"/>
      <c r="E38" s="55"/>
      <c r="F38" s="55"/>
      <c r="G38" s="55">
        <f t="shared" si="21"/>
        <v>0</v>
      </c>
      <c r="H38" s="55">
        <f t="shared" si="22"/>
        <v>0</v>
      </c>
      <c r="I38" s="55" t="s">
        <v>35</v>
      </c>
      <c r="J38" s="56">
        <v>-0.0134</v>
      </c>
      <c r="K38" s="56">
        <v>-0.014</v>
      </c>
      <c r="L38" s="56">
        <v>-0.013</v>
      </c>
      <c r="M38" s="56">
        <v>-0.0164</v>
      </c>
      <c r="N38" s="56">
        <v>-0.0163</v>
      </c>
      <c r="O38" s="56">
        <v>-0.0152</v>
      </c>
      <c r="P38" s="56">
        <v>-0.0182</v>
      </c>
      <c r="Q38" s="56">
        <v>-0.0146</v>
      </c>
      <c r="R38" s="56">
        <v>-0.0135</v>
      </c>
      <c r="S38" s="56">
        <v>-0.0134</v>
      </c>
      <c r="T38" s="56"/>
      <c r="U38" s="56"/>
      <c r="V38" s="56"/>
      <c r="W38" s="56"/>
      <c r="X38" s="56"/>
      <c r="Y38" s="56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</row>
    <row r="39" customFormat="1" ht="15" customHeight="1" spans="1:41">
      <c r="A39" s="53"/>
      <c r="B39" s="58" t="s">
        <v>69</v>
      </c>
      <c r="C39" s="58" t="s">
        <v>70</v>
      </c>
      <c r="D39" s="55">
        <v>0</v>
      </c>
      <c r="E39" s="55">
        <v>0.06</v>
      </c>
      <c r="F39" s="55">
        <v>0</v>
      </c>
      <c r="G39" s="55">
        <f t="shared" ref="G39:G42" si="24">D39+E39</f>
        <v>0.06</v>
      </c>
      <c r="H39" s="55">
        <f t="shared" ref="H39:H42" si="25">D39+F39</f>
        <v>0</v>
      </c>
      <c r="I39" s="55" t="s">
        <v>35</v>
      </c>
      <c r="J39" s="56">
        <v>0.0201</v>
      </c>
      <c r="K39" s="56">
        <v>0.0176</v>
      </c>
      <c r="L39" s="56">
        <v>0.022</v>
      </c>
      <c r="M39" s="56">
        <v>0.0287</v>
      </c>
      <c r="N39" s="56">
        <v>0.0284</v>
      </c>
      <c r="O39" s="56">
        <v>0.0285</v>
      </c>
      <c r="P39" s="56">
        <v>0.0336</v>
      </c>
      <c r="Q39" s="56">
        <v>0.016</v>
      </c>
      <c r="R39" s="56">
        <v>0.0226</v>
      </c>
      <c r="S39" s="56">
        <v>0.0166</v>
      </c>
      <c r="T39" s="56"/>
      <c r="U39" s="56"/>
      <c r="V39" s="56"/>
      <c r="W39" s="56"/>
      <c r="X39" s="56"/>
      <c r="Y39" s="56"/>
      <c r="Z39" s="57" t="str">
        <f t="shared" ref="Z39:AO39" si="26">IF(J39="","",IF(J39&gt;($D39+$E39),(J39-$D39-$E39),IF(J39&lt;($D39+$F39),(J39-$D39-$F39),"√")))</f>
        <v>√</v>
      </c>
      <c r="AA39" s="57" t="str">
        <f t="shared" si="26"/>
        <v>√</v>
      </c>
      <c r="AB39" s="57" t="str">
        <f t="shared" si="26"/>
        <v>√</v>
      </c>
      <c r="AC39" s="57" t="str">
        <f t="shared" si="26"/>
        <v>√</v>
      </c>
      <c r="AD39" s="57" t="str">
        <f t="shared" si="26"/>
        <v>√</v>
      </c>
      <c r="AE39" s="57" t="str">
        <f t="shared" si="26"/>
        <v>√</v>
      </c>
      <c r="AF39" s="57" t="str">
        <f t="shared" si="26"/>
        <v>√</v>
      </c>
      <c r="AG39" s="57" t="str">
        <f t="shared" si="26"/>
        <v>√</v>
      </c>
      <c r="AH39" s="57" t="str">
        <f t="shared" si="26"/>
        <v>√</v>
      </c>
      <c r="AI39" s="57" t="str">
        <f t="shared" si="26"/>
        <v>√</v>
      </c>
      <c r="AJ39" s="57" t="str">
        <f t="shared" si="26"/>
        <v/>
      </c>
      <c r="AK39" s="57" t="str">
        <f t="shared" si="26"/>
        <v/>
      </c>
      <c r="AL39" s="57" t="str">
        <f t="shared" si="26"/>
        <v/>
      </c>
      <c r="AM39" s="57" t="str">
        <f t="shared" si="26"/>
        <v/>
      </c>
      <c r="AN39" s="57" t="str">
        <f t="shared" si="26"/>
        <v/>
      </c>
      <c r="AO39" s="57" t="str">
        <f t="shared" si="26"/>
        <v/>
      </c>
    </row>
    <row r="40" customFormat="1" ht="15" customHeight="1" spans="1:41">
      <c r="A40" s="53"/>
      <c r="B40" s="58" t="s">
        <v>71</v>
      </c>
      <c r="C40" s="58"/>
      <c r="D40" s="55"/>
      <c r="E40" s="55"/>
      <c r="F40" s="55"/>
      <c r="G40" s="55">
        <f t="shared" si="24"/>
        <v>0</v>
      </c>
      <c r="H40" s="55">
        <f t="shared" si="25"/>
        <v>0</v>
      </c>
      <c r="I40" s="55" t="s">
        <v>35</v>
      </c>
      <c r="J40" s="56">
        <v>-0.0101</v>
      </c>
      <c r="K40" s="56">
        <v>-0.0088</v>
      </c>
      <c r="L40" s="56">
        <v>-0.011</v>
      </c>
      <c r="M40" s="56">
        <v>-0.0143</v>
      </c>
      <c r="N40" s="56">
        <v>-0.0142</v>
      </c>
      <c r="O40" s="56">
        <v>-0.0139</v>
      </c>
      <c r="P40" s="56">
        <v>-0.016</v>
      </c>
      <c r="Q40" s="56">
        <v>-0.0076</v>
      </c>
      <c r="R40" s="56">
        <v>-0.0111</v>
      </c>
      <c r="S40" s="56">
        <v>-0.0083</v>
      </c>
      <c r="T40" s="56"/>
      <c r="U40" s="56"/>
      <c r="V40" s="56"/>
      <c r="W40" s="56"/>
      <c r="X40" s="56"/>
      <c r="Y40" s="56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</row>
    <row r="41" customFormat="1" ht="15" customHeight="1" spans="1:41">
      <c r="A41" s="53"/>
      <c r="B41" s="58" t="s">
        <v>72</v>
      </c>
      <c r="C41" s="58"/>
      <c r="D41" s="55"/>
      <c r="E41" s="55"/>
      <c r="F41" s="55"/>
      <c r="G41" s="55">
        <f t="shared" si="24"/>
        <v>0</v>
      </c>
      <c r="H41" s="55">
        <f t="shared" si="25"/>
        <v>0</v>
      </c>
      <c r="I41" s="55" t="s">
        <v>35</v>
      </c>
      <c r="J41" s="56">
        <v>-0.0086</v>
      </c>
      <c r="K41" s="56">
        <v>-0.0078</v>
      </c>
      <c r="L41" s="56">
        <v>-0.0096</v>
      </c>
      <c r="M41" s="56">
        <v>-0.0132</v>
      </c>
      <c r="N41" s="56">
        <v>-0.0133</v>
      </c>
      <c r="O41" s="56">
        <v>-0.0142</v>
      </c>
      <c r="P41" s="56">
        <v>-0.0168</v>
      </c>
      <c r="Q41" s="56">
        <v>-0.008</v>
      </c>
      <c r="R41" s="56">
        <v>-0.0106</v>
      </c>
      <c r="S41" s="56">
        <v>-0.0068</v>
      </c>
      <c r="T41" s="56"/>
      <c r="U41" s="56"/>
      <c r="V41" s="56"/>
      <c r="W41" s="56"/>
      <c r="X41" s="56"/>
      <c r="Y41" s="56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</row>
    <row r="42" customFormat="1" ht="15" customHeight="1" spans="1:41">
      <c r="A42" s="53"/>
      <c r="B42" s="58" t="s">
        <v>73</v>
      </c>
      <c r="C42" s="58"/>
      <c r="D42" s="55"/>
      <c r="E42" s="55"/>
      <c r="F42" s="55"/>
      <c r="G42" s="55">
        <f t="shared" si="24"/>
        <v>0</v>
      </c>
      <c r="H42" s="55">
        <f t="shared" si="25"/>
        <v>0</v>
      </c>
      <c r="I42" s="55" t="s">
        <v>35</v>
      </c>
      <c r="J42" s="56">
        <v>-0.01</v>
      </c>
      <c r="K42" s="56">
        <v>-0.0062</v>
      </c>
      <c r="L42" s="56">
        <v>-0.011</v>
      </c>
      <c r="M42" s="56">
        <v>-0.0119</v>
      </c>
      <c r="N42" s="56">
        <v>-0.0125</v>
      </c>
      <c r="O42" s="56">
        <v>-0.0135</v>
      </c>
      <c r="P42" s="56">
        <v>-0.0159</v>
      </c>
      <c r="Q42" s="56">
        <v>-0.0069</v>
      </c>
      <c r="R42" s="56">
        <v>-0.0113</v>
      </c>
      <c r="S42" s="56">
        <v>-0.0081</v>
      </c>
      <c r="T42" s="56"/>
      <c r="U42" s="56"/>
      <c r="V42" s="56"/>
      <c r="W42" s="56"/>
      <c r="X42" s="56"/>
      <c r="Y42" s="56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</row>
    <row r="43" customFormat="1" ht="15" customHeight="1" spans="1:41">
      <c r="A43" s="53"/>
      <c r="B43" s="58" t="s">
        <v>74</v>
      </c>
      <c r="C43" s="58" t="s">
        <v>75</v>
      </c>
      <c r="D43" s="55">
        <v>0</v>
      </c>
      <c r="E43" s="55">
        <v>0.06</v>
      </c>
      <c r="F43" s="55">
        <v>0</v>
      </c>
      <c r="G43" s="55">
        <f t="shared" ref="G43:G46" si="27">D43+E43</f>
        <v>0.06</v>
      </c>
      <c r="H43" s="55">
        <f t="shared" ref="H43:H46" si="28">D43+F43</f>
        <v>0</v>
      </c>
      <c r="I43" s="55" t="s">
        <v>35</v>
      </c>
      <c r="J43" s="56">
        <v>0.0217</v>
      </c>
      <c r="K43" s="56">
        <v>0.014</v>
      </c>
      <c r="L43" s="56">
        <v>0.0145</v>
      </c>
      <c r="M43" s="56">
        <v>0.0062</v>
      </c>
      <c r="N43" s="56">
        <v>0.0286</v>
      </c>
      <c r="O43" s="56">
        <v>0.0249</v>
      </c>
      <c r="P43" s="56">
        <v>0.014</v>
      </c>
      <c r="Q43" s="56">
        <v>0.0141</v>
      </c>
      <c r="R43" s="56">
        <v>0.0194</v>
      </c>
      <c r="S43" s="56">
        <v>0.0028</v>
      </c>
      <c r="T43" s="56"/>
      <c r="U43" s="56"/>
      <c r="V43" s="56"/>
      <c r="W43" s="56"/>
      <c r="X43" s="56"/>
      <c r="Y43" s="56"/>
      <c r="Z43" s="57" t="str">
        <f t="shared" ref="Z43:AO43" si="29">IF(J43="","",IF(J43&gt;($D43+$E43),(J43-$D43-$E43),IF(J43&lt;($D43+$F43),(J43-$D43-$F43),"√")))</f>
        <v>√</v>
      </c>
      <c r="AA43" s="57" t="str">
        <f t="shared" si="29"/>
        <v>√</v>
      </c>
      <c r="AB43" s="57" t="str">
        <f t="shared" si="29"/>
        <v>√</v>
      </c>
      <c r="AC43" s="57" t="str">
        <f t="shared" si="29"/>
        <v>√</v>
      </c>
      <c r="AD43" s="57" t="str">
        <f t="shared" si="29"/>
        <v>√</v>
      </c>
      <c r="AE43" s="57" t="str">
        <f t="shared" si="29"/>
        <v>√</v>
      </c>
      <c r="AF43" s="57" t="str">
        <f t="shared" si="29"/>
        <v>√</v>
      </c>
      <c r="AG43" s="57" t="str">
        <f t="shared" si="29"/>
        <v>√</v>
      </c>
      <c r="AH43" s="57" t="str">
        <f t="shared" si="29"/>
        <v>√</v>
      </c>
      <c r="AI43" s="57" t="str">
        <f t="shared" si="29"/>
        <v>√</v>
      </c>
      <c r="AJ43" s="57" t="str">
        <f t="shared" si="29"/>
        <v/>
      </c>
      <c r="AK43" s="57" t="str">
        <f t="shared" si="29"/>
        <v/>
      </c>
      <c r="AL43" s="57" t="str">
        <f t="shared" si="29"/>
        <v/>
      </c>
      <c r="AM43" s="57" t="str">
        <f t="shared" si="29"/>
        <v/>
      </c>
      <c r="AN43" s="57" t="str">
        <f t="shared" si="29"/>
        <v/>
      </c>
      <c r="AO43" s="57" t="str">
        <f t="shared" si="29"/>
        <v/>
      </c>
    </row>
    <row r="44" customFormat="1" ht="15" customHeight="1" spans="1:41">
      <c r="A44" s="53"/>
      <c r="B44" s="58" t="s">
        <v>76</v>
      </c>
      <c r="C44" s="58"/>
      <c r="D44" s="55"/>
      <c r="E44" s="55"/>
      <c r="F44" s="55"/>
      <c r="G44" s="55">
        <f t="shared" si="27"/>
        <v>0</v>
      </c>
      <c r="H44" s="55">
        <f t="shared" si="28"/>
        <v>0</v>
      </c>
      <c r="I44" s="55" t="s">
        <v>35</v>
      </c>
      <c r="J44" s="56">
        <v>-0.0102</v>
      </c>
      <c r="K44" s="56">
        <v>-0.007</v>
      </c>
      <c r="L44" s="56">
        <v>-0.005</v>
      </c>
      <c r="M44" s="56">
        <v>-0.0022</v>
      </c>
      <c r="N44" s="56">
        <v>-0.0121</v>
      </c>
      <c r="O44" s="56">
        <v>-0.0103</v>
      </c>
      <c r="P44" s="56">
        <v>-0.0066</v>
      </c>
      <c r="Q44" s="56">
        <v>-0.0067</v>
      </c>
      <c r="R44" s="56">
        <v>-0.009</v>
      </c>
      <c r="S44" s="56">
        <v>-0.0004</v>
      </c>
      <c r="T44" s="56"/>
      <c r="U44" s="56"/>
      <c r="V44" s="56"/>
      <c r="W44" s="56"/>
      <c r="X44" s="56"/>
      <c r="Y44" s="56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</row>
    <row r="45" customFormat="1" ht="15" customHeight="1" spans="1:41">
      <c r="A45" s="53"/>
      <c r="B45" s="58" t="s">
        <v>77</v>
      </c>
      <c r="C45" s="58"/>
      <c r="D45" s="55"/>
      <c r="E45" s="55"/>
      <c r="F45" s="55"/>
      <c r="G45" s="55">
        <f t="shared" si="27"/>
        <v>0</v>
      </c>
      <c r="H45" s="55">
        <f t="shared" si="28"/>
        <v>0</v>
      </c>
      <c r="I45" s="55" t="s">
        <v>35</v>
      </c>
      <c r="J45" s="56">
        <v>-0.0099</v>
      </c>
      <c r="K45" s="56">
        <v>-0.0059</v>
      </c>
      <c r="L45" s="56">
        <v>-0.0054</v>
      </c>
      <c r="M45" s="56">
        <v>-0.0021</v>
      </c>
      <c r="N45" s="56">
        <v>-0.0129</v>
      </c>
      <c r="O45" s="56">
        <v>-0.0104</v>
      </c>
      <c r="P45" s="56">
        <v>-0.007</v>
      </c>
      <c r="Q45" s="56">
        <v>-0.0065</v>
      </c>
      <c r="R45" s="56">
        <v>-0.0085</v>
      </c>
      <c r="S45" s="56">
        <v>0.0008</v>
      </c>
      <c r="T45" s="56"/>
      <c r="U45" s="56"/>
      <c r="V45" s="56"/>
      <c r="W45" s="56"/>
      <c r="X45" s="56"/>
      <c r="Y45" s="56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</row>
    <row r="46" customFormat="1" ht="15" customHeight="1" spans="1:41">
      <c r="A46" s="53"/>
      <c r="B46" s="58" t="s">
        <v>78</v>
      </c>
      <c r="C46" s="58"/>
      <c r="D46" s="55"/>
      <c r="E46" s="55"/>
      <c r="F46" s="55"/>
      <c r="G46" s="55">
        <f t="shared" si="27"/>
        <v>0</v>
      </c>
      <c r="H46" s="55">
        <f t="shared" si="28"/>
        <v>0</v>
      </c>
      <c r="I46" s="55" t="s">
        <v>35</v>
      </c>
      <c r="J46" s="56">
        <v>-0.0109</v>
      </c>
      <c r="K46" s="56">
        <v>-0.0069</v>
      </c>
      <c r="L46" s="56">
        <v>-0.0072</v>
      </c>
      <c r="M46" s="56">
        <v>-0.0031</v>
      </c>
      <c r="N46" s="56">
        <v>-0.0143</v>
      </c>
      <c r="O46" s="56">
        <v>-0.0124</v>
      </c>
      <c r="P46" s="56">
        <v>-0.0064</v>
      </c>
      <c r="Q46" s="56">
        <v>-0.0071</v>
      </c>
      <c r="R46" s="56">
        <v>-0.0097</v>
      </c>
      <c r="S46" s="56">
        <v>-0.0014</v>
      </c>
      <c r="T46" s="56"/>
      <c r="U46" s="56"/>
      <c r="V46" s="56"/>
      <c r="W46" s="56"/>
      <c r="X46" s="56"/>
      <c r="Y46" s="56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</row>
    <row r="47" s="1" customFormat="1" spans="1:41">
      <c r="A47" s="59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1"/>
    </row>
  </sheetData>
  <mergeCells count="30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47:AO47"/>
    <mergeCell ref="A2:A3"/>
    <mergeCell ref="A4:A7"/>
    <mergeCell ref="A8:A46"/>
    <mergeCell ref="B4:B7"/>
    <mergeCell ref="C4:C7"/>
    <mergeCell ref="D4:D7"/>
    <mergeCell ref="E4:E7"/>
    <mergeCell ref="F4:F7"/>
    <mergeCell ref="G4:G7"/>
    <mergeCell ref="H4:H7"/>
    <mergeCell ref="I4:I7"/>
    <mergeCell ref="H2:K3"/>
    <mergeCell ref="L2:R3"/>
    <mergeCell ref="B2:G3"/>
  </mergeCells>
  <conditionalFormatting sqref="J13:Y13">
    <cfRule type="cellIs" dxfId="0" priority="20" operator="notBetween">
      <formula>$G13</formula>
      <formula>$H13</formula>
    </cfRule>
  </conditionalFormatting>
  <conditionalFormatting sqref="J14:Y14">
    <cfRule type="cellIs" dxfId="0" priority="16" operator="notBetween">
      <formula>$G14</formula>
      <formula>$H14</formula>
    </cfRule>
  </conditionalFormatting>
  <conditionalFormatting sqref="J15:Y15">
    <cfRule type="cellIs" dxfId="0" priority="15" operator="notBetween">
      <formula>$G15</formula>
      <formula>$H15</formula>
    </cfRule>
  </conditionalFormatting>
  <conditionalFormatting sqref="J21:Y21">
    <cfRule type="cellIs" dxfId="0" priority="13" operator="notBetween">
      <formula>$G21</formula>
      <formula>$H21</formula>
    </cfRule>
  </conditionalFormatting>
  <conditionalFormatting sqref="J39:Y39">
    <cfRule type="cellIs" dxfId="0" priority="18" operator="notBetween">
      <formula>$G39</formula>
      <formula>$H39</formula>
    </cfRule>
  </conditionalFormatting>
  <conditionalFormatting sqref="J43:Y43">
    <cfRule type="cellIs" dxfId="0" priority="17" operator="notBetween">
      <formula>$G43</formula>
      <formula>$H43</formula>
    </cfRule>
  </conditionalFormatting>
  <conditionalFormatting sqref="J8:Y12">
    <cfRule type="cellIs" dxfId="0" priority="28" operator="notBetween">
      <formula>$G8</formula>
      <formula>$H8</formula>
    </cfRule>
  </conditionalFormatting>
  <conditionalFormatting sqref="J18:Y18 J22:Y22">
    <cfRule type="cellIs" dxfId="0" priority="21" operator="notBetween">
      <formula>$G18</formula>
      <formula>$H18</formula>
    </cfRule>
  </conditionalFormatting>
  <conditionalFormatting sqref="J31:Y31 J35:Y35">
    <cfRule type="cellIs" dxfId="0" priority="19" operator="notBetween">
      <formula>$G31</formula>
      <formula>$H31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Z8:AO12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806-63452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2026-06-15T23:17:23Z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