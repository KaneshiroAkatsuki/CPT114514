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6" sheetId="1" r:id="rId1"/>
  </sheets>
  <definedNames>
    <definedName name="_xlnm.Print_Area" localSheetId="0">'806-65036'!$B$1:$AE$6</definedName>
    <definedName name="_xlnm.Print_Titles" localSheetId="0">'806-65036'!$1:6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<sst xmlns="http://schemas.openxmlformats.org/spreadsheetml/2006/main" count="87" uniqueCount="50">
  <si>
    <t>安徽中耀智能科技有限公司首件尺寸报告</t>
  </si>
  <si>
    <t>料号</t>
  </si>
  <si>
    <t>X806-65036</t>
  </si>
  <si>
    <t>工单号</t>
  </si>
  <si>
    <t>ww115-260515021</t>
  </si>
  <si>
    <t>工站</t>
  </si>
  <si>
    <t xml:space="preserve">射出机台号     
</t>
  </si>
  <si>
    <t>量测机台号</t>
  </si>
  <si>
    <t>测量人员</t>
  </si>
  <si>
    <t>审核</t>
  </si>
  <si>
    <t>射出</t>
  </si>
  <si>
    <t>3FC02#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</si>
  <si>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</si>
  <si>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</si>
  <si>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</si>
  <si>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</si>
  <si>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</si>
  <si>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</si>
  <si>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</si>
  <si>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</si>
  <si>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</si>
  <si>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</si>
  <si>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</si>
  <si>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</si>
  <si>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</si>
  <si>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</si>
  <si>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</si>
  <si>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</si>
  <si>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</si>
  <si>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</si>
  <si>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</si>
  <si>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</si>
  <si>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</si>
  <si>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</si>
  <si>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</si>
  <si>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</si>
  <si>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</si>
  <si>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</si>
  <si>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</si>
  <si>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</si>
  <si>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</si>
  <si>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</si>
  <si>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</si>
  <si>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</si>
  <si>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FAI 19</t>
  </si>
  <si>
    <t>OMM</t>
  </si>
  <si>
    <t>FAI 21</t>
  </si>
  <si>
    <t>FAI 22</t>
  </si>
  <si>
    <t>V</t>
  </si>
  <si>
    <r>
      <t>复测1</t>
    </r>
    <r>
      <rPr>
        <b/>
        <sz val="11"/>
        <rFont val="Arial"/>
        <charset val="134"/>
      </rPr>
      <t>-2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</si>
</sst>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7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49" fontId="7" fillId="3" borderId="4" xfId="60" applyNumberFormat="1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4" borderId="4" xfId="60" applyFont="1" applyFill="1" applyBorder="1" applyAlignment="1">
      <alignment horizontal="center" vertical="center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3"/>
  <sheetViews>
    <sheetView tabSelected="1" workbookViewId="0">
      <selection activeCell="L18" sqref="L18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 t="s">
        <v>28</v>
      </c>
      <c r="K6" s="62" t="s">
        <v>29</v>
      </c>
      <c r="L6" s="62" t="s">
        <v>30</v>
      </c>
      <c r="M6" s="62" t="s">
        <v>31</v>
      </c>
      <c r="N6" s="62" t="s">
        <v>32</v>
      </c>
      <c r="O6" s="62" t="s">
        <v>33</v>
      </c>
      <c r="P6" s="62" t="s">
        <v>34</v>
      </c>
      <c r="Q6" s="62" t="s">
        <v>35</v>
      </c>
      <c r="R6" s="62" t="s">
        <v>36</v>
      </c>
      <c r="S6" s="62" t="s">
        <v>37</v>
      </c>
      <c r="T6" s="62" t="s">
        <v>38</v>
      </c>
      <c r="U6" s="62" t="s">
        <v>39</v>
      </c>
      <c r="V6" s="62" t="s">
        <v>40</v>
      </c>
      <c r="W6" s="62" t="s">
        <v>41</v>
      </c>
      <c r="X6" s="62" t="s">
        <v>42</v>
      </c>
      <c r="Y6" s="62" t="s">
        <v>43</v>
      </c>
      <c r="Z6" s="63" t="str">
        <f t="shared" ref="Z6" si="0">J6</f>
        <v>1-1</v>
      </c>
      <c r="AA6" s="63" t="str">
        <f t="shared" ref="AA6:AO6" si="1">K6</f>
        <v>1-2</v>
      </c>
      <c r="AB6" s="63" t="str">
        <f t="shared" si="1"/>
        <v>2-1</v>
      </c>
      <c r="AC6" s="63" t="str">
        <f t="shared" si="1"/>
        <v>2-2</v>
      </c>
      <c r="AD6" s="63" t="str">
        <f t="shared" si="1"/>
        <v>3-1</v>
      </c>
      <c r="AE6" s="63" t="str">
        <f t="shared" si="1"/>
        <v>3-2</v>
      </c>
      <c r="AF6" s="63" t="str">
        <f t="shared" si="1"/>
        <v>4-1</v>
      </c>
      <c r="AG6" s="63" t="str">
        <f t="shared" si="1"/>
        <v>4-2</v>
      </c>
      <c r="AH6" s="63" t="str">
        <f t="shared" si="1"/>
        <v>5-1</v>
      </c>
      <c r="AI6" s="63" t="str">
        <f t="shared" si="1"/>
        <v>5-2</v>
      </c>
      <c r="AJ6" s="63" t="str">
        <f t="shared" si="1"/>
        <v>6-1</v>
      </c>
      <c r="AK6" s="63" t="str">
        <f t="shared" si="1"/>
        <v>6-2</v>
      </c>
      <c r="AL6" s="63" t="str">
        <f t="shared" si="1"/>
        <v>7-1</v>
      </c>
      <c r="AM6" s="63" t="str">
        <f t="shared" si="1"/>
        <v>7-2</v>
      </c>
      <c r="AN6" s="63" t="str">
        <f t="shared" si="1"/>
        <v>8-1</v>
      </c>
      <c r="AO6" s="63" t="str">
        <f t="shared" si="1"/>
        <v>8-2</v>
      </c>
    </row>
    <row r="7" spans="1:41">
      <c r="A7" s="64">
        <v>46189</v>
      </c>
      <c r="B7" s="65" t="s">
        <v>44</v>
      </c>
      <c r="C7" s="65"/>
      <c r="D7" s="66">
        <v>5.2</v>
      </c>
      <c r="E7" s="66">
        <v>0.03</v>
      </c>
      <c r="F7" s="66">
        <v>-0.03</v>
      </c>
      <c r="G7" s="67">
        <f>D7+E7</f>
        <v>5.23</v>
      </c>
      <c r="H7" s="67">
        <f>D7+F7</f>
        <v>5.17</v>
      </c>
      <c r="I7" s="68" t="s">
        <v>45</v>
      </c>
      <c r="J7" s="69">
        <v>5.1877</v>
      </c>
      <c r="K7" s="69">
        <v>5.1615</v>
      </c>
      <c r="L7" s="69">
        <v>5.2223</v>
      </c>
      <c r="M7" s="69">
        <v>5.1691</v>
      </c>
      <c r="N7" s="69">
        <v>5.2094</v>
      </c>
      <c r="O7" s="69">
        <v>5.1849</v>
      </c>
      <c r="P7" s="69">
        <v>5.155</v>
      </c>
      <c r="Q7" s="69">
        <v>5.1923</v>
      </c>
      <c r="R7" s="69">
        <v>5.2119</v>
      </c>
      <c r="S7" s="69">
        <v>5.1786</v>
      </c>
      <c r="T7" s="69">
        <v>5.2208</v>
      </c>
      <c r="U7" s="69">
        <v>5.229</v>
      </c>
      <c r="V7" s="69">
        <v>5.1704</v>
      </c>
      <c r="W7" s="69">
        <v>5.2103</v>
      </c>
      <c r="X7" s="69">
        <v>5.2116</v>
      </c>
      <c r="Y7" s="69">
        <v>5.1716</v>
      </c>
      <c r="Z7" s="70" t="str">
        <f t="shared" ref="Z7:AO9" si="2">IF(J7="","",IF(J7&gt;($D7+$E7),(J7-$D7-$E7),IF(J7&lt;($D7+$F7),(J7-$D7-$F7),"√")))</f>
        <v>√</v>
      </c>
      <c r="AA7" s="70">
        <f t="shared" si="2"/>
        <v>-0.00849999999999998</v>
      </c>
      <c r="AB7" s="70" t="str">
        <f t="shared" si="2"/>
        <v>√</v>
      </c>
      <c r="AC7" s="70">
        <f t="shared" si="2"/>
        <v>-0.000899999999999929</v>
      </c>
      <c r="AD7" s="70" t="str">
        <f t="shared" si="2"/>
        <v>√</v>
      </c>
      <c r="AE7" s="70" t="str">
        <f t="shared" si="2"/>
        <v>√</v>
      </c>
      <c r="AF7" s="70">
        <f t="shared" si="2"/>
        <v>-0.0149999999999999</v>
      </c>
      <c r="AG7" s="70" t="str">
        <f t="shared" si="2"/>
        <v>√</v>
      </c>
      <c r="AH7" s="70" t="str">
        <f t="shared" si="2"/>
        <v>√</v>
      </c>
      <c r="AI7" s="70" t="str">
        <f t="shared" si="2"/>
        <v>√</v>
      </c>
      <c r="AJ7" s="70" t="str">
        <f t="shared" si="2"/>
        <v>√</v>
      </c>
      <c r="AK7" s="70" t="str">
        <f t="shared" si="2"/>
        <v>√</v>
      </c>
      <c r="AL7" s="70" t="str">
        <f t="shared" si="2"/>
        <v>√</v>
      </c>
      <c r="AM7" s="70" t="str">
        <f t="shared" si="2"/>
        <v>√</v>
      </c>
      <c r="AN7" s="70" t="str">
        <f t="shared" si="2"/>
        <v>√</v>
      </c>
      <c r="AO7" s="70" t="str">
        <f t="shared" si="2"/>
        <v>√</v>
      </c>
    </row>
    <row r="8" spans="1:41">
      <c r="A8" s="64"/>
      <c r="B8" s="65" t="s">
        <v>46</v>
      </c>
      <c r="C8" s="65"/>
      <c r="D8" s="66">
        <v>9.55</v>
      </c>
      <c r="E8" s="66">
        <v>0.05</v>
      </c>
      <c r="F8" s="66">
        <v>-0.05</v>
      </c>
      <c r="G8" s="67">
        <f>D8+E8</f>
        <v>9.6</v>
      </c>
      <c r="H8" s="67">
        <f>D8+F8</f>
        <v>9.5</v>
      </c>
      <c r="I8" s="68" t="s">
        <v>45</v>
      </c>
      <c r="J8" s="69">
        <v>9.5441</v>
      </c>
      <c r="K8" s="69">
        <v>9.5396</v>
      </c>
      <c r="L8" s="69">
        <v>9.5411</v>
      </c>
      <c r="M8" s="69">
        <v>9.5393</v>
      </c>
      <c r="N8" s="69">
        <v>9.5447</v>
      </c>
      <c r="O8" s="69">
        <v>9.5495</v>
      </c>
      <c r="P8" s="69">
        <v>9.544</v>
      </c>
      <c r="Q8" s="69">
        <v>9.5461</v>
      </c>
      <c r="R8" s="69">
        <v>9.5531</v>
      </c>
      <c r="S8" s="69">
        <v>9.5479</v>
      </c>
      <c r="T8" s="69">
        <v>9.5359</v>
      </c>
      <c r="U8" s="69">
        <v>9.5355</v>
      </c>
      <c r="V8" s="69">
        <v>9.5488</v>
      </c>
      <c r="W8" s="69">
        <v>9.5427</v>
      </c>
      <c r="X8" s="69">
        <v>9.5474</v>
      </c>
      <c r="Y8" s="69">
        <v>9.5463</v>
      </c>
      <c r="Z8" s="70" t="str">
        <f t="shared" si="2"/>
        <v>√</v>
      </c>
      <c r="AA8" s="70" t="str">
        <f t="shared" si="2"/>
        <v>√</v>
      </c>
      <c r="AB8" s="70" t="str">
        <f t="shared" si="2"/>
        <v>√</v>
      </c>
      <c r="AC8" s="70" t="str">
        <f t="shared" si="2"/>
        <v>√</v>
      </c>
      <c r="AD8" s="70" t="str">
        <f t="shared" si="2"/>
        <v>√</v>
      </c>
      <c r="AE8" s="70" t="str">
        <f t="shared" si="2"/>
        <v>√</v>
      </c>
      <c r="AF8" s="70" t="str">
        <f t="shared" si="2"/>
        <v>√</v>
      </c>
      <c r="AG8" s="70" t="str">
        <f t="shared" si="2"/>
        <v>√</v>
      </c>
      <c r="AH8" s="70" t="str">
        <f t="shared" si="2"/>
        <v>√</v>
      </c>
      <c r="AI8" s="70" t="str">
        <f t="shared" si="2"/>
        <v>√</v>
      </c>
      <c r="AJ8" s="70" t="str">
        <f t="shared" si="2"/>
        <v>√</v>
      </c>
      <c r="AK8" s="70" t="str">
        <f t="shared" si="2"/>
        <v>√</v>
      </c>
      <c r="AL8" s="70" t="str">
        <f t="shared" si="2"/>
        <v>√</v>
      </c>
      <c r="AM8" s="70" t="str">
        <f t="shared" si="2"/>
        <v>√</v>
      </c>
      <c r="AN8" s="70" t="str">
        <f t="shared" si="2"/>
        <v>√</v>
      </c>
      <c r="AO8" s="70" t="str">
        <f t="shared" si="2"/>
        <v>√</v>
      </c>
    </row>
    <row r="9" spans="1:41">
      <c r="A9" s="64"/>
      <c r="B9" s="65" t="s">
        <v>47</v>
      </c>
      <c r="C9" s="65" t="s">
        <v>48</v>
      </c>
      <c r="D9" s="66">
        <v>3.71</v>
      </c>
      <c r="E9" s="66">
        <v>0.03</v>
      </c>
      <c r="F9" s="66">
        <v>-0.03</v>
      </c>
      <c r="G9" s="67">
        <f>D9+E9</f>
        <v>3.74</v>
      </c>
      <c r="H9" s="67">
        <f>D9+F9</f>
        <v>3.68</v>
      </c>
      <c r="I9" s="68" t="s">
        <v>45</v>
      </c>
      <c r="J9" s="69">
        <v>3.7227</v>
      </c>
      <c r="K9" s="69">
        <v>3.736</v>
      </c>
      <c r="L9" s="69">
        <v>3.7362</v>
      </c>
      <c r="M9" s="69">
        <v>3.7356</v>
      </c>
      <c r="N9" s="69">
        <v>3.718</v>
      </c>
      <c r="O9" s="69">
        <v>3.7179</v>
      </c>
      <c r="P9" s="69">
        <v>3.7317</v>
      </c>
      <c r="Q9" s="69">
        <v>3.7045</v>
      </c>
      <c r="R9" s="69">
        <v>3.7292</v>
      </c>
      <c r="S9" s="69">
        <v>3.7182</v>
      </c>
      <c r="T9" s="69">
        <v>3.7047</v>
      </c>
      <c r="U9" s="69">
        <v>3.7145</v>
      </c>
      <c r="V9" s="69">
        <v>3.7346</v>
      </c>
      <c r="W9" s="69">
        <v>3.7041</v>
      </c>
      <c r="X9" s="69">
        <v>3.7049</v>
      </c>
      <c r="Y9" s="69">
        <v>3.7155</v>
      </c>
      <c r="Z9" s="70" t="str">
        <f t="shared" si="2"/>
        <v>√</v>
      </c>
      <c r="AA9" s="70" t="str">
        <f t="shared" si="2"/>
        <v>√</v>
      </c>
      <c r="AB9" s="70" t="str">
        <f t="shared" si="2"/>
        <v>√</v>
      </c>
      <c r="AC9" s="70" t="str">
        <f t="shared" si="2"/>
        <v>√</v>
      </c>
      <c r="AD9" s="70" t="str">
        <f t="shared" si="2"/>
        <v>√</v>
      </c>
      <c r="AE9" s="70" t="str">
        <f t="shared" si="2"/>
        <v>√</v>
      </c>
      <c r="AF9" s="70" t="str">
        <f t="shared" si="2"/>
        <v>√</v>
      </c>
      <c r="AG9" s="70" t="str">
        <f t="shared" si="2"/>
        <v>√</v>
      </c>
      <c r="AH9" s="70" t="str">
        <f t="shared" si="2"/>
        <v>√</v>
      </c>
      <c r="AI9" s="70" t="str">
        <f t="shared" si="2"/>
        <v>√</v>
      </c>
      <c r="AJ9" s="70" t="str">
        <f t="shared" si="2"/>
        <v>√</v>
      </c>
      <c r="AK9" s="70" t="str">
        <f t="shared" si="2"/>
        <v>√</v>
      </c>
      <c r="AL9" s="70" t="str">
        <f t="shared" si="2"/>
        <v>√</v>
      </c>
      <c r="AM9" s="70" t="str">
        <f t="shared" si="2"/>
        <v>√</v>
      </c>
      <c r="AN9" s="70" t="str">
        <f t="shared" si="2"/>
        <v>√</v>
      </c>
      <c r="AO9" s="70" t="str">
        <f t="shared" si="2"/>
        <v>√</v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customHeight="1" spans="1:41">
      <c r="A13" s="41" t="s">
        <v>15</v>
      </c>
      <c r="B13" s="41" t="s">
        <v>16</v>
      </c>
      <c r="C13" s="41" t="s">
        <v>17</v>
      </c>
      <c r="D13" s="42" t="s">
        <v>18</v>
      </c>
      <c r="E13" s="43" t="s">
        <v>19</v>
      </c>
      <c r="F13" s="44" t="s">
        <v>20</v>
      </c>
      <c r="G13" s="44" t="s">
        <v>21</v>
      </c>
      <c r="H13" s="44" t="s">
        <v>22</v>
      </c>
      <c r="I13" s="45" t="s">
        <v>23</v>
      </c>
      <c r="J13" s="46" t="s">
        <v>24</v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8"/>
      <c r="Z13" s="49" t="s">
        <v>25</v>
      </c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1"/>
    </row>
    <row r="14" ht="13.5" customHeight="1" spans="1:41">
      <c r="A14" s="52"/>
      <c r="B14" s="52"/>
      <c r="C14" s="52"/>
      <c r="D14" s="53"/>
      <c r="E14" s="54"/>
      <c r="F14" s="55"/>
      <c r="G14" s="55"/>
      <c r="H14" s="55"/>
      <c r="I14" s="56"/>
      <c r="J14" s="46" t="s">
        <v>26</v>
      </c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8"/>
      <c r="Z14" s="49" t="s">
        <v>27</v>
      </c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1"/>
    </row>
    <row r="15" customHeight="1" spans="1:41">
      <c r="A15" s="57"/>
      <c r="B15" s="57"/>
      <c r="C15" s="57"/>
      <c r="D15" s="58"/>
      <c r="E15" s="59"/>
      <c r="F15" s="60"/>
      <c r="G15" s="60"/>
      <c r="H15" s="60"/>
      <c r="I15" s="61"/>
      <c r="J15" s="71" t="s">
        <v>49</v>
      </c>
      <c r="K15" s="62" t="s">
        <v>29</v>
      </c>
      <c r="L15" s="62" t="s">
        <v>30</v>
      </c>
      <c r="M15" s="62" t="s">
        <v>31</v>
      </c>
      <c r="N15" s="62" t="s">
        <v>32</v>
      </c>
      <c r="O15" s="62" t="s">
        <v>33</v>
      </c>
      <c r="P15" s="62" t="s">
        <v>34</v>
      </c>
      <c r="Q15" s="62" t="s">
        <v>35</v>
      </c>
      <c r="R15" s="62" t="s">
        <v>36</v>
      </c>
      <c r="S15" s="62" t="s">
        <v>37</v>
      </c>
      <c r="T15" s="62" t="s">
        <v>38</v>
      </c>
      <c r="U15" s="62" t="s">
        <v>39</v>
      </c>
      <c r="V15" s="62" t="s">
        <v>40</v>
      </c>
      <c r="W15" s="62" t="s">
        <v>41</v>
      </c>
      <c r="X15" s="62" t="s">
        <v>42</v>
      </c>
      <c r="Y15" s="62" t="s">
        <v>43</v>
      </c>
      <c r="Z15" s="63" t="str">
        <f t="shared" ref="Z15:AO15" si="3">J15</f>
        <v>复测1-2</v>
      </c>
      <c r="AA15" s="63" t="str">
        <f t="shared" si="3"/>
        <v>1-2</v>
      </c>
      <c r="AB15" s="63" t="str">
        <f t="shared" si="3"/>
        <v>2-1</v>
      </c>
      <c r="AC15" s="63" t="str">
        <f t="shared" si="3"/>
        <v>2-2</v>
      </c>
      <c r="AD15" s="63" t="str">
        <f t="shared" si="3"/>
        <v>3-1</v>
      </c>
      <c r="AE15" s="63" t="str">
        <f t="shared" si="3"/>
        <v>3-2</v>
      </c>
      <c r="AF15" s="63" t="str">
        <f t="shared" si="3"/>
        <v>4-1</v>
      </c>
      <c r="AG15" s="63" t="str">
        <f t="shared" si="3"/>
        <v>4-2</v>
      </c>
      <c r="AH15" s="63" t="str">
        <f t="shared" si="3"/>
        <v>5-1</v>
      </c>
      <c r="AI15" s="63" t="str">
        <f t="shared" si="3"/>
        <v>5-2</v>
      </c>
      <c r="AJ15" s="63" t="str">
        <f t="shared" si="3"/>
        <v>6-1</v>
      </c>
      <c r="AK15" s="63" t="str">
        <f t="shared" si="3"/>
        <v>6-2</v>
      </c>
      <c r="AL15" s="63" t="str">
        <f t="shared" si="3"/>
        <v>7-1</v>
      </c>
      <c r="AM15" s="63" t="str">
        <f t="shared" si="3"/>
        <v>7-2</v>
      </c>
      <c r="AN15" s="63" t="str">
        <f t="shared" si="3"/>
        <v>8-1</v>
      </c>
      <c r="AO15" s="63" t="str">
        <f t="shared" si="3"/>
        <v>8-2</v>
      </c>
    </row>
    <row r="16" spans="1:41">
      <c r="A16" s="64">
        <v>46189</v>
      </c>
      <c r="B16" s="65" t="s">
        <v>44</v>
      </c>
      <c r="C16" s="65"/>
      <c r="D16" s="66">
        <v>5.2</v>
      </c>
      <c r="E16" s="66">
        <v>0.03</v>
      </c>
      <c r="F16" s="66">
        <v>-0.03</v>
      </c>
      <c r="G16" s="67">
        <f t="shared" ref="G16:G18" si="4">D16+E16</f>
        <v>5.23</v>
      </c>
      <c r="H16" s="67">
        <f t="shared" ref="H16:H18" si="5">D16+F16</f>
        <v>5.17</v>
      </c>
      <c r="I16" s="68" t="s">
        <v>45</v>
      </c>
      <c r="J16" s="69">
        <v>5.1614</v>
      </c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70">
        <f t="shared" ref="Z16:AO16" si="6">IF(J16="","",IF(J16&gt;($D16+$E16),(J16-$D16-$E16),IF(J16&lt;($D16+$F16),(J16-$D16-$F16),"√")))</f>
        <v>-0.00859999999999975</v>
      </c>
      <c r="AA16" s="70" t="str">
        <f t="shared" si="6"/>
        <v/>
      </c>
      <c r="AB16" s="70" t="str">
        <f t="shared" si="6"/>
        <v/>
      </c>
      <c r="AC16" s="70" t="str">
        <f t="shared" si="6"/>
        <v/>
      </c>
      <c r="AD16" s="70" t="str">
        <f t="shared" si="6"/>
        <v/>
      </c>
      <c r="AE16" s="70" t="str">
        <f t="shared" si="6"/>
        <v/>
      </c>
      <c r="AF16" s="70" t="str">
        <f t="shared" si="6"/>
        <v/>
      </c>
      <c r="AG16" s="70" t="str">
        <f t="shared" si="6"/>
        <v/>
      </c>
      <c r="AH16" s="70" t="str">
        <f t="shared" si="6"/>
        <v/>
      </c>
      <c r="AI16" s="70" t="str">
        <f t="shared" si="6"/>
        <v/>
      </c>
      <c r="AJ16" s="70" t="str">
        <f t="shared" si="6"/>
        <v/>
      </c>
      <c r="AK16" s="70" t="str">
        <f t="shared" si="6"/>
        <v/>
      </c>
      <c r="AL16" s="70" t="str">
        <f t="shared" si="6"/>
        <v/>
      </c>
      <c r="AM16" s="70" t="str">
        <f t="shared" si="6"/>
        <v/>
      </c>
      <c r="AN16" s="70" t="str">
        <f t="shared" si="6"/>
        <v/>
      </c>
      <c r="AO16" s="70" t="str">
        <f t="shared" si="6"/>
        <v/>
      </c>
    </row>
    <row r="17" spans="1:41">
      <c r="A17" s="64"/>
      <c r="B17" s="65" t="s">
        <v>46</v>
      </c>
      <c r="C17" s="65"/>
      <c r="D17" s="66">
        <v>9.55</v>
      </c>
      <c r="E17" s="66">
        <v>0.05</v>
      </c>
      <c r="F17" s="66">
        <v>-0.05</v>
      </c>
      <c r="G17" s="67">
        <f t="shared" si="4"/>
        <v>9.6</v>
      </c>
      <c r="H17" s="67">
        <f t="shared" si="5"/>
        <v>9.5</v>
      </c>
      <c r="I17" s="68" t="s">
        <v>45</v>
      </c>
      <c r="J17" s="69">
        <v>9.5381</v>
      </c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70" t="str">
        <f t="shared" ref="Z17:AO17" si="7">IF(J17="","",IF(J17&gt;($D17+$E17),(J17-$D17-$E17),IF(J17&lt;($D17+$F17),(J17-$D17-$F17),"√")))</f>
        <v>√</v>
      </c>
      <c r="AA17" s="70" t="str">
        <f t="shared" si="7"/>
        <v/>
      </c>
      <c r="AB17" s="70" t="str">
        <f t="shared" si="7"/>
        <v/>
      </c>
      <c r="AC17" s="70" t="str">
        <f t="shared" si="7"/>
        <v/>
      </c>
      <c r="AD17" s="70" t="str">
        <f t="shared" si="7"/>
        <v/>
      </c>
      <c r="AE17" s="70" t="str">
        <f t="shared" si="7"/>
        <v/>
      </c>
      <c r="AF17" s="70" t="str">
        <f t="shared" si="7"/>
        <v/>
      </c>
      <c r="AG17" s="70" t="str">
        <f t="shared" si="7"/>
        <v/>
      </c>
      <c r="AH17" s="70" t="str">
        <f t="shared" si="7"/>
        <v/>
      </c>
      <c r="AI17" s="70" t="str">
        <f t="shared" si="7"/>
        <v/>
      </c>
      <c r="AJ17" s="70" t="str">
        <f t="shared" si="7"/>
        <v/>
      </c>
      <c r="AK17" s="70" t="str">
        <f t="shared" si="7"/>
        <v/>
      </c>
      <c r="AL17" s="70" t="str">
        <f t="shared" si="7"/>
        <v/>
      </c>
      <c r="AM17" s="70" t="str">
        <f t="shared" si="7"/>
        <v/>
      </c>
      <c r="AN17" s="70" t="str">
        <f t="shared" si="7"/>
        <v/>
      </c>
      <c r="AO17" s="70" t="str">
        <f t="shared" si="7"/>
        <v/>
      </c>
    </row>
    <row r="18" spans="1:41">
      <c r="A18" s="64"/>
      <c r="B18" s="65" t="s">
        <v>47</v>
      </c>
      <c r="C18" s="65" t="s">
        <v>48</v>
      </c>
      <c r="D18" s="66">
        <v>3.71</v>
      </c>
      <c r="E18" s="66">
        <v>0.03</v>
      </c>
      <c r="F18" s="66">
        <v>-0.03</v>
      </c>
      <c r="G18" s="67">
        <f t="shared" si="4"/>
        <v>3.74</v>
      </c>
      <c r="H18" s="67">
        <f t="shared" si="5"/>
        <v>3.68</v>
      </c>
      <c r="I18" s="68" t="s">
        <v>45</v>
      </c>
      <c r="J18" s="69">
        <v>3.734</v>
      </c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70" t="str">
        <f t="shared" ref="Z18:AO18" si="8">IF(J18="","",IF(J18&gt;($D18+$E18),(J18-$D18-$E18),IF(J18&lt;($D18+$F18),(J18-$D18-$F18),"√")))</f>
        <v>√</v>
      </c>
      <c r="AA18" s="70" t="str">
        <f t="shared" si="8"/>
        <v/>
      </c>
      <c r="AB18" s="70" t="str">
        <f t="shared" si="8"/>
        <v/>
      </c>
      <c r="AC18" s="70" t="str">
        <f t="shared" si="8"/>
        <v/>
      </c>
      <c r="AD18" s="70" t="str">
        <f t="shared" si="8"/>
        <v/>
      </c>
      <c r="AE18" s="70" t="str">
        <f t="shared" si="8"/>
        <v/>
      </c>
      <c r="AF18" s="70" t="str">
        <f t="shared" si="8"/>
        <v/>
      </c>
      <c r="AG18" s="70" t="str">
        <f t="shared" si="8"/>
        <v/>
      </c>
      <c r="AH18" s="70" t="str">
        <f t="shared" si="8"/>
        <v/>
      </c>
      <c r="AI18" s="70" t="str">
        <f t="shared" si="8"/>
        <v/>
      </c>
      <c r="AJ18" s="70" t="str">
        <f t="shared" si="8"/>
        <v/>
      </c>
      <c r="AK18" s="70" t="str">
        <f t="shared" si="8"/>
        <v/>
      </c>
      <c r="AL18" s="70" t="str">
        <f t="shared" si="8"/>
        <v/>
      </c>
      <c r="AM18" s="70" t="str">
        <f t="shared" si="8"/>
        <v/>
      </c>
      <c r="AN18" s="70" t="str">
        <f t="shared" si="8"/>
        <v/>
      </c>
      <c r="AO18" s="70" t="str">
        <f t="shared" si="8"/>
        <v/>
      </c>
    </row>
    <row r="19" spans="1:41">
      <c r="D19"/>
      <c r="E19"/>
      <c r="F19"/>
      <c r="G19"/>
      <c r="H19"/>
      <c r="I19"/>
    </row>
    <row r="20" spans="1:41">
      <c r="D20"/>
      <c r="E20"/>
      <c r="F20"/>
      <c r="G20"/>
      <c r="H20"/>
      <c r="I20"/>
    </row>
    <row r="21" spans="1:41">
      <c r="D21"/>
      <c r="E21"/>
      <c r="F21"/>
      <c r="G21"/>
      <c r="H21"/>
      <c r="I21"/>
    </row>
    <row r="22" spans="1:41">
      <c r="D22"/>
      <c r="E22"/>
      <c r="F22"/>
      <c r="G22"/>
      <c r="H22"/>
      <c r="I22"/>
    </row>
    <row r="23" spans="1:41">
      <c r="D23"/>
      <c r="E23"/>
      <c r="F23"/>
      <c r="G23"/>
      <c r="H23"/>
      <c r="I23"/>
    </row>
    <row r="24" spans="1:41">
      <c r="D24"/>
      <c r="E24"/>
      <c r="F24"/>
      <c r="G24"/>
      <c r="H24"/>
      <c r="I24"/>
    </row>
    <row r="25" spans="1:41">
      <c r="D25"/>
      <c r="E25"/>
      <c r="F25"/>
      <c r="G25"/>
      <c r="H25"/>
      <c r="I25"/>
    </row>
    <row r="26" spans="1:41">
      <c r="D26"/>
      <c r="E26"/>
      <c r="F26"/>
      <c r="G26"/>
      <c r="H26"/>
      <c r="I26"/>
    </row>
    <row r="27" spans="1:41">
      <c r="D27"/>
      <c r="E27"/>
      <c r="F27"/>
      <c r="G27"/>
      <c r="H27"/>
      <c r="I27"/>
    </row>
    <row r="28" spans="1:41">
      <c r="D28"/>
      <c r="E28"/>
      <c r="F28"/>
      <c r="G28"/>
      <c r="H28"/>
      <c r="I28"/>
    </row>
    <row r="29" spans="1:41">
      <c r="D29"/>
      <c r="E29"/>
      <c r="F29"/>
      <c r="G29"/>
      <c r="H29"/>
      <c r="I29"/>
    </row>
    <row r="30" spans="1:41">
      <c r="D30"/>
      <c r="E30"/>
      <c r="F30"/>
      <c r="G30"/>
      <c r="H30"/>
      <c r="I30"/>
    </row>
    <row r="31" spans="1:41">
      <c r="D31"/>
      <c r="E31"/>
      <c r="F31"/>
      <c r="G31"/>
      <c r="H31"/>
      <c r="I31"/>
    </row>
    <row r="32" spans="1:41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</sheetData>
  <mergeCells count="4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3:Y13"/>
    <mergeCell ref="Z13:AO13"/>
    <mergeCell ref="J14:Y14"/>
    <mergeCell ref="Z14:AO14"/>
    <mergeCell ref="A2:A3"/>
    <mergeCell ref="A4:A6"/>
    <mergeCell ref="A7:A9"/>
    <mergeCell ref="A13:A15"/>
    <mergeCell ref="A16:A18"/>
    <mergeCell ref="B4:B6"/>
    <mergeCell ref="B13:B15"/>
    <mergeCell ref="C4:C6"/>
    <mergeCell ref="C13:C15"/>
    <mergeCell ref="D4:D6"/>
    <mergeCell ref="D13:D15"/>
    <mergeCell ref="E4:E6"/>
    <mergeCell ref="E13:E15"/>
    <mergeCell ref="F4:F6"/>
    <mergeCell ref="F13:F15"/>
    <mergeCell ref="G4:G6"/>
    <mergeCell ref="G13:G15"/>
    <mergeCell ref="H4:H6"/>
    <mergeCell ref="H13:H15"/>
    <mergeCell ref="I4:I6"/>
    <mergeCell ref="I13:I15"/>
    <mergeCell ref="H2:K3"/>
    <mergeCell ref="L2:R3"/>
    <mergeCell ref="B2:G3"/>
  </mergeCells>
  <conditionalFormatting sqref="J16">
    <cfRule type="cellIs" dxfId="0" priority="1" stopIfTrue="1" operator="notBetween">
      <formula>$G16</formula>
      <formula>$H16</formula>
    </cfRule>
  </conditionalFormatting>
  <conditionalFormatting sqref="J7:Y9">
    <cfRule type="cellIs" dxfId="0" priority="9" stopIfTrue="1" operator="notBetween">
      <formula>$G7</formula>
      <formula>$H7</formula>
    </cfRule>
  </conditionalFormatting>
  <conditionalFormatting sqref="K16:Y16 J17:Y18">
    <cfRule type="cellIs" dxfId="0" priority="2" stopIfTrue="1" operator="notBetween">
      <formula>$G16</formula>
      <formula>$H16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ignoredErrors>
    <ignoredError sqref="Z7:AO9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2026-06-16T13:49:26Z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