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<sst xmlns="http://schemas.openxmlformats.org/spreadsheetml/2006/main" count="45" uniqueCount="38">
  <si>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</si>
  <si>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</si>
  <si>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X806-64562</t>
  </si>
  <si>
    <t>工单号</t>
  </si>
  <si>
    <t>ww115-260530007</t>
  </si>
  <si>
    <t>工站</t>
  </si>
  <si>
    <t>射出机台号</t>
  </si>
  <si>
    <t>测量机台</t>
  </si>
  <si>
    <t>测量人员</t>
  </si>
  <si>
    <t>审核</t>
  </si>
  <si>
    <t>射出</t>
  </si>
  <si>
    <t>6#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</si>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</sst>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topLeftCell="R1" workbookViewId="0">
      <selection activeCell="AD26" sqref="AD2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46188</v>
      </c>
      <c r="B7" s="50" t="s">
        <v>28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29</v>
      </c>
      <c r="J7" s="53">
        <v>0.798</v>
      </c>
      <c r="K7" s="53">
        <v>0.7983</v>
      </c>
      <c r="L7" s="53">
        <v>0.8176</v>
      </c>
      <c r="M7" s="53">
        <v>0.7973</v>
      </c>
      <c r="N7" s="53">
        <v>0.7991</v>
      </c>
      <c r="O7" s="53">
        <v>0.8289</v>
      </c>
      <c r="P7" s="53">
        <v>0.8162</v>
      </c>
      <c r="Q7" s="53">
        <v>0.7979</v>
      </c>
      <c r="R7" s="53">
        <v>0.7981</v>
      </c>
      <c r="S7" s="53">
        <v>0.7978</v>
      </c>
      <c r="T7" s="53">
        <v>0.7986</v>
      </c>
      <c r="U7" s="53">
        <v>0.7964</v>
      </c>
      <c r="V7" s="53">
        <v>0.7979</v>
      </c>
      <c r="W7" s="53">
        <v>0.797</v>
      </c>
      <c r="X7" s="53">
        <v>0.7972</v>
      </c>
      <c r="Y7" s="53">
        <v>0.7981</v>
      </c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>√</v>
      </c>
      <c r="AM7" s="54" t="str">
        <f t="shared" si="1"/>
        <v>√</v>
      </c>
      <c r="AN7" s="54" t="str">
        <f t="shared" si="1"/>
        <v>√</v>
      </c>
      <c r="AO7" s="54" t="str">
        <f t="shared" si="1"/>
        <v>√</v>
      </c>
    </row>
    <row r="8" ht="15" customHeight="1" spans="1:41">
      <c r="A8" s="55"/>
      <c r="B8" s="50" t="s">
        <v>30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29</v>
      </c>
      <c r="J8" s="53">
        <v>0.8009</v>
      </c>
      <c r="K8" s="53">
        <v>0.7962</v>
      </c>
      <c r="L8" s="53">
        <v>0.8042</v>
      </c>
      <c r="M8" s="53">
        <v>0.7944</v>
      </c>
      <c r="N8" s="53">
        <v>0.8106</v>
      </c>
      <c r="O8" s="53">
        <v>0.7875</v>
      </c>
      <c r="P8" s="53">
        <v>0.8234</v>
      </c>
      <c r="Q8" s="53">
        <v>0.7927</v>
      </c>
      <c r="R8" s="53">
        <v>0.7909</v>
      </c>
      <c r="S8" s="53">
        <v>0.7907</v>
      </c>
      <c r="T8" s="53">
        <v>0.7923</v>
      </c>
      <c r="U8" s="53">
        <v>0.79</v>
      </c>
      <c r="V8" s="53">
        <v>0.7919</v>
      </c>
      <c r="W8" s="53">
        <v>0.7905</v>
      </c>
      <c r="X8" s="53">
        <v>0.7953</v>
      </c>
      <c r="Y8" s="53">
        <v>0.7909</v>
      </c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>√</v>
      </c>
      <c r="AM8" s="54" t="str">
        <f t="shared" si="2"/>
        <v>√</v>
      </c>
      <c r="AN8" s="54" t="str">
        <f t="shared" si="2"/>
        <v>√</v>
      </c>
      <c r="AO8" s="54" t="str">
        <f t="shared" si="2"/>
        <v>√</v>
      </c>
    </row>
    <row r="9" ht="15" customHeight="1" spans="1:41">
      <c r="A9" s="55"/>
      <c r="B9" s="50" t="s">
        <v>31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29</v>
      </c>
      <c r="J9" s="53">
        <v>1.8546</v>
      </c>
      <c r="K9" s="53">
        <v>1.854</v>
      </c>
      <c r="L9" s="53">
        <v>1.8538</v>
      </c>
      <c r="M9" s="53">
        <v>1.8532</v>
      </c>
      <c r="N9" s="53">
        <v>1.853</v>
      </c>
      <c r="O9" s="53">
        <v>1.8541</v>
      </c>
      <c r="P9" s="53">
        <v>1.8535</v>
      </c>
      <c r="Q9" s="53">
        <v>1.8542</v>
      </c>
      <c r="R9" s="53">
        <v>1.8536</v>
      </c>
      <c r="S9" s="53">
        <v>1.8544</v>
      </c>
      <c r="T9" s="53">
        <v>1.8545</v>
      </c>
      <c r="U9" s="53">
        <v>1.8547</v>
      </c>
      <c r="V9" s="53">
        <v>1.8547</v>
      </c>
      <c r="W9" s="53">
        <v>1.8548</v>
      </c>
      <c r="X9" s="53">
        <v>1.8545</v>
      </c>
      <c r="Y9" s="53">
        <v>1.8547</v>
      </c>
      <c r="Z9" s="54" t="str">
        <f t="shared" ref="Z9:AB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>√</v>
      </c>
      <c r="AM9" s="54" t="str">
        <f t="shared" si="4"/>
        <v>√</v>
      </c>
      <c r="AN9" s="54" t="str">
        <f t="shared" si="4"/>
        <v>√</v>
      </c>
      <c r="AO9" s="54" t="str">
        <f t="shared" si="4"/>
        <v>√</v>
      </c>
    </row>
    <row r="10" ht="15" customHeight="1" spans="1:41">
      <c r="A10" s="55"/>
      <c r="B10" s="50" t="s">
        <v>32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29</v>
      </c>
      <c r="J10" s="53">
        <v>1.8416</v>
      </c>
      <c r="K10" s="53">
        <v>1.8431</v>
      </c>
      <c r="L10" s="53">
        <v>1.8429</v>
      </c>
      <c r="M10" s="53">
        <v>1.8423</v>
      </c>
      <c r="N10" s="53">
        <v>1.8419</v>
      </c>
      <c r="O10" s="53">
        <v>1.8413</v>
      </c>
      <c r="P10" s="53">
        <v>1.8412</v>
      </c>
      <c r="Q10" s="53">
        <v>1.8411</v>
      </c>
      <c r="R10" s="53">
        <v>1.843</v>
      </c>
      <c r="S10" s="53">
        <v>1.8413</v>
      </c>
      <c r="T10" s="53">
        <v>1.8415</v>
      </c>
      <c r="U10" s="53">
        <v>1.84</v>
      </c>
      <c r="V10" s="53">
        <v>1.8395</v>
      </c>
      <c r="W10" s="53">
        <v>1.8391</v>
      </c>
      <c r="X10" s="53">
        <v>1.8403</v>
      </c>
      <c r="Y10" s="53">
        <v>1.8393</v>
      </c>
      <c r="Z10" s="54" t="str">
        <f t="shared" ref="Z10:AB11" si="5">IF(J10="","",IF(J10&gt;($D10+$E10),(J10-$D10-$E10),IF(J10&lt;($D10+$F10),(J10-$D10-$F10),"√")))</f>
        <v>√</v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>√</v>
      </c>
      <c r="AM10" s="54" t="str">
        <f t="shared" si="4"/>
        <v>√</v>
      </c>
      <c r="AN10" s="54" t="str">
        <f t="shared" si="4"/>
        <v>√</v>
      </c>
      <c r="AO10" s="54" t="str">
        <f t="shared" si="4"/>
        <v>√</v>
      </c>
    </row>
    <row r="11" ht="15" customHeight="1" spans="1:41">
      <c r="A11" s="55"/>
      <c r="B11" s="50" t="s">
        <v>33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29</v>
      </c>
      <c r="J11" s="53">
        <v>1.8547</v>
      </c>
      <c r="K11" s="53">
        <v>1.8514</v>
      </c>
      <c r="L11" s="53">
        <v>1.8525</v>
      </c>
      <c r="M11" s="53">
        <v>1.8534</v>
      </c>
      <c r="N11" s="53">
        <v>1.8537</v>
      </c>
      <c r="O11" s="53">
        <v>1.8539</v>
      </c>
      <c r="P11" s="53">
        <v>1.8517</v>
      </c>
      <c r="Q11" s="53">
        <v>1.853</v>
      </c>
      <c r="R11" s="53">
        <v>1.8511</v>
      </c>
      <c r="S11" s="53">
        <v>1.8493</v>
      </c>
      <c r="T11" s="53">
        <v>1.8544</v>
      </c>
      <c r="U11" s="53">
        <v>1.8541</v>
      </c>
      <c r="V11" s="53">
        <v>1.8544</v>
      </c>
      <c r="W11" s="53">
        <v>1.8538</v>
      </c>
      <c r="X11" s="53">
        <v>1.8558</v>
      </c>
      <c r="Y11" s="53">
        <v>1.8549</v>
      </c>
      <c r="Z11" s="54" t="str">
        <f t="shared" si="5"/>
        <v>√</v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>√</v>
      </c>
      <c r="AM11" s="54" t="str">
        <f t="shared" si="4"/>
        <v>√</v>
      </c>
      <c r="AN11" s="54" t="str">
        <f t="shared" si="4"/>
        <v>√</v>
      </c>
      <c r="AO11" s="54" t="str">
        <f t="shared" si="4"/>
        <v>√</v>
      </c>
    </row>
    <row r="12" ht="15" customHeight="1" spans="1:41">
      <c r="A12" s="55"/>
      <c r="B12" s="50" t="s">
        <v>34</v>
      </c>
      <c r="C12" s="50" t="s">
        <v>35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29</v>
      </c>
      <c r="J12" s="53">
        <v>6.2848</v>
      </c>
      <c r="K12" s="53">
        <v>6.2641</v>
      </c>
      <c r="L12" s="53">
        <v>6.255</v>
      </c>
      <c r="M12" s="53">
        <v>6.2586</v>
      </c>
      <c r="N12" s="53">
        <v>6.2848</v>
      </c>
      <c r="O12" s="53">
        <v>6.2544</v>
      </c>
      <c r="P12" s="53">
        <v>6.2556</v>
      </c>
      <c r="Q12" s="53">
        <v>6.2599</v>
      </c>
      <c r="R12" s="53">
        <v>6.2715</v>
      </c>
      <c r="S12" s="53">
        <v>6.2624</v>
      </c>
      <c r="T12" s="53">
        <v>6.2816</v>
      </c>
      <c r="U12" s="53">
        <v>6.2543</v>
      </c>
      <c r="V12" s="53">
        <v>6.2594</v>
      </c>
      <c r="W12" s="53">
        <v>6.2549</v>
      </c>
      <c r="X12" s="53">
        <v>6.2527</v>
      </c>
      <c r="Y12" s="53">
        <v>6.2666</v>
      </c>
      <c r="Z12" s="54" t="str">
        <f t="shared" ref="Z12:Z14" si="8">IF(J12="","",IF(J12&gt;($D12+$E12),(J12-$D12-$E12),IF(J12&lt;($D12+$F12),(J12-$D12-$F12),"√")))</f>
        <v>√</v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>IF(N12="","",IF(N12&gt;($D12+$E12),(N12-$D12-$E12),IF(N12&lt;($D12+$F12),(N12-$D12-$F12),"√")))</f>
        <v>√</v>
      </c>
      <c r="AE12" s="54" t="str">
        <f t="shared" ref="AE12:AE14" si="12">IF(O12="","",IF(O12&gt;($D12+$E12),(O12-$D12-$E12),IF(O12&lt;($D12+$F12),(O12-$D12-$F12),"√")))</f>
        <v>√</v>
      </c>
      <c r="AF12" s="54" t="str">
        <f t="shared" ref="AF12:AF14" si="13">IF(P12="","",IF(P12&gt;($D12+$E12),(P12-$D12-$E12),IF(P12&lt;($D12+$F12),(P12-$D12-$F12),"√")))</f>
        <v>√</v>
      </c>
      <c r="AG12" s="54" t="str">
        <f t="shared" ref="AG12:AG14" si="14">IF(Q12="","",IF(Q12&gt;($D12+$E12),(Q12-$D12-$E12),IF(Q12&lt;($D12+$F12),(Q12-$D12-$F12),"√")))</f>
        <v>√</v>
      </c>
      <c r="AH12" s="54" t="str">
        <f t="shared" ref="AH12:AH14" si="15">IF(R12="","",IF(R12&gt;($D12+$E12),(R12-$D12-$E12),IF(R12&lt;($D12+$F12),(R12-$D12-$F12),"√")))</f>
        <v>√</v>
      </c>
      <c r="AI12" s="54" t="str">
        <f t="shared" ref="AI12:AI14" si="16">IF(S12="","",IF(S12&gt;($D12+$E12),(S12-$D12-$E12),IF(S12&lt;($D12+$F12),(S12-$D12-$F12),"√")))</f>
        <v>√</v>
      </c>
      <c r="AJ12" s="54" t="str">
        <f t="shared" ref="AJ12:AJ14" si="17">IF(T12="","",IF(T12&gt;($D12+$E12),(T12-$D12-$E12),IF(T12&lt;($D12+$F12),(T12-$D12-$F12),"√")))</f>
        <v>√</v>
      </c>
      <c r="AK12" s="54" t="str">
        <f t="shared" ref="AK12:AK14" si="18">IF(U12="","",IF(U12&gt;($D12+$E12),(U12-$D12-$E12),IF(U12&lt;($D12+$F12),(U12-$D12-$F12),"√")))</f>
        <v>√</v>
      </c>
      <c r="AL12" s="54" t="str">
        <f t="shared" ref="AL12:AL14" si="19">IF(V12="","",IF(V12&gt;($D12+$E12),(V12-$D12-$E12),IF(V12&lt;($D12+$F12),(V12-$D12-$F12),"√")))</f>
        <v>√</v>
      </c>
      <c r="AM12" s="54" t="str">
        <f t="shared" ref="AM12:AM14" si="20">IF(W12="","",IF(W12&gt;($D12+$E12),(W12-$D12-$E12),IF(W12&lt;($D12+$F12),(W12-$D12-$F12),"√")))</f>
        <v>√</v>
      </c>
      <c r="AN12" s="54" t="str">
        <f t="shared" ref="AN12:AN14" si="21">IF(X12="","",IF(X12&gt;($D12+$E12),(X12-$D12-$E12),IF(X12&lt;($D12+$F12),(X12-$D12-$F12),"√")))</f>
        <v>√</v>
      </c>
      <c r="AO12" s="54" t="str">
        <f t="shared" ref="AO12:AO14" si="22">IF(Y12="","",IF(Y12&gt;($D12+$E12),(Y12-$D12-$E12),IF(Y12&lt;($D12+$F12),(Y12-$D12-$F12),"√")))</f>
        <v>√</v>
      </c>
    </row>
    <row r="13" ht="15" customHeight="1" spans="1:41">
      <c r="A13" s="55"/>
      <c r="B13" s="50" t="s">
        <v>36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29</v>
      </c>
      <c r="J13" s="53">
        <v>1.2768</v>
      </c>
      <c r="K13" s="53">
        <v>1.2778</v>
      </c>
      <c r="L13" s="53">
        <v>1.2774</v>
      </c>
      <c r="M13" s="53">
        <v>1.2668</v>
      </c>
      <c r="N13" s="53">
        <v>1.2759</v>
      </c>
      <c r="O13" s="53">
        <v>1.2684</v>
      </c>
      <c r="P13" s="53">
        <v>1.2626</v>
      </c>
      <c r="Q13" s="53">
        <v>1.2649</v>
      </c>
      <c r="R13" s="53">
        <v>1.2793</v>
      </c>
      <c r="S13" s="53">
        <v>1.2786</v>
      </c>
      <c r="T13" s="53">
        <v>1.2889</v>
      </c>
      <c r="U13" s="53">
        <v>1.2662</v>
      </c>
      <c r="V13" s="53">
        <v>1.2727</v>
      </c>
      <c r="W13" s="53">
        <v>1.2625</v>
      </c>
      <c r="X13" s="53">
        <v>1.2539</v>
      </c>
      <c r="Y13" s="53">
        <v>1.261</v>
      </c>
      <c r="Z13" s="54" t="str">
        <f t="shared" si="8"/>
        <v>√</v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ref="AD12:AD14" si="23">IF(N13="","",IF(N13&gt;($D13+$E13),(N13-$D13-$E13),IF(N13&lt;($D13+$F13),(N13-$D13-$F13),"√")))</f>
        <v>√</v>
      </c>
      <c r="AE13" s="54" t="str">
        <f t="shared" si="12"/>
        <v>√</v>
      </c>
      <c r="AF13" s="54" t="str">
        <f t="shared" si="13"/>
        <v>√</v>
      </c>
      <c r="AG13" s="54" t="str">
        <f t="shared" si="14"/>
        <v>√</v>
      </c>
      <c r="AH13" s="54" t="str">
        <f t="shared" si="15"/>
        <v>√</v>
      </c>
      <c r="AI13" s="54" t="str">
        <f t="shared" si="16"/>
        <v>√</v>
      </c>
      <c r="AJ13" s="54" t="str">
        <f t="shared" si="17"/>
        <v>√</v>
      </c>
      <c r="AK13" s="54" t="str">
        <f t="shared" si="18"/>
        <v>√</v>
      </c>
      <c r="AL13" s="54" t="str">
        <f t="shared" si="19"/>
        <v>√</v>
      </c>
      <c r="AM13" s="54" t="str">
        <f t="shared" si="20"/>
        <v>√</v>
      </c>
      <c r="AN13" s="54" t="str">
        <f t="shared" si="21"/>
        <v>√</v>
      </c>
      <c r="AO13" s="54" t="str">
        <f t="shared" si="22"/>
        <v>√</v>
      </c>
    </row>
    <row r="14" ht="15" customHeight="1" spans="1:41">
      <c r="A14" s="55"/>
      <c r="B14" s="50" t="s">
        <v>37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29</v>
      </c>
      <c r="J14" s="53">
        <v>1.2817</v>
      </c>
      <c r="K14" s="53">
        <v>1.2679</v>
      </c>
      <c r="L14" s="53">
        <v>1.2791</v>
      </c>
      <c r="M14" s="53">
        <v>1.275</v>
      </c>
      <c r="N14" s="53">
        <v>1.2718</v>
      </c>
      <c r="O14" s="53">
        <v>1.272</v>
      </c>
      <c r="P14" s="53">
        <v>1.2625</v>
      </c>
      <c r="Q14" s="53">
        <v>1.2665</v>
      </c>
      <c r="R14" s="53">
        <v>1.2794</v>
      </c>
      <c r="S14" s="53">
        <v>1.2784</v>
      </c>
      <c r="T14" s="53">
        <v>1.283</v>
      </c>
      <c r="U14" s="53">
        <v>1.2755</v>
      </c>
      <c r="V14" s="53">
        <v>1.2732</v>
      </c>
      <c r="W14" s="53">
        <v>1.2751</v>
      </c>
      <c r="X14" s="53">
        <v>1.2562</v>
      </c>
      <c r="Y14" s="53">
        <v>1.2704</v>
      </c>
      <c r="Z14" s="54" t="str">
        <f t="shared" si="8"/>
        <v>√</v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23"/>
        <v>√</v>
      </c>
      <c r="AE14" s="54" t="str">
        <f t="shared" si="12"/>
        <v>√</v>
      </c>
      <c r="AF14" s="54" t="str">
        <f t="shared" si="13"/>
        <v>√</v>
      </c>
      <c r="AG14" s="54" t="str">
        <f t="shared" si="14"/>
        <v>√</v>
      </c>
      <c r="AH14" s="54" t="str">
        <f t="shared" si="15"/>
        <v>√</v>
      </c>
      <c r="AI14" s="54" t="str">
        <f t="shared" si="16"/>
        <v>√</v>
      </c>
      <c r="AJ14" s="54" t="str">
        <f t="shared" si="17"/>
        <v>√</v>
      </c>
      <c r="AK14" s="54" t="str">
        <f t="shared" si="18"/>
        <v>√</v>
      </c>
      <c r="AL14" s="54" t="str">
        <f t="shared" si="19"/>
        <v>√</v>
      </c>
      <c r="AM14" s="54" t="str">
        <f t="shared" si="20"/>
        <v>√</v>
      </c>
      <c r="AN14" s="54" t="str">
        <f t="shared" si="21"/>
        <v>√</v>
      </c>
      <c r="AO14" s="54" t="str">
        <f t="shared" si="22"/>
        <v>√</v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4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2026-06-15T21:34:26Z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