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613-41428" sheetId="8" r:id="rId1"/>
  </sheets>
  <definedNames>
    <definedName name="_xlnm.Print_Area" localSheetId="0">'613-41428'!$B$1:$AH$6</definedName>
    <definedName name="_xlnm.Print_Titles" localSheetId="0">'613-41428'!$1:$6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<sst xmlns="http://schemas.openxmlformats.org/spreadsheetml/2006/main" count="39" uniqueCount="32">
  <si>
    <t>安徽中耀智能科技有限公司首件尺寸报告</t>
  </si>
  <si>
    <t>料号</t>
  </si>
  <si>
    <t>613-41428</t>
  </si>
  <si>
    <t>工单号</t>
  </si>
  <si>
    <t>/</t>
  </si>
  <si>
    <t>工站</t>
  </si>
  <si>
    <t>炉号</t>
  </si>
  <si>
    <t>测量机台号</t>
  </si>
  <si>
    <t>测量人员</t>
  </si>
  <si>
    <t>审核</t>
  </si>
  <si>
    <t>焊接</t>
  </si>
  <si>
    <t>CMM6#/OMM5#</t>
  </si>
  <si>
    <t>张元庆/禹欣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</si>
  <si>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</si>
  <si>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</si>
  <si>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</si>
  <si>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</si>
  <si>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</si>
  <si>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</si>
  <si>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</si>
  <si>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</si>
  <si>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</si>
  <si>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</si>
  <si>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</si>
  <si>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</si>
  <si>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</si>
  <si>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 14</t>
  </si>
  <si>
    <t>OMM</t>
  </si>
  <si>
    <t>FAI 6</t>
  </si>
  <si>
    <t>CMM</t>
  </si>
  <si>
    <t>FAI 12</t>
  </si>
  <si>
    <t>FAI 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</si>
</sst>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1"/>
      <name val="Calibri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8" borderId="17" applyNumberFormat="0" applyAlignment="0" applyProtection="0">
      <alignment vertical="center"/>
    </xf>
    <xf numFmtId="0" fontId="24" fillId="8" borderId="16" applyNumberFormat="0" applyAlignment="0" applyProtection="0">
      <alignment vertical="center"/>
    </xf>
    <xf numFmtId="0" fontId="25" fillId="9" borderId="18" applyNumberFormat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65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1" fillId="0" borderId="2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0" fontId="3" fillId="0" borderId="5" xfId="60" applyFont="1" applyBorder="1" applyAlignment="1" applyProtection="1">
      <alignment horizontal="center" vertical="center"/>
      <protection locked="0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2" fillId="0" borderId="5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3" fillId="0" borderId="8" xfId="60" applyNumberFormat="1" applyFont="1" applyBorder="1" applyAlignment="1">
      <alignment horizontal="center" vertical="center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4" fillId="0" borderId="8" xfId="60" applyNumberFormat="1" applyFont="1" applyBorder="1" applyAlignment="1" applyProtection="1">
      <alignment horizontal="center" vertical="center"/>
      <protection locked="0"/>
    </xf>
    <xf numFmtId="49" fontId="3" fillId="0" borderId="1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49" fontId="3" fillId="0" borderId="8" xfId="79" applyNumberFormat="1" applyFont="1" applyBorder="1" applyAlignment="1">
      <alignment horizontal="center" vertical="center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0" fontId="3" fillId="0" borderId="11" xfId="60" applyFont="1" applyBorder="1" applyAlignment="1" applyProtection="1">
      <alignment horizontal="center" vertical="center"/>
      <protection locked="0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49" fontId="2" fillId="0" borderId="11" xfId="60" applyNumberFormat="1" applyFont="1" applyBorder="1" applyAlignment="1">
      <alignment horizontal="center" vertical="center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0" fontId="3" fillId="0" borderId="8" xfId="60" applyFont="1" applyBorder="1" applyAlignment="1" applyProtection="1">
      <alignment horizontal="center" vertical="center"/>
      <protection locked="0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176" fontId="3" fillId="0" borderId="1" xfId="79" applyNumberFormat="1" applyFont="1" applyBorder="1" applyAlignment="1">
      <alignment horizontal="center" vertical="center"/>
    </xf>
    <xf numFmtId="176" fontId="3" fillId="0" borderId="8" xfId="79" applyNumberFormat="1" applyFont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0" fontId="6" fillId="3" borderId="10" xfId="60" applyFont="1" applyFill="1" applyBorder="1" applyAlignment="1">
      <alignment horizontal="center" vertical="center"/>
    </xf>
    <xf numFmtId="0" fontId="6" fillId="3" borderId="8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2" fillId="2" borderId="1" xfId="61" applyNumberFormat="1" applyFont="1" applyFill="1" applyBorder="1" applyAlignment="1">
      <alignment horizontal="center" vertical="center"/>
    </xf>
    <xf numFmtId="0" fontId="13" fillId="4" borderId="1" xfId="60" applyFont="1" applyFill="1" applyBorder="1" applyAlignment="1">
      <alignment horizontal="center" vertical="center"/>
    </xf>
    <xf numFmtId="0" fontId="12" fillId="0" borderId="8" xfId="53" applyFont="1" applyFill="1" applyBorder="1" applyAlignment="1">
      <alignment horizontal="center" vertical="center"/>
    </xf>
    <xf numFmtId="0" fontId="13" fillId="5" borderId="1" xfId="6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left" vertical="center"/>
    </xf>
    <xf numFmtId="0" fontId="0" fillId="0" borderId="8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right" vertical="center"/>
    </xf>
    <xf numFmtId="0" fontId="0" fillId="0" borderId="6" xfId="0" applyFont="1" applyFill="1" applyBorder="1" applyAlignment="1">
      <alignment horizontal="right" vertical="center"/>
    </xf>
    <xf numFmtId="0" fontId="0" fillId="0" borderId="8" xfId="0" applyFont="1" applyFill="1" applyBorder="1" applyAlignment="1">
      <alignment horizontal="right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1</xdr:col>
      <xdr:colOff>942975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7350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5"/>
  <sheetViews>
    <sheetView tabSelected="1" topLeftCell="N1" workbookViewId="0">
      <selection activeCell="AP8" sqref="AP8"/>
    </sheetView>
  </sheetViews>
  <sheetFormatPr defaultColWidth="9" defaultRowHeight="14.25"/>
  <cols>
    <col min="1" max="1" width="9.375" customWidth="1"/>
    <col min="2" max="2" width="13" customWidth="1"/>
    <col min="3" max="3" width="9.625" customWidth="1"/>
    <col min="4" max="4" width="5.625" customWidth="1"/>
    <col min="5" max="7" width="7.5" customWidth="1"/>
    <col min="8" max="8" width="4.5" customWidth="1"/>
    <col min="9" max="48" width="6.5" customWidth="1"/>
  </cols>
  <sheetData>
    <row r="1" ht="70.5" customHeight="1" spans="1:4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  <c r="AS1" s="2"/>
      <c r="AT1" s="2"/>
      <c r="AU1" s="1"/>
      <c r="AV1" s="1"/>
    </row>
    <row r="2" ht="15" customHeight="1" spans="1:48">
      <c r="A2" s="3" t="s">
        <v>1</v>
      </c>
      <c r="B2" s="4" t="s">
        <v>2</v>
      </c>
      <c r="C2" s="5"/>
      <c r="D2" s="5"/>
      <c r="E2" s="5"/>
      <c r="F2" s="6"/>
      <c r="G2" s="7" t="s">
        <v>3</v>
      </c>
      <c r="H2" s="8"/>
      <c r="I2" s="8"/>
      <c r="J2" s="9"/>
      <c r="K2" s="10" t="s">
        <v>4</v>
      </c>
      <c r="L2" s="10"/>
      <c r="M2" s="10"/>
      <c r="N2" s="10"/>
      <c r="O2" s="10"/>
      <c r="P2" s="10"/>
      <c r="Q2" s="10"/>
      <c r="R2" s="11" t="s">
        <v>5</v>
      </c>
      <c r="S2" s="12"/>
      <c r="T2" s="12"/>
      <c r="U2" s="12"/>
      <c r="V2" s="12"/>
      <c r="W2" s="12"/>
      <c r="X2" s="12"/>
      <c r="Y2" s="12"/>
      <c r="Z2" s="12"/>
      <c r="AA2" s="13"/>
      <c r="AB2" s="14" t="s">
        <v>6</v>
      </c>
      <c r="AC2" s="15"/>
      <c r="AD2" s="15"/>
      <c r="AE2" s="15"/>
      <c r="AF2" s="15"/>
      <c r="AG2" s="16"/>
      <c r="AH2" s="14" t="s">
        <v>7</v>
      </c>
      <c r="AI2" s="15"/>
      <c r="AJ2" s="15"/>
      <c r="AK2" s="15"/>
      <c r="AL2" s="15"/>
      <c r="AM2" s="17" t="s">
        <v>8</v>
      </c>
      <c r="AN2" s="17"/>
      <c r="AO2" s="17"/>
      <c r="AP2" s="17"/>
      <c r="AQ2" s="18" t="s">
        <v>9</v>
      </c>
      <c r="AR2" s="19"/>
      <c r="AS2" s="19"/>
      <c r="AT2" s="19"/>
      <c r="AU2" s="19"/>
      <c r="AV2" s="20"/>
    </row>
    <row r="3" ht="15" customHeight="1" spans="1:48">
      <c r="A3" s="3"/>
      <c r="B3" s="21"/>
      <c r="C3" s="22"/>
      <c r="D3" s="22"/>
      <c r="E3" s="22"/>
      <c r="F3" s="23"/>
      <c r="G3" s="24"/>
      <c r="H3" s="25"/>
      <c r="I3" s="25"/>
      <c r="J3" s="26"/>
      <c r="K3" s="10"/>
      <c r="L3" s="10"/>
      <c r="M3" s="10"/>
      <c r="N3" s="10"/>
      <c r="O3" s="10"/>
      <c r="P3" s="10"/>
      <c r="Q3" s="10"/>
      <c r="R3" s="27" t="s">
        <v>10</v>
      </c>
      <c r="S3" s="28"/>
      <c r="T3" s="28"/>
      <c r="U3" s="28"/>
      <c r="V3" s="28"/>
      <c r="W3" s="28"/>
      <c r="X3" s="28"/>
      <c r="Y3" s="28"/>
      <c r="Z3" s="28"/>
      <c r="AA3" s="29"/>
      <c r="AB3" s="14" t="s">
        <v>4</v>
      </c>
      <c r="AC3" s="15"/>
      <c r="AD3" s="15"/>
      <c r="AE3" s="15"/>
      <c r="AF3" s="15"/>
      <c r="AG3" s="16"/>
      <c r="AH3" s="30" t="s">
        <v>11</v>
      </c>
      <c r="AI3" s="31"/>
      <c r="AJ3" s="31"/>
      <c r="AK3" s="31"/>
      <c r="AL3" s="31"/>
      <c r="AM3" s="32" t="s">
        <v>12</v>
      </c>
      <c r="AN3" s="32"/>
      <c r="AO3" s="32"/>
      <c r="AP3" s="32"/>
      <c r="AQ3" s="30" t="s">
        <v>13</v>
      </c>
      <c r="AR3" s="31"/>
      <c r="AS3" s="31"/>
      <c r="AT3" s="31"/>
      <c r="AU3" s="31"/>
      <c r="AV3" s="33"/>
    </row>
    <row r="4" customHeight="1" spans="1:48">
      <c r="A4" s="34" t="s">
        <v>14</v>
      </c>
      <c r="B4" s="34" t="s">
        <v>15</v>
      </c>
      <c r="C4" s="35" t="s">
        <v>16</v>
      </c>
      <c r="D4" s="36" t="s">
        <v>17</v>
      </c>
      <c r="E4" s="37" t="s">
        <v>18</v>
      </c>
      <c r="F4" s="37" t="s">
        <v>19</v>
      </c>
      <c r="G4" s="37" t="s">
        <v>20</v>
      </c>
      <c r="H4" s="38" t="s">
        <v>21</v>
      </c>
      <c r="I4" s="39" t="s">
        <v>22</v>
      </c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40" t="s">
        <v>23</v>
      </c>
      <c r="AD4" s="41"/>
      <c r="AE4" s="41"/>
      <c r="AF4" s="41"/>
      <c r="AG4" s="41"/>
      <c r="AH4" s="41"/>
      <c r="AI4" s="41"/>
      <c r="AJ4" s="41"/>
      <c r="AK4" s="41"/>
      <c r="AL4" s="41"/>
      <c r="AM4" s="42"/>
      <c r="AN4" s="42"/>
      <c r="AO4" s="42"/>
      <c r="AP4" s="42"/>
      <c r="AQ4" s="42"/>
      <c r="AR4" s="42"/>
      <c r="AS4" s="42"/>
      <c r="AT4" s="42"/>
      <c r="AU4" s="41"/>
      <c r="AV4" s="43"/>
    </row>
    <row r="5" ht="13.5" customHeight="1" spans="1:48">
      <c r="A5" s="44"/>
      <c r="B5" s="45"/>
      <c r="C5" s="35"/>
      <c r="D5" s="36"/>
      <c r="E5" s="37"/>
      <c r="F5" s="37"/>
      <c r="G5" s="37"/>
      <c r="H5" s="35"/>
      <c r="I5" s="39" t="s">
        <v>24</v>
      </c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46" t="s">
        <v>25</v>
      </c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</row>
    <row r="6" customHeight="1" spans="1:48">
      <c r="A6" s="44"/>
      <c r="B6" s="45"/>
      <c r="C6" s="35"/>
      <c r="D6" s="36"/>
      <c r="E6" s="37"/>
      <c r="F6" s="37"/>
      <c r="G6" s="37"/>
      <c r="H6" s="35"/>
      <c r="I6" s="47">
        <v>1</v>
      </c>
      <c r="J6" s="47">
        <v>2</v>
      </c>
      <c r="K6" s="47">
        <v>3</v>
      </c>
      <c r="L6" s="47">
        <v>4</v>
      </c>
      <c r="M6" s="47">
        <v>5</v>
      </c>
      <c r="N6" s="47">
        <v>6</v>
      </c>
      <c r="O6" s="47">
        <v>7</v>
      </c>
      <c r="P6" s="47">
        <v>8</v>
      </c>
      <c r="Q6" s="47">
        <v>9</v>
      </c>
      <c r="R6" s="47">
        <v>10</v>
      </c>
      <c r="S6" s="47">
        <v>11</v>
      </c>
      <c r="T6" s="47">
        <v>12</v>
      </c>
      <c r="U6" s="47">
        <v>13</v>
      </c>
      <c r="V6" s="47">
        <v>14</v>
      </c>
      <c r="W6" s="47">
        <v>15</v>
      </c>
      <c r="X6" s="47">
        <v>16</v>
      </c>
      <c r="Y6" s="47">
        <v>17</v>
      </c>
      <c r="Z6" s="47">
        <v>18</v>
      </c>
      <c r="AA6" s="47">
        <v>19</v>
      </c>
      <c r="AB6" s="47">
        <v>20</v>
      </c>
      <c r="AC6" s="48">
        <f t="shared" ref="AC6:AR6" si="0">I6</f>
        <v>1</v>
      </c>
      <c r="AD6" s="48">
        <f t="shared" si="0"/>
        <v>2</v>
      </c>
      <c r="AE6" s="48">
        <f t="shared" si="0"/>
        <v>3</v>
      </c>
      <c r="AF6" s="48">
        <f t="shared" si="0"/>
        <v>4</v>
      </c>
      <c r="AG6" s="48">
        <f t="shared" si="0"/>
        <v>5</v>
      </c>
      <c r="AH6" s="48">
        <f t="shared" si="0"/>
        <v>6</v>
      </c>
      <c r="AI6" s="48">
        <f t="shared" si="0"/>
        <v>7</v>
      </c>
      <c r="AJ6" s="48">
        <f t="shared" si="0"/>
        <v>8</v>
      </c>
      <c r="AK6" s="48">
        <f t="shared" si="0"/>
        <v>9</v>
      </c>
      <c r="AL6" s="48">
        <f t="shared" si="0"/>
        <v>10</v>
      </c>
      <c r="AM6" s="48">
        <f t="shared" si="0"/>
        <v>11</v>
      </c>
      <c r="AN6" s="48">
        <f t="shared" si="0"/>
        <v>12</v>
      </c>
      <c r="AO6" s="48">
        <f t="shared" si="0"/>
        <v>13</v>
      </c>
      <c r="AP6" s="48">
        <f t="shared" si="0"/>
        <v>14</v>
      </c>
      <c r="AQ6" s="48">
        <f t="shared" ref="AQ6:AV6" si="1">W6</f>
        <v>15</v>
      </c>
      <c r="AR6" s="48">
        <f t="shared" si="1"/>
        <v>16</v>
      </c>
      <c r="AS6" s="48">
        <f t="shared" si="1"/>
        <v>17</v>
      </c>
      <c r="AT6" s="48">
        <f t="shared" si="1"/>
        <v>18</v>
      </c>
      <c r="AU6" s="48">
        <f t="shared" si="1"/>
        <v>19</v>
      </c>
      <c r="AV6" s="48">
        <f t="shared" si="1"/>
        <v>20</v>
      </c>
    </row>
    <row r="7" ht="15" customHeight="1" spans="1:48">
      <c r="A7" s="49">
        <v>46204</v>
      </c>
      <c r="B7" s="50" t="s">
        <v>26</v>
      </c>
      <c r="C7" s="51">
        <v>0.5</v>
      </c>
      <c r="D7" s="51">
        <v>0.03</v>
      </c>
      <c r="E7" s="51">
        <v>-0.03</v>
      </c>
      <c r="F7" s="52">
        <f>C7+D7</f>
        <v>0.53</v>
      </c>
      <c r="G7" s="52">
        <f>C7+E7</f>
        <v>0.47</v>
      </c>
      <c r="H7" s="51" t="s">
        <v>27</v>
      </c>
      <c r="I7" s="53">
        <v>0.5018</v>
      </c>
      <c r="J7" s="53">
        <v>0.4835</v>
      </c>
      <c r="K7" s="53">
        <v>0.5252</v>
      </c>
      <c r="L7" s="53">
        <v>0.4868</v>
      </c>
      <c r="M7" s="53">
        <v>0.4939</v>
      </c>
      <c r="N7" s="53">
        <v>0.5149</v>
      </c>
      <c r="O7" s="53">
        <v>0.4882</v>
      </c>
      <c r="P7" s="53">
        <v>0.5193</v>
      </c>
      <c r="Q7" s="53">
        <v>0.5077</v>
      </c>
      <c r="R7" s="53">
        <v>0.4886</v>
      </c>
      <c r="S7" s="53">
        <v>0.4869</v>
      </c>
      <c r="T7" s="53">
        <v>0.4943</v>
      </c>
      <c r="U7" s="53">
        <v>0.518</v>
      </c>
      <c r="V7" s="53">
        <v>0.4885</v>
      </c>
      <c r="W7" s="53">
        <v>0.502</v>
      </c>
      <c r="X7" s="53">
        <v>0.5084</v>
      </c>
      <c r="Y7" s="53">
        <v>0.5242</v>
      </c>
      <c r="Z7" s="53">
        <v>0.494</v>
      </c>
      <c r="AA7" s="53">
        <v>0.4952</v>
      </c>
      <c r="AB7" s="53">
        <v>0.5185</v>
      </c>
      <c r="AC7" s="54" t="str">
        <f t="shared" ref="AC7:AR7" si="2">IF(I7="","",IF(I7&gt;($C7+$D7),(I7-$C7-$D7),IF(I7&lt;($C7+$E7),(I7-$C7-$E7),"√")))</f>
        <v>√</v>
      </c>
      <c r="AD7" s="54" t="str">
        <f t="shared" si="2"/>
        <v>√</v>
      </c>
      <c r="AE7" s="54" t="str">
        <f t="shared" si="2"/>
        <v>√</v>
      </c>
      <c r="AF7" s="54" t="str">
        <f t="shared" si="2"/>
        <v>√</v>
      </c>
      <c r="AG7" s="54" t="str">
        <f t="shared" si="2"/>
        <v>√</v>
      </c>
      <c r="AH7" s="54" t="str">
        <f t="shared" si="2"/>
        <v>√</v>
      </c>
      <c r="AI7" s="54" t="str">
        <f t="shared" si="2"/>
        <v>√</v>
      </c>
      <c r="AJ7" s="54" t="str">
        <f t="shared" si="2"/>
        <v>√</v>
      </c>
      <c r="AK7" s="54" t="str">
        <f t="shared" si="2"/>
        <v>√</v>
      </c>
      <c r="AL7" s="54" t="str">
        <f t="shared" si="2"/>
        <v>√</v>
      </c>
      <c r="AM7" s="54" t="str">
        <f t="shared" si="2"/>
        <v>√</v>
      </c>
      <c r="AN7" s="54" t="str">
        <f t="shared" si="2"/>
        <v>√</v>
      </c>
      <c r="AO7" s="54" t="str">
        <f t="shared" si="2"/>
        <v>√</v>
      </c>
      <c r="AP7" s="54" t="str">
        <f t="shared" si="2"/>
        <v>√</v>
      </c>
      <c r="AQ7" s="54" t="str">
        <f t="shared" ref="AQ7:AV7" si="3">IF(W7="","",IF(W7&gt;($C7+$D7),(W7-$C7-$D7),IF(W7&lt;($C7+$E7),(W7-$C7-$E7),"√")))</f>
        <v>√</v>
      </c>
      <c r="AR7" s="54" t="str">
        <f t="shared" si="3"/>
        <v>√</v>
      </c>
      <c r="AS7" s="54" t="str">
        <f t="shared" si="3"/>
        <v>√</v>
      </c>
      <c r="AT7" s="54" t="str">
        <f t="shared" si="3"/>
        <v>√</v>
      </c>
      <c r="AU7" s="54" t="str">
        <f t="shared" si="3"/>
        <v>√</v>
      </c>
      <c r="AV7" s="54" t="str">
        <f t="shared" si="3"/>
        <v>√</v>
      </c>
    </row>
    <row r="8" ht="15" customHeight="1" spans="1:48">
      <c r="A8" s="49"/>
      <c r="B8" s="55" t="s">
        <v>28</v>
      </c>
      <c r="C8" s="51">
        <v>1.3</v>
      </c>
      <c r="D8" s="51">
        <v>0.03</v>
      </c>
      <c r="E8" s="51">
        <v>-0.03</v>
      </c>
      <c r="F8" s="52">
        <f>C8+D8</f>
        <v>1.33</v>
      </c>
      <c r="G8" s="52">
        <f>C8+E8</f>
        <v>1.27</v>
      </c>
      <c r="H8" s="51" t="s">
        <v>29</v>
      </c>
      <c r="I8" s="53">
        <v>1.2937</v>
      </c>
      <c r="J8" s="53">
        <v>1.3125</v>
      </c>
      <c r="K8" s="53">
        <v>1.3236</v>
      </c>
      <c r="L8" s="53">
        <v>1.292</v>
      </c>
      <c r="M8" s="53">
        <v>1.2864</v>
      </c>
      <c r="N8" s="53">
        <v>1.3237</v>
      </c>
      <c r="O8" s="53">
        <v>1.2853</v>
      </c>
      <c r="P8" s="53">
        <v>1.2941</v>
      </c>
      <c r="Q8" s="53">
        <v>1.3162</v>
      </c>
      <c r="R8" s="53">
        <v>1.3009</v>
      </c>
      <c r="S8" s="53">
        <v>1.3082</v>
      </c>
      <c r="T8" s="53">
        <v>1.3081</v>
      </c>
      <c r="U8" s="53">
        <v>1.2848</v>
      </c>
      <c r="V8" s="53">
        <v>1.3121</v>
      </c>
      <c r="W8" s="53">
        <v>1.2982</v>
      </c>
      <c r="X8" s="53">
        <v>1.314</v>
      </c>
      <c r="Y8" s="53">
        <v>1.3095</v>
      </c>
      <c r="Z8" s="53">
        <v>1.3095</v>
      </c>
      <c r="AA8" s="53">
        <v>1.2916</v>
      </c>
      <c r="AB8" s="53">
        <v>1.2916</v>
      </c>
      <c r="AC8" s="56" t="str">
        <f t="shared" ref="AC8:AR8" si="4">IF(I8="","",IF(I8&gt;($C8+$D8),(I8-$C8-$D8),IF(I8&lt;($C8+$E8),(I8-$C8-$E8),"√")))</f>
        <v>√</v>
      </c>
      <c r="AD8" s="56" t="str">
        <f t="shared" si="4"/>
        <v>√</v>
      </c>
      <c r="AE8" s="56" t="str">
        <f t="shared" si="4"/>
        <v>√</v>
      </c>
      <c r="AF8" s="56" t="str">
        <f t="shared" si="4"/>
        <v>√</v>
      </c>
      <c r="AG8" s="56" t="str">
        <f t="shared" si="4"/>
        <v>√</v>
      </c>
      <c r="AH8" s="56" t="str">
        <f t="shared" si="4"/>
        <v>√</v>
      </c>
      <c r="AI8" s="56" t="str">
        <f t="shared" si="4"/>
        <v>√</v>
      </c>
      <c r="AJ8" s="56" t="str">
        <f t="shared" si="4"/>
        <v>√</v>
      </c>
      <c r="AK8" s="56" t="str">
        <f t="shared" si="4"/>
        <v>√</v>
      </c>
      <c r="AL8" s="56" t="str">
        <f t="shared" si="4"/>
        <v>√</v>
      </c>
      <c r="AM8" s="56" t="str">
        <f t="shared" si="4"/>
        <v>√</v>
      </c>
      <c r="AN8" s="56" t="str">
        <f t="shared" si="4"/>
        <v>√</v>
      </c>
      <c r="AO8" s="56" t="str">
        <f t="shared" si="4"/>
        <v>√</v>
      </c>
      <c r="AP8" s="56" t="str">
        <f t="shared" si="4"/>
        <v>√</v>
      </c>
      <c r="AQ8" s="56" t="str">
        <f t="shared" ref="AQ8:AV8" si="5">IF(W8="","",IF(W8&gt;($C8+$D8),(W8-$C8-$D8),IF(W8&lt;($C8+$E8),(W8-$C8-$E8),"√")))</f>
        <v>√</v>
      </c>
      <c r="AR8" s="56" t="str">
        <f t="shared" si="5"/>
        <v>√</v>
      </c>
      <c r="AS8" s="56" t="str">
        <f t="shared" si="5"/>
        <v>√</v>
      </c>
      <c r="AT8" s="56" t="str">
        <f t="shared" si="5"/>
        <v>√</v>
      </c>
      <c r="AU8" s="56" t="str">
        <f t="shared" si="5"/>
        <v>√</v>
      </c>
      <c r="AV8" s="56" t="str">
        <f t="shared" si="5"/>
        <v>√</v>
      </c>
    </row>
    <row r="9" ht="15" customHeight="1" spans="1:48">
      <c r="A9" s="49"/>
      <c r="B9" s="55" t="s">
        <v>30</v>
      </c>
      <c r="C9" s="51">
        <v>186.04</v>
      </c>
      <c r="D9" s="51">
        <v>1</v>
      </c>
      <c r="E9" s="51">
        <v>-1</v>
      </c>
      <c r="F9" s="52">
        <f>C9+D9</f>
        <v>187.04</v>
      </c>
      <c r="G9" s="52">
        <f>C9+E9</f>
        <v>185.04</v>
      </c>
      <c r="H9" s="51" t="s">
        <v>29</v>
      </c>
      <c r="I9" s="53">
        <v>186.1202</v>
      </c>
      <c r="J9" s="53">
        <v>186.4657</v>
      </c>
      <c r="K9" s="53">
        <v>186.1923</v>
      </c>
      <c r="L9" s="53">
        <v>186.1582</v>
      </c>
      <c r="M9" s="53">
        <v>186.4455</v>
      </c>
      <c r="N9" s="53">
        <v>186.1576</v>
      </c>
      <c r="O9" s="53">
        <v>186.4793</v>
      </c>
      <c r="P9" s="53">
        <v>186.3757</v>
      </c>
      <c r="Q9" s="53">
        <v>186.5332</v>
      </c>
      <c r="R9" s="53">
        <v>186.5439</v>
      </c>
      <c r="S9" s="53">
        <v>186.1779</v>
      </c>
      <c r="T9" s="53">
        <v>186.3733</v>
      </c>
      <c r="U9" s="53">
        <v>185.9909</v>
      </c>
      <c r="V9" s="53">
        <v>186.4864</v>
      </c>
      <c r="W9" s="53">
        <v>186.5724</v>
      </c>
      <c r="X9" s="53">
        <v>186.3289</v>
      </c>
      <c r="Y9" s="53">
        <v>186.1863</v>
      </c>
      <c r="Z9" s="53">
        <v>186.3501</v>
      </c>
      <c r="AA9" s="53">
        <v>186.3597</v>
      </c>
      <c r="AB9" s="53">
        <v>186.3958</v>
      </c>
      <c r="AC9" s="56" t="str">
        <f t="shared" ref="AC9:AR9" si="6">IF(I9="","",IF(I9&gt;($C9+$D9),(I9-$C9-$D9),IF(I9&lt;($C9+$E9),(I9-$C9-$E9),"√")))</f>
        <v>√</v>
      </c>
      <c r="AD9" s="56" t="str">
        <f t="shared" si="6"/>
        <v>√</v>
      </c>
      <c r="AE9" s="56" t="str">
        <f t="shared" si="6"/>
        <v>√</v>
      </c>
      <c r="AF9" s="56" t="str">
        <f t="shared" si="6"/>
        <v>√</v>
      </c>
      <c r="AG9" s="56" t="str">
        <f t="shared" si="6"/>
        <v>√</v>
      </c>
      <c r="AH9" s="56" t="str">
        <f t="shared" si="6"/>
        <v>√</v>
      </c>
      <c r="AI9" s="56" t="str">
        <f t="shared" si="6"/>
        <v>√</v>
      </c>
      <c r="AJ9" s="56" t="str">
        <f t="shared" si="6"/>
        <v>√</v>
      </c>
      <c r="AK9" s="56" t="str">
        <f t="shared" si="6"/>
        <v>√</v>
      </c>
      <c r="AL9" s="56" t="str">
        <f t="shared" si="6"/>
        <v>√</v>
      </c>
      <c r="AM9" s="56" t="str">
        <f t="shared" si="6"/>
        <v>√</v>
      </c>
      <c r="AN9" s="56" t="str">
        <f t="shared" si="6"/>
        <v>√</v>
      </c>
      <c r="AO9" s="56" t="str">
        <f t="shared" si="6"/>
        <v>√</v>
      </c>
      <c r="AP9" s="56" t="str">
        <f t="shared" si="6"/>
        <v>√</v>
      </c>
      <c r="AQ9" s="56" t="str">
        <f t="shared" ref="AQ9:AV9" si="7">IF(W9="","",IF(W9&gt;($C9+$D9),(W9-$C9-$D9),IF(W9&lt;($C9+$E9),(W9-$C9-$E9),"√")))</f>
        <v>√</v>
      </c>
      <c r="AR9" s="56" t="str">
        <f t="shared" si="7"/>
        <v>√</v>
      </c>
      <c r="AS9" s="56" t="str">
        <f t="shared" si="7"/>
        <v>√</v>
      </c>
      <c r="AT9" s="56" t="str">
        <f t="shared" si="7"/>
        <v>√</v>
      </c>
      <c r="AU9" s="56" t="str">
        <f t="shared" si="7"/>
        <v>√</v>
      </c>
      <c r="AV9" s="56" t="str">
        <f t="shared" si="7"/>
        <v>√</v>
      </c>
    </row>
    <row r="10" ht="15" customHeight="1" spans="1:48">
      <c r="A10" s="49"/>
      <c r="B10" s="55" t="s">
        <v>31</v>
      </c>
      <c r="C10" s="51">
        <v>0</v>
      </c>
      <c r="D10" s="51">
        <v>0.03</v>
      </c>
      <c r="E10" s="51">
        <v>0</v>
      </c>
      <c r="F10" s="52">
        <f>C10+D10</f>
        <v>0.03</v>
      </c>
      <c r="G10" s="52">
        <f>C10+E10</f>
        <v>0</v>
      </c>
      <c r="H10" s="51" t="s">
        <v>29</v>
      </c>
      <c r="I10" s="53">
        <v>0.0138</v>
      </c>
      <c r="J10" s="53">
        <v>0.0222</v>
      </c>
      <c r="K10" s="53">
        <v>0.011</v>
      </c>
      <c r="L10" s="53">
        <v>0.0103</v>
      </c>
      <c r="M10" s="53">
        <v>0.0117</v>
      </c>
      <c r="N10" s="53">
        <v>0.0068</v>
      </c>
      <c r="O10" s="53">
        <v>0.01</v>
      </c>
      <c r="P10" s="53">
        <v>0.0079</v>
      </c>
      <c r="Q10" s="53">
        <v>0.0151</v>
      </c>
      <c r="R10" s="53">
        <v>0.0054</v>
      </c>
      <c r="S10" s="53">
        <v>0.0191</v>
      </c>
      <c r="T10" s="53">
        <v>0.0118</v>
      </c>
      <c r="U10" s="53">
        <v>0.0116</v>
      </c>
      <c r="V10" s="53">
        <v>0.0064</v>
      </c>
      <c r="W10" s="53">
        <v>0.0109</v>
      </c>
      <c r="X10" s="53">
        <v>0.0134</v>
      </c>
      <c r="Y10" s="53">
        <v>0.0096</v>
      </c>
      <c r="Z10" s="53">
        <v>0.0121</v>
      </c>
      <c r="AA10" s="53">
        <v>0.0092</v>
      </c>
      <c r="AB10" s="53">
        <v>0.0166</v>
      </c>
      <c r="AC10" s="56" t="str">
        <f t="shared" ref="AC10:AR10" si="8">IF(I10="","",IF(I10&gt;($C10+$D10),(I10-$C10-$D10),IF(I10&lt;($C10+$E10),(I10-$C10-$E10),"√")))</f>
        <v>√</v>
      </c>
      <c r="AD10" s="56" t="str">
        <f t="shared" si="8"/>
        <v>√</v>
      </c>
      <c r="AE10" s="56" t="str">
        <f t="shared" si="8"/>
        <v>√</v>
      </c>
      <c r="AF10" s="56" t="str">
        <f t="shared" si="8"/>
        <v>√</v>
      </c>
      <c r="AG10" s="56" t="str">
        <f t="shared" si="8"/>
        <v>√</v>
      </c>
      <c r="AH10" s="56" t="str">
        <f t="shared" si="8"/>
        <v>√</v>
      </c>
      <c r="AI10" s="56" t="str">
        <f t="shared" si="8"/>
        <v>√</v>
      </c>
      <c r="AJ10" s="56" t="str">
        <f t="shared" si="8"/>
        <v>√</v>
      </c>
      <c r="AK10" s="56" t="str">
        <f t="shared" si="8"/>
        <v>√</v>
      </c>
      <c r="AL10" s="56" t="str">
        <f t="shared" si="8"/>
        <v>√</v>
      </c>
      <c r="AM10" s="56" t="str">
        <f t="shared" si="8"/>
        <v>√</v>
      </c>
      <c r="AN10" s="56" t="str">
        <f t="shared" si="8"/>
        <v>√</v>
      </c>
      <c r="AO10" s="56" t="str">
        <f t="shared" si="8"/>
        <v>√</v>
      </c>
      <c r="AP10" s="56" t="str">
        <f t="shared" si="8"/>
        <v>√</v>
      </c>
      <c r="AQ10" s="56" t="str">
        <f t="shared" ref="AQ10:AV10" si="9">IF(W10="","",IF(W10&gt;($C10+$D10),(W10-$C10-$D10),IF(W10&lt;($C10+$E10),(W10-$C10-$E10),"√")))</f>
        <v>√</v>
      </c>
      <c r="AR10" s="56" t="str">
        <f t="shared" si="9"/>
        <v>√</v>
      </c>
      <c r="AS10" s="56" t="str">
        <f t="shared" si="9"/>
        <v>√</v>
      </c>
      <c r="AT10" s="56" t="str">
        <f t="shared" si="9"/>
        <v>√</v>
      </c>
      <c r="AU10" s="56" t="str">
        <f t="shared" si="9"/>
        <v>√</v>
      </c>
      <c r="AV10" s="56" t="str">
        <f t="shared" si="9"/>
        <v>√</v>
      </c>
    </row>
    <row r="11" ht="15" customHeight="1" spans="1:48">
      <c r="A11" s="49"/>
      <c r="B11" s="55">
        <v>1</v>
      </c>
      <c r="C11" s="51"/>
      <c r="D11" s="51"/>
      <c r="E11" s="51"/>
      <c r="F11" s="52"/>
      <c r="G11" s="52"/>
      <c r="H11" s="51" t="s">
        <v>29</v>
      </c>
      <c r="I11" s="53">
        <v>0.0069</v>
      </c>
      <c r="J11" s="53">
        <v>0.0111</v>
      </c>
      <c r="K11" s="53">
        <v>0.0055</v>
      </c>
      <c r="L11" s="53">
        <v>0.0052</v>
      </c>
      <c r="M11" s="53">
        <v>0.0059</v>
      </c>
      <c r="N11" s="53">
        <v>0.0034</v>
      </c>
      <c r="O11" s="53">
        <v>0.005</v>
      </c>
      <c r="P11" s="53">
        <v>0.0039</v>
      </c>
      <c r="Q11" s="53">
        <v>0.0076</v>
      </c>
      <c r="R11" s="53">
        <v>0.0027</v>
      </c>
      <c r="S11" s="53">
        <v>0.0095</v>
      </c>
      <c r="T11" s="53">
        <v>0.0059</v>
      </c>
      <c r="U11" s="53">
        <v>0.0058</v>
      </c>
      <c r="V11" s="53">
        <v>0.0032</v>
      </c>
      <c r="W11" s="53">
        <v>0.0054</v>
      </c>
      <c r="X11" s="53">
        <v>0.0067</v>
      </c>
      <c r="Y11" s="53">
        <v>0.0048</v>
      </c>
      <c r="Z11" s="53">
        <v>0.0061</v>
      </c>
      <c r="AA11" s="53">
        <v>0.0046</v>
      </c>
      <c r="AB11" s="53">
        <v>0.0083</v>
      </c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</row>
    <row r="12" ht="15" customHeight="1" spans="1:48">
      <c r="A12" s="49"/>
      <c r="B12" s="55">
        <v>2</v>
      </c>
      <c r="C12" s="51"/>
      <c r="D12" s="51"/>
      <c r="E12" s="51"/>
      <c r="F12" s="52"/>
      <c r="G12" s="52"/>
      <c r="H12" s="51" t="s">
        <v>29</v>
      </c>
      <c r="I12" s="53">
        <v>-0.003</v>
      </c>
      <c r="J12" s="53">
        <v>-0.0052</v>
      </c>
      <c r="K12" s="53">
        <v>-0.0039</v>
      </c>
      <c r="L12" s="53">
        <v>-0.0022</v>
      </c>
      <c r="M12" s="53">
        <v>-0.002</v>
      </c>
      <c r="N12" s="53">
        <v>-0.0034</v>
      </c>
      <c r="O12" s="53">
        <v>0.0004</v>
      </c>
      <c r="P12" s="53">
        <v>-0.0001</v>
      </c>
      <c r="Q12" s="53">
        <v>-0.0052</v>
      </c>
      <c r="R12" s="53">
        <v>-0.0001</v>
      </c>
      <c r="S12" s="53">
        <v>-0.0059</v>
      </c>
      <c r="T12" s="53">
        <v>-0.0059</v>
      </c>
      <c r="U12" s="53">
        <v>0.0036</v>
      </c>
      <c r="V12" s="53">
        <v>-0.0019</v>
      </c>
      <c r="W12" s="53">
        <v>-0.0013</v>
      </c>
      <c r="X12" s="53">
        <v>-0.0007</v>
      </c>
      <c r="Y12" s="53">
        <v>-0.0013</v>
      </c>
      <c r="Z12" s="53">
        <v>-0.0061</v>
      </c>
      <c r="AA12" s="53">
        <v>-0.0001</v>
      </c>
      <c r="AB12" s="53">
        <v>-0.0053</v>
      </c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</row>
    <row r="13" ht="15" customHeight="1" spans="1:48">
      <c r="A13" s="49"/>
      <c r="B13" s="55">
        <v>3</v>
      </c>
      <c r="C13" s="51"/>
      <c r="D13" s="51"/>
      <c r="E13" s="51"/>
      <c r="F13" s="52"/>
      <c r="G13" s="52"/>
      <c r="H13" s="51" t="s">
        <v>29</v>
      </c>
      <c r="I13" s="53">
        <v>-0.0053</v>
      </c>
      <c r="J13" s="53">
        <v>-0.0077</v>
      </c>
      <c r="K13" s="53">
        <v>-0.0046</v>
      </c>
      <c r="L13" s="53">
        <v>-0.0022</v>
      </c>
      <c r="M13" s="53">
        <v>-0.0027</v>
      </c>
      <c r="N13" s="53">
        <v>-0.0001</v>
      </c>
      <c r="O13" s="53">
        <v>-0.0031</v>
      </c>
      <c r="P13" s="53">
        <v>-0.0033</v>
      </c>
      <c r="Q13" s="53">
        <v>-0.0076</v>
      </c>
      <c r="R13" s="53">
        <v>0.0013</v>
      </c>
      <c r="S13" s="53">
        <v>-0.0082</v>
      </c>
      <c r="T13" s="53">
        <v>-0.0046</v>
      </c>
      <c r="U13" s="53">
        <v>0.0013</v>
      </c>
      <c r="V13" s="53">
        <v>-0.0032</v>
      </c>
      <c r="W13" s="53">
        <v>-0.002</v>
      </c>
      <c r="X13" s="53">
        <v>-0.0025</v>
      </c>
      <c r="Y13" s="53">
        <v>-0.003</v>
      </c>
      <c r="Z13" s="53">
        <v>-0.0042</v>
      </c>
      <c r="AA13" s="53">
        <v>-0.0015</v>
      </c>
      <c r="AB13" s="53">
        <v>-0.0083</v>
      </c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</row>
    <row r="14" ht="15" customHeight="1" spans="1:48">
      <c r="A14" s="49"/>
      <c r="B14" s="55">
        <v>4</v>
      </c>
      <c r="C14" s="51"/>
      <c r="D14" s="51"/>
      <c r="E14" s="51"/>
      <c r="F14" s="52"/>
      <c r="G14" s="52"/>
      <c r="H14" s="51" t="s">
        <v>29</v>
      </c>
      <c r="I14" s="53">
        <v>-0.0069</v>
      </c>
      <c r="J14" s="53">
        <v>-0.0111</v>
      </c>
      <c r="K14" s="53">
        <v>-0.0055</v>
      </c>
      <c r="L14" s="53">
        <v>-0.0052</v>
      </c>
      <c r="M14" s="53">
        <v>-0.0059</v>
      </c>
      <c r="N14" s="53">
        <v>-0.0033</v>
      </c>
      <c r="O14" s="53">
        <v>-0.005</v>
      </c>
      <c r="P14" s="53">
        <v>-0.0039</v>
      </c>
      <c r="Q14" s="53">
        <v>-0.0055</v>
      </c>
      <c r="R14" s="53">
        <v>-0.0027</v>
      </c>
      <c r="S14" s="53">
        <v>-0.0095</v>
      </c>
      <c r="T14" s="53">
        <v>-0.0056</v>
      </c>
      <c r="U14" s="53">
        <v>-0.0058</v>
      </c>
      <c r="V14" s="53">
        <v>-0.002</v>
      </c>
      <c r="W14" s="53">
        <v>-0.0054</v>
      </c>
      <c r="X14" s="53">
        <v>-0.0067</v>
      </c>
      <c r="Y14" s="53">
        <v>-0.0048</v>
      </c>
      <c r="Z14" s="53">
        <v>-0.0037</v>
      </c>
      <c r="AA14" s="53">
        <v>-0.0046</v>
      </c>
      <c r="AB14" s="53">
        <v>-0.0077</v>
      </c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</row>
    <row r="15" spans="1:48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9"/>
      <c r="AO15" s="60"/>
      <c r="AP15" s="61"/>
      <c r="AQ15" s="62"/>
      <c r="AR15" s="62"/>
      <c r="AS15" s="62"/>
      <c r="AT15" s="62"/>
      <c r="AU15" s="63"/>
      <c r="AV15" s="64"/>
    </row>
  </sheetData>
  <mergeCells count="31">
    <mergeCell ref="A1:AV1"/>
    <mergeCell ref="R2:AA2"/>
    <mergeCell ref="AB2:AG2"/>
    <mergeCell ref="AH2:AL2"/>
    <mergeCell ref="AM2:AP2"/>
    <mergeCell ref="AQ2:AV2"/>
    <mergeCell ref="R3:AA3"/>
    <mergeCell ref="AB3:AG3"/>
    <mergeCell ref="AH3:AL3"/>
    <mergeCell ref="AM3:AP3"/>
    <mergeCell ref="AQ3:AV3"/>
    <mergeCell ref="I4:AB4"/>
    <mergeCell ref="AC4:AV4"/>
    <mergeCell ref="I5:AB5"/>
    <mergeCell ref="AC5:AV5"/>
    <mergeCell ref="A15:AN15"/>
    <mergeCell ref="AO15:AP15"/>
    <mergeCell ref="AU15:AV15"/>
    <mergeCell ref="A2:A3"/>
    <mergeCell ref="A4:A6"/>
    <mergeCell ref="A7:A14"/>
    <mergeCell ref="B4:B6"/>
    <mergeCell ref="C4:C6"/>
    <mergeCell ref="D4:D6"/>
    <mergeCell ref="E4:E6"/>
    <mergeCell ref="F4:F6"/>
    <mergeCell ref="G4:G6"/>
    <mergeCell ref="H4:H6"/>
    <mergeCell ref="G2:J3"/>
    <mergeCell ref="K2:Q3"/>
    <mergeCell ref="B2:F3"/>
  </mergeCells>
  <conditionalFormatting sqref="I7:AB7">
    <cfRule type="cellIs" dxfId="0" priority="7" operator="notBetween">
      <formula>$F7</formula>
      <formula>$G7</formula>
    </cfRule>
  </conditionalFormatting>
  <conditionalFormatting sqref="J9:AB9">
    <cfRule type="cellIs" dxfId="0" priority="3" operator="notBetween">
      <formula>$F9</formula>
      <formula>$G9</formula>
    </cfRule>
  </conditionalFormatting>
  <conditionalFormatting sqref="J10:AB10">
    <cfRule type="cellIs" dxfId="0" priority="4" operator="notBetween">
      <formula>$F10</formula>
      <formula>$G10</formula>
    </cfRule>
  </conditionalFormatting>
  <conditionalFormatting sqref="I8:I10">
    <cfRule type="cellIs" dxfId="0" priority="5" operator="notBetween">
      <formula>$F8</formula>
      <formula>$G8</formula>
    </cfRule>
  </conditionalFormatting>
  <conditionalFormatting sqref="J8:R8 T8:AB8">
    <cfRule type="cellIs" dxfId="0" priority="2" operator="notBetween">
      <formula>$F8</formula>
      <formula>$G8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613-41428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2026-07-03T22:37:20Z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