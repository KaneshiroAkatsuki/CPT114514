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1-2" sheetId="8" r:id="rId1"/>
    <sheet name="3-4" sheetId="9" r:id="rId2"/>
    <sheet name="5-6" sheetId="10" r:id="rId3"/>
    <sheet name="7-8" sheetId="11" r:id="rId4"/>
  </sheets>
  <definedNames>
    <definedName name="_xlnm.Print_Area" localSheetId="0">'1-2'!$B$1:$AE$6</definedName>
    <definedName name="_xlnm.Print_Titles" localSheetId="0">'1-2'!$1:$6</definedName>
    <definedName name="_xlnm.Print_Area" localSheetId="1">'3-4'!$B$1:$AE$6</definedName>
    <definedName name="_xlnm.Print_Titles" localSheetId="1">'3-4'!$1:$6</definedName>
    <definedName name="_xlnm.Print_Area" localSheetId="2">'5-6'!$B$1:$AE$6</definedName>
    <definedName name="_xlnm.Print_Titles" localSheetId="2">'5-6'!$1:$6</definedName>
    <definedName name="_xlnm.Print_Area" localSheetId="3">'7-8'!$B$1:$AE$6</definedName>
    <definedName name="_xlnm.Print_Titles" localSheetId="3">'7-8'!$1:$6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<sst xmlns="http://schemas.openxmlformats.org/spreadsheetml/2006/main" count="896" uniqueCount="161">
  <si>
    <t>安徽中耀智能科技有限公司首件尺寸报告</t>
  </si>
  <si>
    <t>料号</t>
  </si>
  <si>
    <t>806-65034-04</t>
  </si>
  <si>
    <t>工单号</t>
  </si>
  <si>
    <t>工站</t>
  </si>
  <si>
    <t>炉号</t>
  </si>
  <si>
    <t>测量机台号</t>
  </si>
  <si>
    <t>测量人员</t>
  </si>
  <si>
    <t>审核</t>
  </si>
  <si>
    <t xml:space="preserve"> 开发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</si>
  <si>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</si>
  <si>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</si>
  <si>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</si>
  <si>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</si>
  <si>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</si>
  <si>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</si>
  <si>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</si>
  <si>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</si>
  <si>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</si>
  <si>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</si>
  <si>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</si>
  <si>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</si>
  <si>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</si>
  <si>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</si>
  <si>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</si>
  <si>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</si>
  <si>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</si>
  <si>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</si>
  <si>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</si>
  <si>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</si>
  <si>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</si>
  <si>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</si>
  <si>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</si>
  <si>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</si>
  <si>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</si>
  <si>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</si>
  <si>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</si>
  <si>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</si>
  <si>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</si>
  <si>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</si>
  <si>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</si>
  <si>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</si>
  <si>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FAI14</t>
  </si>
  <si>
    <t>N</t>
  </si>
  <si>
    <t>OMM</t>
  </si>
  <si>
    <t>FAI25</t>
  </si>
  <si>
    <t>Y</t>
  </si>
  <si>
    <t>FAI45_1</t>
  </si>
  <si>
    <t>FAI45_2</t>
  </si>
  <si>
    <t>FAI46_1</t>
  </si>
  <si>
    <t>FAI46_2</t>
  </si>
  <si>
    <t>FAI46_3</t>
  </si>
  <si>
    <t>FAI46_4</t>
  </si>
  <si>
    <t>FAI46_5</t>
  </si>
  <si>
    <t>FAI46_6</t>
  </si>
  <si>
    <t>FAI46_7</t>
  </si>
  <si>
    <t>FAI46_8</t>
  </si>
  <si>
    <t>FAI6</t>
  </si>
  <si>
    <t>CMM</t>
  </si>
  <si>
    <t>FAI12</t>
  </si>
  <si>
    <t>L</t>
  </si>
  <si>
    <t>参考</t>
  </si>
  <si>
    <t>FAI15</t>
  </si>
  <si>
    <t>FAI16</t>
  </si>
  <si>
    <t>FAI17</t>
  </si>
  <si>
    <t>FAI18</t>
  </si>
  <si>
    <t>FAI19</t>
  </si>
  <si>
    <t>FAI20</t>
  </si>
  <si>
    <t>FAI21</t>
  </si>
  <si>
    <t>FAI22</t>
  </si>
  <si>
    <t>FAI23_1</t>
  </si>
  <si>
    <t>FAI23_2</t>
  </si>
  <si>
    <t>FAI24</t>
  </si>
  <si>
    <t>X</t>
  </si>
  <si>
    <t>FAI26</t>
  </si>
  <si>
    <t>Z</t>
  </si>
  <si>
    <t>FAI27</t>
  </si>
  <si>
    <t>FAI28</t>
  </si>
  <si>
    <t>FAI4</t>
  </si>
  <si>
    <t>D</t>
  </si>
  <si>
    <t>FAI7</t>
  </si>
  <si>
    <t>G</t>
  </si>
  <si>
    <t>FAI8</t>
  </si>
  <si>
    <t>H</t>
  </si>
  <si>
    <t>FAI11_1</t>
  </si>
  <si>
    <t>K</t>
  </si>
  <si>
    <t>FAI11_2</t>
  </si>
  <si>
    <t>FAI13</t>
  </si>
  <si>
    <t>FAI30</t>
  </si>
  <si>
    <t>AD</t>
  </si>
  <si>
    <t>FAI31</t>
  </si>
  <si>
    <t>AE</t>
  </si>
  <si>
    <t>FAI32</t>
  </si>
  <si>
    <t>AF</t>
  </si>
  <si>
    <t>FAI33</t>
  </si>
  <si>
    <t>AG</t>
  </si>
  <si>
    <t>FAI37</t>
  </si>
  <si>
    <t>FAI37_Y</t>
  </si>
  <si>
    <t>FAI37_Z</t>
  </si>
  <si>
    <t>FAI39</t>
  </si>
  <si>
    <t>FAI40</t>
  </si>
  <si>
    <t>FAI44</t>
  </si>
  <si>
    <t>AM</t>
  </si>
  <si>
    <t>FAI5</t>
  </si>
  <si>
    <t>E</t>
  </si>
  <si>
    <t>PIN</t>
  </si>
  <si>
    <t>FAI43</t>
  </si>
  <si>
    <t>MIC</t>
  </si>
  <si>
    <t>FAI10_1</t>
  </si>
  <si>
    <t>FAI10_2</t>
  </si>
  <si>
    <t>FAI9_1</t>
  </si>
  <si>
    <t>I</t>
  </si>
  <si>
    <t>FAI9_2</t>
  </si>
  <si>
    <t>3-1</t>
  </si>
  <si>
    <t>3-2</t>
  </si>
  <si>
    <t>3-3</t>
  </si>
  <si>
    <t>3-4</t>
  </si>
  <si>
    <t>3-5</t>
  </si>
  <si>
    <t>3-6</t>
  </si>
  <si>
    <t>3-7</t>
  </si>
  <si>
    <t>3-8</t>
  </si>
  <si>
    <t>4-1</t>
  </si>
  <si>
    <t>4-2</t>
  </si>
  <si>
    <t>4-3</t>
  </si>
  <si>
    <t>4-4</t>
  </si>
  <si>
    <t>4-5</t>
  </si>
  <si>
    <t>4-6</t>
  </si>
  <si>
    <t>4-7</t>
  </si>
  <si>
    <t>4-8</t>
  </si>
  <si>
    <t>5-1</t>
  </si>
  <si>
    <t>5-2</t>
  </si>
  <si>
    <t>5-3</t>
  </si>
  <si>
    <t>5-4</t>
  </si>
  <si>
    <t>5-5</t>
  </si>
  <si>
    <t>5-6</t>
  </si>
  <si>
    <t>5-7</t>
  </si>
  <si>
    <t>5-8</t>
  </si>
  <si>
    <t>6-1</t>
  </si>
  <si>
    <t>6-2</t>
  </si>
  <si>
    <t>6-3</t>
  </si>
  <si>
    <t>6-4</t>
  </si>
  <si>
    <t>6-5</t>
  </si>
  <si>
    <t>6-6</t>
  </si>
  <si>
    <t>6-7</t>
  </si>
  <si>
    <t>6-8</t>
  </si>
  <si>
    <t>7-1</t>
  </si>
  <si>
    <t>7-2</t>
  </si>
  <si>
    <t>7-3</t>
  </si>
  <si>
    <t>7-4</t>
  </si>
  <si>
    <t>7-5</t>
  </si>
  <si>
    <t>7-6</t>
  </si>
  <si>
    <t>7-7</t>
  </si>
  <si>
    <t>7-8</t>
  </si>
  <si>
    <t>8-1</t>
  </si>
  <si>
    <t>8-2</t>
  </si>
  <si>
    <t>8-3</t>
  </si>
  <si>
    <t>8-4</t>
  </si>
  <si>
    <t>8-5</t>
  </si>
  <si>
    <t>8-6</t>
  </si>
  <si>
    <t>8-7</t>
  </si>
  <si>
    <t>8-8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</si>
</sst>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10" fillId="4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3" fillId="4" borderId="7" xfId="53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workbookViewId="0">
      <selection activeCell="R15" sqref="R15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26</v>
      </c>
      <c r="K6" s="46" t="s">
        <v>27</v>
      </c>
      <c r="L6" s="46" t="s">
        <v>28</v>
      </c>
      <c r="M6" s="46" t="s">
        <v>29</v>
      </c>
      <c r="N6" s="46" t="s">
        <v>30</v>
      </c>
      <c r="O6" s="46" t="s">
        <v>31</v>
      </c>
      <c r="P6" s="46" t="s">
        <v>32</v>
      </c>
      <c r="Q6" s="46" t="s">
        <v>33</v>
      </c>
      <c r="R6" s="46" t="s">
        <v>34</v>
      </c>
      <c r="S6" s="46" t="s">
        <v>35</v>
      </c>
      <c r="T6" s="46" t="s">
        <v>36</v>
      </c>
      <c r="U6" s="46" t="s">
        <v>37</v>
      </c>
      <c r="V6" s="46" t="s">
        <v>38</v>
      </c>
      <c r="W6" s="46" t="s">
        <v>39</v>
      </c>
      <c r="X6" s="46" t="s">
        <v>40</v>
      </c>
      <c r="Y6" s="46" t="s">
        <v>41</v>
      </c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1-6</v>
      </c>
      <c r="AF6" s="47" t="str">
        <f t="shared" si="0"/>
        <v>1-7</v>
      </c>
      <c r="AG6" s="47" t="str">
        <f t="shared" si="0"/>
        <v>1-8</v>
      </c>
      <c r="AH6" s="47" t="str">
        <f t="shared" si="0"/>
        <v>2-1</v>
      </c>
      <c r="AI6" s="47" t="str">
        <f t="shared" si="0"/>
        <v>2-2</v>
      </c>
      <c r="AJ6" s="47" t="str">
        <f t="shared" si="0"/>
        <v>2-3</v>
      </c>
      <c r="AK6" s="47" t="str">
        <f t="shared" si="0"/>
        <v>2-4</v>
      </c>
      <c r="AL6" s="47" t="str">
        <f t="shared" si="0"/>
        <v>2-5</v>
      </c>
      <c r="AM6" s="47" t="str">
        <f t="shared" si="0"/>
        <v>2-6</v>
      </c>
      <c r="AN6" s="47" t="str">
        <f t="shared" si="0"/>
        <v>2-7</v>
      </c>
      <c r="AO6" s="47" t="str">
        <f t="shared" si="0"/>
        <v>2-8</v>
      </c>
    </row>
    <row r="7" ht="15" customHeight="1" spans="1:41">
      <c r="A7" s="48">
        <v>46206</v>
      </c>
      <c r="B7" s="49" t="s">
        <v>42</v>
      </c>
      <c r="C7" s="49" t="s">
        <v>43</v>
      </c>
      <c r="D7" s="50">
        <v>0.5</v>
      </c>
      <c r="E7" s="50">
        <v>0.03</v>
      </c>
      <c r="F7" s="50">
        <v>-0.03</v>
      </c>
      <c r="G7" s="50">
        <f>D7+E7</f>
        <v>0.53</v>
      </c>
      <c r="H7" s="50">
        <f>D7+F7</f>
        <v>0.47</v>
      </c>
      <c r="I7" s="50" t="s">
        <v>44</v>
      </c>
      <c r="J7" s="51">
        <v>0.5076</v>
      </c>
      <c r="K7" s="51">
        <v>0.5049</v>
      </c>
      <c r="L7" s="51">
        <v>0.5046</v>
      </c>
      <c r="M7" s="51">
        <v>0.5047</v>
      </c>
      <c r="N7" s="51">
        <v>0.504</v>
      </c>
      <c r="O7" s="51">
        <v>0.5057</v>
      </c>
      <c r="P7" s="51">
        <v>0.502</v>
      </c>
      <c r="Q7" s="51">
        <v>0.4985</v>
      </c>
      <c r="R7" s="51">
        <v>0.5047</v>
      </c>
      <c r="S7" s="51">
        <v>0.5036</v>
      </c>
      <c r="T7" s="51">
        <v>0.5044</v>
      </c>
      <c r="U7" s="51">
        <v>0.5042</v>
      </c>
      <c r="V7" s="51">
        <v>0.5033</v>
      </c>
      <c r="W7" s="51">
        <v>0.5071</v>
      </c>
      <c r="X7" s="51">
        <v>0.5043</v>
      </c>
      <c r="Y7" s="51">
        <v>0.5031</v>
      </c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>√</v>
      </c>
      <c r="AK7" s="52" t="str">
        <f t="shared" si="1"/>
        <v>√</v>
      </c>
      <c r="AL7" s="52" t="str">
        <f t="shared" si="1"/>
        <v>√</v>
      </c>
      <c r="AM7" s="52" t="str">
        <f t="shared" si="1"/>
        <v>√</v>
      </c>
      <c r="AN7" s="52" t="str">
        <f t="shared" si="1"/>
        <v>√</v>
      </c>
      <c r="AO7" s="52" t="str">
        <f t="shared" si="1"/>
        <v>√</v>
      </c>
    </row>
    <row r="8" ht="15" customHeight="1" spans="1:41">
      <c r="A8" s="53"/>
      <c r="B8" s="54" t="s">
        <v>45</v>
      </c>
      <c r="C8" s="55" t="s">
        <v>46</v>
      </c>
      <c r="D8" s="50">
        <v>0.59</v>
      </c>
      <c r="E8" s="50">
        <v>0.03</v>
      </c>
      <c r="F8" s="50">
        <v>-0.03</v>
      </c>
      <c r="G8" s="50">
        <f>D8+E8</f>
        <v>0.62</v>
      </c>
      <c r="H8" s="50">
        <f>D8+F8</f>
        <v>0.56</v>
      </c>
      <c r="I8" s="50" t="s">
        <v>44</v>
      </c>
      <c r="J8" s="51">
        <v>0.5906</v>
      </c>
      <c r="K8" s="51">
        <v>0.5913</v>
      </c>
      <c r="L8" s="51">
        <v>0.5882</v>
      </c>
      <c r="M8" s="51">
        <v>0.5929</v>
      </c>
      <c r="N8" s="51">
        <v>0.5918</v>
      </c>
      <c r="O8" s="51">
        <v>0.592</v>
      </c>
      <c r="P8" s="51">
        <v>0.5871</v>
      </c>
      <c r="Q8" s="51">
        <v>0.5915</v>
      </c>
      <c r="R8" s="51">
        <v>0.5821</v>
      </c>
      <c r="S8" s="51">
        <v>0.5794</v>
      </c>
      <c r="T8" s="51">
        <v>0.5815</v>
      </c>
      <c r="U8" s="51">
        <v>0.5854</v>
      </c>
      <c r="V8" s="51">
        <v>0.5704</v>
      </c>
      <c r="W8" s="51">
        <v>0.5796</v>
      </c>
      <c r="X8" s="51">
        <v>0.5843</v>
      </c>
      <c r="Y8" s="51">
        <v>0.5835</v>
      </c>
      <c r="Z8" s="52" t="str">
        <f t="shared" ref="Z8:AO8" si="2">IF(J8="","",IF(J8&gt;($D8+$E8),(J8-$D8-$E8),IF(J8&lt;($D8+$F8),(J8-$D8-$F8),"√")))</f>
        <v>√</v>
      </c>
      <c r="AA8" s="52" t="str">
        <f t="shared" si="2"/>
        <v>√</v>
      </c>
      <c r="AB8" s="52" t="str">
        <f t="shared" si="2"/>
        <v>√</v>
      </c>
      <c r="AC8" s="52" t="str">
        <f t="shared" si="2"/>
        <v>√</v>
      </c>
      <c r="AD8" s="52" t="str">
        <f t="shared" si="2"/>
        <v>√</v>
      </c>
      <c r="AE8" s="52" t="str">
        <f t="shared" si="2"/>
        <v>√</v>
      </c>
      <c r="AF8" s="52" t="str">
        <f t="shared" si="2"/>
        <v>√</v>
      </c>
      <c r="AG8" s="52" t="str">
        <f t="shared" si="2"/>
        <v>√</v>
      </c>
      <c r="AH8" s="52" t="str">
        <f t="shared" si="2"/>
        <v>√</v>
      </c>
      <c r="AI8" s="52" t="str">
        <f t="shared" si="2"/>
        <v>√</v>
      </c>
      <c r="AJ8" s="52" t="str">
        <f t="shared" si="2"/>
        <v>√</v>
      </c>
      <c r="AK8" s="52" t="str">
        <f t="shared" si="2"/>
        <v>√</v>
      </c>
      <c r="AL8" s="52" t="str">
        <f t="shared" si="2"/>
        <v>√</v>
      </c>
      <c r="AM8" s="52" t="str">
        <f t="shared" si="2"/>
        <v>√</v>
      </c>
      <c r="AN8" s="52" t="str">
        <f t="shared" si="2"/>
        <v>√</v>
      </c>
      <c r="AO8" s="52" t="str">
        <f t="shared" si="2"/>
        <v>√</v>
      </c>
    </row>
    <row r="9" ht="15" customHeight="1" spans="1:41">
      <c r="A9" s="53"/>
      <c r="B9" s="54" t="s">
        <v>47</v>
      </c>
      <c r="C9" s="55"/>
      <c r="D9" s="50">
        <v>0.05</v>
      </c>
      <c r="E9" s="50">
        <v>0.02</v>
      </c>
      <c r="F9" s="50">
        <v>-0.02</v>
      </c>
      <c r="G9" s="50">
        <f t="shared" ref="G9:G20" si="3">D9+E9</f>
        <v>0.07</v>
      </c>
      <c r="H9" s="50">
        <f t="shared" ref="H9:H20" si="4">D9+F9</f>
        <v>0.03</v>
      </c>
      <c r="I9" s="50" t="s">
        <v>44</v>
      </c>
      <c r="J9" s="51">
        <v>0.0666</v>
      </c>
      <c r="K9" s="51">
        <v>0.0664</v>
      </c>
      <c r="L9" s="51">
        <v>0.0635</v>
      </c>
      <c r="M9" s="51">
        <v>0.0651</v>
      </c>
      <c r="N9" s="51">
        <v>0.0699</v>
      </c>
      <c r="O9" s="51">
        <v>0.0599</v>
      </c>
      <c r="P9" s="51">
        <v>0.0678</v>
      </c>
      <c r="Q9" s="51">
        <v>0.0697</v>
      </c>
      <c r="R9" s="51">
        <v>0.0508</v>
      </c>
      <c r="S9" s="51">
        <v>0.0498</v>
      </c>
      <c r="T9" s="51">
        <v>0.0459</v>
      </c>
      <c r="U9" s="51">
        <v>0.061</v>
      </c>
      <c r="V9" s="51">
        <v>0.031</v>
      </c>
      <c r="W9" s="51">
        <v>0.065</v>
      </c>
      <c r="X9" s="51">
        <v>0.0418</v>
      </c>
      <c r="Y9" s="51">
        <v>0.047</v>
      </c>
      <c r="Z9" s="52" t="str">
        <f t="shared" ref="Z9:AO9" si="5">IF(J9="","",IF(J9&gt;($D9+$E9),(J9-$D9-$E9),IF(J9&lt;($D9+$F9),(J9-$D9-$F9),"√")))</f>
        <v>√</v>
      </c>
      <c r="AA9" s="52" t="str">
        <f t="shared" si="5"/>
        <v>√</v>
      </c>
      <c r="AB9" s="52" t="str">
        <f t="shared" si="5"/>
        <v>√</v>
      </c>
      <c r="AC9" s="52" t="str">
        <f t="shared" si="5"/>
        <v>√</v>
      </c>
      <c r="AD9" s="52" t="str">
        <f t="shared" si="5"/>
        <v>√</v>
      </c>
      <c r="AE9" s="52" t="str">
        <f t="shared" si="5"/>
        <v>√</v>
      </c>
      <c r="AF9" s="52" t="str">
        <f t="shared" si="5"/>
        <v>√</v>
      </c>
      <c r="AG9" s="52" t="str">
        <f t="shared" si="5"/>
        <v>√</v>
      </c>
      <c r="AH9" s="52" t="str">
        <f t="shared" si="5"/>
        <v>√</v>
      </c>
      <c r="AI9" s="52" t="str">
        <f t="shared" si="5"/>
        <v>√</v>
      </c>
      <c r="AJ9" s="52" t="str">
        <f t="shared" si="5"/>
        <v>√</v>
      </c>
      <c r="AK9" s="52" t="str">
        <f t="shared" si="5"/>
        <v>√</v>
      </c>
      <c r="AL9" s="52" t="str">
        <f t="shared" si="5"/>
        <v>√</v>
      </c>
      <c r="AM9" s="52" t="str">
        <f t="shared" si="5"/>
        <v>√</v>
      </c>
      <c r="AN9" s="52" t="str">
        <f t="shared" si="5"/>
        <v>√</v>
      </c>
      <c r="AO9" s="52" t="str">
        <f t="shared" si="5"/>
        <v>√</v>
      </c>
    </row>
    <row r="10" ht="15" customHeight="1" spans="1:41">
      <c r="A10" s="53"/>
      <c r="B10" s="54" t="s">
        <v>48</v>
      </c>
      <c r="C10" s="55"/>
      <c r="D10" s="50">
        <v>0.05</v>
      </c>
      <c r="E10" s="50">
        <v>0.02</v>
      </c>
      <c r="F10" s="50">
        <v>-0.02</v>
      </c>
      <c r="G10" s="50">
        <f t="shared" si="3"/>
        <v>0.07</v>
      </c>
      <c r="H10" s="50">
        <f t="shared" si="4"/>
        <v>0.03</v>
      </c>
      <c r="I10" s="50" t="s">
        <v>44</v>
      </c>
      <c r="J10" s="51">
        <v>0.0354</v>
      </c>
      <c r="K10" s="51">
        <v>0.0348</v>
      </c>
      <c r="L10" s="51">
        <v>0.0364</v>
      </c>
      <c r="M10" s="51">
        <v>0.0348</v>
      </c>
      <c r="N10" s="51">
        <v>0.0332</v>
      </c>
      <c r="O10" s="51">
        <v>0.0379</v>
      </c>
      <c r="P10" s="51">
        <v>0.0302</v>
      </c>
      <c r="Q10" s="51">
        <v>0.0317</v>
      </c>
      <c r="R10" s="51">
        <v>0.0473</v>
      </c>
      <c r="S10" s="51">
        <v>0.047</v>
      </c>
      <c r="T10" s="51">
        <v>0.0527</v>
      </c>
      <c r="U10" s="51">
        <v>0.0362</v>
      </c>
      <c r="V10" s="51">
        <v>0.0614</v>
      </c>
      <c r="W10" s="51">
        <v>0.0339</v>
      </c>
      <c r="X10" s="51">
        <v>0.0511</v>
      </c>
      <c r="Y10" s="51">
        <v>0.0473</v>
      </c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>√</v>
      </c>
      <c r="AI10" s="52" t="str">
        <f t="shared" si="6"/>
        <v>√</v>
      </c>
      <c r="AJ10" s="52" t="str">
        <f t="shared" si="6"/>
        <v>√</v>
      </c>
      <c r="AK10" s="52" t="str">
        <f t="shared" si="6"/>
        <v>√</v>
      </c>
      <c r="AL10" s="52" t="str">
        <f t="shared" si="6"/>
        <v>√</v>
      </c>
      <c r="AM10" s="52" t="str">
        <f t="shared" si="6"/>
        <v>√</v>
      </c>
      <c r="AN10" s="52" t="str">
        <f t="shared" si="6"/>
        <v>√</v>
      </c>
      <c r="AO10" s="52" t="str">
        <f t="shared" si="6"/>
        <v>√</v>
      </c>
    </row>
    <row r="11" ht="15" customHeight="1" spans="1:41">
      <c r="A11" s="53"/>
      <c r="B11" s="54" t="s">
        <v>49</v>
      </c>
      <c r="C11" s="55"/>
      <c r="D11" s="50">
        <v>0.025</v>
      </c>
      <c r="E11" s="50">
        <v>0.01</v>
      </c>
      <c r="F11" s="50">
        <v>-0.01</v>
      </c>
      <c r="G11" s="50">
        <f t="shared" si="3"/>
        <v>0.035</v>
      </c>
      <c r="H11" s="50">
        <f t="shared" si="4"/>
        <v>0.015</v>
      </c>
      <c r="I11" s="50" t="s">
        <v>44</v>
      </c>
      <c r="J11" s="51">
        <v>0.0227</v>
      </c>
      <c r="K11" s="51">
        <v>0.0227</v>
      </c>
      <c r="L11" s="51">
        <v>0.0193</v>
      </c>
      <c r="M11" s="51">
        <v>0.02</v>
      </c>
      <c r="N11" s="51">
        <v>0.0176</v>
      </c>
      <c r="O11" s="51">
        <v>0.0221</v>
      </c>
      <c r="P11" s="51">
        <v>0.0229</v>
      </c>
      <c r="Q11" s="51">
        <v>0.0163</v>
      </c>
      <c r="R11" s="51">
        <v>0.0193</v>
      </c>
      <c r="S11" s="51">
        <v>0.0152</v>
      </c>
      <c r="T11" s="51">
        <v>0.0154</v>
      </c>
      <c r="U11" s="51">
        <v>0.0211</v>
      </c>
      <c r="V11" s="51">
        <v>0.0151</v>
      </c>
      <c r="W11" s="51">
        <v>0.0172</v>
      </c>
      <c r="X11" s="51">
        <v>0.0198</v>
      </c>
      <c r="Y11" s="51">
        <v>0.0181</v>
      </c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>√</v>
      </c>
      <c r="AI11" s="52" t="str">
        <f t="shared" si="7"/>
        <v>√</v>
      </c>
      <c r="AJ11" s="52" t="str">
        <f t="shared" si="7"/>
        <v>√</v>
      </c>
      <c r="AK11" s="52" t="str">
        <f t="shared" si="7"/>
        <v>√</v>
      </c>
      <c r="AL11" s="52" t="str">
        <f t="shared" si="7"/>
        <v>√</v>
      </c>
      <c r="AM11" s="52" t="str">
        <f t="shared" si="7"/>
        <v>√</v>
      </c>
      <c r="AN11" s="52" t="str">
        <f t="shared" si="7"/>
        <v>√</v>
      </c>
      <c r="AO11" s="52" t="str">
        <f t="shared" si="7"/>
        <v>√</v>
      </c>
    </row>
    <row r="12" ht="15" customHeight="1" spans="1:41">
      <c r="A12" s="53"/>
      <c r="B12" s="54" t="s">
        <v>50</v>
      </c>
      <c r="C12" s="55"/>
      <c r="D12" s="50">
        <v>0.025</v>
      </c>
      <c r="E12" s="50">
        <v>0.01</v>
      </c>
      <c r="F12" s="50">
        <v>-0.01</v>
      </c>
      <c r="G12" s="50">
        <f t="shared" si="3"/>
        <v>0.035</v>
      </c>
      <c r="H12" s="50">
        <f t="shared" si="4"/>
        <v>0.015</v>
      </c>
      <c r="I12" s="50" t="s">
        <v>44</v>
      </c>
      <c r="J12" s="51">
        <v>0.0273</v>
      </c>
      <c r="K12" s="51">
        <v>0.0235</v>
      </c>
      <c r="L12" s="51">
        <v>0.0195</v>
      </c>
      <c r="M12" s="51">
        <v>0.02</v>
      </c>
      <c r="N12" s="51">
        <v>0.0151</v>
      </c>
      <c r="O12" s="51">
        <v>0.0177</v>
      </c>
      <c r="P12" s="51">
        <v>0.0229</v>
      </c>
      <c r="Q12" s="51">
        <v>0.0228</v>
      </c>
      <c r="R12" s="51">
        <v>0.0193</v>
      </c>
      <c r="S12" s="51">
        <v>0.0172</v>
      </c>
      <c r="T12" s="51">
        <v>0.018</v>
      </c>
      <c r="U12" s="51">
        <v>0.0214</v>
      </c>
      <c r="V12" s="51">
        <v>0.0197</v>
      </c>
      <c r="W12" s="51">
        <v>0.0187</v>
      </c>
      <c r="X12" s="51">
        <v>0.0162</v>
      </c>
      <c r="Y12" s="51">
        <v>0.017</v>
      </c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>√</v>
      </c>
      <c r="AI12" s="52" t="str">
        <f t="shared" si="8"/>
        <v>√</v>
      </c>
      <c r="AJ12" s="52" t="str">
        <f t="shared" si="8"/>
        <v>√</v>
      </c>
      <c r="AK12" s="52" t="str">
        <f t="shared" si="8"/>
        <v>√</v>
      </c>
      <c r="AL12" s="52" t="str">
        <f t="shared" si="8"/>
        <v>√</v>
      </c>
      <c r="AM12" s="52" t="str">
        <f t="shared" si="8"/>
        <v>√</v>
      </c>
      <c r="AN12" s="52" t="str">
        <f t="shared" si="8"/>
        <v>√</v>
      </c>
      <c r="AO12" s="52" t="str">
        <f t="shared" si="8"/>
        <v>√</v>
      </c>
    </row>
    <row r="13" ht="15" customHeight="1" spans="1:41">
      <c r="A13" s="53"/>
      <c r="B13" s="54" t="s">
        <v>51</v>
      </c>
      <c r="C13" s="55"/>
      <c r="D13" s="50">
        <v>0.025</v>
      </c>
      <c r="E13" s="50">
        <v>0.01</v>
      </c>
      <c r="F13" s="50">
        <v>-0.01</v>
      </c>
      <c r="G13" s="50">
        <f t="shared" si="3"/>
        <v>0.035</v>
      </c>
      <c r="H13" s="50">
        <f t="shared" si="4"/>
        <v>0.015</v>
      </c>
      <c r="I13" s="50" t="s">
        <v>44</v>
      </c>
      <c r="J13" s="51">
        <v>0.0196</v>
      </c>
      <c r="K13" s="51">
        <v>0.0209</v>
      </c>
      <c r="L13" s="51">
        <v>0.0193</v>
      </c>
      <c r="M13" s="51">
        <v>0.0184</v>
      </c>
      <c r="N13" s="51">
        <v>0.0209</v>
      </c>
      <c r="O13" s="51">
        <v>0.0191</v>
      </c>
      <c r="P13" s="51">
        <v>0.0175</v>
      </c>
      <c r="Q13" s="51">
        <v>0.0245</v>
      </c>
      <c r="R13" s="51">
        <v>0.0198</v>
      </c>
      <c r="S13" s="51">
        <v>0.0215</v>
      </c>
      <c r="T13" s="51">
        <v>0.0177</v>
      </c>
      <c r="U13" s="51">
        <v>0.0209</v>
      </c>
      <c r="V13" s="51">
        <v>0.0167</v>
      </c>
      <c r="W13" s="51">
        <v>0.0201</v>
      </c>
      <c r="X13" s="51">
        <v>0.0168</v>
      </c>
      <c r="Y13" s="51">
        <v>0.0203</v>
      </c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>√</v>
      </c>
      <c r="AI13" s="52" t="str">
        <f t="shared" si="9"/>
        <v>√</v>
      </c>
      <c r="AJ13" s="52" t="str">
        <f t="shared" si="9"/>
        <v>√</v>
      </c>
      <c r="AK13" s="52" t="str">
        <f t="shared" si="9"/>
        <v>√</v>
      </c>
      <c r="AL13" s="52" t="str">
        <f t="shared" si="9"/>
        <v>√</v>
      </c>
      <c r="AM13" s="52" t="str">
        <f t="shared" si="9"/>
        <v>√</v>
      </c>
      <c r="AN13" s="52" t="str">
        <f t="shared" si="9"/>
        <v>√</v>
      </c>
      <c r="AO13" s="52" t="str">
        <f t="shared" si="9"/>
        <v>√</v>
      </c>
    </row>
    <row r="14" ht="15" customHeight="1" spans="1:41">
      <c r="A14" s="53"/>
      <c r="B14" s="54" t="s">
        <v>52</v>
      </c>
      <c r="C14" s="55"/>
      <c r="D14" s="50">
        <v>0.025</v>
      </c>
      <c r="E14" s="50">
        <v>0.01</v>
      </c>
      <c r="F14" s="50">
        <v>-0.01</v>
      </c>
      <c r="G14" s="50">
        <f t="shared" si="3"/>
        <v>0.035</v>
      </c>
      <c r="H14" s="50">
        <f t="shared" si="4"/>
        <v>0.015</v>
      </c>
      <c r="I14" s="50" t="s">
        <v>44</v>
      </c>
      <c r="J14" s="51">
        <v>0.0232</v>
      </c>
      <c r="K14" s="51">
        <v>0.0228</v>
      </c>
      <c r="L14" s="51">
        <v>0.02</v>
      </c>
      <c r="M14" s="51">
        <v>0.0185</v>
      </c>
      <c r="N14" s="51">
        <v>0.0228</v>
      </c>
      <c r="O14" s="51">
        <v>0.0191</v>
      </c>
      <c r="P14" s="51">
        <v>0.0279</v>
      </c>
      <c r="Q14" s="51">
        <v>0.0156</v>
      </c>
      <c r="R14" s="51">
        <v>0.0168</v>
      </c>
      <c r="S14" s="51">
        <v>0.0206</v>
      </c>
      <c r="T14" s="51">
        <v>0.0229</v>
      </c>
      <c r="U14" s="51">
        <v>0.0193</v>
      </c>
      <c r="V14" s="51">
        <v>0.0223</v>
      </c>
      <c r="W14" s="51">
        <v>0.0209</v>
      </c>
      <c r="X14" s="51">
        <v>0.0198</v>
      </c>
      <c r="Y14" s="51">
        <v>0.0174</v>
      </c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>√</v>
      </c>
      <c r="AI14" s="52" t="str">
        <f t="shared" si="10"/>
        <v>√</v>
      </c>
      <c r="AJ14" s="52" t="str">
        <f t="shared" si="10"/>
        <v>√</v>
      </c>
      <c r="AK14" s="52" t="str">
        <f t="shared" si="10"/>
        <v>√</v>
      </c>
      <c r="AL14" s="52" t="str">
        <f t="shared" si="10"/>
        <v>√</v>
      </c>
      <c r="AM14" s="52" t="str">
        <f t="shared" si="10"/>
        <v>√</v>
      </c>
      <c r="AN14" s="52" t="str">
        <f t="shared" si="10"/>
        <v>√</v>
      </c>
      <c r="AO14" s="52" t="str">
        <f t="shared" si="10"/>
        <v>√</v>
      </c>
    </row>
    <row r="15" ht="15" customHeight="1" spans="1:41">
      <c r="A15" s="53"/>
      <c r="B15" s="54" t="s">
        <v>53</v>
      </c>
      <c r="C15" s="55"/>
      <c r="D15" s="50">
        <v>0.025</v>
      </c>
      <c r="E15" s="50">
        <v>0.01</v>
      </c>
      <c r="F15" s="50">
        <v>-0.01</v>
      </c>
      <c r="G15" s="50">
        <f t="shared" si="3"/>
        <v>0.035</v>
      </c>
      <c r="H15" s="50">
        <f t="shared" si="4"/>
        <v>0.015</v>
      </c>
      <c r="I15" s="50" t="s">
        <v>44</v>
      </c>
      <c r="J15" s="51">
        <v>0.0198</v>
      </c>
      <c r="K15" s="51">
        <v>0.0212</v>
      </c>
      <c r="L15" s="51">
        <v>0.0246</v>
      </c>
      <c r="M15" s="51">
        <v>0.0236</v>
      </c>
      <c r="N15" s="51">
        <v>0.0313</v>
      </c>
      <c r="O15" s="51">
        <v>0.0272</v>
      </c>
      <c r="P15" s="51">
        <v>0.0281</v>
      </c>
      <c r="Q15" s="51">
        <v>0.0247</v>
      </c>
      <c r="R15" s="51">
        <v>0.0256</v>
      </c>
      <c r="S15" s="51">
        <v>0.0267</v>
      </c>
      <c r="T15" s="51">
        <v>0.0282</v>
      </c>
      <c r="U15" s="51">
        <v>0.0327</v>
      </c>
      <c r="V15" s="51">
        <v>0.0288</v>
      </c>
      <c r="W15" s="51">
        <v>0.022</v>
      </c>
      <c r="X15" s="51">
        <v>0.0332</v>
      </c>
      <c r="Y15" s="51">
        <v>0.0242</v>
      </c>
      <c r="Z15" s="52" t="str">
        <f t="shared" ref="Z15:AO15" si="11">IF(J15="","",IF(J15&gt;($D15+$E15),(J15-$D15-$E15),IF(J15&lt;($D15+$F15),(J15-$D15-$F15),"√")))</f>
        <v>√</v>
      </c>
      <c r="AA15" s="52" t="str">
        <f t="shared" si="11"/>
        <v>√</v>
      </c>
      <c r="AB15" s="52" t="str">
        <f t="shared" si="11"/>
        <v>√</v>
      </c>
      <c r="AC15" s="52" t="str">
        <f t="shared" si="11"/>
        <v>√</v>
      </c>
      <c r="AD15" s="52" t="str">
        <f t="shared" si="11"/>
        <v>√</v>
      </c>
      <c r="AE15" s="52" t="str">
        <f t="shared" si="11"/>
        <v>√</v>
      </c>
      <c r="AF15" s="52" t="str">
        <f t="shared" si="11"/>
        <v>√</v>
      </c>
      <c r="AG15" s="52" t="str">
        <f t="shared" si="11"/>
        <v>√</v>
      </c>
      <c r="AH15" s="52" t="str">
        <f t="shared" si="11"/>
        <v>√</v>
      </c>
      <c r="AI15" s="52" t="str">
        <f t="shared" si="11"/>
        <v>√</v>
      </c>
      <c r="AJ15" s="52" t="str">
        <f t="shared" si="11"/>
        <v>√</v>
      </c>
      <c r="AK15" s="52" t="str">
        <f t="shared" si="11"/>
        <v>√</v>
      </c>
      <c r="AL15" s="52" t="str">
        <f t="shared" si="11"/>
        <v>√</v>
      </c>
      <c r="AM15" s="52" t="str">
        <f t="shared" si="11"/>
        <v>√</v>
      </c>
      <c r="AN15" s="52" t="str">
        <f t="shared" si="11"/>
        <v>√</v>
      </c>
      <c r="AO15" s="52" t="str">
        <f t="shared" si="11"/>
        <v>√</v>
      </c>
    </row>
    <row r="16" ht="15" customHeight="1" spans="1:41">
      <c r="A16" s="53"/>
      <c r="B16" s="54" t="s">
        <v>54</v>
      </c>
      <c r="C16" s="55"/>
      <c r="D16" s="50">
        <v>0.025</v>
      </c>
      <c r="E16" s="50">
        <v>0.01</v>
      </c>
      <c r="F16" s="50">
        <v>-0.01</v>
      </c>
      <c r="G16" s="50">
        <f t="shared" si="3"/>
        <v>0.035</v>
      </c>
      <c r="H16" s="50">
        <f t="shared" si="4"/>
        <v>0.015</v>
      </c>
      <c r="I16" s="50" t="s">
        <v>44</v>
      </c>
      <c r="J16" s="51">
        <v>0.0224</v>
      </c>
      <c r="K16" s="51">
        <v>0.0256</v>
      </c>
      <c r="L16" s="51">
        <v>0.0221</v>
      </c>
      <c r="M16" s="51">
        <v>0.0235</v>
      </c>
      <c r="N16" s="51">
        <v>0.0225</v>
      </c>
      <c r="O16" s="51">
        <v>0.0232</v>
      </c>
      <c r="P16" s="51">
        <v>0.021</v>
      </c>
      <c r="Q16" s="51">
        <v>0.0243</v>
      </c>
      <c r="R16" s="51">
        <v>0.026</v>
      </c>
      <c r="S16" s="51">
        <v>0.0245</v>
      </c>
      <c r="T16" s="51">
        <v>0.0251</v>
      </c>
      <c r="U16" s="51">
        <v>0.024</v>
      </c>
      <c r="V16" s="51">
        <v>0.0223</v>
      </c>
      <c r="W16" s="51">
        <v>0.0303</v>
      </c>
      <c r="X16" s="51">
        <v>0.0247</v>
      </c>
      <c r="Y16" s="51">
        <v>0.0177</v>
      </c>
      <c r="Z16" s="52" t="str">
        <f t="shared" ref="Z16:AO16" si="12">IF(J16="","",IF(J16&gt;($D16+$E16),(J16-$D16-$E16),IF(J16&lt;($D16+$F16),(J16-$D16-$F16),"√")))</f>
        <v>√</v>
      </c>
      <c r="AA16" s="52" t="str">
        <f t="shared" si="12"/>
        <v>√</v>
      </c>
      <c r="AB16" s="52" t="str">
        <f t="shared" si="12"/>
        <v>√</v>
      </c>
      <c r="AC16" s="52" t="str">
        <f t="shared" si="12"/>
        <v>√</v>
      </c>
      <c r="AD16" s="52" t="str">
        <f t="shared" si="12"/>
        <v>√</v>
      </c>
      <c r="AE16" s="52" t="str">
        <f t="shared" si="12"/>
        <v>√</v>
      </c>
      <c r="AF16" s="52" t="str">
        <f t="shared" si="12"/>
        <v>√</v>
      </c>
      <c r="AG16" s="52" t="str">
        <f t="shared" si="12"/>
        <v>√</v>
      </c>
      <c r="AH16" s="52" t="str">
        <f t="shared" si="12"/>
        <v>√</v>
      </c>
      <c r="AI16" s="52" t="str">
        <f t="shared" si="12"/>
        <v>√</v>
      </c>
      <c r="AJ16" s="52" t="str">
        <f t="shared" si="12"/>
        <v>√</v>
      </c>
      <c r="AK16" s="52" t="str">
        <f t="shared" si="12"/>
        <v>√</v>
      </c>
      <c r="AL16" s="52" t="str">
        <f t="shared" si="12"/>
        <v>√</v>
      </c>
      <c r="AM16" s="52" t="str">
        <f t="shared" si="12"/>
        <v>√</v>
      </c>
      <c r="AN16" s="52" t="str">
        <f t="shared" si="12"/>
        <v>√</v>
      </c>
      <c r="AO16" s="52" t="str">
        <f t="shared" si="12"/>
        <v>√</v>
      </c>
    </row>
    <row r="17" ht="15" customHeight="1" spans="1:41">
      <c r="A17" s="53"/>
      <c r="B17" s="54" t="s">
        <v>55</v>
      </c>
      <c r="C17" s="55"/>
      <c r="D17" s="50">
        <v>0.025</v>
      </c>
      <c r="E17" s="50">
        <v>0.01</v>
      </c>
      <c r="F17" s="50">
        <v>-0.01</v>
      </c>
      <c r="G17" s="50">
        <f t="shared" si="3"/>
        <v>0.035</v>
      </c>
      <c r="H17" s="50">
        <f t="shared" si="4"/>
        <v>0.015</v>
      </c>
      <c r="I17" s="50" t="s">
        <v>44</v>
      </c>
      <c r="J17" s="51">
        <v>0.0175</v>
      </c>
      <c r="K17" s="51">
        <v>0.0205</v>
      </c>
      <c r="L17" s="51">
        <v>0.02</v>
      </c>
      <c r="M17" s="51">
        <v>0.0234</v>
      </c>
      <c r="N17" s="51">
        <v>0.0192</v>
      </c>
      <c r="O17" s="51">
        <v>0.0268</v>
      </c>
      <c r="P17" s="51">
        <v>0.0205</v>
      </c>
      <c r="Q17" s="51">
        <v>0.0183</v>
      </c>
      <c r="R17" s="51">
        <v>0.0235</v>
      </c>
      <c r="S17" s="51">
        <v>0.0268</v>
      </c>
      <c r="T17" s="51">
        <v>0.0216</v>
      </c>
      <c r="U17" s="51">
        <v>0.0212</v>
      </c>
      <c r="V17" s="51">
        <v>0.0213</v>
      </c>
      <c r="W17" s="51">
        <v>0.022</v>
      </c>
      <c r="X17" s="51">
        <v>0.0194</v>
      </c>
      <c r="Y17" s="51">
        <v>0.0241</v>
      </c>
      <c r="Z17" s="52" t="str">
        <f t="shared" ref="Z17:AO17" si="13">IF(J17="","",IF(J17&gt;($D17+$E17),(J17-$D17-$E17),IF(J17&lt;($D17+$F17),(J17-$D17-$F17),"√")))</f>
        <v>√</v>
      </c>
      <c r="AA17" s="52" t="str">
        <f t="shared" si="13"/>
        <v>√</v>
      </c>
      <c r="AB17" s="52" t="str">
        <f t="shared" si="13"/>
        <v>√</v>
      </c>
      <c r="AC17" s="52" t="str">
        <f t="shared" si="13"/>
        <v>√</v>
      </c>
      <c r="AD17" s="52" t="str">
        <f t="shared" si="13"/>
        <v>√</v>
      </c>
      <c r="AE17" s="52" t="str">
        <f t="shared" si="13"/>
        <v>√</v>
      </c>
      <c r="AF17" s="52" t="str">
        <f t="shared" si="13"/>
        <v>√</v>
      </c>
      <c r="AG17" s="52" t="str">
        <f t="shared" si="13"/>
        <v>√</v>
      </c>
      <c r="AH17" s="52" t="str">
        <f t="shared" si="13"/>
        <v>√</v>
      </c>
      <c r="AI17" s="52" t="str">
        <f t="shared" si="13"/>
        <v>√</v>
      </c>
      <c r="AJ17" s="52" t="str">
        <f t="shared" si="13"/>
        <v>√</v>
      </c>
      <c r="AK17" s="52" t="str">
        <f t="shared" si="13"/>
        <v>√</v>
      </c>
      <c r="AL17" s="52" t="str">
        <f t="shared" si="13"/>
        <v>√</v>
      </c>
      <c r="AM17" s="52" t="str">
        <f t="shared" si="13"/>
        <v>√</v>
      </c>
      <c r="AN17" s="52" t="str">
        <f t="shared" si="13"/>
        <v>√</v>
      </c>
      <c r="AO17" s="52" t="str">
        <f t="shared" si="13"/>
        <v>√</v>
      </c>
    </row>
    <row r="18" ht="15" customHeight="1" spans="1:41">
      <c r="A18" s="53"/>
      <c r="B18" s="54" t="s">
        <v>56</v>
      </c>
      <c r="C18" s="55"/>
      <c r="D18" s="50">
        <v>0.025</v>
      </c>
      <c r="E18" s="50">
        <v>0.01</v>
      </c>
      <c r="F18" s="50">
        <v>-0.01</v>
      </c>
      <c r="G18" s="50">
        <f t="shared" si="3"/>
        <v>0.035</v>
      </c>
      <c r="H18" s="50">
        <f t="shared" si="4"/>
        <v>0.015</v>
      </c>
      <c r="I18" s="50" t="s">
        <v>44</v>
      </c>
      <c r="J18" s="51">
        <v>0.0191</v>
      </c>
      <c r="K18" s="51">
        <v>0.0191</v>
      </c>
      <c r="L18" s="51">
        <v>0.0258</v>
      </c>
      <c r="M18" s="51">
        <v>0.0171</v>
      </c>
      <c r="N18" s="51">
        <v>0.0274</v>
      </c>
      <c r="O18" s="51">
        <v>0.025</v>
      </c>
      <c r="P18" s="51">
        <v>0.0217</v>
      </c>
      <c r="Q18" s="51">
        <v>0.0207</v>
      </c>
      <c r="R18" s="51">
        <v>0.0222</v>
      </c>
      <c r="S18" s="51">
        <v>0.0155</v>
      </c>
      <c r="T18" s="51">
        <v>0.0266</v>
      </c>
      <c r="U18" s="51">
        <v>0.0236</v>
      </c>
      <c r="V18" s="51">
        <v>0.0242</v>
      </c>
      <c r="W18" s="51">
        <v>0.0162</v>
      </c>
      <c r="X18" s="51">
        <v>0.0207</v>
      </c>
      <c r="Y18" s="51">
        <v>0.0229</v>
      </c>
      <c r="Z18" s="52" t="str">
        <f t="shared" ref="Z18:AO18" si="14">IF(J18="","",IF(J18&gt;($D18+$E18),(J18-$D18-$E18),IF(J18&lt;($D18+$F18),(J18-$D18-$F18),"√")))</f>
        <v>√</v>
      </c>
      <c r="AA18" s="52" t="str">
        <f t="shared" si="14"/>
        <v>√</v>
      </c>
      <c r="AB18" s="52" t="str">
        <f t="shared" si="14"/>
        <v>√</v>
      </c>
      <c r="AC18" s="52" t="str">
        <f t="shared" si="14"/>
        <v>√</v>
      </c>
      <c r="AD18" s="52" t="str">
        <f t="shared" si="14"/>
        <v>√</v>
      </c>
      <c r="AE18" s="52" t="str">
        <f t="shared" si="14"/>
        <v>√</v>
      </c>
      <c r="AF18" s="52" t="str">
        <f t="shared" si="14"/>
        <v>√</v>
      </c>
      <c r="AG18" s="52" t="str">
        <f t="shared" si="14"/>
        <v>√</v>
      </c>
      <c r="AH18" s="52" t="str">
        <f t="shared" si="14"/>
        <v>√</v>
      </c>
      <c r="AI18" s="52" t="str">
        <f t="shared" si="14"/>
        <v>√</v>
      </c>
      <c r="AJ18" s="52" t="str">
        <f t="shared" si="14"/>
        <v>√</v>
      </c>
      <c r="AK18" s="52" t="str">
        <f t="shared" si="14"/>
        <v>√</v>
      </c>
      <c r="AL18" s="52" t="str">
        <f t="shared" si="14"/>
        <v>√</v>
      </c>
      <c r="AM18" s="52" t="str">
        <f t="shared" si="14"/>
        <v>√</v>
      </c>
      <c r="AN18" s="52" t="str">
        <f t="shared" si="14"/>
        <v>√</v>
      </c>
      <c r="AO18" s="52" t="str">
        <f t="shared" si="14"/>
        <v>√</v>
      </c>
    </row>
    <row r="19" ht="15" customHeight="1" spans="1:41">
      <c r="A19" s="53"/>
      <c r="B19" s="54" t="s">
        <v>57</v>
      </c>
      <c r="C19" s="55"/>
      <c r="D19" s="50">
        <v>1.3</v>
      </c>
      <c r="E19" s="50">
        <v>0.03</v>
      </c>
      <c r="F19" s="50">
        <v>-0.03</v>
      </c>
      <c r="G19" s="50">
        <f t="shared" si="3"/>
        <v>1.33</v>
      </c>
      <c r="H19" s="50">
        <f t="shared" si="4"/>
        <v>1.27</v>
      </c>
      <c r="I19" s="50" t="s">
        <v>58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53"/>
      <c r="B20" s="54" t="s">
        <v>59</v>
      </c>
      <c r="C20" s="55" t="s">
        <v>60</v>
      </c>
      <c r="D20" s="50">
        <v>186.04</v>
      </c>
      <c r="E20" s="50">
        <v>1</v>
      </c>
      <c r="F20" s="50">
        <v>-1</v>
      </c>
      <c r="G20" s="50">
        <f t="shared" si="3"/>
        <v>187.04</v>
      </c>
      <c r="H20" s="50">
        <f t="shared" si="4"/>
        <v>185.04</v>
      </c>
      <c r="I20" s="50" t="s">
        <v>58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Z50" si="16">IF(J20="","",IF(J20&gt;($D20+$E20),(J20-$D20-$E20),IF(J20&lt;($D20+$F20),(J20-$D20-$F20),"√")))</f>
        <v/>
      </c>
      <c r="AA20" s="52" t="str">
        <f t="shared" ref="AA20:AA50" si="17">IF(K20="","",IF(K20&gt;($D20+$E20),(K20-$D20-$E20),IF(K20&lt;($D20+$F20),(K20-$D20-$F20),"√")))</f>
        <v/>
      </c>
      <c r="AB20" s="52" t="str">
        <f t="shared" ref="AB20:AB50" si="18">IF(L20="","",IF(L20&gt;($D20+$E20),(L20-$D20-$E20),IF(L20&lt;($D20+$F20),(L20-$D20-$F20),"√")))</f>
        <v/>
      </c>
      <c r="AC20" s="52" t="str">
        <f t="shared" ref="AC20:AC50" si="19">IF(M20="","",IF(M20&gt;($D20+$E20),(M20-$D20-$E20),IF(M20&lt;($D20+$F20),(M20-$D20-$F20),"√")))</f>
        <v/>
      </c>
      <c r="AD20" s="52" t="str">
        <f t="shared" ref="AD20:AD50" si="20">IF(N20="","",IF(N20&gt;($D20+$E20),(N20-$D20-$E20),IF(N20&lt;($D20+$F20),(N20-$D20-$F20),"√")))</f>
        <v/>
      </c>
      <c r="AE20" s="52" t="str">
        <f t="shared" ref="AE20:AE50" si="21">IF(O20="","",IF(O20&gt;($D20+$E20),(O20-$D20-$E20),IF(O20&lt;($D20+$F20),(O20-$D20-$F20),"√")))</f>
        <v/>
      </c>
      <c r="AF20" s="52" t="str">
        <f t="shared" ref="AF20:AF50" si="22">IF(P20="","",IF(P20&gt;($D20+$E20),(P20-$D20-$E20),IF(P20&lt;($D20+$F20),(P20-$D20-$F20),"√")))</f>
        <v/>
      </c>
      <c r="AG20" s="52" t="str">
        <f t="shared" ref="AG20:AG50" si="23">IF(Q20="","",IF(Q20&gt;($D20+$E20),(Q20-$D20-$E20),IF(Q20&lt;($D20+$F20),(Q20-$D20-$F20),"√")))</f>
        <v/>
      </c>
      <c r="AH20" s="52" t="str">
        <f t="shared" ref="AH20:AH50" si="24">IF(R20="","",IF(R20&gt;($D20+$E20),(R20-$D20-$E20),IF(R20&lt;($D20+$F20),(R20-$D20-$F20),"√")))</f>
        <v/>
      </c>
      <c r="AI20" s="52" t="str">
        <f t="shared" ref="AI20:AI50" si="25">IF(S20="","",IF(S20&gt;($D20+$E20),(S20-$D20-$E20),IF(S20&lt;($D20+$F20),(S20-$D20-$F20),"√")))</f>
        <v/>
      </c>
      <c r="AJ20" s="52" t="str">
        <f t="shared" ref="AJ20:AJ50" si="26">IF(T20="","",IF(T20&gt;($D20+$E20),(T20-$D20-$E20),IF(T20&lt;($D20+$F20),(T20-$D20-$F20),"√")))</f>
        <v/>
      </c>
      <c r="AK20" s="52" t="str">
        <f t="shared" ref="AK20:AK50" si="27">IF(U20="","",IF(U20&gt;($D20+$E20),(U20-$D20-$E20),IF(U20&lt;($D20+$F20),(U20-$D20-$F20),"√")))</f>
        <v/>
      </c>
      <c r="AL20" s="52" t="str">
        <f t="shared" ref="AL20:AL50" si="28">IF(V20="","",IF(V20&gt;($D20+$E20),(V20-$D20-$E20),IF(V20&lt;($D20+$F20),(V20-$D20-$F20),"√")))</f>
        <v/>
      </c>
      <c r="AM20" s="52" t="str">
        <f t="shared" ref="AM20:AM50" si="29">IF(W20="","",IF(W20&gt;($D20+$E20),(W20-$D20-$E20),IF(W20&lt;($D20+$F20),(W20-$D20-$F20),"√")))</f>
        <v/>
      </c>
      <c r="AN20" s="52" t="str">
        <f t="shared" ref="AN20:AN50" si="30">IF(X20="","",IF(X20&gt;($D20+$E20),(X20-$D20-$E20),IF(X20&lt;($D20+$F20),(X20-$D20-$F20),"√")))</f>
        <v/>
      </c>
      <c r="AO20" s="52" t="str">
        <f t="shared" ref="AO20:AO50" si="31">IF(Y20="","",IF(Y20&gt;($D20+$E20),(Y20-$D20-$E20),IF(Y20&lt;($D20+$F20),(Y20-$D20-$F20),"√")))</f>
        <v/>
      </c>
    </row>
    <row r="21" ht="15" customHeight="1" spans="1:41">
      <c r="A21" s="53"/>
      <c r="B21" s="49" t="s">
        <v>42</v>
      </c>
      <c r="C21" s="56" t="s">
        <v>61</v>
      </c>
      <c r="D21" s="50">
        <v>0.5</v>
      </c>
      <c r="E21" s="50">
        <v>0.03</v>
      </c>
      <c r="F21" s="50">
        <v>-0.03</v>
      </c>
      <c r="G21" s="50">
        <v>0.53</v>
      </c>
      <c r="H21" s="50">
        <v>0.47</v>
      </c>
      <c r="I21" s="50" t="s">
        <v>58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si="16"/>
        <v/>
      </c>
      <c r="AA21" s="52" t="str">
        <f t="shared" si="17"/>
        <v/>
      </c>
      <c r="AB21" s="52" t="str">
        <f t="shared" si="18"/>
        <v/>
      </c>
      <c r="AC21" s="52" t="str">
        <f t="shared" si="19"/>
        <v/>
      </c>
      <c r="AD21" s="52" t="str">
        <f t="shared" si="20"/>
        <v/>
      </c>
      <c r="AE21" s="52" t="str">
        <f t="shared" si="21"/>
        <v/>
      </c>
      <c r="AF21" s="52" t="str">
        <f t="shared" si="22"/>
        <v/>
      </c>
      <c r="AG21" s="52" t="str">
        <f t="shared" si="23"/>
        <v/>
      </c>
      <c r="AH21" s="52" t="str">
        <f t="shared" si="24"/>
        <v/>
      </c>
      <c r="AI21" s="52" t="str">
        <f t="shared" si="25"/>
        <v/>
      </c>
      <c r="AJ21" s="52" t="str">
        <f t="shared" si="26"/>
        <v/>
      </c>
      <c r="AK21" s="52" t="str">
        <f t="shared" si="27"/>
        <v/>
      </c>
      <c r="AL21" s="52" t="str">
        <f t="shared" si="28"/>
        <v/>
      </c>
      <c r="AM21" s="52" t="str">
        <f t="shared" si="29"/>
        <v/>
      </c>
      <c r="AN21" s="52" t="str">
        <f t="shared" si="30"/>
        <v/>
      </c>
      <c r="AO21" s="52" t="str">
        <f t="shared" si="31"/>
        <v/>
      </c>
    </row>
    <row r="22" ht="15" customHeight="1" spans="1:41">
      <c r="A22" s="53"/>
      <c r="B22" s="54" t="s">
        <v>62</v>
      </c>
      <c r="C22" s="55"/>
      <c r="D22" s="50">
        <v>1</v>
      </c>
      <c r="E22" s="50">
        <v>0.03</v>
      </c>
      <c r="F22" s="50">
        <v>-0.03</v>
      </c>
      <c r="G22" s="50">
        <f>D22+E22</f>
        <v>1.03</v>
      </c>
      <c r="H22" s="50">
        <f>D22+F22</f>
        <v>0.97</v>
      </c>
      <c r="I22" s="50" t="s">
        <v>58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si="16"/>
        <v/>
      </c>
      <c r="AA22" s="52" t="str">
        <f t="shared" si="17"/>
        <v/>
      </c>
      <c r="AB22" s="52" t="str">
        <f t="shared" si="18"/>
        <v/>
      </c>
      <c r="AC22" s="52" t="str">
        <f t="shared" si="19"/>
        <v/>
      </c>
      <c r="AD22" s="52" t="str">
        <f t="shared" si="20"/>
        <v/>
      </c>
      <c r="AE22" s="52" t="str">
        <f t="shared" si="21"/>
        <v/>
      </c>
      <c r="AF22" s="52" t="str">
        <f t="shared" si="22"/>
        <v/>
      </c>
      <c r="AG22" s="52" t="str">
        <f t="shared" si="23"/>
        <v/>
      </c>
      <c r="AH22" s="52" t="str">
        <f t="shared" si="24"/>
        <v/>
      </c>
      <c r="AI22" s="52" t="str">
        <f t="shared" si="25"/>
        <v/>
      </c>
      <c r="AJ22" s="52" t="str">
        <f t="shared" si="26"/>
        <v/>
      </c>
      <c r="AK22" s="52" t="str">
        <f t="shared" si="27"/>
        <v/>
      </c>
      <c r="AL22" s="52" t="str">
        <f t="shared" si="28"/>
        <v/>
      </c>
      <c r="AM22" s="52" t="str">
        <f t="shared" si="29"/>
        <v/>
      </c>
      <c r="AN22" s="52" t="str">
        <f t="shared" si="30"/>
        <v/>
      </c>
      <c r="AO22" s="52" t="str">
        <f t="shared" si="31"/>
        <v/>
      </c>
    </row>
    <row r="23" ht="15" customHeight="1" spans="1:41">
      <c r="A23" s="53"/>
      <c r="B23" s="54" t="s">
        <v>63</v>
      </c>
      <c r="C23" s="55"/>
      <c r="D23" s="50">
        <v>1.03</v>
      </c>
      <c r="E23" s="50">
        <v>0.03</v>
      </c>
      <c r="F23" s="50">
        <v>-0.03</v>
      </c>
      <c r="G23" s="50">
        <v>1.06</v>
      </c>
      <c r="H23" s="50">
        <v>1</v>
      </c>
      <c r="I23" s="50" t="s">
        <v>58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si="16"/>
        <v/>
      </c>
      <c r="AA23" s="52" t="str">
        <f t="shared" si="17"/>
        <v/>
      </c>
      <c r="AB23" s="52" t="str">
        <f t="shared" si="18"/>
        <v/>
      </c>
      <c r="AC23" s="52" t="str">
        <f t="shared" si="19"/>
        <v/>
      </c>
      <c r="AD23" s="52" t="str">
        <f t="shared" si="20"/>
        <v/>
      </c>
      <c r="AE23" s="52" t="str">
        <f t="shared" si="21"/>
        <v/>
      </c>
      <c r="AF23" s="52" t="str">
        <f t="shared" si="22"/>
        <v/>
      </c>
      <c r="AG23" s="52" t="str">
        <f t="shared" si="23"/>
        <v/>
      </c>
      <c r="AH23" s="52" t="str">
        <f t="shared" si="24"/>
        <v/>
      </c>
      <c r="AI23" s="52" t="str">
        <f t="shared" si="25"/>
        <v/>
      </c>
      <c r="AJ23" s="52" t="str">
        <f t="shared" si="26"/>
        <v/>
      </c>
      <c r="AK23" s="52" t="str">
        <f t="shared" si="27"/>
        <v/>
      </c>
      <c r="AL23" s="52" t="str">
        <f t="shared" si="28"/>
        <v/>
      </c>
      <c r="AM23" s="52" t="str">
        <f t="shared" si="29"/>
        <v/>
      </c>
      <c r="AN23" s="52" t="str">
        <f t="shared" si="30"/>
        <v/>
      </c>
      <c r="AO23" s="52" t="str">
        <f t="shared" si="31"/>
        <v/>
      </c>
    </row>
    <row r="24" ht="15" customHeight="1" spans="1:41">
      <c r="A24" s="53"/>
      <c r="B24" s="54" t="s">
        <v>64</v>
      </c>
      <c r="C24" s="55"/>
      <c r="D24" s="50">
        <v>0.89</v>
      </c>
      <c r="E24" s="50">
        <v>0.03</v>
      </c>
      <c r="F24" s="50">
        <v>-0.03</v>
      </c>
      <c r="G24" s="50">
        <v>0.92</v>
      </c>
      <c r="H24" s="50">
        <v>0.86</v>
      </c>
      <c r="I24" s="50" t="s">
        <v>58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si="16"/>
        <v/>
      </c>
      <c r="AA24" s="52" t="str">
        <f t="shared" si="17"/>
        <v/>
      </c>
      <c r="AB24" s="52" t="str">
        <f t="shared" si="18"/>
        <v/>
      </c>
      <c r="AC24" s="52" t="str">
        <f t="shared" si="19"/>
        <v/>
      </c>
      <c r="AD24" s="52" t="str">
        <f t="shared" si="20"/>
        <v/>
      </c>
      <c r="AE24" s="52" t="str">
        <f t="shared" si="21"/>
        <v/>
      </c>
      <c r="AF24" s="52" t="str">
        <f t="shared" si="22"/>
        <v/>
      </c>
      <c r="AG24" s="52" t="str">
        <f t="shared" si="23"/>
        <v/>
      </c>
      <c r="AH24" s="52" t="str">
        <f t="shared" si="24"/>
        <v/>
      </c>
      <c r="AI24" s="52" t="str">
        <f t="shared" si="25"/>
        <v/>
      </c>
      <c r="AJ24" s="52" t="str">
        <f t="shared" si="26"/>
        <v/>
      </c>
      <c r="AK24" s="52" t="str">
        <f t="shared" si="27"/>
        <v/>
      </c>
      <c r="AL24" s="52" t="str">
        <f t="shared" si="28"/>
        <v/>
      </c>
      <c r="AM24" s="52" t="str">
        <f t="shared" si="29"/>
        <v/>
      </c>
      <c r="AN24" s="52" t="str">
        <f t="shared" si="30"/>
        <v/>
      </c>
      <c r="AO24" s="52" t="str">
        <f t="shared" si="31"/>
        <v/>
      </c>
    </row>
    <row r="25" ht="15" customHeight="1" spans="1:41">
      <c r="A25" s="53"/>
      <c r="B25" s="54" t="s">
        <v>65</v>
      </c>
      <c r="C25" s="55"/>
      <c r="D25" s="50">
        <v>4.16</v>
      </c>
      <c r="E25" s="50">
        <v>0.05</v>
      </c>
      <c r="F25" s="50">
        <v>-0.05</v>
      </c>
      <c r="G25" s="50">
        <f>D25+E25</f>
        <v>4.21</v>
      </c>
      <c r="H25" s="50">
        <f>D25+F25</f>
        <v>4.11</v>
      </c>
      <c r="I25" s="50" t="s">
        <v>58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si="16"/>
        <v/>
      </c>
      <c r="AA25" s="52" t="str">
        <f t="shared" si="17"/>
        <v/>
      </c>
      <c r="AB25" s="52" t="str">
        <f t="shared" si="18"/>
        <v/>
      </c>
      <c r="AC25" s="52" t="str">
        <f t="shared" si="19"/>
        <v/>
      </c>
      <c r="AD25" s="52" t="str">
        <f t="shared" si="20"/>
        <v/>
      </c>
      <c r="AE25" s="52" t="str">
        <f t="shared" si="21"/>
        <v/>
      </c>
      <c r="AF25" s="52" t="str">
        <f t="shared" si="22"/>
        <v/>
      </c>
      <c r="AG25" s="52" t="str">
        <f t="shared" si="23"/>
        <v/>
      </c>
      <c r="AH25" s="52" t="str">
        <f t="shared" si="24"/>
        <v/>
      </c>
      <c r="AI25" s="52" t="str">
        <f t="shared" si="25"/>
        <v/>
      </c>
      <c r="AJ25" s="52" t="str">
        <f t="shared" si="26"/>
        <v/>
      </c>
      <c r="AK25" s="52" t="str">
        <f t="shared" si="27"/>
        <v/>
      </c>
      <c r="AL25" s="52" t="str">
        <f t="shared" si="28"/>
        <v/>
      </c>
      <c r="AM25" s="52" t="str">
        <f t="shared" si="29"/>
        <v/>
      </c>
      <c r="AN25" s="52" t="str">
        <f t="shared" si="30"/>
        <v/>
      </c>
      <c r="AO25" s="52" t="str">
        <f t="shared" si="31"/>
        <v/>
      </c>
    </row>
    <row r="26" ht="15" customHeight="1" spans="1:41">
      <c r="A26" s="53"/>
      <c r="B26" s="54" t="s">
        <v>66</v>
      </c>
      <c r="C26" s="55"/>
      <c r="D26" s="50">
        <v>4.19</v>
      </c>
      <c r="E26" s="50">
        <v>0.05</v>
      </c>
      <c r="F26" s="50">
        <v>-0.05</v>
      </c>
      <c r="G26" s="50">
        <f>D26+E26</f>
        <v>4.24</v>
      </c>
      <c r="H26" s="50">
        <f>D26+F26</f>
        <v>4.14</v>
      </c>
      <c r="I26" s="50" t="s">
        <v>58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si="16"/>
        <v/>
      </c>
      <c r="AA26" s="52" t="str">
        <f t="shared" si="17"/>
        <v/>
      </c>
      <c r="AB26" s="52" t="str">
        <f t="shared" si="18"/>
        <v/>
      </c>
      <c r="AC26" s="52" t="str">
        <f t="shared" si="19"/>
        <v/>
      </c>
      <c r="AD26" s="52" t="str">
        <f t="shared" si="20"/>
        <v/>
      </c>
      <c r="AE26" s="52" t="str">
        <f t="shared" si="21"/>
        <v/>
      </c>
      <c r="AF26" s="52" t="str">
        <f t="shared" si="22"/>
        <v/>
      </c>
      <c r="AG26" s="52" t="str">
        <f t="shared" si="23"/>
        <v/>
      </c>
      <c r="AH26" s="52" t="str">
        <f t="shared" si="24"/>
        <v/>
      </c>
      <c r="AI26" s="52" t="str">
        <f t="shared" si="25"/>
        <v/>
      </c>
      <c r="AJ26" s="52" t="str">
        <f t="shared" si="26"/>
        <v/>
      </c>
      <c r="AK26" s="52" t="str">
        <f t="shared" si="27"/>
        <v/>
      </c>
      <c r="AL26" s="52" t="str">
        <f t="shared" si="28"/>
        <v/>
      </c>
      <c r="AM26" s="52" t="str">
        <f t="shared" si="29"/>
        <v/>
      </c>
      <c r="AN26" s="52" t="str">
        <f t="shared" si="30"/>
        <v/>
      </c>
      <c r="AO26" s="52" t="str">
        <f t="shared" si="31"/>
        <v/>
      </c>
    </row>
    <row r="27" ht="15" customHeight="1" spans="1:41">
      <c r="A27" s="53"/>
      <c r="B27" s="54" t="s">
        <v>67</v>
      </c>
      <c r="C27" s="55"/>
      <c r="D27" s="50">
        <v>8.2</v>
      </c>
      <c r="E27" s="50">
        <v>0.05</v>
      </c>
      <c r="F27" s="50">
        <v>-0.05</v>
      </c>
      <c r="G27" s="50">
        <f>D27+E27</f>
        <v>8.25</v>
      </c>
      <c r="H27" s="50">
        <f>D27+F27</f>
        <v>8.15</v>
      </c>
      <c r="I27" s="50" t="s">
        <v>58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si="16"/>
        <v/>
      </c>
      <c r="AA27" s="52" t="str">
        <f t="shared" si="17"/>
        <v/>
      </c>
      <c r="AB27" s="52" t="str">
        <f t="shared" si="18"/>
        <v/>
      </c>
      <c r="AC27" s="52" t="str">
        <f t="shared" si="19"/>
        <v/>
      </c>
      <c r="AD27" s="52" t="str">
        <f t="shared" si="20"/>
        <v/>
      </c>
      <c r="AE27" s="52" t="str">
        <f t="shared" si="21"/>
        <v/>
      </c>
      <c r="AF27" s="52" t="str">
        <f t="shared" si="22"/>
        <v/>
      </c>
      <c r="AG27" s="52" t="str">
        <f t="shared" si="23"/>
        <v/>
      </c>
      <c r="AH27" s="52" t="str">
        <f t="shared" si="24"/>
        <v/>
      </c>
      <c r="AI27" s="52" t="str">
        <f t="shared" si="25"/>
        <v/>
      </c>
      <c r="AJ27" s="52" t="str">
        <f t="shared" si="26"/>
        <v/>
      </c>
      <c r="AK27" s="52" t="str">
        <f t="shared" si="27"/>
        <v/>
      </c>
      <c r="AL27" s="52" t="str">
        <f t="shared" si="28"/>
        <v/>
      </c>
      <c r="AM27" s="52" t="str">
        <f t="shared" si="29"/>
        <v/>
      </c>
      <c r="AN27" s="52" t="str">
        <f t="shared" si="30"/>
        <v/>
      </c>
      <c r="AO27" s="52" t="str">
        <f t="shared" si="31"/>
        <v/>
      </c>
    </row>
    <row r="28" ht="15" customHeight="1" spans="1:41">
      <c r="A28" s="53"/>
      <c r="B28" s="54" t="s">
        <v>68</v>
      </c>
      <c r="C28" s="55"/>
      <c r="D28" s="50">
        <v>2.69</v>
      </c>
      <c r="E28" s="50">
        <v>0.03</v>
      </c>
      <c r="F28" s="50">
        <v>-0.03</v>
      </c>
      <c r="G28" s="50">
        <f>D28+E28</f>
        <v>2.72</v>
      </c>
      <c r="H28" s="50">
        <f>D28+F28</f>
        <v>2.66</v>
      </c>
      <c r="I28" s="50" t="s">
        <v>58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si="16"/>
        <v/>
      </c>
      <c r="AA28" s="52" t="str">
        <f t="shared" si="17"/>
        <v/>
      </c>
      <c r="AB28" s="52" t="str">
        <f t="shared" si="18"/>
        <v/>
      </c>
      <c r="AC28" s="52" t="str">
        <f t="shared" si="19"/>
        <v/>
      </c>
      <c r="AD28" s="52" t="str">
        <f t="shared" si="20"/>
        <v/>
      </c>
      <c r="AE28" s="52" t="str">
        <f t="shared" si="21"/>
        <v/>
      </c>
      <c r="AF28" s="52" t="str">
        <f t="shared" si="22"/>
        <v/>
      </c>
      <c r="AG28" s="52" t="str">
        <f t="shared" si="23"/>
        <v/>
      </c>
      <c r="AH28" s="52" t="str">
        <f t="shared" si="24"/>
        <v/>
      </c>
      <c r="AI28" s="52" t="str">
        <f t="shared" si="25"/>
        <v/>
      </c>
      <c r="AJ28" s="52" t="str">
        <f t="shared" si="26"/>
        <v/>
      </c>
      <c r="AK28" s="52" t="str">
        <f t="shared" si="27"/>
        <v/>
      </c>
      <c r="AL28" s="52" t="str">
        <f t="shared" si="28"/>
        <v/>
      </c>
      <c r="AM28" s="52" t="str">
        <f t="shared" si="29"/>
        <v/>
      </c>
      <c r="AN28" s="52" t="str">
        <f t="shared" si="30"/>
        <v/>
      </c>
      <c r="AO28" s="52" t="str">
        <f t="shared" si="31"/>
        <v/>
      </c>
    </row>
    <row r="29" ht="15" customHeight="1" spans="1:41">
      <c r="A29" s="53"/>
      <c r="B29" s="54" t="s">
        <v>69</v>
      </c>
      <c r="C29" s="55"/>
      <c r="D29" s="50">
        <v>5.58</v>
      </c>
      <c r="E29" s="50">
        <v>0.03</v>
      </c>
      <c r="F29" s="50">
        <v>-0.03</v>
      </c>
      <c r="G29" s="50">
        <f>D29+E29</f>
        <v>5.61</v>
      </c>
      <c r="H29" s="50">
        <f>D29+F29</f>
        <v>5.55</v>
      </c>
      <c r="I29" s="50" t="s">
        <v>58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si="16"/>
        <v/>
      </c>
      <c r="AA29" s="52" t="str">
        <f t="shared" si="17"/>
        <v/>
      </c>
      <c r="AB29" s="52" t="str">
        <f t="shared" si="18"/>
        <v/>
      </c>
      <c r="AC29" s="52" t="str">
        <f t="shared" si="19"/>
        <v/>
      </c>
      <c r="AD29" s="52" t="str">
        <f t="shared" si="20"/>
        <v/>
      </c>
      <c r="AE29" s="52" t="str">
        <f t="shared" si="21"/>
        <v/>
      </c>
      <c r="AF29" s="52" t="str">
        <f t="shared" si="22"/>
        <v/>
      </c>
      <c r="AG29" s="52" t="str">
        <f t="shared" si="23"/>
        <v/>
      </c>
      <c r="AH29" s="52" t="str">
        <f t="shared" si="24"/>
        <v/>
      </c>
      <c r="AI29" s="52" t="str">
        <f t="shared" si="25"/>
        <v/>
      </c>
      <c r="AJ29" s="52" t="str">
        <f t="shared" si="26"/>
        <v/>
      </c>
      <c r="AK29" s="52" t="str">
        <f t="shared" si="27"/>
        <v/>
      </c>
      <c r="AL29" s="52" t="str">
        <f t="shared" si="28"/>
        <v/>
      </c>
      <c r="AM29" s="52" t="str">
        <f t="shared" si="29"/>
        <v/>
      </c>
      <c r="AN29" s="52" t="str">
        <f t="shared" si="30"/>
        <v/>
      </c>
      <c r="AO29" s="52" t="str">
        <f t="shared" si="31"/>
        <v/>
      </c>
    </row>
    <row r="30" ht="15" customHeight="1" spans="1:41">
      <c r="A30" s="53"/>
      <c r="B30" s="54" t="s">
        <v>70</v>
      </c>
      <c r="C30" s="55"/>
      <c r="D30" s="50">
        <v>0.4</v>
      </c>
      <c r="E30" s="50">
        <v>0.03</v>
      </c>
      <c r="F30" s="50">
        <v>-0.03</v>
      </c>
      <c r="G30" s="50">
        <f t="shared" ref="G30:G36" si="32">D30+E30</f>
        <v>0.43</v>
      </c>
      <c r="H30" s="50">
        <f t="shared" ref="H30:H36" si="33">D30+F30</f>
        <v>0.37</v>
      </c>
      <c r="I30" s="50" t="s">
        <v>58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si="16"/>
        <v/>
      </c>
      <c r="AA30" s="52" t="str">
        <f t="shared" si="17"/>
        <v/>
      </c>
      <c r="AB30" s="52" t="str">
        <f t="shared" si="18"/>
        <v/>
      </c>
      <c r="AC30" s="52" t="str">
        <f t="shared" si="19"/>
        <v/>
      </c>
      <c r="AD30" s="52" t="str">
        <f t="shared" si="20"/>
        <v/>
      </c>
      <c r="AE30" s="52" t="str">
        <f t="shared" si="21"/>
        <v/>
      </c>
      <c r="AF30" s="52" t="str">
        <f t="shared" si="22"/>
        <v/>
      </c>
      <c r="AG30" s="52" t="str">
        <f t="shared" si="23"/>
        <v/>
      </c>
      <c r="AH30" s="52" t="str">
        <f t="shared" si="24"/>
        <v/>
      </c>
      <c r="AI30" s="52" t="str">
        <f t="shared" si="25"/>
        <v/>
      </c>
      <c r="AJ30" s="52" t="str">
        <f t="shared" si="26"/>
        <v/>
      </c>
      <c r="AK30" s="52" t="str">
        <f t="shared" si="27"/>
        <v/>
      </c>
      <c r="AL30" s="52" t="str">
        <f t="shared" si="28"/>
        <v/>
      </c>
      <c r="AM30" s="52" t="str">
        <f t="shared" si="29"/>
        <v/>
      </c>
      <c r="AN30" s="52" t="str">
        <f t="shared" si="30"/>
        <v/>
      </c>
      <c r="AO30" s="52" t="str">
        <f t="shared" si="31"/>
        <v/>
      </c>
    </row>
    <row r="31" ht="15" customHeight="1" spans="1:41">
      <c r="A31" s="53"/>
      <c r="B31" s="54" t="s">
        <v>71</v>
      </c>
      <c r="C31" s="55"/>
      <c r="D31" s="50">
        <v>0.4</v>
      </c>
      <c r="E31" s="50">
        <v>0.03</v>
      </c>
      <c r="F31" s="50">
        <v>-0.03</v>
      </c>
      <c r="G31" s="50">
        <f t="shared" si="32"/>
        <v>0.43</v>
      </c>
      <c r="H31" s="50">
        <f t="shared" si="33"/>
        <v>0.37</v>
      </c>
      <c r="I31" s="50" t="s">
        <v>58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si="16"/>
        <v/>
      </c>
      <c r="AA31" s="52" t="str">
        <f t="shared" si="17"/>
        <v/>
      </c>
      <c r="AB31" s="52" t="str">
        <f t="shared" si="18"/>
        <v/>
      </c>
      <c r="AC31" s="52" t="str">
        <f t="shared" si="19"/>
        <v/>
      </c>
      <c r="AD31" s="52" t="str">
        <f t="shared" si="20"/>
        <v/>
      </c>
      <c r="AE31" s="52" t="str">
        <f t="shared" si="21"/>
        <v/>
      </c>
      <c r="AF31" s="52" t="str">
        <f t="shared" si="22"/>
        <v/>
      </c>
      <c r="AG31" s="52" t="str">
        <f t="shared" si="23"/>
        <v/>
      </c>
      <c r="AH31" s="52" t="str">
        <f t="shared" si="24"/>
        <v/>
      </c>
      <c r="AI31" s="52" t="str">
        <f t="shared" si="25"/>
        <v/>
      </c>
      <c r="AJ31" s="52" t="str">
        <f t="shared" si="26"/>
        <v/>
      </c>
      <c r="AK31" s="52" t="str">
        <f t="shared" si="27"/>
        <v/>
      </c>
      <c r="AL31" s="52" t="str">
        <f t="shared" si="28"/>
        <v/>
      </c>
      <c r="AM31" s="52" t="str">
        <f t="shared" si="29"/>
        <v/>
      </c>
      <c r="AN31" s="52" t="str">
        <f t="shared" si="30"/>
        <v/>
      </c>
      <c r="AO31" s="52" t="str">
        <f t="shared" si="31"/>
        <v/>
      </c>
    </row>
    <row r="32" ht="15" customHeight="1" spans="1:41">
      <c r="A32" s="53"/>
      <c r="B32" s="54" t="s">
        <v>72</v>
      </c>
      <c r="C32" s="55" t="s">
        <v>73</v>
      </c>
      <c r="D32" s="50">
        <v>3.34</v>
      </c>
      <c r="E32" s="50">
        <v>0.03</v>
      </c>
      <c r="F32" s="50">
        <v>-0.03</v>
      </c>
      <c r="G32" s="50">
        <f t="shared" si="32"/>
        <v>3.37</v>
      </c>
      <c r="H32" s="50">
        <f t="shared" si="33"/>
        <v>3.31</v>
      </c>
      <c r="I32" s="50" t="s">
        <v>58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2" t="str">
        <f t="shared" si="16"/>
        <v/>
      </c>
      <c r="AA32" s="52" t="str">
        <f t="shared" si="17"/>
        <v/>
      </c>
      <c r="AB32" s="52" t="str">
        <f t="shared" si="18"/>
        <v/>
      </c>
      <c r="AC32" s="52" t="str">
        <f t="shared" si="19"/>
        <v/>
      </c>
      <c r="AD32" s="52" t="str">
        <f t="shared" si="20"/>
        <v/>
      </c>
      <c r="AE32" s="52" t="str">
        <f t="shared" si="21"/>
        <v/>
      </c>
      <c r="AF32" s="52" t="str">
        <f t="shared" si="22"/>
        <v/>
      </c>
      <c r="AG32" s="52" t="str">
        <f t="shared" si="23"/>
        <v/>
      </c>
      <c r="AH32" s="52" t="str">
        <f t="shared" si="24"/>
        <v/>
      </c>
      <c r="AI32" s="52" t="str">
        <f t="shared" si="25"/>
        <v/>
      </c>
      <c r="AJ32" s="52" t="str">
        <f t="shared" si="26"/>
        <v/>
      </c>
      <c r="AK32" s="52" t="str">
        <f t="shared" si="27"/>
        <v/>
      </c>
      <c r="AL32" s="52" t="str">
        <f t="shared" si="28"/>
        <v/>
      </c>
      <c r="AM32" s="52" t="str">
        <f t="shared" si="29"/>
        <v/>
      </c>
      <c r="AN32" s="52" t="str">
        <f t="shared" si="30"/>
        <v/>
      </c>
      <c r="AO32" s="52" t="str">
        <f t="shared" si="31"/>
        <v/>
      </c>
    </row>
    <row r="33" ht="15" customHeight="1" spans="1:41">
      <c r="A33" s="53"/>
      <c r="B33" s="54" t="s">
        <v>74</v>
      </c>
      <c r="C33" s="55" t="s">
        <v>75</v>
      </c>
      <c r="D33" s="50">
        <v>1.57</v>
      </c>
      <c r="E33" s="50">
        <v>0.03</v>
      </c>
      <c r="F33" s="50">
        <v>-0.03</v>
      </c>
      <c r="G33" s="50">
        <f t="shared" si="32"/>
        <v>1.6</v>
      </c>
      <c r="H33" s="50">
        <f t="shared" si="33"/>
        <v>1.54</v>
      </c>
      <c r="I33" s="50" t="s">
        <v>58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si="16"/>
        <v/>
      </c>
      <c r="AA33" s="52" t="str">
        <f t="shared" si="17"/>
        <v/>
      </c>
      <c r="AB33" s="52" t="str">
        <f t="shared" si="18"/>
        <v/>
      </c>
      <c r="AC33" s="52" t="str">
        <f t="shared" si="19"/>
        <v/>
      </c>
      <c r="AD33" s="52" t="str">
        <f t="shared" si="20"/>
        <v/>
      </c>
      <c r="AE33" s="52" t="str">
        <f t="shared" si="21"/>
        <v/>
      </c>
      <c r="AF33" s="52" t="str">
        <f t="shared" si="22"/>
        <v/>
      </c>
      <c r="AG33" s="52" t="str">
        <f t="shared" si="23"/>
        <v/>
      </c>
      <c r="AH33" s="52" t="str">
        <f t="shared" si="24"/>
        <v/>
      </c>
      <c r="AI33" s="52" t="str">
        <f t="shared" si="25"/>
        <v/>
      </c>
      <c r="AJ33" s="52" t="str">
        <f t="shared" si="26"/>
        <v/>
      </c>
      <c r="AK33" s="52" t="str">
        <f t="shared" si="27"/>
        <v/>
      </c>
      <c r="AL33" s="52" t="str">
        <f t="shared" si="28"/>
        <v/>
      </c>
      <c r="AM33" s="52" t="str">
        <f t="shared" si="29"/>
        <v/>
      </c>
      <c r="AN33" s="52" t="str">
        <f t="shared" si="30"/>
        <v/>
      </c>
      <c r="AO33" s="52" t="str">
        <f t="shared" si="31"/>
        <v/>
      </c>
    </row>
    <row r="34" ht="15" customHeight="1" spans="1:41">
      <c r="A34" s="53"/>
      <c r="B34" s="54" t="s">
        <v>76</v>
      </c>
      <c r="C34" s="55"/>
      <c r="D34" s="50">
        <v>1.17</v>
      </c>
      <c r="E34" s="50">
        <v>0.03</v>
      </c>
      <c r="F34" s="50">
        <v>-0.03</v>
      </c>
      <c r="G34" s="50">
        <f t="shared" si="32"/>
        <v>1.2</v>
      </c>
      <c r="H34" s="50">
        <f t="shared" si="33"/>
        <v>1.14</v>
      </c>
      <c r="I34" s="50" t="s">
        <v>58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si="16"/>
        <v/>
      </c>
      <c r="AA34" s="52" t="str">
        <f t="shared" si="17"/>
        <v/>
      </c>
      <c r="AB34" s="52" t="str">
        <f t="shared" si="18"/>
        <v/>
      </c>
      <c r="AC34" s="52" t="str">
        <f t="shared" si="19"/>
        <v/>
      </c>
      <c r="AD34" s="52" t="str">
        <f t="shared" si="20"/>
        <v/>
      </c>
      <c r="AE34" s="52" t="str">
        <f t="shared" si="21"/>
        <v/>
      </c>
      <c r="AF34" s="52" t="str">
        <f t="shared" si="22"/>
        <v/>
      </c>
      <c r="AG34" s="52" t="str">
        <f t="shared" si="23"/>
        <v/>
      </c>
      <c r="AH34" s="52" t="str">
        <f t="shared" si="24"/>
        <v/>
      </c>
      <c r="AI34" s="52" t="str">
        <f t="shared" si="25"/>
        <v/>
      </c>
      <c r="AJ34" s="52" t="str">
        <f t="shared" si="26"/>
        <v/>
      </c>
      <c r="AK34" s="52" t="str">
        <f t="shared" si="27"/>
        <v/>
      </c>
      <c r="AL34" s="52" t="str">
        <f t="shared" si="28"/>
        <v/>
      </c>
      <c r="AM34" s="52" t="str">
        <f t="shared" si="29"/>
        <v/>
      </c>
      <c r="AN34" s="52" t="str">
        <f t="shared" si="30"/>
        <v/>
      </c>
      <c r="AO34" s="52" t="str">
        <f t="shared" si="31"/>
        <v/>
      </c>
    </row>
    <row r="35" ht="15" customHeight="1" spans="1:41">
      <c r="A35" s="53"/>
      <c r="B35" s="54" t="s">
        <v>77</v>
      </c>
      <c r="C35" s="55"/>
      <c r="D35" s="50">
        <v>2.1</v>
      </c>
      <c r="E35" s="50">
        <v>0.03</v>
      </c>
      <c r="F35" s="50">
        <v>-0.03</v>
      </c>
      <c r="G35" s="50">
        <f t="shared" si="32"/>
        <v>2.13</v>
      </c>
      <c r="H35" s="50">
        <f t="shared" si="33"/>
        <v>2.07</v>
      </c>
      <c r="I35" s="50" t="s">
        <v>58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si="16"/>
        <v/>
      </c>
      <c r="AA35" s="52" t="str">
        <f t="shared" si="17"/>
        <v/>
      </c>
      <c r="AB35" s="52" t="str">
        <f t="shared" si="18"/>
        <v/>
      </c>
      <c r="AC35" s="52" t="str">
        <f t="shared" si="19"/>
        <v/>
      </c>
      <c r="AD35" s="52" t="str">
        <f t="shared" si="20"/>
        <v/>
      </c>
      <c r="AE35" s="52" t="str">
        <f t="shared" si="21"/>
        <v/>
      </c>
      <c r="AF35" s="52" t="str">
        <f t="shared" si="22"/>
        <v/>
      </c>
      <c r="AG35" s="52" t="str">
        <f t="shared" si="23"/>
        <v/>
      </c>
      <c r="AH35" s="52" t="str">
        <f t="shared" si="24"/>
        <v/>
      </c>
      <c r="AI35" s="52" t="str">
        <f t="shared" si="25"/>
        <v/>
      </c>
      <c r="AJ35" s="52" t="str">
        <f t="shared" si="26"/>
        <v/>
      </c>
      <c r="AK35" s="52" t="str">
        <f t="shared" si="27"/>
        <v/>
      </c>
      <c r="AL35" s="52" t="str">
        <f t="shared" si="28"/>
        <v/>
      </c>
      <c r="AM35" s="52" t="str">
        <f t="shared" si="29"/>
        <v/>
      </c>
      <c r="AN35" s="52" t="str">
        <f t="shared" si="30"/>
        <v/>
      </c>
      <c r="AO35" s="52" t="str">
        <f t="shared" si="31"/>
        <v/>
      </c>
    </row>
    <row r="36" ht="15" customHeight="1" spans="1:41">
      <c r="A36" s="53"/>
      <c r="B36" s="54" t="s">
        <v>78</v>
      </c>
      <c r="C36" s="55" t="s">
        <v>79</v>
      </c>
      <c r="D36" s="50">
        <v>0</v>
      </c>
      <c r="E36" s="50">
        <v>0.05</v>
      </c>
      <c r="F36" s="50">
        <v>0</v>
      </c>
      <c r="G36" s="50">
        <f t="shared" si="32"/>
        <v>0.05</v>
      </c>
      <c r="H36" s="50">
        <f t="shared" si="33"/>
        <v>0</v>
      </c>
      <c r="I36" s="50" t="s">
        <v>58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si="16"/>
        <v/>
      </c>
      <c r="AA36" s="52" t="str">
        <f t="shared" si="17"/>
        <v/>
      </c>
      <c r="AB36" s="52" t="str">
        <f t="shared" si="18"/>
        <v/>
      </c>
      <c r="AC36" s="52" t="str">
        <f t="shared" si="19"/>
        <v/>
      </c>
      <c r="AD36" s="52" t="str">
        <f t="shared" si="20"/>
        <v/>
      </c>
      <c r="AE36" s="52" t="str">
        <f t="shared" si="21"/>
        <v/>
      </c>
      <c r="AF36" s="52" t="str">
        <f t="shared" si="22"/>
        <v/>
      </c>
      <c r="AG36" s="52" t="str">
        <f t="shared" si="23"/>
        <v/>
      </c>
      <c r="AH36" s="52" t="str">
        <f t="shared" si="24"/>
        <v/>
      </c>
      <c r="AI36" s="52" t="str">
        <f t="shared" si="25"/>
        <v/>
      </c>
      <c r="AJ36" s="52" t="str">
        <f t="shared" si="26"/>
        <v/>
      </c>
      <c r="AK36" s="52" t="str">
        <f t="shared" si="27"/>
        <v/>
      </c>
      <c r="AL36" s="52" t="str">
        <f t="shared" si="28"/>
        <v/>
      </c>
      <c r="AM36" s="52" t="str">
        <f t="shared" si="29"/>
        <v/>
      </c>
      <c r="AN36" s="52" t="str">
        <f t="shared" si="30"/>
        <v/>
      </c>
      <c r="AO36" s="52" t="str">
        <f t="shared" si="31"/>
        <v/>
      </c>
    </row>
    <row r="37" ht="15" customHeight="1" spans="1:41">
      <c r="A37" s="53"/>
      <c r="B37" s="54">
        <v>1</v>
      </c>
      <c r="C37" s="55"/>
      <c r="D37" s="50"/>
      <c r="E37" s="50"/>
      <c r="F37" s="50"/>
      <c r="G37" s="50">
        <f t="shared" ref="G37:G68" si="34">D37+E37</f>
        <v>0</v>
      </c>
      <c r="H37" s="50">
        <f t="shared" ref="H37:H68" si="35">D37+F37</f>
        <v>0</v>
      </c>
      <c r="I37" s="50" t="s">
        <v>58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53"/>
      <c r="B38" s="54">
        <v>2</v>
      </c>
      <c r="C38" s="55"/>
      <c r="D38" s="50"/>
      <c r="E38" s="50"/>
      <c r="F38" s="50"/>
      <c r="G38" s="50">
        <f t="shared" si="34"/>
        <v>0</v>
      </c>
      <c r="H38" s="50">
        <f t="shared" si="35"/>
        <v>0</v>
      </c>
      <c r="I38" s="50" t="s">
        <v>58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53"/>
      <c r="B39" s="54">
        <v>3</v>
      </c>
      <c r="C39" s="55"/>
      <c r="D39" s="50"/>
      <c r="E39" s="50"/>
      <c r="F39" s="50"/>
      <c r="G39" s="50">
        <f t="shared" si="34"/>
        <v>0</v>
      </c>
      <c r="H39" s="50">
        <f t="shared" si="35"/>
        <v>0</v>
      </c>
      <c r="I39" s="50" t="s">
        <v>58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53"/>
      <c r="B40" s="54">
        <v>4</v>
      </c>
      <c r="C40" s="55"/>
      <c r="D40" s="50"/>
      <c r="E40" s="50"/>
      <c r="F40" s="50"/>
      <c r="G40" s="50">
        <f t="shared" si="34"/>
        <v>0</v>
      </c>
      <c r="H40" s="50">
        <f t="shared" si="35"/>
        <v>0</v>
      </c>
      <c r="I40" s="50" t="s">
        <v>58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53"/>
      <c r="B41" s="54">
        <v>5</v>
      </c>
      <c r="C41" s="55"/>
      <c r="D41" s="50"/>
      <c r="E41" s="50"/>
      <c r="F41" s="50"/>
      <c r="G41" s="50">
        <f t="shared" si="34"/>
        <v>0</v>
      </c>
      <c r="H41" s="50">
        <f t="shared" si="35"/>
        <v>0</v>
      </c>
      <c r="I41" s="50" t="s">
        <v>58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53"/>
      <c r="B42" s="54">
        <v>6</v>
      </c>
      <c r="C42" s="55"/>
      <c r="D42" s="50"/>
      <c r="E42" s="50"/>
      <c r="F42" s="50"/>
      <c r="G42" s="50">
        <f t="shared" si="34"/>
        <v>0</v>
      </c>
      <c r="H42" s="50">
        <f t="shared" si="35"/>
        <v>0</v>
      </c>
      <c r="I42" s="50" t="s">
        <v>58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53"/>
      <c r="B43" s="54" t="s">
        <v>80</v>
      </c>
      <c r="C43" s="55" t="s">
        <v>81</v>
      </c>
      <c r="D43" s="50">
        <v>0</v>
      </c>
      <c r="E43" s="50">
        <v>0.04</v>
      </c>
      <c r="F43" s="50">
        <v>0</v>
      </c>
      <c r="G43" s="50">
        <f t="shared" si="34"/>
        <v>0.04</v>
      </c>
      <c r="H43" s="50">
        <f t="shared" si="35"/>
        <v>0</v>
      </c>
      <c r="I43" s="50" t="s">
        <v>58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si="16"/>
        <v/>
      </c>
      <c r="AA43" s="52" t="str">
        <f t="shared" si="17"/>
        <v/>
      </c>
      <c r="AB43" s="52" t="str">
        <f t="shared" si="18"/>
        <v/>
      </c>
      <c r="AC43" s="52" t="str">
        <f t="shared" si="19"/>
        <v/>
      </c>
      <c r="AD43" s="52" t="str">
        <f t="shared" si="20"/>
        <v/>
      </c>
      <c r="AE43" s="52" t="str">
        <f t="shared" si="21"/>
        <v/>
      </c>
      <c r="AF43" s="52" t="str">
        <f t="shared" si="22"/>
        <v/>
      </c>
      <c r="AG43" s="52" t="str">
        <f t="shared" si="23"/>
        <v/>
      </c>
      <c r="AH43" s="52" t="str">
        <f t="shared" si="24"/>
        <v/>
      </c>
      <c r="AI43" s="52" t="str">
        <f t="shared" si="25"/>
        <v/>
      </c>
      <c r="AJ43" s="52" t="str">
        <f t="shared" si="26"/>
        <v/>
      </c>
      <c r="AK43" s="52" t="str">
        <f t="shared" si="27"/>
        <v/>
      </c>
      <c r="AL43" s="52" t="str">
        <f t="shared" si="28"/>
        <v/>
      </c>
      <c r="AM43" s="52" t="str">
        <f t="shared" si="29"/>
        <v/>
      </c>
      <c r="AN43" s="52" t="str">
        <f t="shared" si="30"/>
        <v/>
      </c>
      <c r="AO43" s="52" t="str">
        <f t="shared" si="31"/>
        <v/>
      </c>
    </row>
    <row r="44" ht="15" customHeight="1" spans="1:41">
      <c r="A44" s="53"/>
      <c r="B44" s="54">
        <v>1</v>
      </c>
      <c r="C44" s="55"/>
      <c r="D44" s="50"/>
      <c r="E44" s="50"/>
      <c r="F44" s="50"/>
      <c r="G44" s="50">
        <f t="shared" si="34"/>
        <v>0</v>
      </c>
      <c r="H44" s="50">
        <f t="shared" si="35"/>
        <v>0</v>
      </c>
      <c r="I44" s="50" t="s">
        <v>58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53"/>
      <c r="B45" s="54">
        <v>2</v>
      </c>
      <c r="C45" s="55"/>
      <c r="D45" s="50"/>
      <c r="E45" s="50"/>
      <c r="F45" s="50"/>
      <c r="G45" s="50">
        <f t="shared" si="34"/>
        <v>0</v>
      </c>
      <c r="H45" s="50">
        <f t="shared" si="35"/>
        <v>0</v>
      </c>
      <c r="I45" s="50" t="s">
        <v>58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53"/>
      <c r="B46" s="54">
        <v>3</v>
      </c>
      <c r="C46" s="55"/>
      <c r="D46" s="50"/>
      <c r="E46" s="50"/>
      <c r="F46" s="50"/>
      <c r="G46" s="50">
        <f t="shared" si="34"/>
        <v>0</v>
      </c>
      <c r="H46" s="50">
        <f t="shared" si="35"/>
        <v>0</v>
      </c>
      <c r="I46" s="50" t="s">
        <v>58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53"/>
      <c r="B47" s="54">
        <v>4</v>
      </c>
      <c r="C47" s="55"/>
      <c r="D47" s="50"/>
      <c r="E47" s="50"/>
      <c r="F47" s="50"/>
      <c r="G47" s="50">
        <f t="shared" si="34"/>
        <v>0</v>
      </c>
      <c r="H47" s="50">
        <f t="shared" si="35"/>
        <v>0</v>
      </c>
      <c r="I47" s="50" t="s">
        <v>58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53"/>
      <c r="B48" s="54">
        <v>5</v>
      </c>
      <c r="C48" s="55"/>
      <c r="D48" s="50"/>
      <c r="E48" s="50"/>
      <c r="F48" s="50"/>
      <c r="G48" s="50">
        <f t="shared" si="34"/>
        <v>0</v>
      </c>
      <c r="H48" s="50">
        <f t="shared" si="35"/>
        <v>0</v>
      </c>
      <c r="I48" s="50" t="s">
        <v>58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53"/>
      <c r="B49" s="54">
        <v>6</v>
      </c>
      <c r="C49" s="55"/>
      <c r="D49" s="50"/>
      <c r="E49" s="50"/>
      <c r="F49" s="50"/>
      <c r="G49" s="50">
        <f t="shared" si="34"/>
        <v>0</v>
      </c>
      <c r="H49" s="50">
        <f t="shared" si="35"/>
        <v>0</v>
      </c>
      <c r="I49" s="50" t="s">
        <v>58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53"/>
      <c r="B50" s="54" t="s">
        <v>82</v>
      </c>
      <c r="C50" s="55" t="s">
        <v>83</v>
      </c>
      <c r="D50" s="50">
        <v>0</v>
      </c>
      <c r="E50" s="50">
        <v>0.03</v>
      </c>
      <c r="F50" s="50">
        <v>0</v>
      </c>
      <c r="G50" s="50">
        <f t="shared" si="34"/>
        <v>0.03</v>
      </c>
      <c r="H50" s="50">
        <f t="shared" si="35"/>
        <v>0</v>
      </c>
      <c r="I50" s="50" t="s">
        <v>58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si="16"/>
        <v/>
      </c>
      <c r="AA50" s="52" t="str">
        <f t="shared" si="17"/>
        <v/>
      </c>
      <c r="AB50" s="52" t="str">
        <f t="shared" si="18"/>
        <v/>
      </c>
      <c r="AC50" s="52" t="str">
        <f t="shared" si="19"/>
        <v/>
      </c>
      <c r="AD50" s="52" t="str">
        <f t="shared" si="20"/>
        <v/>
      </c>
      <c r="AE50" s="52" t="str">
        <f t="shared" si="21"/>
        <v/>
      </c>
      <c r="AF50" s="52" t="str">
        <f t="shared" si="22"/>
        <v/>
      </c>
      <c r="AG50" s="52" t="str">
        <f t="shared" si="23"/>
        <v/>
      </c>
      <c r="AH50" s="52" t="str">
        <f t="shared" si="24"/>
        <v/>
      </c>
      <c r="AI50" s="52" t="str">
        <f t="shared" si="25"/>
        <v/>
      </c>
      <c r="AJ50" s="52" t="str">
        <f t="shared" si="26"/>
        <v/>
      </c>
      <c r="AK50" s="52" t="str">
        <f t="shared" si="27"/>
        <v/>
      </c>
      <c r="AL50" s="52" t="str">
        <f t="shared" si="28"/>
        <v/>
      </c>
      <c r="AM50" s="52" t="str">
        <f t="shared" si="29"/>
        <v/>
      </c>
      <c r="AN50" s="52" t="str">
        <f t="shared" si="30"/>
        <v/>
      </c>
      <c r="AO50" s="52" t="str">
        <f t="shared" si="31"/>
        <v/>
      </c>
    </row>
    <row r="51" ht="15" customHeight="1" spans="1:41">
      <c r="A51" s="53"/>
      <c r="B51" s="54">
        <v>1</v>
      </c>
      <c r="C51" s="55"/>
      <c r="D51" s="50"/>
      <c r="E51" s="50"/>
      <c r="F51" s="50"/>
      <c r="G51" s="50">
        <f t="shared" si="34"/>
        <v>0</v>
      </c>
      <c r="H51" s="50">
        <f t="shared" si="35"/>
        <v>0</v>
      </c>
      <c r="I51" s="50" t="s">
        <v>58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53"/>
      <c r="B52" s="54">
        <v>2</v>
      </c>
      <c r="C52" s="55"/>
      <c r="D52" s="50"/>
      <c r="E52" s="50"/>
      <c r="F52" s="50"/>
      <c r="G52" s="50">
        <f t="shared" si="34"/>
        <v>0</v>
      </c>
      <c r="H52" s="50">
        <f t="shared" si="35"/>
        <v>0</v>
      </c>
      <c r="I52" s="50" t="s">
        <v>58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53"/>
      <c r="B53" s="54">
        <v>3</v>
      </c>
      <c r="C53" s="55"/>
      <c r="D53" s="50"/>
      <c r="E53" s="50"/>
      <c r="F53" s="50"/>
      <c r="G53" s="50">
        <f t="shared" si="34"/>
        <v>0</v>
      </c>
      <c r="H53" s="50">
        <f t="shared" si="35"/>
        <v>0</v>
      </c>
      <c r="I53" s="50" t="s">
        <v>58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53"/>
      <c r="B54" s="54">
        <v>4</v>
      </c>
      <c r="C54" s="55"/>
      <c r="D54" s="50"/>
      <c r="E54" s="50"/>
      <c r="F54" s="50"/>
      <c r="G54" s="50">
        <f t="shared" si="34"/>
        <v>0</v>
      </c>
      <c r="H54" s="50">
        <f t="shared" si="35"/>
        <v>0</v>
      </c>
      <c r="I54" s="50" t="s">
        <v>58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53"/>
      <c r="B55" s="54" t="s">
        <v>84</v>
      </c>
      <c r="C55" s="55" t="s">
        <v>85</v>
      </c>
      <c r="D55" s="50">
        <v>0</v>
      </c>
      <c r="E55" s="50">
        <v>0.03</v>
      </c>
      <c r="F55" s="50">
        <v>0</v>
      </c>
      <c r="G55" s="50">
        <f t="shared" si="34"/>
        <v>0.03</v>
      </c>
      <c r="H55" s="50">
        <f t="shared" si="35"/>
        <v>0</v>
      </c>
      <c r="I55" s="50" t="s">
        <v>58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6">IF(J55="","",IF(J55&gt;($D55+$E55),(J55-$D55-$E55),IF(J55&lt;($D55+$F55),(J55-$D55-$F55),"√")))</f>
        <v/>
      </c>
      <c r="AA55" s="52" t="str">
        <f t="shared" si="36"/>
        <v/>
      </c>
      <c r="AB55" s="52" t="str">
        <f t="shared" si="36"/>
        <v/>
      </c>
      <c r="AC55" s="52" t="str">
        <f t="shared" si="36"/>
        <v/>
      </c>
      <c r="AD55" s="52" t="str">
        <f t="shared" si="36"/>
        <v/>
      </c>
      <c r="AE55" s="52" t="str">
        <f t="shared" si="36"/>
        <v/>
      </c>
      <c r="AF55" s="52" t="str">
        <f t="shared" si="36"/>
        <v/>
      </c>
      <c r="AG55" s="52" t="str">
        <f t="shared" si="36"/>
        <v/>
      </c>
      <c r="AH55" s="52" t="str">
        <f t="shared" si="36"/>
        <v/>
      </c>
      <c r="AI55" s="52" t="str">
        <f t="shared" si="36"/>
        <v/>
      </c>
      <c r="AJ55" s="52" t="str">
        <f t="shared" si="36"/>
        <v/>
      </c>
      <c r="AK55" s="52" t="str">
        <f t="shared" si="36"/>
        <v/>
      </c>
      <c r="AL55" s="52" t="str">
        <f t="shared" si="36"/>
        <v/>
      </c>
      <c r="AM55" s="52" t="str">
        <f t="shared" si="36"/>
        <v/>
      </c>
      <c r="AN55" s="52" t="str">
        <f t="shared" si="36"/>
        <v/>
      </c>
      <c r="AO55" s="52" t="str">
        <f t="shared" si="36"/>
        <v/>
      </c>
    </row>
    <row r="56" ht="15" customHeight="1" spans="1:41">
      <c r="A56" s="53"/>
      <c r="B56" s="54">
        <v>1</v>
      </c>
      <c r="C56" s="55"/>
      <c r="D56" s="50"/>
      <c r="E56" s="50"/>
      <c r="F56" s="50"/>
      <c r="G56" s="50">
        <f t="shared" si="34"/>
        <v>0</v>
      </c>
      <c r="H56" s="50">
        <f t="shared" si="35"/>
        <v>0</v>
      </c>
      <c r="I56" s="50" t="s">
        <v>58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53"/>
      <c r="B57" s="54">
        <v>2</v>
      </c>
      <c r="C57" s="55"/>
      <c r="D57" s="50"/>
      <c r="E57" s="50"/>
      <c r="F57" s="50"/>
      <c r="G57" s="50">
        <f t="shared" si="34"/>
        <v>0</v>
      </c>
      <c r="H57" s="50">
        <f t="shared" si="35"/>
        <v>0</v>
      </c>
      <c r="I57" s="50" t="s">
        <v>58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53"/>
      <c r="B58" s="54">
        <v>3</v>
      </c>
      <c r="C58" s="55"/>
      <c r="D58" s="50"/>
      <c r="E58" s="50"/>
      <c r="F58" s="50"/>
      <c r="G58" s="50">
        <f t="shared" si="34"/>
        <v>0</v>
      </c>
      <c r="H58" s="50">
        <f t="shared" si="35"/>
        <v>0</v>
      </c>
      <c r="I58" s="50" t="s">
        <v>58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53"/>
      <c r="B59" s="54">
        <v>4</v>
      </c>
      <c r="C59" s="55"/>
      <c r="D59" s="50"/>
      <c r="E59" s="50"/>
      <c r="F59" s="50"/>
      <c r="G59" s="50">
        <f t="shared" si="34"/>
        <v>0</v>
      </c>
      <c r="H59" s="50">
        <f t="shared" si="35"/>
        <v>0</v>
      </c>
      <c r="I59" s="50" t="s">
        <v>58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53"/>
      <c r="B60" s="54" t="s">
        <v>86</v>
      </c>
      <c r="C60" s="55" t="s">
        <v>85</v>
      </c>
      <c r="D60" s="50">
        <v>0</v>
      </c>
      <c r="E60" s="50">
        <v>0.03</v>
      </c>
      <c r="F60" s="50">
        <v>0</v>
      </c>
      <c r="G60" s="50">
        <f t="shared" si="34"/>
        <v>0.03</v>
      </c>
      <c r="H60" s="50">
        <f t="shared" si="35"/>
        <v>0</v>
      </c>
      <c r="I60" s="50" t="s">
        <v>58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7">IF(J60="","",IF(J60&gt;($D60+$E60),(J60-$D60-$E60),IF(J60&lt;($D60+$F60),(J60-$D60-$F60),"√")))</f>
        <v/>
      </c>
      <c r="AA60" s="52" t="str">
        <f t="shared" si="37"/>
        <v/>
      </c>
      <c r="AB60" s="52" t="str">
        <f t="shared" si="37"/>
        <v/>
      </c>
      <c r="AC60" s="52" t="str">
        <f t="shared" si="37"/>
        <v/>
      </c>
      <c r="AD60" s="52" t="str">
        <f t="shared" si="37"/>
        <v/>
      </c>
      <c r="AE60" s="52" t="str">
        <f t="shared" si="37"/>
        <v/>
      </c>
      <c r="AF60" s="52" t="str">
        <f t="shared" si="37"/>
        <v/>
      </c>
      <c r="AG60" s="52" t="str">
        <f t="shared" si="37"/>
        <v/>
      </c>
      <c r="AH60" s="52" t="str">
        <f t="shared" si="37"/>
        <v/>
      </c>
      <c r="AI60" s="52" t="str">
        <f t="shared" si="37"/>
        <v/>
      </c>
      <c r="AJ60" s="52" t="str">
        <f t="shared" si="37"/>
        <v/>
      </c>
      <c r="AK60" s="52" t="str">
        <f t="shared" si="37"/>
        <v/>
      </c>
      <c r="AL60" s="52" t="str">
        <f t="shared" si="37"/>
        <v/>
      </c>
      <c r="AM60" s="52" t="str">
        <f t="shared" si="37"/>
        <v/>
      </c>
      <c r="AN60" s="52" t="str">
        <f t="shared" si="37"/>
        <v/>
      </c>
      <c r="AO60" s="52" t="str">
        <f t="shared" si="37"/>
        <v/>
      </c>
    </row>
    <row r="61" ht="15" customHeight="1" spans="1:41">
      <c r="A61" s="53"/>
      <c r="B61" s="54">
        <v>1</v>
      </c>
      <c r="C61" s="55"/>
      <c r="D61" s="50"/>
      <c r="E61" s="50"/>
      <c r="F61" s="50"/>
      <c r="G61" s="50">
        <f t="shared" si="34"/>
        <v>0</v>
      </c>
      <c r="H61" s="50">
        <f t="shared" si="35"/>
        <v>0</v>
      </c>
      <c r="I61" s="50" t="s">
        <v>58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53"/>
      <c r="B62" s="54">
        <v>2</v>
      </c>
      <c r="C62" s="55"/>
      <c r="D62" s="50"/>
      <c r="E62" s="50"/>
      <c r="F62" s="50"/>
      <c r="G62" s="50">
        <f t="shared" si="34"/>
        <v>0</v>
      </c>
      <c r="H62" s="50">
        <f t="shared" si="35"/>
        <v>0</v>
      </c>
      <c r="I62" s="50" t="s">
        <v>58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53"/>
      <c r="B63" s="54">
        <v>3</v>
      </c>
      <c r="C63" s="55"/>
      <c r="D63" s="50"/>
      <c r="E63" s="50"/>
      <c r="F63" s="50"/>
      <c r="G63" s="50">
        <f t="shared" si="34"/>
        <v>0</v>
      </c>
      <c r="H63" s="50">
        <f t="shared" si="35"/>
        <v>0</v>
      </c>
      <c r="I63" s="50" t="s">
        <v>58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53"/>
      <c r="B64" s="54">
        <v>4</v>
      </c>
      <c r="C64" s="55"/>
      <c r="D64" s="50"/>
      <c r="E64" s="50"/>
      <c r="F64" s="50"/>
      <c r="G64" s="50">
        <f t="shared" si="34"/>
        <v>0</v>
      </c>
      <c r="H64" s="50">
        <f t="shared" si="35"/>
        <v>0</v>
      </c>
      <c r="I64" s="50" t="s">
        <v>58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53"/>
      <c r="B65" s="54" t="s">
        <v>87</v>
      </c>
      <c r="C65" s="55"/>
      <c r="D65" s="50">
        <v>0</v>
      </c>
      <c r="E65" s="50">
        <v>0.06</v>
      </c>
      <c r="F65" s="50">
        <v>0</v>
      </c>
      <c r="G65" s="50">
        <f t="shared" si="34"/>
        <v>0.06</v>
      </c>
      <c r="H65" s="50">
        <f t="shared" si="35"/>
        <v>0</v>
      </c>
      <c r="I65" s="50" t="s">
        <v>58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8">IF(J65="","",IF(J65&gt;($D65+$E65),(J65-$D65-$E65),IF(J65&lt;($D65+$F65),(J65-$D65-$F65),"√")))</f>
        <v/>
      </c>
      <c r="AA65" s="52" t="str">
        <f t="shared" si="38"/>
        <v/>
      </c>
      <c r="AB65" s="52" t="str">
        <f t="shared" si="38"/>
        <v/>
      </c>
      <c r="AC65" s="52" t="str">
        <f t="shared" si="38"/>
        <v/>
      </c>
      <c r="AD65" s="52" t="str">
        <f t="shared" si="38"/>
        <v/>
      </c>
      <c r="AE65" s="52" t="str">
        <f t="shared" si="38"/>
        <v/>
      </c>
      <c r="AF65" s="52" t="str">
        <f t="shared" si="38"/>
        <v/>
      </c>
      <c r="AG65" s="52" t="str">
        <f t="shared" si="38"/>
        <v/>
      </c>
      <c r="AH65" s="52" t="str">
        <f t="shared" si="38"/>
        <v/>
      </c>
      <c r="AI65" s="52" t="str">
        <f t="shared" si="38"/>
        <v/>
      </c>
      <c r="AJ65" s="52" t="str">
        <f t="shared" si="38"/>
        <v/>
      </c>
      <c r="AK65" s="52" t="str">
        <f t="shared" si="38"/>
        <v/>
      </c>
      <c r="AL65" s="52" t="str">
        <f t="shared" si="38"/>
        <v/>
      </c>
      <c r="AM65" s="52" t="str">
        <f t="shared" si="38"/>
        <v/>
      </c>
      <c r="AN65" s="52" t="str">
        <f t="shared" si="38"/>
        <v/>
      </c>
      <c r="AO65" s="52" t="str">
        <f t="shared" si="38"/>
        <v/>
      </c>
    </row>
    <row r="66" ht="15" customHeight="1" spans="1:41">
      <c r="A66" s="53"/>
      <c r="B66" s="54">
        <v>1</v>
      </c>
      <c r="C66" s="55"/>
      <c r="D66" s="50"/>
      <c r="E66" s="50"/>
      <c r="F66" s="50"/>
      <c r="G66" s="50">
        <f t="shared" si="34"/>
        <v>0</v>
      </c>
      <c r="H66" s="50">
        <f t="shared" si="35"/>
        <v>0</v>
      </c>
      <c r="I66" s="50" t="s">
        <v>58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53"/>
      <c r="B67" s="54">
        <v>2</v>
      </c>
      <c r="C67" s="55"/>
      <c r="D67" s="50"/>
      <c r="E67" s="50"/>
      <c r="F67" s="50"/>
      <c r="G67" s="50">
        <f t="shared" si="34"/>
        <v>0</v>
      </c>
      <c r="H67" s="50">
        <f t="shared" si="35"/>
        <v>0</v>
      </c>
      <c r="I67" s="50" t="s">
        <v>58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53"/>
      <c r="B68" s="54">
        <v>3</v>
      </c>
      <c r="C68" s="55"/>
      <c r="D68" s="50"/>
      <c r="E68" s="50"/>
      <c r="F68" s="50"/>
      <c r="G68" s="50">
        <f t="shared" si="34"/>
        <v>0</v>
      </c>
      <c r="H68" s="50">
        <f t="shared" si="35"/>
        <v>0</v>
      </c>
      <c r="I68" s="50" t="s">
        <v>58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53"/>
      <c r="B69" s="54">
        <v>4</v>
      </c>
      <c r="C69" s="55"/>
      <c r="D69" s="50"/>
      <c r="E69" s="50"/>
      <c r="F69" s="50"/>
      <c r="G69" s="50">
        <f t="shared" ref="G69:G118" si="39">D69+E69</f>
        <v>0</v>
      </c>
      <c r="H69" s="50">
        <f t="shared" ref="H69:H118" si="40">D69+F69</f>
        <v>0</v>
      </c>
      <c r="I69" s="50" t="s">
        <v>58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53"/>
      <c r="B70" s="54">
        <v>5</v>
      </c>
      <c r="C70" s="55"/>
      <c r="D70" s="50"/>
      <c r="E70" s="50"/>
      <c r="F70" s="50"/>
      <c r="G70" s="50">
        <f t="shared" si="39"/>
        <v>0</v>
      </c>
      <c r="H70" s="50">
        <f t="shared" si="40"/>
        <v>0</v>
      </c>
      <c r="I70" s="50" t="s">
        <v>58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53"/>
      <c r="B71" s="54">
        <v>6</v>
      </c>
      <c r="C71" s="55"/>
      <c r="D71" s="50"/>
      <c r="E71" s="50"/>
      <c r="F71" s="50"/>
      <c r="G71" s="50">
        <f t="shared" si="39"/>
        <v>0</v>
      </c>
      <c r="H71" s="50">
        <f t="shared" si="40"/>
        <v>0</v>
      </c>
      <c r="I71" s="50" t="s">
        <v>58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53"/>
      <c r="B72" s="54">
        <v>7</v>
      </c>
      <c r="C72" s="55"/>
      <c r="D72" s="50"/>
      <c r="E72" s="50"/>
      <c r="F72" s="50"/>
      <c r="G72" s="50">
        <f t="shared" si="39"/>
        <v>0</v>
      </c>
      <c r="H72" s="50">
        <f t="shared" si="40"/>
        <v>0</v>
      </c>
      <c r="I72" s="50" t="s">
        <v>58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53"/>
      <c r="B73" s="54">
        <v>8</v>
      </c>
      <c r="C73" s="55"/>
      <c r="D73" s="50"/>
      <c r="E73" s="50"/>
      <c r="F73" s="50"/>
      <c r="G73" s="50">
        <f t="shared" si="39"/>
        <v>0</v>
      </c>
      <c r="H73" s="50">
        <f t="shared" si="40"/>
        <v>0</v>
      </c>
      <c r="I73" s="50" t="s">
        <v>58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53"/>
      <c r="B74" s="54">
        <v>9</v>
      </c>
      <c r="C74" s="55"/>
      <c r="D74" s="50"/>
      <c r="E74" s="50"/>
      <c r="F74" s="50"/>
      <c r="G74" s="50">
        <f t="shared" si="39"/>
        <v>0</v>
      </c>
      <c r="H74" s="50">
        <f t="shared" si="40"/>
        <v>0</v>
      </c>
      <c r="I74" s="50" t="s">
        <v>58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53"/>
      <c r="B75" s="54">
        <v>10</v>
      </c>
      <c r="C75" s="55"/>
      <c r="D75" s="50"/>
      <c r="E75" s="50"/>
      <c r="F75" s="50"/>
      <c r="G75" s="50">
        <f t="shared" si="39"/>
        <v>0</v>
      </c>
      <c r="H75" s="50">
        <f t="shared" si="40"/>
        <v>0</v>
      </c>
      <c r="I75" s="50" t="s">
        <v>58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53"/>
      <c r="B76" s="54">
        <v>11</v>
      </c>
      <c r="C76" s="55"/>
      <c r="D76" s="50"/>
      <c r="E76" s="50"/>
      <c r="F76" s="50"/>
      <c r="G76" s="50">
        <f t="shared" si="39"/>
        <v>0</v>
      </c>
      <c r="H76" s="50">
        <f t="shared" si="40"/>
        <v>0</v>
      </c>
      <c r="I76" s="50" t="s">
        <v>58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53"/>
      <c r="B77" s="54" t="s">
        <v>88</v>
      </c>
      <c r="C77" s="55" t="s">
        <v>89</v>
      </c>
      <c r="D77" s="50">
        <v>0</v>
      </c>
      <c r="E77" s="50">
        <v>0.08</v>
      </c>
      <c r="F77" s="50">
        <v>0</v>
      </c>
      <c r="G77" s="50">
        <f t="shared" si="39"/>
        <v>0.08</v>
      </c>
      <c r="H77" s="50">
        <f t="shared" si="40"/>
        <v>0</v>
      </c>
      <c r="I77" s="50" t="s">
        <v>58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1">IF(J77="","",IF(J77&gt;($D77+$E77),(J77-$D77-$E77),IF(J77&lt;($D77+$F77),(J77-$D77-$F77),"√")))</f>
        <v/>
      </c>
      <c r="AA77" s="52" t="str">
        <f t="shared" si="41"/>
        <v/>
      </c>
      <c r="AB77" s="52" t="str">
        <f t="shared" si="41"/>
        <v/>
      </c>
      <c r="AC77" s="52" t="str">
        <f t="shared" si="41"/>
        <v/>
      </c>
      <c r="AD77" s="52" t="str">
        <f t="shared" si="41"/>
        <v/>
      </c>
      <c r="AE77" s="52" t="str">
        <f t="shared" si="41"/>
        <v/>
      </c>
      <c r="AF77" s="52" t="str">
        <f t="shared" si="41"/>
        <v/>
      </c>
      <c r="AG77" s="52" t="str">
        <f t="shared" si="41"/>
        <v/>
      </c>
      <c r="AH77" s="52" t="str">
        <f t="shared" si="41"/>
        <v/>
      </c>
      <c r="AI77" s="52" t="str">
        <f t="shared" si="41"/>
        <v/>
      </c>
      <c r="AJ77" s="52" t="str">
        <f t="shared" si="41"/>
        <v/>
      </c>
      <c r="AK77" s="52" t="str">
        <f t="shared" si="41"/>
        <v/>
      </c>
      <c r="AL77" s="52" t="str">
        <f t="shared" si="41"/>
        <v/>
      </c>
      <c r="AM77" s="52" t="str">
        <f t="shared" si="41"/>
        <v/>
      </c>
      <c r="AN77" s="52" t="str">
        <f t="shared" si="41"/>
        <v/>
      </c>
      <c r="AO77" s="52" t="str">
        <f t="shared" si="41"/>
        <v/>
      </c>
    </row>
    <row r="78" ht="15" customHeight="1" spans="1:41">
      <c r="A78" s="53"/>
      <c r="B78" s="54">
        <v>1</v>
      </c>
      <c r="C78" s="55"/>
      <c r="D78" s="50"/>
      <c r="E78" s="50"/>
      <c r="F78" s="50"/>
      <c r="G78" s="50">
        <f t="shared" si="39"/>
        <v>0</v>
      </c>
      <c r="H78" s="50">
        <f t="shared" si="40"/>
        <v>0</v>
      </c>
      <c r="I78" s="50" t="s">
        <v>58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53"/>
      <c r="B79" s="54">
        <v>2</v>
      </c>
      <c r="C79" s="55"/>
      <c r="D79" s="50"/>
      <c r="E79" s="50"/>
      <c r="F79" s="50"/>
      <c r="G79" s="50">
        <f t="shared" si="39"/>
        <v>0</v>
      </c>
      <c r="H79" s="50">
        <f t="shared" si="40"/>
        <v>0</v>
      </c>
      <c r="I79" s="50" t="s">
        <v>58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53"/>
      <c r="B80" s="54">
        <v>3</v>
      </c>
      <c r="C80" s="55"/>
      <c r="D80" s="50"/>
      <c r="E80" s="50"/>
      <c r="F80" s="50"/>
      <c r="G80" s="50">
        <f t="shared" si="39"/>
        <v>0</v>
      </c>
      <c r="H80" s="50">
        <f t="shared" si="40"/>
        <v>0</v>
      </c>
      <c r="I80" s="50" t="s">
        <v>58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53"/>
      <c r="B81" s="54">
        <v>4</v>
      </c>
      <c r="C81" s="55"/>
      <c r="D81" s="50"/>
      <c r="E81" s="50"/>
      <c r="F81" s="50"/>
      <c r="G81" s="50">
        <f t="shared" si="39"/>
        <v>0</v>
      </c>
      <c r="H81" s="50">
        <f t="shared" si="40"/>
        <v>0</v>
      </c>
      <c r="I81" s="50" t="s">
        <v>58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53"/>
      <c r="B82" s="54" t="s">
        <v>90</v>
      </c>
      <c r="C82" s="55" t="s">
        <v>91</v>
      </c>
      <c r="D82" s="50">
        <v>0</v>
      </c>
      <c r="E82" s="50">
        <v>0.08</v>
      </c>
      <c r="F82" s="50">
        <v>0</v>
      </c>
      <c r="G82" s="50">
        <f t="shared" si="39"/>
        <v>0.08</v>
      </c>
      <c r="H82" s="50">
        <f t="shared" si="40"/>
        <v>0</v>
      </c>
      <c r="I82" s="50" t="s">
        <v>58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2">IF(J82="","",IF(J82&gt;($D82+$E82),(J82-$D82-$E82),IF(J82&lt;($D82+$F82),(J82-$D82-$F82),"√")))</f>
        <v/>
      </c>
      <c r="AA82" s="52" t="str">
        <f t="shared" si="42"/>
        <v/>
      </c>
      <c r="AB82" s="52" t="str">
        <f t="shared" si="42"/>
        <v/>
      </c>
      <c r="AC82" s="52" t="str">
        <f t="shared" si="42"/>
        <v/>
      </c>
      <c r="AD82" s="52" t="str">
        <f t="shared" si="42"/>
        <v/>
      </c>
      <c r="AE82" s="52" t="str">
        <f t="shared" si="42"/>
        <v/>
      </c>
      <c r="AF82" s="52" t="str">
        <f t="shared" si="42"/>
        <v/>
      </c>
      <c r="AG82" s="52" t="str">
        <f t="shared" si="42"/>
        <v/>
      </c>
      <c r="AH82" s="52" t="str">
        <f t="shared" si="42"/>
        <v/>
      </c>
      <c r="AI82" s="52" t="str">
        <f t="shared" si="42"/>
        <v/>
      </c>
      <c r="AJ82" s="52" t="str">
        <f t="shared" si="42"/>
        <v/>
      </c>
      <c r="AK82" s="52" t="str">
        <f t="shared" si="42"/>
        <v/>
      </c>
      <c r="AL82" s="52" t="str">
        <f t="shared" si="42"/>
        <v/>
      </c>
      <c r="AM82" s="52" t="str">
        <f t="shared" si="42"/>
        <v/>
      </c>
      <c r="AN82" s="52" t="str">
        <f t="shared" si="42"/>
        <v/>
      </c>
      <c r="AO82" s="52" t="str">
        <f t="shared" si="42"/>
        <v/>
      </c>
    </row>
    <row r="83" ht="15" customHeight="1" spans="1:41">
      <c r="A83" s="53"/>
      <c r="B83" s="54">
        <v>1</v>
      </c>
      <c r="C83" s="55"/>
      <c r="D83" s="50"/>
      <c r="E83" s="50"/>
      <c r="F83" s="50"/>
      <c r="G83" s="50">
        <f t="shared" si="39"/>
        <v>0</v>
      </c>
      <c r="H83" s="50">
        <f t="shared" si="40"/>
        <v>0</v>
      </c>
      <c r="I83" s="50" t="s">
        <v>58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53"/>
      <c r="B84" s="54">
        <v>2</v>
      </c>
      <c r="C84" s="55"/>
      <c r="D84" s="50"/>
      <c r="E84" s="50"/>
      <c r="F84" s="50"/>
      <c r="G84" s="50">
        <f t="shared" ref="G84:G96" si="43">D84+E84</f>
        <v>0</v>
      </c>
      <c r="H84" s="50">
        <f t="shared" si="40"/>
        <v>0</v>
      </c>
      <c r="I84" s="50" t="s">
        <v>58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53"/>
      <c r="B85" s="54">
        <v>3</v>
      </c>
      <c r="C85" s="55"/>
      <c r="D85" s="50"/>
      <c r="E85" s="50"/>
      <c r="F85" s="50"/>
      <c r="G85" s="50">
        <f t="shared" si="43"/>
        <v>0</v>
      </c>
      <c r="H85" s="50">
        <f t="shared" si="40"/>
        <v>0</v>
      </c>
      <c r="I85" s="50" t="s">
        <v>58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53"/>
      <c r="B86" s="54">
        <v>4</v>
      </c>
      <c r="C86" s="55"/>
      <c r="D86" s="50"/>
      <c r="E86" s="50"/>
      <c r="F86" s="50"/>
      <c r="G86" s="50">
        <f t="shared" si="43"/>
        <v>0</v>
      </c>
      <c r="H86" s="50">
        <f t="shared" si="40"/>
        <v>0</v>
      </c>
      <c r="I86" s="50" t="s">
        <v>58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53"/>
      <c r="B87" s="54" t="s">
        <v>92</v>
      </c>
      <c r="C87" s="55" t="s">
        <v>93</v>
      </c>
      <c r="D87" s="50">
        <v>0</v>
      </c>
      <c r="E87" s="50">
        <v>0.08</v>
      </c>
      <c r="F87" s="50">
        <v>0</v>
      </c>
      <c r="G87" s="50">
        <f t="shared" si="43"/>
        <v>0.08</v>
      </c>
      <c r="H87" s="50">
        <f t="shared" si="40"/>
        <v>0</v>
      </c>
      <c r="I87" s="50" t="s">
        <v>58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4">IF(J87="","",IF(J87&gt;($D87+$E87),(J87-$D87-$E87),IF(J87&lt;($D87+$F87),(J87-$D87-$F87),"√")))</f>
        <v/>
      </c>
      <c r="AA87" s="52" t="str">
        <f t="shared" si="44"/>
        <v/>
      </c>
      <c r="AB87" s="52" t="str">
        <f t="shared" si="44"/>
        <v/>
      </c>
      <c r="AC87" s="52" t="str">
        <f t="shared" si="44"/>
        <v/>
      </c>
      <c r="AD87" s="52" t="str">
        <f t="shared" si="44"/>
        <v/>
      </c>
      <c r="AE87" s="52" t="str">
        <f t="shared" si="44"/>
        <v/>
      </c>
      <c r="AF87" s="52" t="str">
        <f t="shared" si="44"/>
        <v/>
      </c>
      <c r="AG87" s="52" t="str">
        <f t="shared" si="44"/>
        <v/>
      </c>
      <c r="AH87" s="52" t="str">
        <f t="shared" si="44"/>
        <v/>
      </c>
      <c r="AI87" s="52" t="str">
        <f t="shared" si="44"/>
        <v/>
      </c>
      <c r="AJ87" s="52" t="str">
        <f t="shared" si="44"/>
        <v/>
      </c>
      <c r="AK87" s="52" t="str">
        <f t="shared" si="44"/>
        <v/>
      </c>
      <c r="AL87" s="52" t="str">
        <f t="shared" si="44"/>
        <v/>
      </c>
      <c r="AM87" s="52" t="str">
        <f t="shared" si="44"/>
        <v/>
      </c>
      <c r="AN87" s="52" t="str">
        <f t="shared" si="44"/>
        <v/>
      </c>
      <c r="AO87" s="52" t="str">
        <f t="shared" si="44"/>
        <v/>
      </c>
    </row>
    <row r="88" ht="15" customHeight="1" spans="1:41">
      <c r="A88" s="53"/>
      <c r="B88" s="54">
        <v>1</v>
      </c>
      <c r="C88" s="55"/>
      <c r="D88" s="50"/>
      <c r="E88" s="50"/>
      <c r="F88" s="50"/>
      <c r="G88" s="50">
        <f t="shared" si="43"/>
        <v>0</v>
      </c>
      <c r="H88" s="50">
        <f t="shared" si="40"/>
        <v>0</v>
      </c>
      <c r="I88" s="50" t="s">
        <v>58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53"/>
      <c r="B89" s="54">
        <v>2</v>
      </c>
      <c r="C89" s="55"/>
      <c r="D89" s="50"/>
      <c r="E89" s="50"/>
      <c r="F89" s="50"/>
      <c r="G89" s="50">
        <f t="shared" si="43"/>
        <v>0</v>
      </c>
      <c r="H89" s="50">
        <f t="shared" si="40"/>
        <v>0</v>
      </c>
      <c r="I89" s="50" t="s">
        <v>58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53"/>
      <c r="B90" s="54">
        <v>3</v>
      </c>
      <c r="C90" s="55"/>
      <c r="D90" s="50"/>
      <c r="E90" s="50"/>
      <c r="F90" s="50"/>
      <c r="G90" s="50">
        <f t="shared" si="43"/>
        <v>0</v>
      </c>
      <c r="H90" s="50">
        <f t="shared" si="40"/>
        <v>0</v>
      </c>
      <c r="I90" s="50" t="s">
        <v>58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53"/>
      <c r="B91" s="54">
        <v>4</v>
      </c>
      <c r="C91" s="55"/>
      <c r="D91" s="50"/>
      <c r="E91" s="50"/>
      <c r="F91" s="50"/>
      <c r="G91" s="50">
        <f t="shared" si="43"/>
        <v>0</v>
      </c>
      <c r="H91" s="50">
        <f t="shared" si="40"/>
        <v>0</v>
      </c>
      <c r="I91" s="50" t="s">
        <v>58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53"/>
      <c r="B92" s="54" t="s">
        <v>94</v>
      </c>
      <c r="C92" s="55" t="s">
        <v>95</v>
      </c>
      <c r="D92" s="50">
        <v>0</v>
      </c>
      <c r="E92" s="50">
        <v>0.08</v>
      </c>
      <c r="F92" s="50">
        <v>0</v>
      </c>
      <c r="G92" s="50">
        <f t="shared" si="43"/>
        <v>0.08</v>
      </c>
      <c r="H92" s="50">
        <f t="shared" si="40"/>
        <v>0</v>
      </c>
      <c r="I92" s="50" t="s">
        <v>58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5">IF(J92="","",IF(J92&gt;($D92+$E92),(J92-$D92-$E92),IF(J92&lt;($D92+$F92),(J92-$D92-$F92),"√")))</f>
        <v/>
      </c>
      <c r="AA92" s="52" t="str">
        <f t="shared" si="45"/>
        <v/>
      </c>
      <c r="AB92" s="52" t="str">
        <f t="shared" si="45"/>
        <v/>
      </c>
      <c r="AC92" s="52" t="str">
        <f t="shared" si="45"/>
        <v/>
      </c>
      <c r="AD92" s="52" t="str">
        <f t="shared" si="45"/>
        <v/>
      </c>
      <c r="AE92" s="52" t="str">
        <f t="shared" si="45"/>
        <v/>
      </c>
      <c r="AF92" s="52" t="str">
        <f t="shared" si="45"/>
        <v/>
      </c>
      <c r="AG92" s="52" t="str">
        <f t="shared" si="45"/>
        <v/>
      </c>
      <c r="AH92" s="52" t="str">
        <f t="shared" si="45"/>
        <v/>
      </c>
      <c r="AI92" s="52" t="str">
        <f t="shared" si="45"/>
        <v/>
      </c>
      <c r="AJ92" s="52" t="str">
        <f t="shared" si="45"/>
        <v/>
      </c>
      <c r="AK92" s="52" t="str">
        <f t="shared" si="45"/>
        <v/>
      </c>
      <c r="AL92" s="52" t="str">
        <f t="shared" si="45"/>
        <v/>
      </c>
      <c r="AM92" s="52" t="str">
        <f t="shared" si="45"/>
        <v/>
      </c>
      <c r="AN92" s="52" t="str">
        <f t="shared" si="45"/>
        <v/>
      </c>
      <c r="AO92" s="52" t="str">
        <f t="shared" si="45"/>
        <v/>
      </c>
    </row>
    <row r="93" ht="15" customHeight="1" spans="1:41">
      <c r="A93" s="53"/>
      <c r="B93" s="54">
        <v>1</v>
      </c>
      <c r="C93" s="55"/>
      <c r="D93" s="50"/>
      <c r="E93" s="50"/>
      <c r="F93" s="50"/>
      <c r="G93" s="50">
        <f t="shared" si="43"/>
        <v>0</v>
      </c>
      <c r="H93" s="50">
        <f t="shared" si="40"/>
        <v>0</v>
      </c>
      <c r="I93" s="50" t="s">
        <v>58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53"/>
      <c r="B94" s="54">
        <v>2</v>
      </c>
      <c r="C94" s="55"/>
      <c r="D94" s="50"/>
      <c r="E94" s="50"/>
      <c r="F94" s="50"/>
      <c r="G94" s="50">
        <f t="shared" si="43"/>
        <v>0</v>
      </c>
      <c r="H94" s="50">
        <f t="shared" si="40"/>
        <v>0</v>
      </c>
      <c r="I94" s="50" t="s">
        <v>58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53"/>
      <c r="B95" s="54">
        <v>3</v>
      </c>
      <c r="C95" s="55"/>
      <c r="D95" s="50"/>
      <c r="E95" s="50"/>
      <c r="F95" s="50"/>
      <c r="G95" s="50">
        <f t="shared" si="43"/>
        <v>0</v>
      </c>
      <c r="H95" s="50">
        <f t="shared" si="40"/>
        <v>0</v>
      </c>
      <c r="I95" s="50" t="s">
        <v>58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53"/>
      <c r="B96" s="54">
        <v>4</v>
      </c>
      <c r="C96" s="55"/>
      <c r="D96" s="50"/>
      <c r="E96" s="50"/>
      <c r="F96" s="50"/>
      <c r="G96" s="50">
        <f t="shared" si="43"/>
        <v>0</v>
      </c>
      <c r="H96" s="50">
        <f t="shared" si="40"/>
        <v>0</v>
      </c>
      <c r="I96" s="50" t="s">
        <v>58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53"/>
      <c r="B97" s="54" t="s">
        <v>96</v>
      </c>
      <c r="C97" s="55"/>
      <c r="D97" s="50">
        <v>0</v>
      </c>
      <c r="E97" s="50">
        <v>0.05</v>
      </c>
      <c r="F97" s="50">
        <v>0</v>
      </c>
      <c r="G97" s="50">
        <f t="shared" si="39"/>
        <v>0.05</v>
      </c>
      <c r="H97" s="50">
        <f t="shared" si="40"/>
        <v>0</v>
      </c>
      <c r="I97" s="50" t="s">
        <v>58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6">IF(J97="","",IF(J97&gt;($D97+$E97),(J97-$D97-$E97),IF(J97&lt;($D97+$F97),(J97-$D97-$F97),"√")))</f>
        <v/>
      </c>
      <c r="AA97" s="52" t="str">
        <f t="shared" si="46"/>
        <v/>
      </c>
      <c r="AB97" s="52" t="str">
        <f t="shared" si="46"/>
        <v/>
      </c>
      <c r="AC97" s="52" t="str">
        <f t="shared" si="46"/>
        <v/>
      </c>
      <c r="AD97" s="52" t="str">
        <f t="shared" si="46"/>
        <v/>
      </c>
      <c r="AE97" s="52" t="str">
        <f t="shared" si="46"/>
        <v/>
      </c>
      <c r="AF97" s="52" t="str">
        <f t="shared" si="46"/>
        <v/>
      </c>
      <c r="AG97" s="52" t="str">
        <f t="shared" si="46"/>
        <v/>
      </c>
      <c r="AH97" s="52" t="str">
        <f t="shared" si="46"/>
        <v/>
      </c>
      <c r="AI97" s="52" t="str">
        <f t="shared" si="46"/>
        <v/>
      </c>
      <c r="AJ97" s="52" t="str">
        <f t="shared" si="46"/>
        <v/>
      </c>
      <c r="AK97" s="52" t="str">
        <f t="shared" si="46"/>
        <v/>
      </c>
      <c r="AL97" s="52" t="str">
        <f t="shared" si="46"/>
        <v/>
      </c>
      <c r="AM97" s="52" t="str">
        <f t="shared" si="46"/>
        <v/>
      </c>
      <c r="AN97" s="52" t="str">
        <f t="shared" si="46"/>
        <v/>
      </c>
      <c r="AO97" s="52" t="str">
        <f t="shared" si="46"/>
        <v/>
      </c>
    </row>
    <row r="98" ht="15" customHeight="1" spans="1:41">
      <c r="A98" s="53"/>
      <c r="B98" s="54" t="s">
        <v>97</v>
      </c>
      <c r="C98" s="55"/>
      <c r="D98" s="50"/>
      <c r="E98" s="50"/>
      <c r="F98" s="50"/>
      <c r="G98" s="50">
        <f t="shared" si="39"/>
        <v>0</v>
      </c>
      <c r="H98" s="50">
        <f t="shared" si="40"/>
        <v>0</v>
      </c>
      <c r="I98" s="50" t="s">
        <v>58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53"/>
      <c r="B99" s="54" t="s">
        <v>98</v>
      </c>
      <c r="C99" s="55"/>
      <c r="D99" s="50"/>
      <c r="E99" s="50"/>
      <c r="F99" s="50"/>
      <c r="G99" s="50">
        <f t="shared" si="39"/>
        <v>0</v>
      </c>
      <c r="H99" s="50">
        <f t="shared" si="40"/>
        <v>0</v>
      </c>
      <c r="I99" s="50" t="s">
        <v>58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53"/>
      <c r="B100" s="54" t="s">
        <v>99</v>
      </c>
      <c r="C100" s="55"/>
      <c r="D100" s="50">
        <v>0</v>
      </c>
      <c r="E100" s="50">
        <v>0.04</v>
      </c>
      <c r="F100" s="50">
        <v>0</v>
      </c>
      <c r="G100" s="50">
        <f t="shared" si="39"/>
        <v>0.04</v>
      </c>
      <c r="H100" s="50">
        <f t="shared" si="40"/>
        <v>0</v>
      </c>
      <c r="I100" s="50" t="s">
        <v>58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7">IF(J100="","",IF(J100&gt;($D100+$E100),(J100-$D100-$E100),IF(J100&lt;($D100+$F100),(J100-$D100-$F100),"√")))</f>
        <v/>
      </c>
      <c r="AA100" s="52" t="str">
        <f t="shared" si="47"/>
        <v/>
      </c>
      <c r="AB100" s="52" t="str">
        <f t="shared" si="47"/>
        <v/>
      </c>
      <c r="AC100" s="52" t="str">
        <f t="shared" si="47"/>
        <v/>
      </c>
      <c r="AD100" s="52" t="str">
        <f t="shared" si="47"/>
        <v/>
      </c>
      <c r="AE100" s="52" t="str">
        <f t="shared" si="47"/>
        <v/>
      </c>
      <c r="AF100" s="52" t="str">
        <f t="shared" si="47"/>
        <v/>
      </c>
      <c r="AG100" s="52" t="str">
        <f t="shared" si="47"/>
        <v/>
      </c>
      <c r="AH100" s="52" t="str">
        <f t="shared" si="47"/>
        <v/>
      </c>
      <c r="AI100" s="52" t="str">
        <f t="shared" si="47"/>
        <v/>
      </c>
      <c r="AJ100" s="52" t="str">
        <f t="shared" si="47"/>
        <v/>
      </c>
      <c r="AK100" s="52" t="str">
        <f t="shared" si="47"/>
        <v/>
      </c>
      <c r="AL100" s="52" t="str">
        <f t="shared" si="47"/>
        <v/>
      </c>
      <c r="AM100" s="52" t="str">
        <f t="shared" si="47"/>
        <v/>
      </c>
      <c r="AN100" s="52" t="str">
        <f t="shared" si="47"/>
        <v/>
      </c>
      <c r="AO100" s="52" t="str">
        <f t="shared" si="47"/>
        <v/>
      </c>
    </row>
    <row r="101" ht="15" customHeight="1" spans="1:41">
      <c r="A101" s="53"/>
      <c r="B101" s="54">
        <v>1</v>
      </c>
      <c r="C101" s="55"/>
      <c r="D101" s="50"/>
      <c r="E101" s="50"/>
      <c r="F101" s="50"/>
      <c r="G101" s="50">
        <f t="shared" si="39"/>
        <v>0</v>
      </c>
      <c r="H101" s="50">
        <f t="shared" si="40"/>
        <v>0</v>
      </c>
      <c r="I101" s="50" t="s">
        <v>58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53"/>
      <c r="B102" s="54">
        <v>2</v>
      </c>
      <c r="C102" s="55"/>
      <c r="D102" s="50"/>
      <c r="E102" s="50"/>
      <c r="F102" s="50"/>
      <c r="G102" s="50">
        <f t="shared" si="39"/>
        <v>0</v>
      </c>
      <c r="H102" s="50">
        <f t="shared" si="40"/>
        <v>0</v>
      </c>
      <c r="I102" s="50" t="s">
        <v>58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" customHeight="1" spans="1:41">
      <c r="A103" s="53"/>
      <c r="B103" s="54">
        <v>3</v>
      </c>
      <c r="C103" s="55"/>
      <c r="D103" s="50"/>
      <c r="E103" s="50"/>
      <c r="F103" s="50"/>
      <c r="G103" s="50">
        <f t="shared" si="39"/>
        <v>0</v>
      </c>
      <c r="H103" s="50">
        <f t="shared" si="40"/>
        <v>0</v>
      </c>
      <c r="I103" s="50" t="s">
        <v>58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</row>
    <row r="104" ht="15" customHeight="1" spans="1:41">
      <c r="A104" s="53"/>
      <c r="B104" s="54" t="s">
        <v>100</v>
      </c>
      <c r="C104" s="55"/>
      <c r="D104" s="50">
        <v>0</v>
      </c>
      <c r="E104" s="50">
        <v>0.04</v>
      </c>
      <c r="F104" s="50">
        <v>0</v>
      </c>
      <c r="G104" s="50">
        <f t="shared" si="39"/>
        <v>0.04</v>
      </c>
      <c r="H104" s="50">
        <f t="shared" si="40"/>
        <v>0</v>
      </c>
      <c r="I104" s="50" t="s">
        <v>58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 t="str">
        <f t="shared" ref="Z104:AO104" si="48">IF(J104="","",IF(J104&gt;($D104+$E104),(J104-$D104-$E104),IF(J104&lt;($D104+$F104),(J104-$D104-$F104),"√")))</f>
        <v/>
      </c>
      <c r="AA104" s="52" t="str">
        <f t="shared" si="48"/>
        <v/>
      </c>
      <c r="AB104" s="52" t="str">
        <f t="shared" si="48"/>
        <v/>
      </c>
      <c r="AC104" s="52" t="str">
        <f t="shared" si="48"/>
        <v/>
      </c>
      <c r="AD104" s="52" t="str">
        <f t="shared" si="48"/>
        <v/>
      </c>
      <c r="AE104" s="52" t="str">
        <f t="shared" si="48"/>
        <v/>
      </c>
      <c r="AF104" s="52" t="str">
        <f t="shared" si="48"/>
        <v/>
      </c>
      <c r="AG104" s="52" t="str">
        <f t="shared" si="48"/>
        <v/>
      </c>
      <c r="AH104" s="52" t="str">
        <f t="shared" si="48"/>
        <v/>
      </c>
      <c r="AI104" s="52" t="str">
        <f t="shared" si="48"/>
        <v/>
      </c>
      <c r="AJ104" s="52" t="str">
        <f t="shared" si="48"/>
        <v/>
      </c>
      <c r="AK104" s="52" t="str">
        <f t="shared" si="48"/>
        <v/>
      </c>
      <c r="AL104" s="52" t="str">
        <f t="shared" si="48"/>
        <v/>
      </c>
      <c r="AM104" s="52" t="str">
        <f t="shared" si="48"/>
        <v/>
      </c>
      <c r="AN104" s="52" t="str">
        <f t="shared" si="48"/>
        <v/>
      </c>
      <c r="AO104" s="52" t="str">
        <f t="shared" si="48"/>
        <v/>
      </c>
    </row>
    <row r="105" ht="15" customHeight="1" spans="1:41">
      <c r="A105" s="53"/>
      <c r="B105" s="54">
        <v>1</v>
      </c>
      <c r="C105" s="55"/>
      <c r="D105" s="50"/>
      <c r="E105" s="50"/>
      <c r="F105" s="50"/>
      <c r="G105" s="50">
        <f t="shared" si="39"/>
        <v>0</v>
      </c>
      <c r="H105" s="50">
        <f t="shared" si="40"/>
        <v>0</v>
      </c>
      <c r="I105" s="50" t="s">
        <v>58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" customHeight="1" spans="1:41">
      <c r="A106" s="53"/>
      <c r="B106" s="54">
        <v>2</v>
      </c>
      <c r="C106" s="55"/>
      <c r="D106" s="50"/>
      <c r="E106" s="50"/>
      <c r="F106" s="50"/>
      <c r="G106" s="50">
        <f t="shared" si="39"/>
        <v>0</v>
      </c>
      <c r="H106" s="50">
        <f t="shared" si="40"/>
        <v>0</v>
      </c>
      <c r="I106" s="50" t="s">
        <v>58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" customHeight="1" spans="1:41">
      <c r="A107" s="53"/>
      <c r="B107" s="54" t="s">
        <v>101</v>
      </c>
      <c r="C107" s="55" t="s">
        <v>102</v>
      </c>
      <c r="D107" s="50">
        <v>0</v>
      </c>
      <c r="E107" s="50">
        <v>0.05</v>
      </c>
      <c r="F107" s="50">
        <v>0</v>
      </c>
      <c r="G107" s="50">
        <f t="shared" si="39"/>
        <v>0.05</v>
      </c>
      <c r="H107" s="50">
        <f t="shared" si="40"/>
        <v>0</v>
      </c>
      <c r="I107" s="50" t="s">
        <v>58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9">IF(J107="","",IF(J107&gt;($D107+$E107),(J107-$D107-$E107),IF(J107&lt;($D107+$F107),(J107-$D107-$F107),"√")))</f>
        <v/>
      </c>
      <c r="AA107" s="52" t="str">
        <f t="shared" si="49"/>
        <v/>
      </c>
      <c r="AB107" s="52" t="str">
        <f t="shared" si="49"/>
        <v/>
      </c>
      <c r="AC107" s="52" t="str">
        <f t="shared" si="49"/>
        <v/>
      </c>
      <c r="AD107" s="52" t="str">
        <f t="shared" si="49"/>
        <v/>
      </c>
      <c r="AE107" s="52" t="str">
        <f t="shared" si="49"/>
        <v/>
      </c>
      <c r="AF107" s="52" t="str">
        <f t="shared" si="49"/>
        <v/>
      </c>
      <c r="AG107" s="52" t="str">
        <f t="shared" si="49"/>
        <v/>
      </c>
      <c r="AH107" s="52" t="str">
        <f t="shared" si="49"/>
        <v/>
      </c>
      <c r="AI107" s="52" t="str">
        <f t="shared" si="49"/>
        <v/>
      </c>
      <c r="AJ107" s="52" t="str">
        <f t="shared" si="49"/>
        <v/>
      </c>
      <c r="AK107" s="52" t="str">
        <f t="shared" si="49"/>
        <v/>
      </c>
      <c r="AL107" s="52" t="str">
        <f t="shared" si="49"/>
        <v/>
      </c>
      <c r="AM107" s="52" t="str">
        <f t="shared" si="49"/>
        <v/>
      </c>
      <c r="AN107" s="52" t="str">
        <f t="shared" si="49"/>
        <v/>
      </c>
      <c r="AO107" s="52" t="str">
        <f t="shared" si="49"/>
        <v/>
      </c>
    </row>
    <row r="108" ht="15" customHeight="1" spans="1:41">
      <c r="A108" s="53"/>
      <c r="B108" s="54">
        <v>1</v>
      </c>
      <c r="C108" s="55"/>
      <c r="D108" s="50"/>
      <c r="E108" s="50"/>
      <c r="F108" s="50"/>
      <c r="G108" s="50">
        <f t="shared" si="39"/>
        <v>0</v>
      </c>
      <c r="H108" s="50">
        <f t="shared" si="40"/>
        <v>0</v>
      </c>
      <c r="I108" s="50" t="s">
        <v>58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" customHeight="1" spans="1:41">
      <c r="A109" s="53"/>
      <c r="B109" s="54">
        <v>2</v>
      </c>
      <c r="C109" s="55"/>
      <c r="D109" s="50"/>
      <c r="E109" s="50"/>
      <c r="F109" s="50"/>
      <c r="G109" s="50">
        <f t="shared" si="39"/>
        <v>0</v>
      </c>
      <c r="H109" s="50">
        <f t="shared" si="40"/>
        <v>0</v>
      </c>
      <c r="I109" s="50" t="s">
        <v>58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" customHeight="1" spans="1:41">
      <c r="A110" s="53"/>
      <c r="B110" s="54">
        <v>3</v>
      </c>
      <c r="C110" s="55"/>
      <c r="D110" s="50"/>
      <c r="E110" s="50"/>
      <c r="F110" s="50"/>
      <c r="G110" s="50">
        <f t="shared" si="39"/>
        <v>0</v>
      </c>
      <c r="H110" s="50">
        <f t="shared" si="40"/>
        <v>0</v>
      </c>
      <c r="I110" s="50" t="s">
        <v>58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" customHeight="1" spans="1:41">
      <c r="A111" s="53"/>
      <c r="B111" s="54">
        <v>4</v>
      </c>
      <c r="C111" s="55"/>
      <c r="D111" s="50"/>
      <c r="E111" s="50"/>
      <c r="F111" s="50"/>
      <c r="G111" s="50">
        <f t="shared" si="39"/>
        <v>0</v>
      </c>
      <c r="H111" s="50">
        <f t="shared" si="40"/>
        <v>0</v>
      </c>
      <c r="I111" s="50" t="s">
        <v>58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" customHeight="1" spans="1:41">
      <c r="A112" s="53"/>
      <c r="B112" s="54">
        <v>5</v>
      </c>
      <c r="C112" s="55"/>
      <c r="D112" s="50"/>
      <c r="E112" s="50"/>
      <c r="F112" s="50"/>
      <c r="G112" s="50">
        <f t="shared" si="39"/>
        <v>0</v>
      </c>
      <c r="H112" s="50">
        <f t="shared" si="40"/>
        <v>0</v>
      </c>
      <c r="I112" s="50" t="s">
        <v>58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" customHeight="1" spans="1:41">
      <c r="A113" s="53"/>
      <c r="B113" s="54" t="s">
        <v>103</v>
      </c>
      <c r="C113" s="55" t="s">
        <v>104</v>
      </c>
      <c r="D113" s="50">
        <v>0.915</v>
      </c>
      <c r="E113" s="50">
        <v>0.015</v>
      </c>
      <c r="F113" s="50">
        <v>-0.01</v>
      </c>
      <c r="G113" s="50">
        <f t="shared" si="39"/>
        <v>0.93</v>
      </c>
      <c r="H113" s="50">
        <f t="shared" si="40"/>
        <v>0.905</v>
      </c>
      <c r="I113" s="50" t="s">
        <v>105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50">IF(J113="","",IF(J113&gt;($D113+$E113),(J113-$D113-$E113),IF(J113&lt;($D113+$F113),(J113-$D113-$F113),"√")))</f>
        <v/>
      </c>
      <c r="AA113" s="52" t="str">
        <f t="shared" si="50"/>
        <v/>
      </c>
      <c r="AB113" s="52" t="str">
        <f t="shared" si="50"/>
        <v/>
      </c>
      <c r="AC113" s="52" t="str">
        <f t="shared" si="50"/>
        <v/>
      </c>
      <c r="AD113" s="52" t="str">
        <f t="shared" si="50"/>
        <v/>
      </c>
      <c r="AE113" s="52" t="str">
        <f t="shared" si="50"/>
        <v/>
      </c>
      <c r="AF113" s="52" t="str">
        <f t="shared" si="50"/>
        <v/>
      </c>
      <c r="AG113" s="52" t="str">
        <f t="shared" si="50"/>
        <v/>
      </c>
      <c r="AH113" s="52" t="str">
        <f t="shared" si="50"/>
        <v/>
      </c>
      <c r="AI113" s="52" t="str">
        <f t="shared" si="50"/>
        <v/>
      </c>
      <c r="AJ113" s="52" t="str">
        <f t="shared" si="50"/>
        <v/>
      </c>
      <c r="AK113" s="52" t="str">
        <f t="shared" si="50"/>
        <v/>
      </c>
      <c r="AL113" s="52" t="str">
        <f t="shared" si="50"/>
        <v/>
      </c>
      <c r="AM113" s="52" t="str">
        <f t="shared" si="50"/>
        <v/>
      </c>
      <c r="AN113" s="52" t="str">
        <f t="shared" si="50"/>
        <v/>
      </c>
      <c r="AO113" s="52" t="str">
        <f t="shared" si="50"/>
        <v/>
      </c>
    </row>
    <row r="114" ht="15" customHeight="1" spans="1:41">
      <c r="A114" s="53"/>
      <c r="B114" s="54" t="s">
        <v>106</v>
      </c>
      <c r="C114" s="55"/>
      <c r="D114" s="50">
        <v>0.65</v>
      </c>
      <c r="E114" s="50">
        <v>0.03</v>
      </c>
      <c r="F114" s="50">
        <v>-0.03</v>
      </c>
      <c r="G114" s="50">
        <f t="shared" si="39"/>
        <v>0.68</v>
      </c>
      <c r="H114" s="50">
        <f t="shared" si="40"/>
        <v>0.62</v>
      </c>
      <c r="I114" s="50" t="s">
        <v>107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51">IF(J114="","",IF(J114&gt;($D114+$E114),(J114-$D114-$E114),IF(J114&lt;($D114+$F114),(J114-$D114-$F114),"√")))</f>
        <v/>
      </c>
      <c r="AA114" s="52" t="str">
        <f t="shared" si="51"/>
        <v/>
      </c>
      <c r="AB114" s="52" t="str">
        <f t="shared" si="51"/>
        <v/>
      </c>
      <c r="AC114" s="52" t="str">
        <f t="shared" si="51"/>
        <v/>
      </c>
      <c r="AD114" s="52" t="str">
        <f t="shared" si="51"/>
        <v/>
      </c>
      <c r="AE114" s="52" t="str">
        <f t="shared" si="51"/>
        <v/>
      </c>
      <c r="AF114" s="52" t="str">
        <f t="shared" si="51"/>
        <v/>
      </c>
      <c r="AG114" s="52" t="str">
        <f t="shared" si="51"/>
        <v/>
      </c>
      <c r="AH114" s="52" t="str">
        <f t="shared" si="51"/>
        <v/>
      </c>
      <c r="AI114" s="52" t="str">
        <f t="shared" si="51"/>
        <v/>
      </c>
      <c r="AJ114" s="52" t="str">
        <f t="shared" si="51"/>
        <v/>
      </c>
      <c r="AK114" s="52" t="str">
        <f t="shared" si="51"/>
        <v/>
      </c>
      <c r="AL114" s="52" t="str">
        <f t="shared" si="51"/>
        <v/>
      </c>
      <c r="AM114" s="52" t="str">
        <f t="shared" si="51"/>
        <v/>
      </c>
      <c r="AN114" s="52" t="str">
        <f t="shared" si="51"/>
        <v/>
      </c>
      <c r="AO114" s="52" t="str">
        <f t="shared" si="51"/>
        <v/>
      </c>
    </row>
    <row r="115" ht="15" customHeight="1" spans="1:41">
      <c r="A115" s="53"/>
      <c r="B115" s="54" t="s">
        <v>108</v>
      </c>
      <c r="C115" s="55"/>
      <c r="D115" s="50">
        <v>0.65</v>
      </c>
      <c r="E115" s="50">
        <v>0.05</v>
      </c>
      <c r="F115" s="50">
        <v>-0.05</v>
      </c>
      <c r="G115" s="50">
        <f t="shared" si="39"/>
        <v>0.7</v>
      </c>
      <c r="H115" s="50">
        <f t="shared" si="40"/>
        <v>0.6</v>
      </c>
      <c r="I115" s="50" t="s">
        <v>107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2">IF(J115="","",IF(J115&gt;($D115+$E115),(J115-$D115-$E115),IF(J115&lt;($D115+$F115),(J115-$D115-$F115),"√")))</f>
        <v/>
      </c>
      <c r="AA115" s="52" t="str">
        <f t="shared" si="52"/>
        <v/>
      </c>
      <c r="AB115" s="52" t="str">
        <f t="shared" si="52"/>
        <v/>
      </c>
      <c r="AC115" s="52" t="str">
        <f t="shared" si="52"/>
        <v/>
      </c>
      <c r="AD115" s="52" t="str">
        <f t="shared" si="52"/>
        <v/>
      </c>
      <c r="AE115" s="52" t="str">
        <f t="shared" si="52"/>
        <v/>
      </c>
      <c r="AF115" s="52" t="str">
        <f t="shared" si="52"/>
        <v/>
      </c>
      <c r="AG115" s="52" t="str">
        <f t="shared" si="52"/>
        <v/>
      </c>
      <c r="AH115" s="52" t="str">
        <f t="shared" si="52"/>
        <v/>
      </c>
      <c r="AI115" s="52" t="str">
        <f t="shared" si="52"/>
        <v/>
      </c>
      <c r="AJ115" s="52" t="str">
        <f t="shared" si="52"/>
        <v/>
      </c>
      <c r="AK115" s="52" t="str">
        <f t="shared" si="52"/>
        <v/>
      </c>
      <c r="AL115" s="52" t="str">
        <f t="shared" si="52"/>
        <v/>
      </c>
      <c r="AM115" s="52" t="str">
        <f t="shared" si="52"/>
        <v/>
      </c>
      <c r="AN115" s="52" t="str">
        <f t="shared" si="52"/>
        <v/>
      </c>
      <c r="AO115" s="52" t="str">
        <f t="shared" si="52"/>
        <v/>
      </c>
    </row>
    <row r="116" ht="15" customHeight="1" spans="1:41">
      <c r="A116" s="53"/>
      <c r="B116" s="54" t="s">
        <v>109</v>
      </c>
      <c r="C116" s="55"/>
      <c r="D116" s="50">
        <v>0.65</v>
      </c>
      <c r="E116" s="50">
        <v>0.05</v>
      </c>
      <c r="F116" s="50">
        <v>-0.05</v>
      </c>
      <c r="G116" s="50">
        <f t="shared" si="39"/>
        <v>0.7</v>
      </c>
      <c r="H116" s="50">
        <f t="shared" si="40"/>
        <v>0.6</v>
      </c>
      <c r="I116" s="50" t="s">
        <v>107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3">IF(J116="","",IF(J116&gt;($D116+$E116),(J116-$D116-$E116),IF(J116&lt;($D116+$F116),(J116-$D116-$F116),"√")))</f>
        <v/>
      </c>
      <c r="AA116" s="52" t="str">
        <f t="shared" si="53"/>
        <v/>
      </c>
      <c r="AB116" s="52" t="str">
        <f t="shared" si="53"/>
        <v/>
      </c>
      <c r="AC116" s="52" t="str">
        <f t="shared" si="53"/>
        <v/>
      </c>
      <c r="AD116" s="52" t="str">
        <f t="shared" si="53"/>
        <v/>
      </c>
      <c r="AE116" s="52" t="str">
        <f t="shared" si="53"/>
        <v/>
      </c>
      <c r="AF116" s="52" t="str">
        <f t="shared" si="53"/>
        <v/>
      </c>
      <c r="AG116" s="52" t="str">
        <f t="shared" si="53"/>
        <v/>
      </c>
      <c r="AH116" s="52" t="str">
        <f t="shared" si="53"/>
        <v/>
      </c>
      <c r="AI116" s="52" t="str">
        <f t="shared" si="53"/>
        <v/>
      </c>
      <c r="AJ116" s="52" t="str">
        <f t="shared" si="53"/>
        <v/>
      </c>
      <c r="AK116" s="52" t="str">
        <f t="shared" si="53"/>
        <v/>
      </c>
      <c r="AL116" s="52" t="str">
        <f t="shared" si="53"/>
        <v/>
      </c>
      <c r="AM116" s="52" t="str">
        <f t="shared" si="53"/>
        <v/>
      </c>
      <c r="AN116" s="52" t="str">
        <f t="shared" si="53"/>
        <v/>
      </c>
      <c r="AO116" s="52" t="str">
        <f t="shared" si="53"/>
        <v/>
      </c>
    </row>
    <row r="117" ht="15" customHeight="1" spans="1:41">
      <c r="A117" s="53"/>
      <c r="B117" s="54" t="s">
        <v>110</v>
      </c>
      <c r="C117" s="55" t="s">
        <v>111</v>
      </c>
      <c r="D117" s="50">
        <v>0.4</v>
      </c>
      <c r="E117" s="50">
        <v>0.03</v>
      </c>
      <c r="F117" s="50">
        <v>-0.03</v>
      </c>
      <c r="G117" s="50">
        <f t="shared" si="39"/>
        <v>0.43</v>
      </c>
      <c r="H117" s="50">
        <f t="shared" si="40"/>
        <v>0.37</v>
      </c>
      <c r="I117" s="50" t="s">
        <v>107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4">IF(J117="","",IF(J117&gt;($D117+$E117),(J117-$D117-$E117),IF(J117&lt;($D117+$F117),(J117-$D117-$F117),"√")))</f>
        <v/>
      </c>
      <c r="AA117" s="52" t="str">
        <f t="shared" si="54"/>
        <v/>
      </c>
      <c r="AB117" s="52" t="str">
        <f t="shared" si="54"/>
        <v/>
      </c>
      <c r="AC117" s="52" t="str">
        <f t="shared" si="54"/>
        <v/>
      </c>
      <c r="AD117" s="52" t="str">
        <f t="shared" si="54"/>
        <v/>
      </c>
      <c r="AE117" s="52" t="str">
        <f t="shared" si="54"/>
        <v/>
      </c>
      <c r="AF117" s="52" t="str">
        <f t="shared" si="54"/>
        <v/>
      </c>
      <c r="AG117" s="52" t="str">
        <f t="shared" si="54"/>
        <v/>
      </c>
      <c r="AH117" s="52" t="str">
        <f t="shared" si="54"/>
        <v/>
      </c>
      <c r="AI117" s="52" t="str">
        <f t="shared" si="54"/>
        <v/>
      </c>
      <c r="AJ117" s="52" t="str">
        <f t="shared" si="54"/>
        <v/>
      </c>
      <c r="AK117" s="52" t="str">
        <f t="shared" si="54"/>
        <v/>
      </c>
      <c r="AL117" s="52" t="str">
        <f t="shared" si="54"/>
        <v/>
      </c>
      <c r="AM117" s="52" t="str">
        <f t="shared" si="54"/>
        <v/>
      </c>
      <c r="AN117" s="52" t="str">
        <f t="shared" si="54"/>
        <v/>
      </c>
      <c r="AO117" s="52" t="str">
        <f t="shared" si="54"/>
        <v/>
      </c>
    </row>
    <row r="118" ht="15" customHeight="1" spans="1:41">
      <c r="A118" s="53"/>
      <c r="B118" s="54" t="s">
        <v>112</v>
      </c>
      <c r="C118" s="55" t="s">
        <v>111</v>
      </c>
      <c r="D118" s="50">
        <v>0.4</v>
      </c>
      <c r="E118" s="50">
        <v>0.03</v>
      </c>
      <c r="F118" s="50">
        <v>-0.03</v>
      </c>
      <c r="G118" s="50">
        <f t="shared" si="39"/>
        <v>0.43</v>
      </c>
      <c r="H118" s="50">
        <f t="shared" si="40"/>
        <v>0.37</v>
      </c>
      <c r="I118" s="50" t="s">
        <v>107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5">IF(J118="","",IF(J118&gt;($D118+$E118),(J118-$D118-$E118),IF(J118&lt;($D118+$F118),(J118-$D118-$F118),"√")))</f>
        <v/>
      </c>
      <c r="AA118" s="52" t="str">
        <f t="shared" si="55"/>
        <v/>
      </c>
      <c r="AB118" s="52" t="str">
        <f t="shared" si="55"/>
        <v/>
      </c>
      <c r="AC118" s="52" t="str">
        <f t="shared" si="55"/>
        <v/>
      </c>
      <c r="AD118" s="52" t="str">
        <f t="shared" si="55"/>
        <v/>
      </c>
      <c r="AE118" s="52" t="str">
        <f t="shared" si="55"/>
        <v/>
      </c>
      <c r="AF118" s="52" t="str">
        <f t="shared" si="55"/>
        <v/>
      </c>
      <c r="AG118" s="52" t="str">
        <f t="shared" si="55"/>
        <v/>
      </c>
      <c r="AH118" s="52" t="str">
        <f t="shared" si="55"/>
        <v/>
      </c>
      <c r="AI118" s="52" t="str">
        <f t="shared" si="55"/>
        <v/>
      </c>
      <c r="AJ118" s="52" t="str">
        <f t="shared" si="55"/>
        <v/>
      </c>
      <c r="AK118" s="52" t="str">
        <f t="shared" si="55"/>
        <v/>
      </c>
      <c r="AL118" s="52" t="str">
        <f t="shared" si="55"/>
        <v/>
      </c>
      <c r="AM118" s="52" t="str">
        <f t="shared" si="55"/>
        <v/>
      </c>
      <c r="AN118" s="52" t="str">
        <f t="shared" si="55"/>
        <v/>
      </c>
      <c r="AO118" s="52" t="str">
        <f t="shared" si="55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19">
    <cfRule type="cellIs" dxfId="0" priority="183" operator="notBetween">
      <formula>$G19</formula>
      <formula>$H19</formula>
    </cfRule>
  </conditionalFormatting>
  <conditionalFormatting sqref="J82">
    <cfRule type="cellIs" dxfId="0" priority="198" operator="notBetween">
      <formula>$G82</formula>
      <formula>$H82</formula>
    </cfRule>
  </conditionalFormatting>
  <conditionalFormatting sqref="K82">
    <cfRule type="cellIs" dxfId="0" priority="150" operator="notBetween">
      <formula>$G82</formula>
      <formula>$H82</formula>
    </cfRule>
  </conditionalFormatting>
  <conditionalFormatting sqref="L82">
    <cfRule type="cellIs" dxfId="0" priority="149" operator="notBetween">
      <formula>$G82</formula>
      <formula>$H82</formula>
    </cfRule>
  </conditionalFormatting>
  <conditionalFormatting sqref="M82">
    <cfRule type="cellIs" dxfId="0" priority="148" operator="notBetween">
      <formula>$G82</formula>
      <formula>$H82</formula>
    </cfRule>
  </conditionalFormatting>
  <conditionalFormatting sqref="N82">
    <cfRule type="cellIs" dxfId="0" priority="147" operator="notBetween">
      <formula>$G82</formula>
      <formula>$H82</formula>
    </cfRule>
  </conditionalFormatting>
  <conditionalFormatting sqref="O82">
    <cfRule type="cellIs" dxfId="0" priority="146" operator="notBetween">
      <formula>$G82</formula>
      <formula>$H82</formula>
    </cfRule>
  </conditionalFormatting>
  <conditionalFormatting sqref="P82">
    <cfRule type="cellIs" dxfId="0" priority="145" operator="notBetween">
      <formula>$G82</formula>
      <formula>$H82</formula>
    </cfRule>
  </conditionalFormatting>
  <conditionalFormatting sqref="Q82">
    <cfRule type="cellIs" dxfId="0" priority="144" operator="notBetween">
      <formula>$G82</formula>
      <formula>$H82</formula>
    </cfRule>
  </conditionalFormatting>
  <conditionalFormatting sqref="R82">
    <cfRule type="cellIs" dxfId="0" priority="143" operator="notBetween">
      <formula>$G82</formula>
      <formula>$H82</formula>
    </cfRule>
  </conditionalFormatting>
  <conditionalFormatting sqref="S82">
    <cfRule type="cellIs" dxfId="0" priority="142" operator="notBetween">
      <formula>$G82</formula>
      <formula>$H82</formula>
    </cfRule>
  </conditionalFormatting>
  <conditionalFormatting sqref="T82">
    <cfRule type="cellIs" dxfId="0" priority="141" operator="notBetween">
      <formula>$G82</formula>
      <formula>$H82</formula>
    </cfRule>
  </conditionalFormatting>
  <conditionalFormatting sqref="U82">
    <cfRule type="cellIs" dxfId="0" priority="140" operator="notBetween">
      <formula>$G82</formula>
      <formula>$H82</formula>
    </cfRule>
  </conditionalFormatting>
  <conditionalFormatting sqref="V82">
    <cfRule type="cellIs" dxfId="0" priority="139" operator="notBetween">
      <formula>$G82</formula>
      <formula>$H82</formula>
    </cfRule>
  </conditionalFormatting>
  <conditionalFormatting sqref="W82">
    <cfRule type="cellIs" dxfId="0" priority="138" operator="notBetween">
      <formula>$G82</formula>
      <formula>$H82</formula>
    </cfRule>
  </conditionalFormatting>
  <conditionalFormatting sqref="X82">
    <cfRule type="cellIs" dxfId="0" priority="137" operator="notBetween">
      <formula>$G82</formula>
      <formula>$H82</formula>
    </cfRule>
  </conditionalFormatting>
  <conditionalFormatting sqref="Y82">
    <cfRule type="cellIs" dxfId="0" priority="136" operator="notBetween">
      <formula>$G82</formula>
      <formula>$H82</formula>
    </cfRule>
  </conditionalFormatting>
  <conditionalFormatting sqref="J104">
    <cfRule type="cellIs" dxfId="0" priority="192" operator="notBetween">
      <formula>$G104</formula>
      <formula>$H104</formula>
    </cfRule>
  </conditionalFormatting>
  <conditionalFormatting sqref="K104">
    <cfRule type="cellIs" dxfId="0" priority="105" operator="notBetween">
      <formula>$G104</formula>
      <formula>$H104</formula>
    </cfRule>
  </conditionalFormatting>
  <conditionalFormatting sqref="L104">
    <cfRule type="cellIs" dxfId="0" priority="104" operator="notBetween">
      <formula>$G104</formula>
      <formula>$H104</formula>
    </cfRule>
  </conditionalFormatting>
  <conditionalFormatting sqref="M104">
    <cfRule type="cellIs" dxfId="0" priority="103" operator="notBetween">
      <formula>$G104</formula>
      <formula>$H104</formula>
    </cfRule>
  </conditionalFormatting>
  <conditionalFormatting sqref="N104">
    <cfRule type="cellIs" dxfId="0" priority="102" operator="notBetween">
      <formula>$G104</formula>
      <formula>$H104</formula>
    </cfRule>
  </conditionalFormatting>
  <conditionalFormatting sqref="O104">
    <cfRule type="cellIs" dxfId="0" priority="101" operator="notBetween">
      <formula>$G104</formula>
      <formula>$H104</formula>
    </cfRule>
  </conditionalFormatting>
  <conditionalFormatting sqref="P104">
    <cfRule type="cellIs" dxfId="0" priority="100" operator="notBetween">
      <formula>$G104</formula>
      <formula>$H104</formula>
    </cfRule>
  </conditionalFormatting>
  <conditionalFormatting sqref="Q104">
    <cfRule type="cellIs" dxfId="0" priority="99" operator="notBetween">
      <formula>$G104</formula>
      <formula>$H104</formula>
    </cfRule>
  </conditionalFormatting>
  <conditionalFormatting sqref="R104">
    <cfRule type="cellIs" dxfId="0" priority="98" operator="notBetween">
      <formula>$G104</formula>
      <formula>$H104</formula>
    </cfRule>
  </conditionalFormatting>
  <conditionalFormatting sqref="S104">
    <cfRule type="cellIs" dxfId="0" priority="97" operator="notBetween">
      <formula>$G104</formula>
      <formula>$H104</formula>
    </cfRule>
  </conditionalFormatting>
  <conditionalFormatting sqref="T104">
    <cfRule type="cellIs" dxfId="0" priority="96" operator="notBetween">
      <formula>$G104</formula>
      <formula>$H104</formula>
    </cfRule>
  </conditionalFormatting>
  <conditionalFormatting sqref="U104">
    <cfRule type="cellIs" dxfId="0" priority="95" operator="notBetween">
      <formula>$G104</formula>
      <formula>$H104</formula>
    </cfRule>
  </conditionalFormatting>
  <conditionalFormatting sqref="V104">
    <cfRule type="cellIs" dxfId="0" priority="94" operator="notBetween">
      <formula>$G104</formula>
      <formula>$H104</formula>
    </cfRule>
  </conditionalFormatting>
  <conditionalFormatting sqref="W104">
    <cfRule type="cellIs" dxfId="0" priority="93" operator="notBetween">
      <formula>$G104</formula>
      <formula>$H104</formula>
    </cfRule>
  </conditionalFormatting>
  <conditionalFormatting sqref="X104">
    <cfRule type="cellIs" dxfId="0" priority="92" operator="notBetween">
      <formula>$G104</formula>
      <formula>$H104</formula>
    </cfRule>
  </conditionalFormatting>
  <conditionalFormatting sqref="Y104">
    <cfRule type="cellIs" dxfId="0" priority="91" operator="notBetween">
      <formula>$G104</formula>
      <formula>$H104</formula>
    </cfRule>
  </conditionalFormatting>
  <conditionalFormatting sqref="J107">
    <cfRule type="cellIs" dxfId="0" priority="193" operator="notBetween">
      <formula>$G107</formula>
      <formula>$H107</formula>
    </cfRule>
  </conditionalFormatting>
  <conditionalFormatting sqref="K107">
    <cfRule type="cellIs" dxfId="0" priority="120" operator="notBetween">
      <formula>$G107</formula>
      <formula>$H107</formula>
    </cfRule>
  </conditionalFormatting>
  <conditionalFormatting sqref="L107">
    <cfRule type="cellIs" dxfId="0" priority="119" operator="notBetween">
      <formula>$G107</formula>
      <formula>$H107</formula>
    </cfRule>
  </conditionalFormatting>
  <conditionalFormatting sqref="M107">
    <cfRule type="cellIs" dxfId="0" priority="118" operator="notBetween">
      <formula>$G107</formula>
      <formula>$H107</formula>
    </cfRule>
  </conditionalFormatting>
  <conditionalFormatting sqref="N107">
    <cfRule type="cellIs" dxfId="0" priority="117" operator="notBetween">
      <formula>$G107</formula>
      <formula>$H107</formula>
    </cfRule>
  </conditionalFormatting>
  <conditionalFormatting sqref="O107">
    <cfRule type="cellIs" dxfId="0" priority="116" operator="notBetween">
      <formula>$G107</formula>
      <formula>$H107</formula>
    </cfRule>
  </conditionalFormatting>
  <conditionalFormatting sqref="P107">
    <cfRule type="cellIs" dxfId="0" priority="115" operator="notBetween">
      <formula>$G107</formula>
      <formula>$H107</formula>
    </cfRule>
  </conditionalFormatting>
  <conditionalFormatting sqref="Q107">
    <cfRule type="cellIs" dxfId="0" priority="114" operator="notBetween">
      <formula>$G107</formula>
      <formula>$H107</formula>
    </cfRule>
  </conditionalFormatting>
  <conditionalFormatting sqref="R107">
    <cfRule type="cellIs" dxfId="0" priority="113" operator="notBetween">
      <formula>$G107</formula>
      <formula>$H107</formula>
    </cfRule>
  </conditionalFormatting>
  <conditionalFormatting sqref="S107">
    <cfRule type="cellIs" dxfId="0" priority="112" operator="notBetween">
      <formula>$G107</formula>
      <formula>$H107</formula>
    </cfRule>
  </conditionalFormatting>
  <conditionalFormatting sqref="T107">
    <cfRule type="cellIs" dxfId="0" priority="111" operator="notBetween">
      <formula>$G107</formula>
      <formula>$H107</formula>
    </cfRule>
  </conditionalFormatting>
  <conditionalFormatting sqref="U107">
    <cfRule type="cellIs" dxfId="0" priority="110" operator="notBetween">
      <formula>$G107</formula>
      <formula>$H107</formula>
    </cfRule>
  </conditionalFormatting>
  <conditionalFormatting sqref="V107">
    <cfRule type="cellIs" dxfId="0" priority="109" operator="notBetween">
      <formula>$G107</formula>
      <formula>$H107</formula>
    </cfRule>
  </conditionalFormatting>
  <conditionalFormatting sqref="W107">
    <cfRule type="cellIs" dxfId="0" priority="108" operator="notBetween">
      <formula>$G107</formula>
      <formula>$H107</formula>
    </cfRule>
  </conditionalFormatting>
  <conditionalFormatting sqref="X107">
    <cfRule type="cellIs" dxfId="0" priority="107" operator="notBetween">
      <formula>$G107</formula>
      <formula>$H107</formula>
    </cfRule>
  </conditionalFormatting>
  <conditionalFormatting sqref="Y107">
    <cfRule type="cellIs" dxfId="0" priority="106" operator="notBetween">
      <formula>$G107</formula>
      <formula>$H107</formula>
    </cfRule>
  </conditionalFormatting>
  <conditionalFormatting sqref="J113:J118">
    <cfRule type="cellIs" dxfId="0" priority="181" operator="notBetween">
      <formula>$G113</formula>
      <formula>$H113</formula>
    </cfRule>
  </conditionalFormatting>
  <conditionalFormatting sqref="K113:K118">
    <cfRule type="cellIs" dxfId="0" priority="15" operator="notBetween">
      <formula>$G113</formula>
      <formula>$H113</formula>
    </cfRule>
  </conditionalFormatting>
  <conditionalFormatting sqref="L10:L11">
    <cfRule type="cellIs" dxfId="0" priority="89" operator="notBetween">
      <formula>$G10</formula>
      <formula>$H10</formula>
    </cfRule>
  </conditionalFormatting>
  <conditionalFormatting sqref="L12:L13">
    <cfRule type="cellIs" dxfId="0" priority="74" operator="notBetween">
      <formula>$G12</formula>
      <formula>$H12</formula>
    </cfRule>
  </conditionalFormatting>
  <conditionalFormatting sqref="L14:L15">
    <cfRule type="cellIs" dxfId="0" priority="59" operator="notBetween">
      <formula>$G14</formula>
      <formula>$H14</formula>
    </cfRule>
  </conditionalFormatting>
  <conditionalFormatting sqref="L16:L17">
    <cfRule type="cellIs" dxfId="0" priority="44" operator="notBetween">
      <formula>$G16</formula>
      <formula>$H16</formula>
    </cfRule>
  </conditionalFormatting>
  <conditionalFormatting sqref="L18:L19">
    <cfRule type="cellIs" dxfId="0" priority="29" operator="notBetween">
      <formula>$G18</formula>
      <formula>$H18</formula>
    </cfRule>
  </conditionalFormatting>
  <conditionalFormatting sqref="L113:L118">
    <cfRule type="cellIs" dxfId="0" priority="14" operator="notBetween">
      <formula>$G113</formula>
      <formula>$H113</formula>
    </cfRule>
  </conditionalFormatting>
  <conditionalFormatting sqref="M10:M11">
    <cfRule type="cellIs" dxfId="0" priority="88" operator="notBetween">
      <formula>$G10</formula>
      <formula>$H10</formula>
    </cfRule>
  </conditionalFormatting>
  <conditionalFormatting sqref="M12:M13">
    <cfRule type="cellIs" dxfId="0" priority="73" operator="notBetween">
      <formula>$G12</formula>
      <formula>$H12</formula>
    </cfRule>
  </conditionalFormatting>
  <conditionalFormatting sqref="M14:M15">
    <cfRule type="cellIs" dxfId="0" priority="58" operator="notBetween">
      <formula>$G14</formula>
      <formula>$H14</formula>
    </cfRule>
  </conditionalFormatting>
  <conditionalFormatting sqref="M16:M17">
    <cfRule type="cellIs" dxfId="0" priority="43" operator="notBetween">
      <formula>$G16</formula>
      <formula>$H16</formula>
    </cfRule>
  </conditionalFormatting>
  <conditionalFormatting sqref="M18:M19">
    <cfRule type="cellIs" dxfId="0" priority="28" operator="notBetween">
      <formula>$G18</formula>
      <formula>$H18</formula>
    </cfRule>
  </conditionalFormatting>
  <conditionalFormatting sqref="M113:M118">
    <cfRule type="cellIs" dxfId="0" priority="13" operator="notBetween">
      <formula>$G113</formula>
      <formula>$H113</formula>
    </cfRule>
  </conditionalFormatting>
  <conditionalFormatting sqref="N10:N11">
    <cfRule type="cellIs" dxfId="0" priority="87" operator="notBetween">
      <formula>$G10</formula>
      <formula>$H10</formula>
    </cfRule>
  </conditionalFormatting>
  <conditionalFormatting sqref="N12:N13">
    <cfRule type="cellIs" dxfId="0" priority="72" operator="notBetween">
      <formula>$G12</formula>
      <formula>$H12</formula>
    </cfRule>
  </conditionalFormatting>
  <conditionalFormatting sqref="N14:N15">
    <cfRule type="cellIs" dxfId="0" priority="57" operator="notBetween">
      <formula>$G14</formula>
      <formula>$H14</formula>
    </cfRule>
  </conditionalFormatting>
  <conditionalFormatting sqref="N16:N17">
    <cfRule type="cellIs" dxfId="0" priority="42" operator="notBetween">
      <formula>$G16</formula>
      <formula>$H16</formula>
    </cfRule>
  </conditionalFormatting>
  <conditionalFormatting sqref="N18:N19">
    <cfRule type="cellIs" dxfId="0" priority="27" operator="notBetween">
      <formula>$G18</formula>
      <formula>$H18</formula>
    </cfRule>
  </conditionalFormatting>
  <conditionalFormatting sqref="N113:N118">
    <cfRule type="cellIs" dxfId="0" priority="12" operator="notBetween">
      <formula>$G113</formula>
      <formula>$H113</formula>
    </cfRule>
  </conditionalFormatting>
  <conditionalFormatting sqref="O10:O11">
    <cfRule type="cellIs" dxfId="0" priority="86" operator="notBetween">
      <formula>$G10</formula>
      <formula>$H10</formula>
    </cfRule>
  </conditionalFormatting>
  <conditionalFormatting sqref="O12:O13">
    <cfRule type="cellIs" dxfId="0" priority="71" operator="notBetween">
      <formula>$G12</formula>
      <formula>$H12</formula>
    </cfRule>
  </conditionalFormatting>
  <conditionalFormatting sqref="O14:O15">
    <cfRule type="cellIs" dxfId="0" priority="56" operator="notBetween">
      <formula>$G14</formula>
      <formula>$H14</formula>
    </cfRule>
  </conditionalFormatting>
  <conditionalFormatting sqref="O16:O17">
    <cfRule type="cellIs" dxfId="0" priority="41" operator="notBetween">
      <formula>$G16</formula>
      <formula>$H16</formula>
    </cfRule>
  </conditionalFormatting>
  <conditionalFormatting sqref="O18:O19">
    <cfRule type="cellIs" dxfId="0" priority="26" operator="notBetween">
      <formula>$G18</formula>
      <formula>$H18</formula>
    </cfRule>
  </conditionalFormatting>
  <conditionalFormatting sqref="O113:O118">
    <cfRule type="cellIs" dxfId="0" priority="11" operator="notBetween">
      <formula>$G113</formula>
      <formula>$H113</formula>
    </cfRule>
  </conditionalFormatting>
  <conditionalFormatting sqref="P10:P11">
    <cfRule type="cellIs" dxfId="0" priority="85" operator="notBetween">
      <formula>$G10</formula>
      <formula>$H10</formula>
    </cfRule>
  </conditionalFormatting>
  <conditionalFormatting sqref="P12:P13">
    <cfRule type="cellIs" dxfId="0" priority="70" operator="notBetween">
      <formula>$G12</formula>
      <formula>$H12</formula>
    </cfRule>
  </conditionalFormatting>
  <conditionalFormatting sqref="P14:P15">
    <cfRule type="cellIs" dxfId="0" priority="55" operator="notBetween">
      <formula>$G14</formula>
      <formula>$H14</formula>
    </cfRule>
  </conditionalFormatting>
  <conditionalFormatting sqref="P16:P17">
    <cfRule type="cellIs" dxfId="0" priority="40" operator="notBetween">
      <formula>$G16</formula>
      <formula>$H16</formula>
    </cfRule>
  </conditionalFormatting>
  <conditionalFormatting sqref="P18:P19">
    <cfRule type="cellIs" dxfId="0" priority="25" operator="notBetween">
      <formula>$G18</formula>
      <formula>$H18</formula>
    </cfRule>
  </conditionalFormatting>
  <conditionalFormatting sqref="P113:P118">
    <cfRule type="cellIs" dxfId="0" priority="10" operator="notBetween">
      <formula>$G113</formula>
      <formula>$H113</formula>
    </cfRule>
  </conditionalFormatting>
  <conditionalFormatting sqref="Q10:Q11">
    <cfRule type="cellIs" dxfId="0" priority="84" operator="notBetween">
      <formula>$G10</formula>
      <formula>$H10</formula>
    </cfRule>
  </conditionalFormatting>
  <conditionalFormatting sqref="Q12:Q13">
    <cfRule type="cellIs" dxfId="0" priority="69" operator="notBetween">
      <formula>$G12</formula>
      <formula>$H12</formula>
    </cfRule>
  </conditionalFormatting>
  <conditionalFormatting sqref="Q14:Q15">
    <cfRule type="cellIs" dxfId="0" priority="54" operator="notBetween">
      <formula>$G14</formula>
      <formula>$H14</formula>
    </cfRule>
  </conditionalFormatting>
  <conditionalFormatting sqref="Q16:Q17">
    <cfRule type="cellIs" dxfId="0" priority="39" operator="notBetween">
      <formula>$G16</formula>
      <formula>$H16</formula>
    </cfRule>
  </conditionalFormatting>
  <conditionalFormatting sqref="Q18:Q19">
    <cfRule type="cellIs" dxfId="0" priority="24" operator="notBetween">
      <formula>$G18</formula>
      <formula>$H18</formula>
    </cfRule>
  </conditionalFormatting>
  <conditionalFormatting sqref="Q113:Q118">
    <cfRule type="cellIs" dxfId="0" priority="9" operator="notBetween">
      <formula>$G113</formula>
      <formula>$H113</formula>
    </cfRule>
  </conditionalFormatting>
  <conditionalFormatting sqref="R10:R11">
    <cfRule type="cellIs" dxfId="0" priority="83" operator="notBetween">
      <formula>$G10</formula>
      <formula>$H10</formula>
    </cfRule>
  </conditionalFormatting>
  <conditionalFormatting sqref="R12:R13">
    <cfRule type="cellIs" dxfId="0" priority="68" operator="notBetween">
      <formula>$G12</formula>
      <formula>$H12</formula>
    </cfRule>
  </conditionalFormatting>
  <conditionalFormatting sqref="R14:R15">
    <cfRule type="cellIs" dxfId="0" priority="53" operator="notBetween">
      <formula>$G14</formula>
      <formula>$H14</formula>
    </cfRule>
  </conditionalFormatting>
  <conditionalFormatting sqref="R16:R17">
    <cfRule type="cellIs" dxfId="0" priority="38" operator="notBetween">
      <formula>$G16</formula>
      <formula>$H16</formula>
    </cfRule>
  </conditionalFormatting>
  <conditionalFormatting sqref="R18:R19">
    <cfRule type="cellIs" dxfId="0" priority="23" operator="notBetween">
      <formula>$G18</formula>
      <formula>$H18</formula>
    </cfRule>
  </conditionalFormatting>
  <conditionalFormatting sqref="R113:R118">
    <cfRule type="cellIs" dxfId="0" priority="8" operator="notBetween">
      <formula>$G113</formula>
      <formula>$H113</formula>
    </cfRule>
  </conditionalFormatting>
  <conditionalFormatting sqref="S10:S11">
    <cfRule type="cellIs" dxfId="0" priority="82" operator="notBetween">
      <formula>$G10</formula>
      <formula>$H10</formula>
    </cfRule>
  </conditionalFormatting>
  <conditionalFormatting sqref="S12:S13">
    <cfRule type="cellIs" dxfId="0" priority="67" operator="notBetween">
      <formula>$G12</formula>
      <formula>$H12</formula>
    </cfRule>
  </conditionalFormatting>
  <conditionalFormatting sqref="S14:S15">
    <cfRule type="cellIs" dxfId="0" priority="52" operator="notBetween">
      <formula>$G14</formula>
      <formula>$H14</formula>
    </cfRule>
  </conditionalFormatting>
  <conditionalFormatting sqref="S16:S17">
    <cfRule type="cellIs" dxfId="0" priority="37" operator="notBetween">
      <formula>$G16</formula>
      <formula>$H16</formula>
    </cfRule>
  </conditionalFormatting>
  <conditionalFormatting sqref="S18:S19">
    <cfRule type="cellIs" dxfId="0" priority="22" operator="notBetween">
      <formula>$G18</formula>
      <formula>$H18</formula>
    </cfRule>
  </conditionalFormatting>
  <conditionalFormatting sqref="S113:S118">
    <cfRule type="cellIs" dxfId="0" priority="7" operator="notBetween">
      <formula>$G113</formula>
      <formula>$H113</formula>
    </cfRule>
  </conditionalFormatting>
  <conditionalFormatting sqref="T10:T11">
    <cfRule type="cellIs" dxfId="0" priority="81" operator="notBetween">
      <formula>$G10</formula>
      <formula>$H10</formula>
    </cfRule>
  </conditionalFormatting>
  <conditionalFormatting sqref="T12:T13">
    <cfRule type="cellIs" dxfId="0" priority="66" operator="notBetween">
      <formula>$G12</formula>
      <formula>$H12</formula>
    </cfRule>
  </conditionalFormatting>
  <conditionalFormatting sqref="T14:T15">
    <cfRule type="cellIs" dxfId="0" priority="51" operator="notBetween">
      <formula>$G14</formula>
      <formula>$H14</formula>
    </cfRule>
  </conditionalFormatting>
  <conditionalFormatting sqref="T16:T17">
    <cfRule type="cellIs" dxfId="0" priority="36" operator="notBetween">
      <formula>$G16</formula>
      <formula>$H16</formula>
    </cfRule>
  </conditionalFormatting>
  <conditionalFormatting sqref="T18:T19">
    <cfRule type="cellIs" dxfId="0" priority="21" operator="notBetween">
      <formula>$G18</formula>
      <formula>$H18</formula>
    </cfRule>
  </conditionalFormatting>
  <conditionalFormatting sqref="T113:T118">
    <cfRule type="cellIs" dxfId="0" priority="6" operator="notBetween">
      <formula>$G113</formula>
      <formula>$H113</formula>
    </cfRule>
  </conditionalFormatting>
  <conditionalFormatting sqref="U10:U11">
    <cfRule type="cellIs" dxfId="0" priority="80" operator="notBetween">
      <formula>$G10</formula>
      <formula>$H10</formula>
    </cfRule>
  </conditionalFormatting>
  <conditionalFormatting sqref="U12:U13">
    <cfRule type="cellIs" dxfId="0" priority="65" operator="notBetween">
      <formula>$G12</formula>
      <formula>$H12</formula>
    </cfRule>
  </conditionalFormatting>
  <conditionalFormatting sqref="U14:U15">
    <cfRule type="cellIs" dxfId="0" priority="50" operator="notBetween">
      <formula>$G14</formula>
      <formula>$H14</formula>
    </cfRule>
  </conditionalFormatting>
  <conditionalFormatting sqref="U16:U17">
    <cfRule type="cellIs" dxfId="0" priority="35" operator="notBetween">
      <formula>$G16</formula>
      <formula>$H16</formula>
    </cfRule>
  </conditionalFormatting>
  <conditionalFormatting sqref="U18:U19">
    <cfRule type="cellIs" dxfId="0" priority="20" operator="notBetween">
      <formula>$G18</formula>
      <formula>$H18</formula>
    </cfRule>
  </conditionalFormatting>
  <conditionalFormatting sqref="U113:U118">
    <cfRule type="cellIs" dxfId="0" priority="5" operator="notBetween">
      <formula>$G113</formula>
      <formula>$H113</formula>
    </cfRule>
  </conditionalFormatting>
  <conditionalFormatting sqref="V10:V11">
    <cfRule type="cellIs" dxfId="0" priority="79" operator="notBetween">
      <formula>$G10</formula>
      <formula>$H10</formula>
    </cfRule>
  </conditionalFormatting>
  <conditionalFormatting sqref="V12:V13">
    <cfRule type="cellIs" dxfId="0" priority="64" operator="notBetween">
      <formula>$G12</formula>
      <formula>$H12</formula>
    </cfRule>
  </conditionalFormatting>
  <conditionalFormatting sqref="V14:V15">
    <cfRule type="cellIs" dxfId="0" priority="49" operator="notBetween">
      <formula>$G14</formula>
      <formula>$H14</formula>
    </cfRule>
  </conditionalFormatting>
  <conditionalFormatting sqref="V16:V17">
    <cfRule type="cellIs" dxfId="0" priority="34" operator="notBetween">
      <formula>$G16</formula>
      <formula>$H16</formula>
    </cfRule>
  </conditionalFormatting>
  <conditionalFormatting sqref="V18:V19">
    <cfRule type="cellIs" dxfId="0" priority="19" operator="notBetween">
      <formula>$G18</formula>
      <formula>$H18</formula>
    </cfRule>
  </conditionalFormatting>
  <conditionalFormatting sqref="V113:V118">
    <cfRule type="cellIs" dxfId="0" priority="4" operator="notBetween">
      <formula>$G113</formula>
      <formula>$H113</formula>
    </cfRule>
  </conditionalFormatting>
  <conditionalFormatting sqref="W10:W11">
    <cfRule type="cellIs" dxfId="0" priority="78" operator="notBetween">
      <formula>$G10</formula>
      <formula>$H10</formula>
    </cfRule>
  </conditionalFormatting>
  <conditionalFormatting sqref="W12:W13">
    <cfRule type="cellIs" dxfId="0" priority="63" operator="notBetween">
      <formula>$G12</formula>
      <formula>$H12</formula>
    </cfRule>
  </conditionalFormatting>
  <conditionalFormatting sqref="W14:W15">
    <cfRule type="cellIs" dxfId="0" priority="48" operator="notBetween">
      <formula>$G14</formula>
      <formula>$H14</formula>
    </cfRule>
  </conditionalFormatting>
  <conditionalFormatting sqref="W16:W17">
    <cfRule type="cellIs" dxfId="0" priority="33" operator="notBetween">
      <formula>$G16</formula>
      <formula>$H16</formula>
    </cfRule>
  </conditionalFormatting>
  <conditionalFormatting sqref="W18:W19">
    <cfRule type="cellIs" dxfId="0" priority="18" operator="notBetween">
      <formula>$G18</formula>
      <formula>$H18</formula>
    </cfRule>
  </conditionalFormatting>
  <conditionalFormatting sqref="W113:W118">
    <cfRule type="cellIs" dxfId="0" priority="3" operator="notBetween">
      <formula>$G113</formula>
      <formula>$H113</formula>
    </cfRule>
  </conditionalFormatting>
  <conditionalFormatting sqref="X10:X11">
    <cfRule type="cellIs" dxfId="0" priority="77" operator="notBetween">
      <formula>$G10</formula>
      <formula>$H10</formula>
    </cfRule>
  </conditionalFormatting>
  <conditionalFormatting sqref="X12:X13">
    <cfRule type="cellIs" dxfId="0" priority="62" operator="notBetween">
      <formula>$G12</formula>
      <formula>$H12</formula>
    </cfRule>
  </conditionalFormatting>
  <conditionalFormatting sqref="X14:X15">
    <cfRule type="cellIs" dxfId="0" priority="47" operator="notBetween">
      <formula>$G14</formula>
      <formula>$H14</formula>
    </cfRule>
  </conditionalFormatting>
  <conditionalFormatting sqref="X16:X17">
    <cfRule type="cellIs" dxfId="0" priority="32" operator="notBetween">
      <formula>$G16</formula>
      <formula>$H16</formula>
    </cfRule>
  </conditionalFormatting>
  <conditionalFormatting sqref="X18:X19">
    <cfRule type="cellIs" dxfId="0" priority="17" operator="notBetween">
      <formula>$G18</formula>
      <formula>$H18</formula>
    </cfRule>
  </conditionalFormatting>
  <conditionalFormatting sqref="X113:X118">
    <cfRule type="cellIs" dxfId="0" priority="2" operator="notBetween">
      <formula>$G113</formula>
      <formula>$H113</formula>
    </cfRule>
  </conditionalFormatting>
  <conditionalFormatting sqref="Y10:Y11">
    <cfRule type="cellIs" dxfId="0" priority="76" operator="notBetween">
      <formula>$G10</formula>
      <formula>$H10</formula>
    </cfRule>
  </conditionalFormatting>
  <conditionalFormatting sqref="Y12:Y13">
    <cfRule type="cellIs" dxfId="0" priority="61" operator="notBetween">
      <formula>$G12</formula>
      <formula>$H12</formula>
    </cfRule>
  </conditionalFormatting>
  <conditionalFormatting sqref="Y14:Y15">
    <cfRule type="cellIs" dxfId="0" priority="46" operator="notBetween">
      <formula>$G14</formula>
      <formula>$H14</formula>
    </cfRule>
  </conditionalFormatting>
  <conditionalFormatting sqref="Y16:Y17">
    <cfRule type="cellIs" dxfId="0" priority="31" operator="notBetween">
      <formula>$G16</formula>
      <formula>$H16</formula>
    </cfRule>
  </conditionalFormatting>
  <conditionalFormatting sqref="Y18:Y19">
    <cfRule type="cellIs" dxfId="0" priority="16" operator="notBetween">
      <formula>$G18</formula>
      <formula>$H18</formula>
    </cfRule>
  </conditionalFormatting>
  <conditionalFormatting sqref="Y113:Y118">
    <cfRule type="cellIs" dxfId="0" priority="1" operator="notBetween">
      <formula>$G113</formula>
      <formula>$H113</formula>
    </cfRule>
  </conditionalFormatting>
  <conditionalFormatting sqref="J7:K9 K20:K21 K25:K36 K43 K50 K77">
    <cfRule type="cellIs" dxfId="0" priority="180" operator="notBetween">
      <formula>$G7</formula>
      <formula>$H7</formula>
    </cfRule>
  </conditionalFormatting>
  <conditionalFormatting sqref="L7:L9 L20:L21 L25:L36 L43 L50 L77">
    <cfRule type="cellIs" dxfId="0" priority="179" operator="notBetween">
      <formula>$G7</formula>
      <formula>$H7</formula>
    </cfRule>
  </conditionalFormatting>
  <conditionalFormatting sqref="M7:M9 M20:M21 M25:M36 M43 M50 M77">
    <cfRule type="cellIs" dxfId="0" priority="178" operator="notBetween">
      <formula>$G7</formula>
      <formula>$H7</formula>
    </cfRule>
  </conditionalFormatting>
  <conditionalFormatting sqref="N7:N9 N20:N21 N25:N36 N43 N50 N77">
    <cfRule type="cellIs" dxfId="0" priority="177" operator="notBetween">
      <formula>$G7</formula>
      <formula>$H7</formula>
    </cfRule>
  </conditionalFormatting>
  <conditionalFormatting sqref="O7:O9 O20:O21 O25:O36 O43 O50 O77">
    <cfRule type="cellIs" dxfId="0" priority="176" operator="notBetween">
      <formula>$G7</formula>
      <formula>$H7</formula>
    </cfRule>
  </conditionalFormatting>
  <conditionalFormatting sqref="P7:P9 P20:P21 P25:P36 P43 P50 P77">
    <cfRule type="cellIs" dxfId="0" priority="175" operator="notBetween">
      <formula>$G7</formula>
      <formula>$H7</formula>
    </cfRule>
  </conditionalFormatting>
  <conditionalFormatting sqref="Q7:Q9 Q20:Q21 Q25:Q36 Q43 Q50 Q77">
    <cfRule type="cellIs" dxfId="0" priority="174" operator="notBetween">
      <formula>$G7</formula>
      <formula>$H7</formula>
    </cfRule>
  </conditionalFormatting>
  <conditionalFormatting sqref="R7:R9 R20:R21 R25:R36 R43 R50 R77">
    <cfRule type="cellIs" dxfId="0" priority="173" operator="notBetween">
      <formula>$G7</formula>
      <formula>$H7</formula>
    </cfRule>
  </conditionalFormatting>
  <conditionalFormatting sqref="S7:S9 S20:S21 S25:S36 S43 S50 S77">
    <cfRule type="cellIs" dxfId="0" priority="172" operator="notBetween">
      <formula>$G7</formula>
      <formula>$H7</formula>
    </cfRule>
  </conditionalFormatting>
  <conditionalFormatting sqref="T7:T9 T20:T21 T25:T36 T43 T50 T77">
    <cfRule type="cellIs" dxfId="0" priority="171" operator="notBetween">
      <formula>$G7</formula>
      <formula>$H7</formula>
    </cfRule>
  </conditionalFormatting>
  <conditionalFormatting sqref="U7:U9 U20:U21 U25:U36 U43 U50 U77">
    <cfRule type="cellIs" dxfId="0" priority="170" operator="notBetween">
      <formula>$G7</formula>
      <formula>$H7</formula>
    </cfRule>
  </conditionalFormatting>
  <conditionalFormatting sqref="V7:V9 V20:V21 V25:V36 V43 V50 V77">
    <cfRule type="cellIs" dxfId="0" priority="169" operator="notBetween">
      <formula>$G7</formula>
      <formula>$H7</formula>
    </cfRule>
  </conditionalFormatting>
  <conditionalFormatting sqref="W7:W9 W20:W21 W25:W36 W43 W50 W77">
    <cfRule type="cellIs" dxfId="0" priority="168" operator="notBetween">
      <formula>$G7</formula>
      <formula>$H7</formula>
    </cfRule>
  </conditionalFormatting>
  <conditionalFormatting sqref="X7:X9 X20:X21 X25:X36 X43 X50 X77">
    <cfRule type="cellIs" dxfId="0" priority="167" operator="notBetween">
      <formula>$G7</formula>
      <formula>$H7</formula>
    </cfRule>
  </conditionalFormatting>
  <conditionalFormatting sqref="Y7:Y9 Y20:Y21 Y25:Y36 Y43 Y50 Y77">
    <cfRule type="cellIs" dxfId="0" priority="166" operator="notBetween">
      <formula>$G7</formula>
      <formula>$H7</formula>
    </cfRule>
  </conditionalFormatting>
  <conditionalFormatting sqref="J10:K11">
    <cfRule type="cellIs" dxfId="0" priority="90" operator="notBetween">
      <formula>$G10</formula>
      <formula>$H10</formula>
    </cfRule>
  </conditionalFormatting>
  <conditionalFormatting sqref="J12:K13">
    <cfRule type="cellIs" dxfId="0" priority="75" operator="notBetween">
      <formula>$G12</formula>
      <formula>$H12</formula>
    </cfRule>
  </conditionalFormatting>
  <conditionalFormatting sqref="J14:K15">
    <cfRule type="cellIs" dxfId="0" priority="60" operator="notBetween">
      <formula>$G14</formula>
      <formula>$H14</formula>
    </cfRule>
  </conditionalFormatting>
  <conditionalFormatting sqref="J16:K17">
    <cfRule type="cellIs" dxfId="0" priority="45" operator="notBetween">
      <formula>$G16</formula>
      <formula>$H16</formula>
    </cfRule>
  </conditionalFormatting>
  <conditionalFormatting sqref="J18:K18 K19">
    <cfRule type="cellIs" dxfId="0" priority="30" operator="notBetween">
      <formula>$G18</formula>
      <formula>$H18</formula>
    </cfRule>
  </conditionalFormatting>
  <conditionalFormatting sqref="J20:J21 J25:J36 J43 J50 J77">
    <cfRule type="cellIs" dxfId="0" priority="277" operator="notBetween">
      <formula>$G20</formula>
      <formula>$H20</formula>
    </cfRule>
  </conditionalFormatting>
  <conditionalFormatting sqref="J22:J24 J55 J60 J65">
    <cfRule type="cellIs" dxfId="0" priority="199" operator="notBetween">
      <formula>$G22</formula>
      <formula>$H22</formula>
    </cfRule>
  </conditionalFormatting>
  <conditionalFormatting sqref="K22:K24 K55 K60 K65">
    <cfRule type="cellIs" dxfId="0" priority="165" operator="notBetween">
      <formula>$G22</formula>
      <formula>$H22</formula>
    </cfRule>
  </conditionalFormatting>
  <conditionalFormatting sqref="L22:L24 L55 L60 L65">
    <cfRule type="cellIs" dxfId="0" priority="164" operator="notBetween">
      <formula>$G22</formula>
      <formula>$H22</formula>
    </cfRule>
  </conditionalFormatting>
  <conditionalFormatting sqref="M22:M24 M55 M60 M65">
    <cfRule type="cellIs" dxfId="0" priority="163" operator="notBetween">
      <formula>$G22</formula>
      <formula>$H22</formula>
    </cfRule>
  </conditionalFormatting>
  <conditionalFormatting sqref="N22:N24 N55 N60 N65">
    <cfRule type="cellIs" dxfId="0" priority="162" operator="notBetween">
      <formula>$G22</formula>
      <formula>$H22</formula>
    </cfRule>
  </conditionalFormatting>
  <conditionalFormatting sqref="O22:O24 O55 O60 O65">
    <cfRule type="cellIs" dxfId="0" priority="161" operator="notBetween">
      <formula>$G22</formula>
      <formula>$H22</formula>
    </cfRule>
  </conditionalFormatting>
  <conditionalFormatting sqref="P22:P24 P55 P60 P65">
    <cfRule type="cellIs" dxfId="0" priority="160" operator="notBetween">
      <formula>$G22</formula>
      <formula>$H22</formula>
    </cfRule>
  </conditionalFormatting>
  <conditionalFormatting sqref="Q22:Q24 Q55 Q60 Q65">
    <cfRule type="cellIs" dxfId="0" priority="159" operator="notBetween">
      <formula>$G22</formula>
      <formula>$H22</formula>
    </cfRule>
  </conditionalFormatting>
  <conditionalFormatting sqref="R22:R24 R55 R60 R65">
    <cfRule type="cellIs" dxfId="0" priority="158" operator="notBetween">
      <formula>$G22</formula>
      <formula>$H22</formula>
    </cfRule>
  </conditionalFormatting>
  <conditionalFormatting sqref="S22:S24 S55 S60 S65">
    <cfRule type="cellIs" dxfId="0" priority="157" operator="notBetween">
      <formula>$G22</formula>
      <formula>$H22</formula>
    </cfRule>
  </conditionalFormatting>
  <conditionalFormatting sqref="T22:T24 T55 T60 T65">
    <cfRule type="cellIs" dxfId="0" priority="156" operator="notBetween">
      <formula>$G22</formula>
      <formula>$H22</formula>
    </cfRule>
  </conditionalFormatting>
  <conditionalFormatting sqref="U22:U24 U55 U60 U65">
    <cfRule type="cellIs" dxfId="0" priority="155" operator="notBetween">
      <formula>$G22</formula>
      <formula>$H22</formula>
    </cfRule>
  </conditionalFormatting>
  <conditionalFormatting sqref="V22:V24 V55 V60 V65">
    <cfRule type="cellIs" dxfId="0" priority="154" operator="notBetween">
      <formula>$G22</formula>
      <formula>$H22</formula>
    </cfRule>
  </conditionalFormatting>
  <conditionalFormatting sqref="W22:W24 W55 W60 W65">
    <cfRule type="cellIs" dxfId="0" priority="153" operator="notBetween">
      <formula>$G22</formula>
      <formula>$H22</formula>
    </cfRule>
  </conditionalFormatting>
  <conditionalFormatting sqref="X22:X24 X55 X60 X65">
    <cfRule type="cellIs" dxfId="0" priority="152" operator="notBetween">
      <formula>$G22</formula>
      <formula>$H22</formula>
    </cfRule>
  </conditionalFormatting>
  <conditionalFormatting sqref="Y22:Y24 Y55 Y60 Y65">
    <cfRule type="cellIs" dxfId="0" priority="151" operator="notBetween">
      <formula>$G22</formula>
      <formula>$H22</formula>
    </cfRule>
  </conditionalFormatting>
  <conditionalFormatting sqref="J87 J92 J97 J100">
    <cfRule type="cellIs" dxfId="0" priority="197" operator="notBetween">
      <formula>$G87</formula>
      <formula>$H87</formula>
    </cfRule>
  </conditionalFormatting>
  <conditionalFormatting sqref="K87 K92 K97 K100">
    <cfRule type="cellIs" dxfId="0" priority="135" operator="notBetween">
      <formula>$G87</formula>
      <formula>$H87</formula>
    </cfRule>
  </conditionalFormatting>
  <conditionalFormatting sqref="L87 L92 L97 L100">
    <cfRule type="cellIs" dxfId="0" priority="134" operator="notBetween">
      <formula>$G87</formula>
      <formula>$H87</formula>
    </cfRule>
  </conditionalFormatting>
  <conditionalFormatting sqref="M87 M92 M97 M100">
    <cfRule type="cellIs" dxfId="0" priority="133" operator="notBetween">
      <formula>$G87</formula>
      <formula>$H87</formula>
    </cfRule>
  </conditionalFormatting>
  <conditionalFormatting sqref="N87 N92 N97 N100">
    <cfRule type="cellIs" dxfId="0" priority="132" operator="notBetween">
      <formula>$G87</formula>
      <formula>$H87</formula>
    </cfRule>
  </conditionalFormatting>
  <conditionalFormatting sqref="O87 O92 O97 O100">
    <cfRule type="cellIs" dxfId="0" priority="131" operator="notBetween">
      <formula>$G87</formula>
      <formula>$H87</formula>
    </cfRule>
  </conditionalFormatting>
  <conditionalFormatting sqref="P87 P92 P97 P100">
    <cfRule type="cellIs" dxfId="0" priority="130" operator="notBetween">
      <formula>$G87</formula>
      <formula>$H87</formula>
    </cfRule>
  </conditionalFormatting>
  <conditionalFormatting sqref="Q87 Q92 Q97 Q100">
    <cfRule type="cellIs" dxfId="0" priority="129" operator="notBetween">
      <formula>$G87</formula>
      <formula>$H87</formula>
    </cfRule>
  </conditionalFormatting>
  <conditionalFormatting sqref="R87 R92 R97 R100">
    <cfRule type="cellIs" dxfId="0" priority="128" operator="notBetween">
      <formula>$G87</formula>
      <formula>$H87</formula>
    </cfRule>
  </conditionalFormatting>
  <conditionalFormatting sqref="S87 S92 S97 S100">
    <cfRule type="cellIs" dxfId="0" priority="127" operator="notBetween">
      <formula>$G87</formula>
      <formula>$H87</formula>
    </cfRule>
  </conditionalFormatting>
  <conditionalFormatting sqref="T87 T92 T97 T100">
    <cfRule type="cellIs" dxfId="0" priority="126" operator="notBetween">
      <formula>$G87</formula>
      <formula>$H87</formula>
    </cfRule>
  </conditionalFormatting>
  <conditionalFormatting sqref="U87 U92 U97 U100">
    <cfRule type="cellIs" dxfId="0" priority="125" operator="notBetween">
      <formula>$G87</formula>
      <formula>$H87</formula>
    </cfRule>
  </conditionalFormatting>
  <conditionalFormatting sqref="V87 V92 V97 V100">
    <cfRule type="cellIs" dxfId="0" priority="124" operator="notBetween">
      <formula>$G87</formula>
      <formula>$H87</formula>
    </cfRule>
  </conditionalFormatting>
  <conditionalFormatting sqref="W87 W92 W97 W100">
    <cfRule type="cellIs" dxfId="0" priority="123" operator="notBetween">
      <formula>$G87</formula>
      <formula>$H87</formula>
    </cfRule>
  </conditionalFormatting>
  <conditionalFormatting sqref="X87 X92 X97 X100">
    <cfRule type="cellIs" dxfId="0" priority="122" operator="notBetween">
      <formula>$G87</formula>
      <formula>$H87</formula>
    </cfRule>
  </conditionalFormatting>
  <conditionalFormatting sqref="Y87 Y92 Y97 Y100">
    <cfRule type="cellIs" dxfId="0" priority="121" operator="notBetween">
      <formula>$G87</formula>
      <formula>$H87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AL7:AO9" emptyCellReferenc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workbookViewId="0">
      <selection activeCell="V22" sqref="V22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113</v>
      </c>
      <c r="K6" s="46" t="s">
        <v>114</v>
      </c>
      <c r="L6" s="46" t="s">
        <v>115</v>
      </c>
      <c r="M6" s="46" t="s">
        <v>116</v>
      </c>
      <c r="N6" s="46" t="s">
        <v>117</v>
      </c>
      <c r="O6" s="46" t="s">
        <v>118</v>
      </c>
      <c r="P6" s="46" t="s">
        <v>119</v>
      </c>
      <c r="Q6" s="46" t="s">
        <v>120</v>
      </c>
      <c r="R6" s="46" t="s">
        <v>121</v>
      </c>
      <c r="S6" s="46" t="s">
        <v>122</v>
      </c>
      <c r="T6" s="46" t="s">
        <v>123</v>
      </c>
      <c r="U6" s="46" t="s">
        <v>124</v>
      </c>
      <c r="V6" s="46" t="s">
        <v>125</v>
      </c>
      <c r="W6" s="46" t="s">
        <v>126</v>
      </c>
      <c r="X6" s="46" t="s">
        <v>127</v>
      </c>
      <c r="Y6" s="46" t="s">
        <v>128</v>
      </c>
      <c r="Z6" s="47" t="str">
        <f t="shared" ref="Z6:AO6" si="0">J6</f>
        <v>3-1</v>
      </c>
      <c r="AA6" s="47" t="str">
        <f t="shared" si="0"/>
        <v>3-2</v>
      </c>
      <c r="AB6" s="47" t="str">
        <f t="shared" si="0"/>
        <v>3-3</v>
      </c>
      <c r="AC6" s="47" t="str">
        <f t="shared" si="0"/>
        <v>3-4</v>
      </c>
      <c r="AD6" s="47" t="str">
        <f t="shared" si="0"/>
        <v>3-5</v>
      </c>
      <c r="AE6" s="47" t="str">
        <f t="shared" si="0"/>
        <v>3-6</v>
      </c>
      <c r="AF6" s="47" t="str">
        <f t="shared" si="0"/>
        <v>3-7</v>
      </c>
      <c r="AG6" s="47" t="str">
        <f t="shared" si="0"/>
        <v>3-8</v>
      </c>
      <c r="AH6" s="47" t="str">
        <f t="shared" si="0"/>
        <v>4-1</v>
      </c>
      <c r="AI6" s="47" t="str">
        <f t="shared" si="0"/>
        <v>4-2</v>
      </c>
      <c r="AJ6" s="47" t="str">
        <f t="shared" si="0"/>
        <v>4-3</v>
      </c>
      <c r="AK6" s="47" t="str">
        <f t="shared" si="0"/>
        <v>4-4</v>
      </c>
      <c r="AL6" s="47" t="str">
        <f t="shared" si="0"/>
        <v>4-5</v>
      </c>
      <c r="AM6" s="47" t="str">
        <f t="shared" si="0"/>
        <v>4-6</v>
      </c>
      <c r="AN6" s="47" t="str">
        <f t="shared" si="0"/>
        <v>4-7</v>
      </c>
      <c r="AO6" s="47" t="str">
        <f t="shared" si="0"/>
        <v>4-8</v>
      </c>
    </row>
    <row r="7" ht="15" customHeight="1" spans="1:41">
      <c r="A7" s="48">
        <v>46206</v>
      </c>
      <c r="B7" s="49" t="s">
        <v>42</v>
      </c>
      <c r="C7" s="49" t="s">
        <v>43</v>
      </c>
      <c r="D7" s="50">
        <v>0.5</v>
      </c>
      <c r="E7" s="50">
        <v>0.03</v>
      </c>
      <c r="F7" s="50">
        <v>-0.03</v>
      </c>
      <c r="G7" s="50">
        <f t="shared" ref="G7:G20" si="1">D7+E7</f>
        <v>0.53</v>
      </c>
      <c r="H7" s="50">
        <f t="shared" ref="H7:H20" si="2">D7+F7</f>
        <v>0.47</v>
      </c>
      <c r="I7" s="50" t="s">
        <v>44</v>
      </c>
      <c r="J7" s="51">
        <v>0.5035</v>
      </c>
      <c r="K7" s="51">
        <v>0.5026</v>
      </c>
      <c r="L7" s="51">
        <v>0.5044</v>
      </c>
      <c r="M7" s="51">
        <v>0.5026</v>
      </c>
      <c r="N7" s="51">
        <v>0.5036</v>
      </c>
      <c r="O7" s="51">
        <v>0.5023</v>
      </c>
      <c r="P7" s="51">
        <v>0.5051</v>
      </c>
      <c r="Q7" s="51">
        <v>0.5014</v>
      </c>
      <c r="R7" s="51">
        <v>0.5038</v>
      </c>
      <c r="S7" s="51">
        <v>0.5034</v>
      </c>
      <c r="T7" s="51">
        <v>0.4952</v>
      </c>
      <c r="U7" s="51">
        <v>0.5027</v>
      </c>
      <c r="V7" s="51">
        <v>0.5031</v>
      </c>
      <c r="W7" s="51">
        <v>0.5036</v>
      </c>
      <c r="X7" s="51">
        <v>0.5022</v>
      </c>
      <c r="Y7" s="51">
        <v>0.5029</v>
      </c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>√</v>
      </c>
      <c r="AI7" s="52" t="str">
        <f t="shared" si="3"/>
        <v>√</v>
      </c>
      <c r="AJ7" s="52" t="str">
        <f t="shared" si="3"/>
        <v>√</v>
      </c>
      <c r="AK7" s="52" t="str">
        <f t="shared" si="3"/>
        <v>√</v>
      </c>
      <c r="AL7" s="52" t="str">
        <f t="shared" si="3"/>
        <v>√</v>
      </c>
      <c r="AM7" s="52" t="str">
        <f t="shared" si="3"/>
        <v>√</v>
      </c>
      <c r="AN7" s="52" t="str">
        <f t="shared" si="3"/>
        <v>√</v>
      </c>
      <c r="AO7" s="52" t="str">
        <f t="shared" si="3"/>
        <v>√</v>
      </c>
    </row>
    <row r="8" ht="15" customHeight="1" spans="1:41">
      <c r="A8" s="53"/>
      <c r="B8" s="54" t="s">
        <v>45</v>
      </c>
      <c r="C8" s="55" t="s">
        <v>46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44</v>
      </c>
      <c r="J8" s="51">
        <v>0.5867</v>
      </c>
      <c r="K8" s="51">
        <v>0.5829</v>
      </c>
      <c r="L8" s="51">
        <v>0.5814</v>
      </c>
      <c r="M8" s="51">
        <v>0.5855</v>
      </c>
      <c r="N8" s="51">
        <v>0.5826</v>
      </c>
      <c r="O8" s="51">
        <v>0.5847</v>
      </c>
      <c r="P8" s="51">
        <v>0.5824</v>
      </c>
      <c r="Q8" s="51">
        <v>0.584</v>
      </c>
      <c r="R8" s="51">
        <v>0.5848</v>
      </c>
      <c r="S8" s="51">
        <v>0.5845</v>
      </c>
      <c r="T8" s="51">
        <v>0.5997</v>
      </c>
      <c r="U8" s="51">
        <v>0.5899</v>
      </c>
      <c r="V8" s="51">
        <v>0.5849</v>
      </c>
      <c r="W8" s="51">
        <v>0.5856</v>
      </c>
      <c r="X8" s="51">
        <v>0.5829</v>
      </c>
      <c r="Y8" s="51">
        <v>0.5869</v>
      </c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>√</v>
      </c>
      <c r="AI8" s="52" t="str">
        <f t="shared" si="4"/>
        <v>√</v>
      </c>
      <c r="AJ8" s="52" t="str">
        <f t="shared" si="4"/>
        <v>√</v>
      </c>
      <c r="AK8" s="52" t="str">
        <f t="shared" si="4"/>
        <v>√</v>
      </c>
      <c r="AL8" s="52" t="str">
        <f t="shared" si="4"/>
        <v>√</v>
      </c>
      <c r="AM8" s="52" t="str">
        <f t="shared" si="4"/>
        <v>√</v>
      </c>
      <c r="AN8" s="52" t="str">
        <f t="shared" si="4"/>
        <v>√</v>
      </c>
      <c r="AO8" s="52" t="str">
        <f t="shared" si="4"/>
        <v>√</v>
      </c>
    </row>
    <row r="9" ht="15" customHeight="1" spans="1:41">
      <c r="A9" s="53"/>
      <c r="B9" s="54" t="s">
        <v>47</v>
      </c>
      <c r="C9" s="55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44</v>
      </c>
      <c r="J9" s="51">
        <v>0.0622</v>
      </c>
      <c r="K9" s="51">
        <v>0.068</v>
      </c>
      <c r="L9" s="51">
        <v>0.0592</v>
      </c>
      <c r="M9" s="51">
        <v>0.0699</v>
      </c>
      <c r="N9" s="51">
        <v>0.0669</v>
      </c>
      <c r="O9" s="51">
        <v>0.0689</v>
      </c>
      <c r="P9" s="51">
        <v>0.0671</v>
      </c>
      <c r="Q9" s="51">
        <v>0.065</v>
      </c>
      <c r="R9" s="51">
        <v>0.0479</v>
      </c>
      <c r="S9" s="51">
        <v>0.0525</v>
      </c>
      <c r="T9" s="51">
        <v>0.0488</v>
      </c>
      <c r="U9" s="51">
        <v>0.0482</v>
      </c>
      <c r="V9" s="51">
        <v>0.051</v>
      </c>
      <c r="W9" s="51">
        <v>0.0453</v>
      </c>
      <c r="X9" s="51">
        <v>0.0409</v>
      </c>
      <c r="Y9" s="51">
        <v>0.0612</v>
      </c>
      <c r="Z9" s="52" t="str">
        <f t="shared" ref="Z9:AO9" si="5">IF(J9="","",IF(J9&gt;($D9+$E9),(J9-$D9-$E9),IF(J9&lt;($D9+$F9),(J9-$D9-$F9),"√")))</f>
        <v>√</v>
      </c>
      <c r="AA9" s="52" t="str">
        <f t="shared" si="5"/>
        <v>√</v>
      </c>
      <c r="AB9" s="52" t="str">
        <f t="shared" si="5"/>
        <v>√</v>
      </c>
      <c r="AC9" s="52" t="str">
        <f t="shared" si="5"/>
        <v>√</v>
      </c>
      <c r="AD9" s="52" t="str">
        <f t="shared" si="5"/>
        <v>√</v>
      </c>
      <c r="AE9" s="52" t="str">
        <f t="shared" si="5"/>
        <v>√</v>
      </c>
      <c r="AF9" s="52" t="str">
        <f t="shared" si="5"/>
        <v>√</v>
      </c>
      <c r="AG9" s="52" t="str">
        <f t="shared" si="5"/>
        <v>√</v>
      </c>
      <c r="AH9" s="52" t="str">
        <f t="shared" si="5"/>
        <v>√</v>
      </c>
      <c r="AI9" s="52" t="str">
        <f t="shared" si="5"/>
        <v>√</v>
      </c>
      <c r="AJ9" s="52" t="str">
        <f t="shared" si="5"/>
        <v>√</v>
      </c>
      <c r="AK9" s="52" t="str">
        <f t="shared" si="5"/>
        <v>√</v>
      </c>
      <c r="AL9" s="52" t="str">
        <f t="shared" si="5"/>
        <v>√</v>
      </c>
      <c r="AM9" s="52" t="str">
        <f t="shared" si="5"/>
        <v>√</v>
      </c>
      <c r="AN9" s="52" t="str">
        <f t="shared" si="5"/>
        <v>√</v>
      </c>
      <c r="AO9" s="52" t="str">
        <f t="shared" si="5"/>
        <v>√</v>
      </c>
    </row>
    <row r="10" ht="15" customHeight="1" spans="1:41">
      <c r="A10" s="53"/>
      <c r="B10" s="54" t="s">
        <v>48</v>
      </c>
      <c r="C10" s="55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44</v>
      </c>
      <c r="J10" s="51">
        <v>0.03</v>
      </c>
      <c r="K10" s="51">
        <v>0.0321</v>
      </c>
      <c r="L10" s="51">
        <v>0.033</v>
      </c>
      <c r="M10" s="51">
        <v>0.0306</v>
      </c>
      <c r="N10" s="51">
        <v>0.0349</v>
      </c>
      <c r="O10" s="51">
        <v>0.0318</v>
      </c>
      <c r="P10" s="51">
        <v>0.0302</v>
      </c>
      <c r="Q10" s="51">
        <v>0.0326</v>
      </c>
      <c r="R10" s="51">
        <v>0.0552</v>
      </c>
      <c r="S10" s="51">
        <v>0.0489</v>
      </c>
      <c r="T10" s="51">
        <v>0.0516</v>
      </c>
      <c r="U10" s="51">
        <v>0.0528</v>
      </c>
      <c r="V10" s="51">
        <v>0.0527</v>
      </c>
      <c r="W10" s="51">
        <v>0.0556</v>
      </c>
      <c r="X10" s="51">
        <v>0.0598</v>
      </c>
      <c r="Y10" s="51">
        <v>0.0416</v>
      </c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>√</v>
      </c>
      <c r="AI10" s="52" t="str">
        <f t="shared" si="6"/>
        <v>√</v>
      </c>
      <c r="AJ10" s="52" t="str">
        <f t="shared" si="6"/>
        <v>√</v>
      </c>
      <c r="AK10" s="52" t="str">
        <f t="shared" si="6"/>
        <v>√</v>
      </c>
      <c r="AL10" s="52" t="str">
        <f t="shared" si="6"/>
        <v>√</v>
      </c>
      <c r="AM10" s="52" t="str">
        <f t="shared" si="6"/>
        <v>√</v>
      </c>
      <c r="AN10" s="52" t="str">
        <f t="shared" si="6"/>
        <v>√</v>
      </c>
      <c r="AO10" s="52" t="str">
        <f t="shared" si="6"/>
        <v>√</v>
      </c>
    </row>
    <row r="11" ht="15" customHeight="1" spans="1:41">
      <c r="A11" s="53"/>
      <c r="B11" s="54" t="s">
        <v>49</v>
      </c>
      <c r="C11" s="55"/>
      <c r="D11" s="50">
        <v>0.025</v>
      </c>
      <c r="E11" s="50">
        <v>0.01</v>
      </c>
      <c r="F11" s="50">
        <v>-0.01</v>
      </c>
      <c r="G11" s="50">
        <f t="shared" si="1"/>
        <v>0.035</v>
      </c>
      <c r="H11" s="50">
        <f t="shared" si="2"/>
        <v>0.015</v>
      </c>
      <c r="I11" s="50" t="s">
        <v>44</v>
      </c>
      <c r="J11" s="51">
        <v>0.0202</v>
      </c>
      <c r="K11" s="51">
        <v>0.0307</v>
      </c>
      <c r="L11" s="51">
        <v>0.0324</v>
      </c>
      <c r="M11" s="51">
        <v>0.0214</v>
      </c>
      <c r="N11" s="51">
        <v>0.0174</v>
      </c>
      <c r="O11" s="51">
        <v>0.0177</v>
      </c>
      <c r="P11" s="51">
        <v>0.0261</v>
      </c>
      <c r="Q11" s="51">
        <v>0.0265</v>
      </c>
      <c r="R11" s="51">
        <v>0.0163</v>
      </c>
      <c r="S11" s="51">
        <v>0.0199</v>
      </c>
      <c r="T11" s="51">
        <v>0.0186</v>
      </c>
      <c r="U11" s="51">
        <v>0.0185</v>
      </c>
      <c r="V11" s="51">
        <v>0.0164</v>
      </c>
      <c r="W11" s="51">
        <v>0.0267</v>
      </c>
      <c r="X11" s="51">
        <v>0.018</v>
      </c>
      <c r="Y11" s="51">
        <v>0.02</v>
      </c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>√</v>
      </c>
      <c r="AI11" s="52" t="str">
        <f t="shared" si="7"/>
        <v>√</v>
      </c>
      <c r="AJ11" s="52" t="str">
        <f t="shared" si="7"/>
        <v>√</v>
      </c>
      <c r="AK11" s="52" t="str">
        <f t="shared" si="7"/>
        <v>√</v>
      </c>
      <c r="AL11" s="52" t="str">
        <f t="shared" si="7"/>
        <v>√</v>
      </c>
      <c r="AM11" s="52" t="str">
        <f t="shared" si="7"/>
        <v>√</v>
      </c>
      <c r="AN11" s="52" t="str">
        <f t="shared" si="7"/>
        <v>√</v>
      </c>
      <c r="AO11" s="52" t="str">
        <f t="shared" si="7"/>
        <v>√</v>
      </c>
    </row>
    <row r="12" ht="15" customHeight="1" spans="1:41">
      <c r="A12" s="53"/>
      <c r="B12" s="54" t="s">
        <v>50</v>
      </c>
      <c r="C12" s="55"/>
      <c r="D12" s="50">
        <v>0.025</v>
      </c>
      <c r="E12" s="50">
        <v>0.01</v>
      </c>
      <c r="F12" s="50">
        <v>-0.01</v>
      </c>
      <c r="G12" s="50">
        <f t="shared" si="1"/>
        <v>0.035</v>
      </c>
      <c r="H12" s="50">
        <f t="shared" si="2"/>
        <v>0.015</v>
      </c>
      <c r="I12" s="50" t="s">
        <v>44</v>
      </c>
      <c r="J12" s="51">
        <v>0.0192</v>
      </c>
      <c r="K12" s="51">
        <v>0.0205</v>
      </c>
      <c r="L12" s="51">
        <v>0.0204</v>
      </c>
      <c r="M12" s="51">
        <v>0.0248</v>
      </c>
      <c r="N12" s="51">
        <v>0.0208</v>
      </c>
      <c r="O12" s="51">
        <v>0.0213</v>
      </c>
      <c r="P12" s="51">
        <v>0.0205</v>
      </c>
      <c r="Q12" s="51">
        <v>0.0205</v>
      </c>
      <c r="R12" s="51">
        <v>0.0219</v>
      </c>
      <c r="S12" s="51">
        <v>0.0183</v>
      </c>
      <c r="T12" s="51">
        <v>0.02</v>
      </c>
      <c r="U12" s="51">
        <v>0.0197</v>
      </c>
      <c r="V12" s="51">
        <v>0.021</v>
      </c>
      <c r="W12" s="51">
        <v>0.0154</v>
      </c>
      <c r="X12" s="51">
        <v>0.0244</v>
      </c>
      <c r="Y12" s="51">
        <v>0.0195</v>
      </c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>√</v>
      </c>
      <c r="AI12" s="52" t="str">
        <f t="shared" si="8"/>
        <v>√</v>
      </c>
      <c r="AJ12" s="52" t="str">
        <f t="shared" si="8"/>
        <v>√</v>
      </c>
      <c r="AK12" s="52" t="str">
        <f t="shared" si="8"/>
        <v>√</v>
      </c>
      <c r="AL12" s="52" t="str">
        <f t="shared" si="8"/>
        <v>√</v>
      </c>
      <c r="AM12" s="52" t="str">
        <f t="shared" si="8"/>
        <v>√</v>
      </c>
      <c r="AN12" s="52" t="str">
        <f t="shared" si="8"/>
        <v>√</v>
      </c>
      <c r="AO12" s="52" t="str">
        <f t="shared" si="8"/>
        <v>√</v>
      </c>
    </row>
    <row r="13" ht="15" customHeight="1" spans="1:41">
      <c r="A13" s="53"/>
      <c r="B13" s="54" t="s">
        <v>51</v>
      </c>
      <c r="C13" s="55"/>
      <c r="D13" s="50">
        <v>0.025</v>
      </c>
      <c r="E13" s="50">
        <v>0.01</v>
      </c>
      <c r="F13" s="50">
        <v>-0.01</v>
      </c>
      <c r="G13" s="50">
        <f t="shared" si="1"/>
        <v>0.035</v>
      </c>
      <c r="H13" s="50">
        <f t="shared" si="2"/>
        <v>0.015</v>
      </c>
      <c r="I13" s="50" t="s">
        <v>44</v>
      </c>
      <c r="J13" s="51">
        <v>0.0173</v>
      </c>
      <c r="K13" s="51">
        <v>0.023</v>
      </c>
      <c r="L13" s="51">
        <v>0.0291</v>
      </c>
      <c r="M13" s="51">
        <v>0.0176</v>
      </c>
      <c r="N13" s="51">
        <v>0.0203</v>
      </c>
      <c r="O13" s="51">
        <v>0.0261</v>
      </c>
      <c r="P13" s="51">
        <v>0.0213</v>
      </c>
      <c r="Q13" s="51">
        <v>0.0221</v>
      </c>
      <c r="R13" s="51">
        <v>0.0213</v>
      </c>
      <c r="S13" s="51">
        <v>0.0191</v>
      </c>
      <c r="T13" s="51">
        <v>0.015</v>
      </c>
      <c r="U13" s="51">
        <v>0.0183</v>
      </c>
      <c r="V13" s="51">
        <v>0.0176</v>
      </c>
      <c r="W13" s="51">
        <v>0.0227</v>
      </c>
      <c r="X13" s="51">
        <v>0.0192</v>
      </c>
      <c r="Y13" s="51">
        <v>0.022</v>
      </c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>√</v>
      </c>
      <c r="AI13" s="52" t="str">
        <f t="shared" si="9"/>
        <v>√</v>
      </c>
      <c r="AJ13" s="52" t="str">
        <f t="shared" si="9"/>
        <v>√</v>
      </c>
      <c r="AK13" s="52" t="str">
        <f t="shared" si="9"/>
        <v>√</v>
      </c>
      <c r="AL13" s="52" t="str">
        <f t="shared" si="9"/>
        <v>√</v>
      </c>
      <c r="AM13" s="52" t="str">
        <f t="shared" si="9"/>
        <v>√</v>
      </c>
      <c r="AN13" s="52" t="str">
        <f t="shared" si="9"/>
        <v>√</v>
      </c>
      <c r="AO13" s="52" t="str">
        <f t="shared" si="9"/>
        <v>√</v>
      </c>
    </row>
    <row r="14" ht="15" customHeight="1" spans="1:41">
      <c r="A14" s="53"/>
      <c r="B14" s="54" t="s">
        <v>52</v>
      </c>
      <c r="C14" s="55"/>
      <c r="D14" s="50">
        <v>0.025</v>
      </c>
      <c r="E14" s="50">
        <v>0.01</v>
      </c>
      <c r="F14" s="50">
        <v>-0.01</v>
      </c>
      <c r="G14" s="50">
        <f t="shared" si="1"/>
        <v>0.035</v>
      </c>
      <c r="H14" s="50">
        <f t="shared" si="2"/>
        <v>0.015</v>
      </c>
      <c r="I14" s="50" t="s">
        <v>44</v>
      </c>
      <c r="J14" s="51">
        <v>0.0191</v>
      </c>
      <c r="K14" s="51">
        <v>0.0247</v>
      </c>
      <c r="L14" s="51">
        <v>0.0239</v>
      </c>
      <c r="M14" s="51">
        <v>0.0203</v>
      </c>
      <c r="N14" s="51">
        <v>0.0195</v>
      </c>
      <c r="O14" s="51">
        <v>0.0201</v>
      </c>
      <c r="P14" s="51">
        <v>0.0215</v>
      </c>
      <c r="Q14" s="51">
        <v>0.0231</v>
      </c>
      <c r="R14" s="51">
        <v>0.0218</v>
      </c>
      <c r="S14" s="51">
        <v>0.0216</v>
      </c>
      <c r="T14" s="51">
        <v>0.02</v>
      </c>
      <c r="U14" s="51">
        <v>0.0245</v>
      </c>
      <c r="V14" s="51">
        <v>0.028</v>
      </c>
      <c r="W14" s="51">
        <v>0.0166</v>
      </c>
      <c r="X14" s="51">
        <v>0.0167</v>
      </c>
      <c r="Y14" s="51">
        <v>0.0216</v>
      </c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>√</v>
      </c>
      <c r="AI14" s="52" t="str">
        <f t="shared" si="10"/>
        <v>√</v>
      </c>
      <c r="AJ14" s="52" t="str">
        <f t="shared" si="10"/>
        <v>√</v>
      </c>
      <c r="AK14" s="52" t="str">
        <f t="shared" si="10"/>
        <v>√</v>
      </c>
      <c r="AL14" s="52" t="str">
        <f t="shared" si="10"/>
        <v>√</v>
      </c>
      <c r="AM14" s="52" t="str">
        <f t="shared" si="10"/>
        <v>√</v>
      </c>
      <c r="AN14" s="52" t="str">
        <f t="shared" si="10"/>
        <v>√</v>
      </c>
      <c r="AO14" s="52" t="str">
        <f t="shared" si="10"/>
        <v>√</v>
      </c>
    </row>
    <row r="15" ht="15" customHeight="1" spans="1:41">
      <c r="A15" s="53"/>
      <c r="B15" s="54" t="s">
        <v>53</v>
      </c>
      <c r="C15" s="55"/>
      <c r="D15" s="50">
        <v>0.025</v>
      </c>
      <c r="E15" s="50">
        <v>0.01</v>
      </c>
      <c r="F15" s="50">
        <v>-0.01</v>
      </c>
      <c r="G15" s="50">
        <f t="shared" si="1"/>
        <v>0.035</v>
      </c>
      <c r="H15" s="50">
        <f t="shared" si="2"/>
        <v>0.015</v>
      </c>
      <c r="I15" s="50" t="s">
        <v>44</v>
      </c>
      <c r="J15" s="51">
        <v>0.0271</v>
      </c>
      <c r="K15" s="51">
        <v>0.026</v>
      </c>
      <c r="L15" s="51">
        <v>0.0331</v>
      </c>
      <c r="M15" s="51">
        <v>0.0283</v>
      </c>
      <c r="N15" s="51">
        <v>0.0295</v>
      </c>
      <c r="O15" s="51">
        <v>0.0256</v>
      </c>
      <c r="P15" s="51">
        <v>0.0222</v>
      </c>
      <c r="Q15" s="51">
        <v>0.0257</v>
      </c>
      <c r="R15" s="51">
        <v>0.024</v>
      </c>
      <c r="S15" s="51">
        <v>0.0289</v>
      </c>
      <c r="T15" s="51">
        <v>0.0335</v>
      </c>
      <c r="U15" s="51">
        <v>0.0341</v>
      </c>
      <c r="V15" s="51">
        <v>0.0244</v>
      </c>
      <c r="W15" s="51">
        <v>0.0306</v>
      </c>
      <c r="X15" s="51">
        <v>0.0299</v>
      </c>
      <c r="Y15" s="51">
        <v>0.031</v>
      </c>
      <c r="Z15" s="52" t="str">
        <f t="shared" ref="Z15:AO15" si="11">IF(J15="","",IF(J15&gt;($D15+$E15),(J15-$D15-$E15),IF(J15&lt;($D15+$F15),(J15-$D15-$F15),"√")))</f>
        <v>√</v>
      </c>
      <c r="AA15" s="52" t="str">
        <f t="shared" si="11"/>
        <v>√</v>
      </c>
      <c r="AB15" s="52" t="str">
        <f t="shared" si="11"/>
        <v>√</v>
      </c>
      <c r="AC15" s="52" t="str">
        <f t="shared" si="11"/>
        <v>√</v>
      </c>
      <c r="AD15" s="52" t="str">
        <f t="shared" si="11"/>
        <v>√</v>
      </c>
      <c r="AE15" s="52" t="str">
        <f t="shared" si="11"/>
        <v>√</v>
      </c>
      <c r="AF15" s="52" t="str">
        <f t="shared" si="11"/>
        <v>√</v>
      </c>
      <c r="AG15" s="52" t="str">
        <f t="shared" si="11"/>
        <v>√</v>
      </c>
      <c r="AH15" s="52" t="str">
        <f t="shared" si="11"/>
        <v>√</v>
      </c>
      <c r="AI15" s="52" t="str">
        <f t="shared" si="11"/>
        <v>√</v>
      </c>
      <c r="AJ15" s="52" t="str">
        <f t="shared" si="11"/>
        <v>√</v>
      </c>
      <c r="AK15" s="52" t="str">
        <f t="shared" si="11"/>
        <v>√</v>
      </c>
      <c r="AL15" s="52" t="str">
        <f t="shared" si="11"/>
        <v>√</v>
      </c>
      <c r="AM15" s="52" t="str">
        <f t="shared" si="11"/>
        <v>√</v>
      </c>
      <c r="AN15" s="52" t="str">
        <f t="shared" si="11"/>
        <v>√</v>
      </c>
      <c r="AO15" s="52" t="str">
        <f t="shared" si="11"/>
        <v>√</v>
      </c>
    </row>
    <row r="16" ht="15" customHeight="1" spans="1:41">
      <c r="A16" s="53"/>
      <c r="B16" s="54" t="s">
        <v>54</v>
      </c>
      <c r="C16" s="55"/>
      <c r="D16" s="50">
        <v>0.025</v>
      </c>
      <c r="E16" s="50">
        <v>0.01</v>
      </c>
      <c r="F16" s="50">
        <v>-0.01</v>
      </c>
      <c r="G16" s="50">
        <f t="shared" si="1"/>
        <v>0.035</v>
      </c>
      <c r="H16" s="50">
        <f t="shared" si="2"/>
        <v>0.015</v>
      </c>
      <c r="I16" s="50" t="s">
        <v>44</v>
      </c>
      <c r="J16" s="51">
        <v>0.0206</v>
      </c>
      <c r="K16" s="51">
        <v>0.0228</v>
      </c>
      <c r="L16" s="51">
        <v>0.0256</v>
      </c>
      <c r="M16" s="51">
        <v>0.0216</v>
      </c>
      <c r="N16" s="51">
        <v>0.0272</v>
      </c>
      <c r="O16" s="51">
        <v>0.0201</v>
      </c>
      <c r="P16" s="51">
        <v>0.023</v>
      </c>
      <c r="Q16" s="51">
        <v>0.0262</v>
      </c>
      <c r="R16" s="51">
        <v>0.0231</v>
      </c>
      <c r="S16" s="51">
        <v>0.0245</v>
      </c>
      <c r="T16" s="51">
        <v>0.027</v>
      </c>
      <c r="U16" s="51">
        <v>0.0259</v>
      </c>
      <c r="V16" s="51">
        <v>0.029</v>
      </c>
      <c r="W16" s="51">
        <v>0.0267</v>
      </c>
      <c r="X16" s="51">
        <v>0.0178</v>
      </c>
      <c r="Y16" s="51">
        <v>0.0242</v>
      </c>
      <c r="Z16" s="52" t="str">
        <f t="shared" ref="Z16:AO16" si="12">IF(J16="","",IF(J16&gt;($D16+$E16),(J16-$D16-$E16),IF(J16&lt;($D16+$F16),(J16-$D16-$F16),"√")))</f>
        <v>√</v>
      </c>
      <c r="AA16" s="52" t="str">
        <f t="shared" si="12"/>
        <v>√</v>
      </c>
      <c r="AB16" s="52" t="str">
        <f t="shared" si="12"/>
        <v>√</v>
      </c>
      <c r="AC16" s="52" t="str">
        <f t="shared" si="12"/>
        <v>√</v>
      </c>
      <c r="AD16" s="52" t="str">
        <f t="shared" si="12"/>
        <v>√</v>
      </c>
      <c r="AE16" s="52" t="str">
        <f t="shared" si="12"/>
        <v>√</v>
      </c>
      <c r="AF16" s="52" t="str">
        <f t="shared" si="12"/>
        <v>√</v>
      </c>
      <c r="AG16" s="52" t="str">
        <f t="shared" si="12"/>
        <v>√</v>
      </c>
      <c r="AH16" s="52" t="str">
        <f t="shared" si="12"/>
        <v>√</v>
      </c>
      <c r="AI16" s="52" t="str">
        <f t="shared" si="12"/>
        <v>√</v>
      </c>
      <c r="AJ16" s="52" t="str">
        <f t="shared" si="12"/>
        <v>√</v>
      </c>
      <c r="AK16" s="52" t="str">
        <f t="shared" si="12"/>
        <v>√</v>
      </c>
      <c r="AL16" s="52" t="str">
        <f t="shared" si="12"/>
        <v>√</v>
      </c>
      <c r="AM16" s="52" t="str">
        <f t="shared" si="12"/>
        <v>√</v>
      </c>
      <c r="AN16" s="52" t="str">
        <f t="shared" si="12"/>
        <v>√</v>
      </c>
      <c r="AO16" s="52" t="str">
        <f t="shared" si="12"/>
        <v>√</v>
      </c>
    </row>
    <row r="17" ht="15" customHeight="1" spans="1:41">
      <c r="A17" s="53"/>
      <c r="B17" s="54" t="s">
        <v>55</v>
      </c>
      <c r="C17" s="55"/>
      <c r="D17" s="50">
        <v>0.025</v>
      </c>
      <c r="E17" s="50">
        <v>0.01</v>
      </c>
      <c r="F17" s="50">
        <v>-0.01</v>
      </c>
      <c r="G17" s="50">
        <f t="shared" si="1"/>
        <v>0.035</v>
      </c>
      <c r="H17" s="50">
        <f t="shared" si="2"/>
        <v>0.015</v>
      </c>
      <c r="I17" s="50" t="s">
        <v>44</v>
      </c>
      <c r="J17" s="51">
        <v>0.0217</v>
      </c>
      <c r="K17" s="51">
        <v>0.0274</v>
      </c>
      <c r="L17" s="51">
        <v>0.0217</v>
      </c>
      <c r="M17" s="51">
        <v>0.018</v>
      </c>
      <c r="N17" s="51">
        <v>0.0208</v>
      </c>
      <c r="O17" s="51">
        <v>0.0276</v>
      </c>
      <c r="P17" s="51">
        <v>0.02</v>
      </c>
      <c r="Q17" s="51">
        <v>0.0168</v>
      </c>
      <c r="R17" s="51">
        <v>0.0172</v>
      </c>
      <c r="S17" s="51">
        <v>0.015</v>
      </c>
      <c r="T17" s="51">
        <v>0.0281</v>
      </c>
      <c r="U17" s="51">
        <v>0.0265</v>
      </c>
      <c r="V17" s="51">
        <v>0.0234</v>
      </c>
      <c r="W17" s="51">
        <v>0.0252</v>
      </c>
      <c r="X17" s="51">
        <v>0.0246</v>
      </c>
      <c r="Y17" s="51">
        <v>0.0228</v>
      </c>
      <c r="Z17" s="52" t="str">
        <f t="shared" ref="Z17:AO17" si="13">IF(J17="","",IF(J17&gt;($D17+$E17),(J17-$D17-$E17),IF(J17&lt;($D17+$F17),(J17-$D17-$F17),"√")))</f>
        <v>√</v>
      </c>
      <c r="AA17" s="52" t="str">
        <f t="shared" si="13"/>
        <v>√</v>
      </c>
      <c r="AB17" s="52" t="str">
        <f t="shared" si="13"/>
        <v>√</v>
      </c>
      <c r="AC17" s="52" t="str">
        <f t="shared" si="13"/>
        <v>√</v>
      </c>
      <c r="AD17" s="52" t="str">
        <f t="shared" si="13"/>
        <v>√</v>
      </c>
      <c r="AE17" s="52" t="str">
        <f t="shared" si="13"/>
        <v>√</v>
      </c>
      <c r="AF17" s="52" t="str">
        <f t="shared" si="13"/>
        <v>√</v>
      </c>
      <c r="AG17" s="52" t="str">
        <f t="shared" si="13"/>
        <v>√</v>
      </c>
      <c r="AH17" s="52" t="str">
        <f t="shared" si="13"/>
        <v>√</v>
      </c>
      <c r="AI17" s="52" t="str">
        <f t="shared" si="13"/>
        <v>√</v>
      </c>
      <c r="AJ17" s="52" t="str">
        <f t="shared" si="13"/>
        <v>√</v>
      </c>
      <c r="AK17" s="52" t="str">
        <f t="shared" si="13"/>
        <v>√</v>
      </c>
      <c r="AL17" s="52" t="str">
        <f t="shared" si="13"/>
        <v>√</v>
      </c>
      <c r="AM17" s="52" t="str">
        <f t="shared" si="13"/>
        <v>√</v>
      </c>
      <c r="AN17" s="52" t="str">
        <f t="shared" si="13"/>
        <v>√</v>
      </c>
      <c r="AO17" s="52" t="str">
        <f t="shared" si="13"/>
        <v>√</v>
      </c>
    </row>
    <row r="18" ht="15" customHeight="1" spans="1:41">
      <c r="A18" s="53"/>
      <c r="B18" s="54" t="s">
        <v>56</v>
      </c>
      <c r="C18" s="55"/>
      <c r="D18" s="50">
        <v>0.025</v>
      </c>
      <c r="E18" s="50">
        <v>0.01</v>
      </c>
      <c r="F18" s="50">
        <v>-0.01</v>
      </c>
      <c r="G18" s="50">
        <f t="shared" si="1"/>
        <v>0.035</v>
      </c>
      <c r="H18" s="50">
        <f t="shared" si="2"/>
        <v>0.015</v>
      </c>
      <c r="I18" s="50" t="s">
        <v>44</v>
      </c>
      <c r="J18" s="51">
        <v>0.0218</v>
      </c>
      <c r="K18" s="51">
        <v>0.0232</v>
      </c>
      <c r="L18" s="51">
        <v>0.0214</v>
      </c>
      <c r="M18" s="51">
        <v>0.0158</v>
      </c>
      <c r="N18" s="51">
        <v>0.021</v>
      </c>
      <c r="O18" s="51">
        <v>0.0178</v>
      </c>
      <c r="P18" s="51">
        <v>0.02</v>
      </c>
      <c r="Q18" s="51">
        <v>0.0161</v>
      </c>
      <c r="R18" s="51">
        <v>0.0211</v>
      </c>
      <c r="S18" s="51">
        <v>0.0168</v>
      </c>
      <c r="T18" s="51">
        <v>0.0173</v>
      </c>
      <c r="U18" s="51">
        <v>0.022</v>
      </c>
      <c r="V18" s="51">
        <v>0.0153</v>
      </c>
      <c r="W18" s="51">
        <v>0.0151</v>
      </c>
      <c r="X18" s="51">
        <v>0.0252</v>
      </c>
      <c r="Y18" s="51">
        <v>0.0161</v>
      </c>
      <c r="Z18" s="52" t="str">
        <f t="shared" ref="Z18:AO18" si="14">IF(J18="","",IF(J18&gt;($D18+$E18),(J18-$D18-$E18),IF(J18&lt;($D18+$F18),(J18-$D18-$F18),"√")))</f>
        <v>√</v>
      </c>
      <c r="AA18" s="52" t="str">
        <f t="shared" si="14"/>
        <v>√</v>
      </c>
      <c r="AB18" s="52" t="str">
        <f t="shared" si="14"/>
        <v>√</v>
      </c>
      <c r="AC18" s="52" t="str">
        <f t="shared" si="14"/>
        <v>√</v>
      </c>
      <c r="AD18" s="52" t="str">
        <f t="shared" si="14"/>
        <v>√</v>
      </c>
      <c r="AE18" s="52" t="str">
        <f t="shared" si="14"/>
        <v>√</v>
      </c>
      <c r="AF18" s="52" t="str">
        <f t="shared" si="14"/>
        <v>√</v>
      </c>
      <c r="AG18" s="52" t="str">
        <f t="shared" si="14"/>
        <v>√</v>
      </c>
      <c r="AH18" s="52" t="str">
        <f t="shared" si="14"/>
        <v>√</v>
      </c>
      <c r="AI18" s="52" t="str">
        <f t="shared" si="14"/>
        <v>√</v>
      </c>
      <c r="AJ18" s="52" t="str">
        <f t="shared" si="14"/>
        <v>√</v>
      </c>
      <c r="AK18" s="52" t="str">
        <f t="shared" si="14"/>
        <v>√</v>
      </c>
      <c r="AL18" s="52" t="str">
        <f t="shared" si="14"/>
        <v>√</v>
      </c>
      <c r="AM18" s="52" t="str">
        <f t="shared" si="14"/>
        <v>√</v>
      </c>
      <c r="AN18" s="52" t="str">
        <f t="shared" si="14"/>
        <v>√</v>
      </c>
      <c r="AO18" s="52" t="str">
        <f t="shared" si="14"/>
        <v>√</v>
      </c>
    </row>
    <row r="19" ht="15" customHeight="1" spans="1:41">
      <c r="A19" s="53"/>
      <c r="B19" s="54" t="s">
        <v>57</v>
      </c>
      <c r="C19" s="55"/>
      <c r="D19" s="50">
        <v>1.3</v>
      </c>
      <c r="E19" s="50">
        <v>0.03</v>
      </c>
      <c r="F19" s="50">
        <v>-0.03</v>
      </c>
      <c r="G19" s="50">
        <f t="shared" si="1"/>
        <v>1.33</v>
      </c>
      <c r="H19" s="50">
        <f t="shared" si="2"/>
        <v>1.27</v>
      </c>
      <c r="I19" s="50" t="s">
        <v>58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53"/>
      <c r="B20" s="54" t="s">
        <v>59</v>
      </c>
      <c r="C20" s="55" t="s">
        <v>60</v>
      </c>
      <c r="D20" s="50">
        <v>186.04</v>
      </c>
      <c r="E20" s="50">
        <v>1</v>
      </c>
      <c r="F20" s="50">
        <v>-1</v>
      </c>
      <c r="G20" s="50">
        <f t="shared" si="1"/>
        <v>187.04</v>
      </c>
      <c r="H20" s="50">
        <f t="shared" si="2"/>
        <v>185.04</v>
      </c>
      <c r="I20" s="50" t="s">
        <v>58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6">IF(J20="","",IF(J20&gt;($D20+$E20),(J20-$D20-$E20),IF(J20&lt;($D20+$F20),(J20-$D20-$F20),"√")))</f>
        <v/>
      </c>
      <c r="AA20" s="52" t="str">
        <f t="shared" si="16"/>
        <v/>
      </c>
      <c r="AB20" s="52" t="str">
        <f t="shared" si="16"/>
        <v/>
      </c>
      <c r="AC20" s="52" t="str">
        <f t="shared" si="16"/>
        <v/>
      </c>
      <c r="AD20" s="52" t="str">
        <f t="shared" si="16"/>
        <v/>
      </c>
      <c r="AE20" s="52" t="str">
        <f t="shared" si="16"/>
        <v/>
      </c>
      <c r="AF20" s="52" t="str">
        <f t="shared" si="16"/>
        <v/>
      </c>
      <c r="AG20" s="52" t="str">
        <f t="shared" si="16"/>
        <v/>
      </c>
      <c r="AH20" s="52" t="str">
        <f t="shared" si="16"/>
        <v/>
      </c>
      <c r="AI20" s="52" t="str">
        <f t="shared" si="16"/>
        <v/>
      </c>
      <c r="AJ20" s="52" t="str">
        <f t="shared" si="16"/>
        <v/>
      </c>
      <c r="AK20" s="52" t="str">
        <f t="shared" si="16"/>
        <v/>
      </c>
      <c r="AL20" s="52" t="str">
        <f t="shared" si="16"/>
        <v/>
      </c>
      <c r="AM20" s="52" t="str">
        <f t="shared" si="16"/>
        <v/>
      </c>
      <c r="AN20" s="52" t="str">
        <f t="shared" si="16"/>
        <v/>
      </c>
      <c r="AO20" s="52" t="str">
        <f t="shared" si="16"/>
        <v/>
      </c>
    </row>
    <row r="21" ht="15" customHeight="1" spans="1:41">
      <c r="A21" s="53"/>
      <c r="B21" s="49" t="s">
        <v>42</v>
      </c>
      <c r="C21" s="56" t="s">
        <v>61</v>
      </c>
      <c r="D21" s="50">
        <v>0.5</v>
      </c>
      <c r="E21" s="50">
        <v>0.03</v>
      </c>
      <c r="F21" s="50">
        <v>-0.03</v>
      </c>
      <c r="G21" s="50">
        <v>0.53</v>
      </c>
      <c r="H21" s="50">
        <v>0.47</v>
      </c>
      <c r="I21" s="50" t="s">
        <v>58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7">IF(J21="","",IF(J21&gt;($D21+$E21),(J21-$D21-$E21),IF(J21&lt;($D21+$F21),(J21-$D21-$F21),"√")))</f>
        <v/>
      </c>
      <c r="AA21" s="52" t="str">
        <f t="shared" si="17"/>
        <v/>
      </c>
      <c r="AB21" s="52" t="str">
        <f t="shared" si="17"/>
        <v/>
      </c>
      <c r="AC21" s="52" t="str">
        <f t="shared" si="17"/>
        <v/>
      </c>
      <c r="AD21" s="52" t="str">
        <f t="shared" si="17"/>
        <v/>
      </c>
      <c r="AE21" s="52" t="str">
        <f t="shared" si="17"/>
        <v/>
      </c>
      <c r="AF21" s="52" t="str">
        <f t="shared" si="17"/>
        <v/>
      </c>
      <c r="AG21" s="52" t="str">
        <f t="shared" si="17"/>
        <v/>
      </c>
      <c r="AH21" s="52" t="str">
        <f t="shared" si="17"/>
        <v/>
      </c>
      <c r="AI21" s="52" t="str">
        <f t="shared" si="17"/>
        <v/>
      </c>
      <c r="AJ21" s="52" t="str">
        <f t="shared" si="17"/>
        <v/>
      </c>
      <c r="AK21" s="52" t="str">
        <f t="shared" si="17"/>
        <v/>
      </c>
      <c r="AL21" s="52" t="str">
        <f t="shared" si="17"/>
        <v/>
      </c>
      <c r="AM21" s="52" t="str">
        <f t="shared" si="17"/>
        <v/>
      </c>
      <c r="AN21" s="52" t="str">
        <f t="shared" si="17"/>
        <v/>
      </c>
      <c r="AO21" s="52" t="str">
        <f t="shared" si="17"/>
        <v/>
      </c>
    </row>
    <row r="22" ht="15" customHeight="1" spans="1:41">
      <c r="A22" s="53"/>
      <c r="B22" s="54" t="s">
        <v>62</v>
      </c>
      <c r="C22" s="55"/>
      <c r="D22" s="50">
        <v>1</v>
      </c>
      <c r="E22" s="50">
        <v>0.03</v>
      </c>
      <c r="F22" s="50">
        <v>-0.03</v>
      </c>
      <c r="G22" s="50">
        <f t="shared" ref="G22:G87" si="18">D22+E22</f>
        <v>1.03</v>
      </c>
      <c r="H22" s="50">
        <f t="shared" ref="H22:H87" si="19">D22+F22</f>
        <v>0.97</v>
      </c>
      <c r="I22" s="50" t="s">
        <v>58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20">IF(J22="","",IF(J22&gt;($D22+$E22),(J22-$D22-$E22),IF(J22&lt;($D22+$F22),(J22-$D22-$F22),"√")))</f>
        <v/>
      </c>
      <c r="AA22" s="52" t="str">
        <f t="shared" si="20"/>
        <v/>
      </c>
      <c r="AB22" s="52" t="str">
        <f t="shared" si="20"/>
        <v/>
      </c>
      <c r="AC22" s="52" t="str">
        <f t="shared" si="20"/>
        <v/>
      </c>
      <c r="AD22" s="52" t="str">
        <f t="shared" si="20"/>
        <v/>
      </c>
      <c r="AE22" s="52" t="str">
        <f t="shared" si="20"/>
        <v/>
      </c>
      <c r="AF22" s="52" t="str">
        <f t="shared" si="20"/>
        <v/>
      </c>
      <c r="AG22" s="52" t="str">
        <f t="shared" si="20"/>
        <v/>
      </c>
      <c r="AH22" s="52" t="str">
        <f t="shared" si="20"/>
        <v/>
      </c>
      <c r="AI22" s="52" t="str">
        <f t="shared" si="20"/>
        <v/>
      </c>
      <c r="AJ22" s="52" t="str">
        <f t="shared" si="20"/>
        <v/>
      </c>
      <c r="AK22" s="52" t="str">
        <f t="shared" si="20"/>
        <v/>
      </c>
      <c r="AL22" s="52" t="str">
        <f t="shared" si="20"/>
        <v/>
      </c>
      <c r="AM22" s="52" t="str">
        <f t="shared" si="20"/>
        <v/>
      </c>
      <c r="AN22" s="52" t="str">
        <f t="shared" si="20"/>
        <v/>
      </c>
      <c r="AO22" s="52" t="str">
        <f t="shared" si="20"/>
        <v/>
      </c>
    </row>
    <row r="23" ht="15" customHeight="1" spans="1:41">
      <c r="A23" s="53"/>
      <c r="B23" s="54" t="s">
        <v>63</v>
      </c>
      <c r="C23" s="55"/>
      <c r="D23" s="50">
        <v>1.03</v>
      </c>
      <c r="E23" s="50">
        <v>0.03</v>
      </c>
      <c r="F23" s="50">
        <v>-0.03</v>
      </c>
      <c r="G23" s="50">
        <v>1.06</v>
      </c>
      <c r="H23" s="50">
        <v>1</v>
      </c>
      <c r="I23" s="50" t="s">
        <v>58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21">IF(J23="","",IF(J23&gt;($D23+$E23),(J23-$D23-$E23),IF(J23&lt;($D23+$F23),(J23-$D23-$F23),"√")))</f>
        <v/>
      </c>
      <c r="AA23" s="52" t="str">
        <f t="shared" si="21"/>
        <v/>
      </c>
      <c r="AB23" s="52" t="str">
        <f t="shared" si="21"/>
        <v/>
      </c>
      <c r="AC23" s="52" t="str">
        <f t="shared" si="21"/>
        <v/>
      </c>
      <c r="AD23" s="52" t="str">
        <f t="shared" si="21"/>
        <v/>
      </c>
      <c r="AE23" s="52" t="str">
        <f t="shared" si="21"/>
        <v/>
      </c>
      <c r="AF23" s="52" t="str">
        <f t="shared" si="21"/>
        <v/>
      </c>
      <c r="AG23" s="52" t="str">
        <f t="shared" si="21"/>
        <v/>
      </c>
      <c r="AH23" s="52" t="str">
        <f t="shared" si="21"/>
        <v/>
      </c>
      <c r="AI23" s="52" t="str">
        <f t="shared" si="21"/>
        <v/>
      </c>
      <c r="AJ23" s="52" t="str">
        <f t="shared" si="21"/>
        <v/>
      </c>
      <c r="AK23" s="52" t="str">
        <f t="shared" si="21"/>
        <v/>
      </c>
      <c r="AL23" s="52" t="str">
        <f t="shared" si="21"/>
        <v/>
      </c>
      <c r="AM23" s="52" t="str">
        <f t="shared" si="21"/>
        <v/>
      </c>
      <c r="AN23" s="52" t="str">
        <f t="shared" si="21"/>
        <v/>
      </c>
      <c r="AO23" s="52" t="str">
        <f t="shared" si="21"/>
        <v/>
      </c>
    </row>
    <row r="24" ht="15" customHeight="1" spans="1:41">
      <c r="A24" s="53"/>
      <c r="B24" s="54" t="s">
        <v>64</v>
      </c>
      <c r="C24" s="55"/>
      <c r="D24" s="50">
        <v>0.89</v>
      </c>
      <c r="E24" s="50">
        <v>0.03</v>
      </c>
      <c r="F24" s="50">
        <v>-0.03</v>
      </c>
      <c r="G24" s="50">
        <v>0.92</v>
      </c>
      <c r="H24" s="50">
        <v>0.86</v>
      </c>
      <c r="I24" s="50" t="s">
        <v>58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2">IF(J24="","",IF(J24&gt;($D24+$E24),(J24-$D24-$E24),IF(J24&lt;($D24+$F24),(J24-$D24-$F24),"√")))</f>
        <v/>
      </c>
      <c r="AA24" s="52" t="str">
        <f t="shared" si="22"/>
        <v/>
      </c>
      <c r="AB24" s="52" t="str">
        <f t="shared" si="22"/>
        <v/>
      </c>
      <c r="AC24" s="52" t="str">
        <f t="shared" si="22"/>
        <v/>
      </c>
      <c r="AD24" s="52" t="str">
        <f t="shared" si="22"/>
        <v/>
      </c>
      <c r="AE24" s="52" t="str">
        <f t="shared" si="22"/>
        <v/>
      </c>
      <c r="AF24" s="52" t="str">
        <f t="shared" si="22"/>
        <v/>
      </c>
      <c r="AG24" s="52" t="str">
        <f t="shared" si="22"/>
        <v/>
      </c>
      <c r="AH24" s="52" t="str">
        <f t="shared" si="22"/>
        <v/>
      </c>
      <c r="AI24" s="52" t="str">
        <f t="shared" si="22"/>
        <v/>
      </c>
      <c r="AJ24" s="52" t="str">
        <f t="shared" si="22"/>
        <v/>
      </c>
      <c r="AK24" s="52" t="str">
        <f t="shared" si="22"/>
        <v/>
      </c>
      <c r="AL24" s="52" t="str">
        <f t="shared" si="22"/>
        <v/>
      </c>
      <c r="AM24" s="52" t="str">
        <f t="shared" si="22"/>
        <v/>
      </c>
      <c r="AN24" s="52" t="str">
        <f t="shared" si="22"/>
        <v/>
      </c>
      <c r="AO24" s="52" t="str">
        <f t="shared" si="22"/>
        <v/>
      </c>
    </row>
    <row r="25" ht="15" customHeight="1" spans="1:41">
      <c r="A25" s="53"/>
      <c r="B25" s="54" t="s">
        <v>65</v>
      </c>
      <c r="C25" s="55"/>
      <c r="D25" s="50">
        <v>4.16</v>
      </c>
      <c r="E25" s="50">
        <v>0.05</v>
      </c>
      <c r="F25" s="50">
        <v>-0.05</v>
      </c>
      <c r="G25" s="50">
        <f t="shared" si="18"/>
        <v>4.21</v>
      </c>
      <c r="H25" s="50">
        <f t="shared" si="19"/>
        <v>4.11</v>
      </c>
      <c r="I25" s="50" t="s">
        <v>58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3">IF(J25="","",IF(J25&gt;($D25+$E25),(J25-$D25-$E25),IF(J25&lt;($D25+$F25),(J25-$D25-$F25),"√")))</f>
        <v/>
      </c>
      <c r="AA25" s="52" t="str">
        <f t="shared" si="23"/>
        <v/>
      </c>
      <c r="AB25" s="52" t="str">
        <f t="shared" si="23"/>
        <v/>
      </c>
      <c r="AC25" s="52" t="str">
        <f t="shared" si="23"/>
        <v/>
      </c>
      <c r="AD25" s="52" t="str">
        <f t="shared" si="23"/>
        <v/>
      </c>
      <c r="AE25" s="52" t="str">
        <f t="shared" si="23"/>
        <v/>
      </c>
      <c r="AF25" s="52" t="str">
        <f t="shared" si="23"/>
        <v/>
      </c>
      <c r="AG25" s="52" t="str">
        <f t="shared" si="23"/>
        <v/>
      </c>
      <c r="AH25" s="52" t="str">
        <f t="shared" si="23"/>
        <v/>
      </c>
      <c r="AI25" s="52" t="str">
        <f t="shared" si="23"/>
        <v/>
      </c>
      <c r="AJ25" s="52" t="str">
        <f t="shared" si="23"/>
        <v/>
      </c>
      <c r="AK25" s="52" t="str">
        <f t="shared" si="23"/>
        <v/>
      </c>
      <c r="AL25" s="52" t="str">
        <f t="shared" si="23"/>
        <v/>
      </c>
      <c r="AM25" s="52" t="str">
        <f t="shared" si="23"/>
        <v/>
      </c>
      <c r="AN25" s="52" t="str">
        <f t="shared" si="23"/>
        <v/>
      </c>
      <c r="AO25" s="52" t="str">
        <f t="shared" si="23"/>
        <v/>
      </c>
    </row>
    <row r="26" ht="15" customHeight="1" spans="1:41">
      <c r="A26" s="53"/>
      <c r="B26" s="54" t="s">
        <v>66</v>
      </c>
      <c r="C26" s="55"/>
      <c r="D26" s="50">
        <v>4.19</v>
      </c>
      <c r="E26" s="50">
        <v>0.05</v>
      </c>
      <c r="F26" s="50">
        <v>-0.05</v>
      </c>
      <c r="G26" s="50">
        <f t="shared" si="18"/>
        <v>4.24</v>
      </c>
      <c r="H26" s="50">
        <f t="shared" si="19"/>
        <v>4.14</v>
      </c>
      <c r="I26" s="50" t="s">
        <v>58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4">IF(J26="","",IF(J26&gt;($D26+$E26),(J26-$D26-$E26),IF(J26&lt;($D26+$F26),(J26-$D26-$F26),"√")))</f>
        <v/>
      </c>
      <c r="AA26" s="52" t="str">
        <f t="shared" si="24"/>
        <v/>
      </c>
      <c r="AB26" s="52" t="str">
        <f t="shared" si="24"/>
        <v/>
      </c>
      <c r="AC26" s="52" t="str">
        <f t="shared" si="24"/>
        <v/>
      </c>
      <c r="AD26" s="52" t="str">
        <f t="shared" si="24"/>
        <v/>
      </c>
      <c r="AE26" s="52" t="str">
        <f t="shared" si="24"/>
        <v/>
      </c>
      <c r="AF26" s="52" t="str">
        <f t="shared" si="24"/>
        <v/>
      </c>
      <c r="AG26" s="52" t="str">
        <f t="shared" si="24"/>
        <v/>
      </c>
      <c r="AH26" s="52" t="str">
        <f t="shared" si="24"/>
        <v/>
      </c>
      <c r="AI26" s="52" t="str">
        <f t="shared" si="24"/>
        <v/>
      </c>
      <c r="AJ26" s="52" t="str">
        <f t="shared" si="24"/>
        <v/>
      </c>
      <c r="AK26" s="52" t="str">
        <f t="shared" si="24"/>
        <v/>
      </c>
      <c r="AL26" s="52" t="str">
        <f t="shared" si="24"/>
        <v/>
      </c>
      <c r="AM26" s="52" t="str">
        <f t="shared" si="24"/>
        <v/>
      </c>
      <c r="AN26" s="52" t="str">
        <f t="shared" si="24"/>
        <v/>
      </c>
      <c r="AO26" s="52" t="str">
        <f t="shared" si="24"/>
        <v/>
      </c>
    </row>
    <row r="27" ht="15" customHeight="1" spans="1:41">
      <c r="A27" s="53"/>
      <c r="B27" s="54" t="s">
        <v>67</v>
      </c>
      <c r="C27" s="55"/>
      <c r="D27" s="50">
        <v>8.2</v>
      </c>
      <c r="E27" s="50">
        <v>0.05</v>
      </c>
      <c r="F27" s="50">
        <v>-0.05</v>
      </c>
      <c r="G27" s="50">
        <f t="shared" si="18"/>
        <v>8.25</v>
      </c>
      <c r="H27" s="50">
        <f t="shared" si="19"/>
        <v>8.15</v>
      </c>
      <c r="I27" s="50" t="s">
        <v>58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5">IF(J27="","",IF(J27&gt;($D27+$E27),(J27-$D27-$E27),IF(J27&lt;($D27+$F27),(J27-$D27-$F27),"√")))</f>
        <v/>
      </c>
      <c r="AA27" s="52" t="str">
        <f t="shared" si="25"/>
        <v/>
      </c>
      <c r="AB27" s="52" t="str">
        <f t="shared" si="25"/>
        <v/>
      </c>
      <c r="AC27" s="52" t="str">
        <f t="shared" si="25"/>
        <v/>
      </c>
      <c r="AD27" s="52" t="str">
        <f t="shared" si="25"/>
        <v/>
      </c>
      <c r="AE27" s="52" t="str">
        <f t="shared" si="25"/>
        <v/>
      </c>
      <c r="AF27" s="52" t="str">
        <f t="shared" si="25"/>
        <v/>
      </c>
      <c r="AG27" s="52" t="str">
        <f t="shared" si="25"/>
        <v/>
      </c>
      <c r="AH27" s="52" t="str">
        <f t="shared" si="25"/>
        <v/>
      </c>
      <c r="AI27" s="52" t="str">
        <f t="shared" si="25"/>
        <v/>
      </c>
      <c r="AJ27" s="52" t="str">
        <f t="shared" si="25"/>
        <v/>
      </c>
      <c r="AK27" s="52" t="str">
        <f t="shared" si="25"/>
        <v/>
      </c>
      <c r="AL27" s="52" t="str">
        <f t="shared" si="25"/>
        <v/>
      </c>
      <c r="AM27" s="52" t="str">
        <f t="shared" si="25"/>
        <v/>
      </c>
      <c r="AN27" s="52" t="str">
        <f t="shared" si="25"/>
        <v/>
      </c>
      <c r="AO27" s="52" t="str">
        <f t="shared" si="25"/>
        <v/>
      </c>
    </row>
    <row r="28" ht="15" customHeight="1" spans="1:41">
      <c r="A28" s="53"/>
      <c r="B28" s="54" t="s">
        <v>68</v>
      </c>
      <c r="C28" s="55"/>
      <c r="D28" s="50">
        <v>2.69</v>
      </c>
      <c r="E28" s="50">
        <v>0.03</v>
      </c>
      <c r="F28" s="50">
        <v>-0.03</v>
      </c>
      <c r="G28" s="50">
        <f t="shared" si="18"/>
        <v>2.72</v>
      </c>
      <c r="H28" s="50">
        <f t="shared" si="19"/>
        <v>2.66</v>
      </c>
      <c r="I28" s="50" t="s">
        <v>58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6">IF(J28="","",IF(J28&gt;($D28+$E28),(J28-$D28-$E28),IF(J28&lt;($D28+$F28),(J28-$D28-$F28),"√")))</f>
        <v/>
      </c>
      <c r="AA28" s="52" t="str">
        <f t="shared" si="26"/>
        <v/>
      </c>
      <c r="AB28" s="52" t="str">
        <f t="shared" si="26"/>
        <v/>
      </c>
      <c r="AC28" s="52" t="str">
        <f t="shared" si="26"/>
        <v/>
      </c>
      <c r="AD28" s="52" t="str">
        <f t="shared" si="26"/>
        <v/>
      </c>
      <c r="AE28" s="52" t="str">
        <f t="shared" si="26"/>
        <v/>
      </c>
      <c r="AF28" s="52" t="str">
        <f t="shared" si="26"/>
        <v/>
      </c>
      <c r="AG28" s="52" t="str">
        <f t="shared" si="26"/>
        <v/>
      </c>
      <c r="AH28" s="52" t="str">
        <f t="shared" si="26"/>
        <v/>
      </c>
      <c r="AI28" s="52" t="str">
        <f t="shared" si="26"/>
        <v/>
      </c>
      <c r="AJ28" s="52" t="str">
        <f t="shared" si="26"/>
        <v/>
      </c>
      <c r="AK28" s="52" t="str">
        <f t="shared" si="26"/>
        <v/>
      </c>
      <c r="AL28" s="52" t="str">
        <f t="shared" si="26"/>
        <v/>
      </c>
      <c r="AM28" s="52" t="str">
        <f t="shared" si="26"/>
        <v/>
      </c>
      <c r="AN28" s="52" t="str">
        <f t="shared" si="26"/>
        <v/>
      </c>
      <c r="AO28" s="52" t="str">
        <f t="shared" si="26"/>
        <v/>
      </c>
    </row>
    <row r="29" ht="15" customHeight="1" spans="1:41">
      <c r="A29" s="53"/>
      <c r="B29" s="54" t="s">
        <v>69</v>
      </c>
      <c r="C29" s="55"/>
      <c r="D29" s="50">
        <v>5.58</v>
      </c>
      <c r="E29" s="50">
        <v>0.03</v>
      </c>
      <c r="F29" s="50">
        <v>-0.03</v>
      </c>
      <c r="G29" s="50">
        <f t="shared" si="18"/>
        <v>5.61</v>
      </c>
      <c r="H29" s="50">
        <f t="shared" si="19"/>
        <v>5.55</v>
      </c>
      <c r="I29" s="50" t="s">
        <v>58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7">IF(J29="","",IF(J29&gt;($D29+$E29),(J29-$D29-$E29),IF(J29&lt;($D29+$F29),(J29-$D29-$F29),"√")))</f>
        <v/>
      </c>
      <c r="AA29" s="52" t="str">
        <f t="shared" si="27"/>
        <v/>
      </c>
      <c r="AB29" s="52" t="str">
        <f t="shared" si="27"/>
        <v/>
      </c>
      <c r="AC29" s="52" t="str">
        <f t="shared" si="27"/>
        <v/>
      </c>
      <c r="AD29" s="52" t="str">
        <f t="shared" si="27"/>
        <v/>
      </c>
      <c r="AE29" s="52" t="str">
        <f t="shared" si="27"/>
        <v/>
      </c>
      <c r="AF29" s="52" t="str">
        <f t="shared" si="27"/>
        <v/>
      </c>
      <c r="AG29" s="52" t="str">
        <f t="shared" si="27"/>
        <v/>
      </c>
      <c r="AH29" s="52" t="str">
        <f t="shared" si="27"/>
        <v/>
      </c>
      <c r="AI29" s="52" t="str">
        <f t="shared" si="27"/>
        <v/>
      </c>
      <c r="AJ29" s="52" t="str">
        <f t="shared" si="27"/>
        <v/>
      </c>
      <c r="AK29" s="52" t="str">
        <f t="shared" si="27"/>
        <v/>
      </c>
      <c r="AL29" s="52" t="str">
        <f t="shared" si="27"/>
        <v/>
      </c>
      <c r="AM29" s="52" t="str">
        <f t="shared" si="27"/>
        <v/>
      </c>
      <c r="AN29" s="52" t="str">
        <f t="shared" si="27"/>
        <v/>
      </c>
      <c r="AO29" s="52" t="str">
        <f t="shared" si="27"/>
        <v/>
      </c>
    </row>
    <row r="30" ht="15" customHeight="1" spans="1:41">
      <c r="A30" s="53"/>
      <c r="B30" s="54" t="s">
        <v>70</v>
      </c>
      <c r="C30" s="55"/>
      <c r="D30" s="50">
        <v>0.4</v>
      </c>
      <c r="E30" s="50">
        <v>0.03</v>
      </c>
      <c r="F30" s="50">
        <v>-0.03</v>
      </c>
      <c r="G30" s="50">
        <f t="shared" si="18"/>
        <v>0.43</v>
      </c>
      <c r="H30" s="50">
        <f t="shared" si="19"/>
        <v>0.37</v>
      </c>
      <c r="I30" s="50" t="s">
        <v>58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28">IF(J30="","",IF(J30&gt;($D30+$E30),(J30-$D30-$E30),IF(J30&lt;($D30+$F30),(J30-$D30-$F30),"√")))</f>
        <v/>
      </c>
      <c r="AA30" s="52" t="str">
        <f t="shared" si="28"/>
        <v/>
      </c>
      <c r="AB30" s="52" t="str">
        <f t="shared" si="28"/>
        <v/>
      </c>
      <c r="AC30" s="52" t="str">
        <f t="shared" si="28"/>
        <v/>
      </c>
      <c r="AD30" s="52" t="str">
        <f t="shared" si="28"/>
        <v/>
      </c>
      <c r="AE30" s="52" t="str">
        <f t="shared" si="28"/>
        <v/>
      </c>
      <c r="AF30" s="52" t="str">
        <f t="shared" si="28"/>
        <v/>
      </c>
      <c r="AG30" s="52" t="str">
        <f t="shared" si="28"/>
        <v/>
      </c>
      <c r="AH30" s="52" t="str">
        <f t="shared" si="28"/>
        <v/>
      </c>
      <c r="AI30" s="52" t="str">
        <f t="shared" si="28"/>
        <v/>
      </c>
      <c r="AJ30" s="52" t="str">
        <f t="shared" si="28"/>
        <v/>
      </c>
      <c r="AK30" s="52" t="str">
        <f t="shared" si="28"/>
        <v/>
      </c>
      <c r="AL30" s="52" t="str">
        <f t="shared" si="28"/>
        <v/>
      </c>
      <c r="AM30" s="52" t="str">
        <f t="shared" si="28"/>
        <v/>
      </c>
      <c r="AN30" s="52" t="str">
        <f t="shared" si="28"/>
        <v/>
      </c>
      <c r="AO30" s="52" t="str">
        <f t="shared" si="28"/>
        <v/>
      </c>
    </row>
    <row r="31" ht="15" customHeight="1" spans="1:41">
      <c r="A31" s="53"/>
      <c r="B31" s="54" t="s">
        <v>71</v>
      </c>
      <c r="C31" s="55"/>
      <c r="D31" s="50">
        <v>0.4</v>
      </c>
      <c r="E31" s="50">
        <v>0.03</v>
      </c>
      <c r="F31" s="50">
        <v>-0.03</v>
      </c>
      <c r="G31" s="50">
        <f t="shared" si="18"/>
        <v>0.43</v>
      </c>
      <c r="H31" s="50">
        <f t="shared" si="19"/>
        <v>0.37</v>
      </c>
      <c r="I31" s="50" t="s">
        <v>58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1" si="29">IF(J31="","",IF(J31&gt;($D31+$E31),(J31-$D31-$E31),IF(J31&lt;($D31+$F31),(J31-$D31-$F31),"√")))</f>
        <v/>
      </c>
      <c r="AA31" s="52" t="str">
        <f t="shared" si="29"/>
        <v/>
      </c>
      <c r="AB31" s="52" t="str">
        <f t="shared" si="29"/>
        <v/>
      </c>
      <c r="AC31" s="52" t="str">
        <f t="shared" si="29"/>
        <v/>
      </c>
      <c r="AD31" s="52" t="str">
        <f t="shared" si="29"/>
        <v/>
      </c>
      <c r="AE31" s="52" t="str">
        <f t="shared" si="29"/>
        <v/>
      </c>
      <c r="AF31" s="52" t="str">
        <f t="shared" si="29"/>
        <v/>
      </c>
      <c r="AG31" s="52" t="str">
        <f t="shared" si="29"/>
        <v/>
      </c>
      <c r="AH31" s="52" t="str">
        <f t="shared" si="29"/>
        <v/>
      </c>
      <c r="AI31" s="52" t="str">
        <f t="shared" si="29"/>
        <v/>
      </c>
      <c r="AJ31" s="52" t="str">
        <f t="shared" si="29"/>
        <v/>
      </c>
      <c r="AK31" s="52" t="str">
        <f t="shared" si="29"/>
        <v/>
      </c>
      <c r="AL31" s="52" t="str">
        <f t="shared" si="29"/>
        <v/>
      </c>
      <c r="AM31" s="52" t="str">
        <f t="shared" si="29"/>
        <v/>
      </c>
      <c r="AN31" s="52" t="str">
        <f t="shared" si="29"/>
        <v/>
      </c>
      <c r="AO31" s="52" t="str">
        <f t="shared" si="29"/>
        <v/>
      </c>
    </row>
    <row r="32" ht="15" customHeight="1" spans="1:41">
      <c r="A32" s="53"/>
      <c r="B32" s="54" t="s">
        <v>72</v>
      </c>
      <c r="C32" s="55" t="s">
        <v>73</v>
      </c>
      <c r="D32" s="50">
        <v>3.34</v>
      </c>
      <c r="E32" s="50">
        <v>0.03</v>
      </c>
      <c r="F32" s="50">
        <v>-0.03</v>
      </c>
      <c r="G32" s="50">
        <f t="shared" si="18"/>
        <v>3.37</v>
      </c>
      <c r="H32" s="50">
        <f t="shared" si="19"/>
        <v>3.31</v>
      </c>
      <c r="I32" s="50" t="s">
        <v>58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2" t="str">
        <f t="shared" ref="Z32:AO32" si="30">IF(J32="","",IF(J32&gt;($D32+$E32),(J32-$D32-$E32),IF(J32&lt;($D32+$F32),(J32-$D32-$F32),"√")))</f>
        <v/>
      </c>
      <c r="AA32" s="52" t="str">
        <f t="shared" si="30"/>
        <v/>
      </c>
      <c r="AB32" s="52" t="str">
        <f t="shared" si="30"/>
        <v/>
      </c>
      <c r="AC32" s="52" t="str">
        <f t="shared" si="30"/>
        <v/>
      </c>
      <c r="AD32" s="52" t="str">
        <f t="shared" si="30"/>
        <v/>
      </c>
      <c r="AE32" s="52" t="str">
        <f t="shared" si="30"/>
        <v/>
      </c>
      <c r="AF32" s="52" t="str">
        <f t="shared" si="30"/>
        <v/>
      </c>
      <c r="AG32" s="52" t="str">
        <f t="shared" si="30"/>
        <v/>
      </c>
      <c r="AH32" s="52" t="str">
        <f t="shared" si="30"/>
        <v/>
      </c>
      <c r="AI32" s="52" t="str">
        <f t="shared" si="30"/>
        <v/>
      </c>
      <c r="AJ32" s="52" t="str">
        <f t="shared" si="30"/>
        <v/>
      </c>
      <c r="AK32" s="52" t="str">
        <f t="shared" si="30"/>
        <v/>
      </c>
      <c r="AL32" s="52" t="str">
        <f t="shared" si="30"/>
        <v/>
      </c>
      <c r="AM32" s="52" t="str">
        <f t="shared" si="30"/>
        <v/>
      </c>
      <c r="AN32" s="52" t="str">
        <f t="shared" si="30"/>
        <v/>
      </c>
      <c r="AO32" s="52" t="str">
        <f t="shared" si="30"/>
        <v/>
      </c>
    </row>
    <row r="33" ht="15" customHeight="1" spans="1:41">
      <c r="A33" s="53"/>
      <c r="B33" s="54" t="s">
        <v>74</v>
      </c>
      <c r="C33" s="55" t="s">
        <v>75</v>
      </c>
      <c r="D33" s="50">
        <v>1.57</v>
      </c>
      <c r="E33" s="50">
        <v>0.03</v>
      </c>
      <c r="F33" s="50">
        <v>-0.03</v>
      </c>
      <c r="G33" s="50">
        <f t="shared" si="18"/>
        <v>1.6</v>
      </c>
      <c r="H33" s="50">
        <f t="shared" si="19"/>
        <v>1.54</v>
      </c>
      <c r="I33" s="50" t="s">
        <v>58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31">IF(J33="","",IF(J33&gt;($D33+$E33),(J33-$D33-$E33),IF(J33&lt;($D33+$F33),(J33-$D33-$F33),"√")))</f>
        <v/>
      </c>
      <c r="AA33" s="52" t="str">
        <f t="shared" si="31"/>
        <v/>
      </c>
      <c r="AB33" s="52" t="str">
        <f t="shared" si="31"/>
        <v/>
      </c>
      <c r="AC33" s="52" t="str">
        <f t="shared" si="31"/>
        <v/>
      </c>
      <c r="AD33" s="52" t="str">
        <f t="shared" si="31"/>
        <v/>
      </c>
      <c r="AE33" s="52" t="str">
        <f t="shared" si="31"/>
        <v/>
      </c>
      <c r="AF33" s="52" t="str">
        <f t="shared" si="31"/>
        <v/>
      </c>
      <c r="AG33" s="52" t="str">
        <f t="shared" si="31"/>
        <v/>
      </c>
      <c r="AH33" s="52" t="str">
        <f t="shared" si="31"/>
        <v/>
      </c>
      <c r="AI33" s="52" t="str">
        <f t="shared" si="31"/>
        <v/>
      </c>
      <c r="AJ33" s="52" t="str">
        <f t="shared" si="31"/>
        <v/>
      </c>
      <c r="AK33" s="52" t="str">
        <f t="shared" si="31"/>
        <v/>
      </c>
      <c r="AL33" s="52" t="str">
        <f t="shared" si="31"/>
        <v/>
      </c>
      <c r="AM33" s="52" t="str">
        <f t="shared" si="31"/>
        <v/>
      </c>
      <c r="AN33" s="52" t="str">
        <f t="shared" si="31"/>
        <v/>
      </c>
      <c r="AO33" s="52" t="str">
        <f t="shared" si="31"/>
        <v/>
      </c>
    </row>
    <row r="34" ht="15" customHeight="1" spans="1:41">
      <c r="A34" s="53"/>
      <c r="B34" s="54" t="s">
        <v>76</v>
      </c>
      <c r="C34" s="55"/>
      <c r="D34" s="50">
        <v>1.17</v>
      </c>
      <c r="E34" s="50">
        <v>0.03</v>
      </c>
      <c r="F34" s="50">
        <v>-0.03</v>
      </c>
      <c r="G34" s="50">
        <f t="shared" si="18"/>
        <v>1.2</v>
      </c>
      <c r="H34" s="50">
        <f t="shared" si="19"/>
        <v>1.14</v>
      </c>
      <c r="I34" s="50" t="s">
        <v>58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2">IF(J34="","",IF(J34&gt;($D34+$E34),(J34-$D34-$E34),IF(J34&lt;($D34+$F34),(J34-$D34-$F34),"√")))</f>
        <v/>
      </c>
      <c r="AA34" s="52" t="str">
        <f t="shared" si="32"/>
        <v/>
      </c>
      <c r="AB34" s="52" t="str">
        <f t="shared" si="32"/>
        <v/>
      </c>
      <c r="AC34" s="52" t="str">
        <f t="shared" si="32"/>
        <v/>
      </c>
      <c r="AD34" s="52" t="str">
        <f t="shared" si="32"/>
        <v/>
      </c>
      <c r="AE34" s="52" t="str">
        <f t="shared" si="32"/>
        <v/>
      </c>
      <c r="AF34" s="52" t="str">
        <f t="shared" si="32"/>
        <v/>
      </c>
      <c r="AG34" s="52" t="str">
        <f t="shared" si="32"/>
        <v/>
      </c>
      <c r="AH34" s="52" t="str">
        <f t="shared" si="32"/>
        <v/>
      </c>
      <c r="AI34" s="52" t="str">
        <f t="shared" si="32"/>
        <v/>
      </c>
      <c r="AJ34" s="52" t="str">
        <f t="shared" si="32"/>
        <v/>
      </c>
      <c r="AK34" s="52" t="str">
        <f t="shared" si="32"/>
        <v/>
      </c>
      <c r="AL34" s="52" t="str">
        <f t="shared" si="32"/>
        <v/>
      </c>
      <c r="AM34" s="52" t="str">
        <f t="shared" si="32"/>
        <v/>
      </c>
      <c r="AN34" s="52" t="str">
        <f t="shared" si="32"/>
        <v/>
      </c>
      <c r="AO34" s="52" t="str">
        <f t="shared" si="32"/>
        <v/>
      </c>
    </row>
    <row r="35" ht="15" customHeight="1" spans="1:41">
      <c r="A35" s="53"/>
      <c r="B35" s="54" t="s">
        <v>77</v>
      </c>
      <c r="C35" s="55"/>
      <c r="D35" s="50">
        <v>2.1</v>
      </c>
      <c r="E35" s="50">
        <v>0.03</v>
      </c>
      <c r="F35" s="50">
        <v>-0.03</v>
      </c>
      <c r="G35" s="50">
        <f t="shared" si="18"/>
        <v>2.13</v>
      </c>
      <c r="H35" s="50">
        <f t="shared" si="19"/>
        <v>2.07</v>
      </c>
      <c r="I35" s="50" t="s">
        <v>58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3">IF(J35="","",IF(J35&gt;($D35+$E35),(J35-$D35-$E35),IF(J35&lt;($D35+$F35),(J35-$D35-$F35),"√")))</f>
        <v/>
      </c>
      <c r="AA35" s="52" t="str">
        <f t="shared" si="33"/>
        <v/>
      </c>
      <c r="AB35" s="52" t="str">
        <f t="shared" si="33"/>
        <v/>
      </c>
      <c r="AC35" s="52" t="str">
        <f t="shared" si="33"/>
        <v/>
      </c>
      <c r="AD35" s="52" t="str">
        <f t="shared" si="33"/>
        <v/>
      </c>
      <c r="AE35" s="52" t="str">
        <f t="shared" si="33"/>
        <v/>
      </c>
      <c r="AF35" s="52" t="str">
        <f t="shared" si="33"/>
        <v/>
      </c>
      <c r="AG35" s="52" t="str">
        <f t="shared" si="33"/>
        <v/>
      </c>
      <c r="AH35" s="52" t="str">
        <f t="shared" si="33"/>
        <v/>
      </c>
      <c r="AI35" s="52" t="str">
        <f t="shared" si="33"/>
        <v/>
      </c>
      <c r="AJ35" s="52" t="str">
        <f t="shared" si="33"/>
        <v/>
      </c>
      <c r="AK35" s="52" t="str">
        <f t="shared" si="33"/>
        <v/>
      </c>
      <c r="AL35" s="52" t="str">
        <f t="shared" si="33"/>
        <v/>
      </c>
      <c r="AM35" s="52" t="str">
        <f t="shared" si="33"/>
        <v/>
      </c>
      <c r="AN35" s="52" t="str">
        <f t="shared" si="33"/>
        <v/>
      </c>
      <c r="AO35" s="52" t="str">
        <f t="shared" si="33"/>
        <v/>
      </c>
    </row>
    <row r="36" ht="15" customHeight="1" spans="1:41">
      <c r="A36" s="53"/>
      <c r="B36" s="54" t="s">
        <v>78</v>
      </c>
      <c r="C36" s="55" t="s">
        <v>79</v>
      </c>
      <c r="D36" s="50">
        <v>0</v>
      </c>
      <c r="E36" s="50">
        <v>0.05</v>
      </c>
      <c r="F36" s="50">
        <v>0</v>
      </c>
      <c r="G36" s="50">
        <f t="shared" si="18"/>
        <v>0.05</v>
      </c>
      <c r="H36" s="50">
        <f t="shared" si="19"/>
        <v>0</v>
      </c>
      <c r="I36" s="50" t="s">
        <v>58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4">IF(J36="","",IF(J36&gt;($D36+$E36),(J36-$D36-$E36),IF(J36&lt;($D36+$F36),(J36-$D36-$F36),"√")))</f>
        <v/>
      </c>
      <c r="AA36" s="52" t="str">
        <f t="shared" si="34"/>
        <v/>
      </c>
      <c r="AB36" s="52" t="str">
        <f t="shared" si="34"/>
        <v/>
      </c>
      <c r="AC36" s="52" t="str">
        <f t="shared" si="34"/>
        <v/>
      </c>
      <c r="AD36" s="52" t="str">
        <f t="shared" si="34"/>
        <v/>
      </c>
      <c r="AE36" s="52" t="str">
        <f t="shared" si="34"/>
        <v/>
      </c>
      <c r="AF36" s="52" t="str">
        <f t="shared" si="34"/>
        <v/>
      </c>
      <c r="AG36" s="52" t="str">
        <f t="shared" si="34"/>
        <v/>
      </c>
      <c r="AH36" s="52" t="str">
        <f t="shared" si="34"/>
        <v/>
      </c>
      <c r="AI36" s="52" t="str">
        <f t="shared" si="34"/>
        <v/>
      </c>
      <c r="AJ36" s="52" t="str">
        <f t="shared" si="34"/>
        <v/>
      </c>
      <c r="AK36" s="52" t="str">
        <f t="shared" si="34"/>
        <v/>
      </c>
      <c r="AL36" s="52" t="str">
        <f t="shared" si="34"/>
        <v/>
      </c>
      <c r="AM36" s="52" t="str">
        <f t="shared" si="34"/>
        <v/>
      </c>
      <c r="AN36" s="52" t="str">
        <f t="shared" si="34"/>
        <v/>
      </c>
      <c r="AO36" s="52" t="str">
        <f t="shared" si="34"/>
        <v/>
      </c>
    </row>
    <row r="37" ht="15" customHeight="1" spans="1:41">
      <c r="A37" s="53"/>
      <c r="B37" s="54">
        <v>1</v>
      </c>
      <c r="C37" s="55"/>
      <c r="D37" s="50"/>
      <c r="E37" s="50"/>
      <c r="F37" s="50"/>
      <c r="G37" s="50">
        <f t="shared" si="18"/>
        <v>0</v>
      </c>
      <c r="H37" s="50">
        <f t="shared" si="19"/>
        <v>0</v>
      </c>
      <c r="I37" s="50" t="s">
        <v>58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53"/>
      <c r="B38" s="54">
        <v>2</v>
      </c>
      <c r="C38" s="55"/>
      <c r="D38" s="50"/>
      <c r="E38" s="50"/>
      <c r="F38" s="50"/>
      <c r="G38" s="50">
        <f t="shared" si="18"/>
        <v>0</v>
      </c>
      <c r="H38" s="50">
        <f t="shared" si="19"/>
        <v>0</v>
      </c>
      <c r="I38" s="50" t="s">
        <v>58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53"/>
      <c r="B39" s="54">
        <v>3</v>
      </c>
      <c r="C39" s="55"/>
      <c r="D39" s="50"/>
      <c r="E39" s="50"/>
      <c r="F39" s="50"/>
      <c r="G39" s="50">
        <f t="shared" si="18"/>
        <v>0</v>
      </c>
      <c r="H39" s="50">
        <f t="shared" si="19"/>
        <v>0</v>
      </c>
      <c r="I39" s="50" t="s">
        <v>58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53"/>
      <c r="B40" s="54">
        <v>4</v>
      </c>
      <c r="C40" s="55"/>
      <c r="D40" s="50"/>
      <c r="E40" s="50"/>
      <c r="F40" s="50"/>
      <c r="G40" s="50">
        <f t="shared" si="18"/>
        <v>0</v>
      </c>
      <c r="H40" s="50">
        <f t="shared" si="19"/>
        <v>0</v>
      </c>
      <c r="I40" s="50" t="s">
        <v>58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53"/>
      <c r="B41" s="54">
        <v>5</v>
      </c>
      <c r="C41" s="55"/>
      <c r="D41" s="50"/>
      <c r="E41" s="50"/>
      <c r="F41" s="50"/>
      <c r="G41" s="50">
        <f t="shared" si="18"/>
        <v>0</v>
      </c>
      <c r="H41" s="50">
        <f t="shared" si="19"/>
        <v>0</v>
      </c>
      <c r="I41" s="50" t="s">
        <v>58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53"/>
      <c r="B42" s="54">
        <v>6</v>
      </c>
      <c r="C42" s="55"/>
      <c r="D42" s="50"/>
      <c r="E42" s="50"/>
      <c r="F42" s="50"/>
      <c r="G42" s="50">
        <f t="shared" si="18"/>
        <v>0</v>
      </c>
      <c r="H42" s="50">
        <f t="shared" si="19"/>
        <v>0</v>
      </c>
      <c r="I42" s="50" t="s">
        <v>58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53"/>
      <c r="B43" s="54" t="s">
        <v>80</v>
      </c>
      <c r="C43" s="55" t="s">
        <v>81</v>
      </c>
      <c r="D43" s="50">
        <v>0</v>
      </c>
      <c r="E43" s="50">
        <v>0.04</v>
      </c>
      <c r="F43" s="50">
        <v>0</v>
      </c>
      <c r="G43" s="50">
        <f t="shared" si="18"/>
        <v>0.04</v>
      </c>
      <c r="H43" s="50">
        <f t="shared" si="19"/>
        <v>0</v>
      </c>
      <c r="I43" s="50" t="s">
        <v>58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5">IF(J43="","",IF(J43&gt;($D43+$E43),(J43-$D43-$E43),IF(J43&lt;($D43+$F43),(J43-$D43-$F43),"√")))</f>
        <v/>
      </c>
      <c r="AA43" s="52" t="str">
        <f t="shared" si="35"/>
        <v/>
      </c>
      <c r="AB43" s="52" t="str">
        <f t="shared" si="35"/>
        <v/>
      </c>
      <c r="AC43" s="52" t="str">
        <f t="shared" si="35"/>
        <v/>
      </c>
      <c r="AD43" s="52" t="str">
        <f t="shared" si="35"/>
        <v/>
      </c>
      <c r="AE43" s="52" t="str">
        <f t="shared" si="35"/>
        <v/>
      </c>
      <c r="AF43" s="52" t="str">
        <f t="shared" si="35"/>
        <v/>
      </c>
      <c r="AG43" s="52" t="str">
        <f t="shared" si="35"/>
        <v/>
      </c>
      <c r="AH43" s="52" t="str">
        <f t="shared" si="35"/>
        <v/>
      </c>
      <c r="AI43" s="52" t="str">
        <f t="shared" si="35"/>
        <v/>
      </c>
      <c r="AJ43" s="52" t="str">
        <f t="shared" si="35"/>
        <v/>
      </c>
      <c r="AK43" s="52" t="str">
        <f t="shared" si="35"/>
        <v/>
      </c>
      <c r="AL43" s="52" t="str">
        <f t="shared" si="35"/>
        <v/>
      </c>
      <c r="AM43" s="52" t="str">
        <f t="shared" si="35"/>
        <v/>
      </c>
      <c r="AN43" s="52" t="str">
        <f t="shared" si="35"/>
        <v/>
      </c>
      <c r="AO43" s="52" t="str">
        <f t="shared" si="35"/>
        <v/>
      </c>
    </row>
    <row r="44" ht="15" customHeight="1" spans="1:41">
      <c r="A44" s="53"/>
      <c r="B44" s="54">
        <v>1</v>
      </c>
      <c r="C44" s="55"/>
      <c r="D44" s="50"/>
      <c r="E44" s="50"/>
      <c r="F44" s="50"/>
      <c r="G44" s="50">
        <f t="shared" si="18"/>
        <v>0</v>
      </c>
      <c r="H44" s="50">
        <f t="shared" si="19"/>
        <v>0</v>
      </c>
      <c r="I44" s="50" t="s">
        <v>58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53"/>
      <c r="B45" s="54">
        <v>2</v>
      </c>
      <c r="C45" s="55"/>
      <c r="D45" s="50"/>
      <c r="E45" s="50"/>
      <c r="F45" s="50"/>
      <c r="G45" s="50">
        <f t="shared" si="18"/>
        <v>0</v>
      </c>
      <c r="H45" s="50">
        <f t="shared" si="19"/>
        <v>0</v>
      </c>
      <c r="I45" s="50" t="s">
        <v>58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53"/>
      <c r="B46" s="54">
        <v>3</v>
      </c>
      <c r="C46" s="55"/>
      <c r="D46" s="50"/>
      <c r="E46" s="50"/>
      <c r="F46" s="50"/>
      <c r="G46" s="50">
        <f t="shared" si="18"/>
        <v>0</v>
      </c>
      <c r="H46" s="50">
        <f t="shared" si="19"/>
        <v>0</v>
      </c>
      <c r="I46" s="50" t="s">
        <v>58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53"/>
      <c r="B47" s="54">
        <v>4</v>
      </c>
      <c r="C47" s="55"/>
      <c r="D47" s="50"/>
      <c r="E47" s="50"/>
      <c r="F47" s="50"/>
      <c r="G47" s="50">
        <f t="shared" si="18"/>
        <v>0</v>
      </c>
      <c r="H47" s="50">
        <f t="shared" si="19"/>
        <v>0</v>
      </c>
      <c r="I47" s="50" t="s">
        <v>58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53"/>
      <c r="B48" s="54">
        <v>5</v>
      </c>
      <c r="C48" s="55"/>
      <c r="D48" s="50"/>
      <c r="E48" s="50"/>
      <c r="F48" s="50"/>
      <c r="G48" s="50">
        <f t="shared" si="18"/>
        <v>0</v>
      </c>
      <c r="H48" s="50">
        <f t="shared" si="19"/>
        <v>0</v>
      </c>
      <c r="I48" s="50" t="s">
        <v>58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53"/>
      <c r="B49" s="54">
        <v>6</v>
      </c>
      <c r="C49" s="55"/>
      <c r="D49" s="50"/>
      <c r="E49" s="50"/>
      <c r="F49" s="50"/>
      <c r="G49" s="50">
        <f t="shared" si="18"/>
        <v>0</v>
      </c>
      <c r="H49" s="50">
        <f t="shared" si="19"/>
        <v>0</v>
      </c>
      <c r="I49" s="50" t="s">
        <v>58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53"/>
      <c r="B50" s="54" t="s">
        <v>82</v>
      </c>
      <c r="C50" s="55" t="s">
        <v>83</v>
      </c>
      <c r="D50" s="50">
        <v>0</v>
      </c>
      <c r="E50" s="50">
        <v>0.03</v>
      </c>
      <c r="F50" s="50">
        <v>0</v>
      </c>
      <c r="G50" s="50">
        <f t="shared" si="18"/>
        <v>0.03</v>
      </c>
      <c r="H50" s="50">
        <f t="shared" si="19"/>
        <v>0</v>
      </c>
      <c r="I50" s="50" t="s">
        <v>58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6">IF(J50="","",IF(J50&gt;($D50+$E50),(J50-$D50-$E50),IF(J50&lt;($D50+$F50),(J50-$D50-$F50),"√")))</f>
        <v/>
      </c>
      <c r="AA50" s="52" t="str">
        <f t="shared" si="36"/>
        <v/>
      </c>
      <c r="AB50" s="52" t="str">
        <f t="shared" si="36"/>
        <v/>
      </c>
      <c r="AC50" s="52" t="str">
        <f t="shared" si="36"/>
        <v/>
      </c>
      <c r="AD50" s="52" t="str">
        <f t="shared" si="36"/>
        <v/>
      </c>
      <c r="AE50" s="52" t="str">
        <f t="shared" si="36"/>
        <v/>
      </c>
      <c r="AF50" s="52" t="str">
        <f t="shared" si="36"/>
        <v/>
      </c>
      <c r="AG50" s="52" t="str">
        <f t="shared" si="36"/>
        <v/>
      </c>
      <c r="AH50" s="52" t="str">
        <f t="shared" si="36"/>
        <v/>
      </c>
      <c r="AI50" s="52" t="str">
        <f t="shared" si="36"/>
        <v/>
      </c>
      <c r="AJ50" s="52" t="str">
        <f t="shared" si="36"/>
        <v/>
      </c>
      <c r="AK50" s="52" t="str">
        <f t="shared" si="36"/>
        <v/>
      </c>
      <c r="AL50" s="52" t="str">
        <f t="shared" si="36"/>
        <v/>
      </c>
      <c r="AM50" s="52" t="str">
        <f t="shared" si="36"/>
        <v/>
      </c>
      <c r="AN50" s="52" t="str">
        <f t="shared" si="36"/>
        <v/>
      </c>
      <c r="AO50" s="52" t="str">
        <f t="shared" si="36"/>
        <v/>
      </c>
    </row>
    <row r="51" ht="15" customHeight="1" spans="1:41">
      <c r="A51" s="53"/>
      <c r="B51" s="54">
        <v>1</v>
      </c>
      <c r="C51" s="55"/>
      <c r="D51" s="50"/>
      <c r="E51" s="50"/>
      <c r="F51" s="50"/>
      <c r="G51" s="50">
        <f t="shared" si="18"/>
        <v>0</v>
      </c>
      <c r="H51" s="50">
        <f t="shared" si="19"/>
        <v>0</v>
      </c>
      <c r="I51" s="50" t="s">
        <v>58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53"/>
      <c r="B52" s="54">
        <v>2</v>
      </c>
      <c r="C52" s="55"/>
      <c r="D52" s="50"/>
      <c r="E52" s="50"/>
      <c r="F52" s="50"/>
      <c r="G52" s="50">
        <f t="shared" si="18"/>
        <v>0</v>
      </c>
      <c r="H52" s="50">
        <f t="shared" si="19"/>
        <v>0</v>
      </c>
      <c r="I52" s="50" t="s">
        <v>58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53"/>
      <c r="B53" s="54">
        <v>3</v>
      </c>
      <c r="C53" s="55"/>
      <c r="D53" s="50"/>
      <c r="E53" s="50"/>
      <c r="F53" s="50"/>
      <c r="G53" s="50">
        <f t="shared" si="18"/>
        <v>0</v>
      </c>
      <c r="H53" s="50">
        <f t="shared" si="19"/>
        <v>0</v>
      </c>
      <c r="I53" s="50" t="s">
        <v>58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53"/>
      <c r="B54" s="54">
        <v>4</v>
      </c>
      <c r="C54" s="55"/>
      <c r="D54" s="50"/>
      <c r="E54" s="50"/>
      <c r="F54" s="50"/>
      <c r="G54" s="50">
        <f t="shared" si="18"/>
        <v>0</v>
      </c>
      <c r="H54" s="50">
        <f t="shared" si="19"/>
        <v>0</v>
      </c>
      <c r="I54" s="50" t="s">
        <v>58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53"/>
      <c r="B55" s="54" t="s">
        <v>84</v>
      </c>
      <c r="C55" s="55" t="s">
        <v>85</v>
      </c>
      <c r="D55" s="50">
        <v>0</v>
      </c>
      <c r="E55" s="50">
        <v>0.03</v>
      </c>
      <c r="F55" s="50">
        <v>0</v>
      </c>
      <c r="G55" s="50">
        <f t="shared" si="18"/>
        <v>0.03</v>
      </c>
      <c r="H55" s="50">
        <f t="shared" si="19"/>
        <v>0</v>
      </c>
      <c r="I55" s="50" t="s">
        <v>58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7">IF(J55="","",IF(J55&gt;($D55+$E55),(J55-$D55-$E55),IF(J55&lt;($D55+$F55),(J55-$D55-$F55),"√")))</f>
        <v/>
      </c>
      <c r="AA55" s="52" t="str">
        <f t="shared" si="37"/>
        <v/>
      </c>
      <c r="AB55" s="52" t="str">
        <f t="shared" si="37"/>
        <v/>
      </c>
      <c r="AC55" s="52" t="str">
        <f t="shared" si="37"/>
        <v/>
      </c>
      <c r="AD55" s="52" t="str">
        <f t="shared" si="37"/>
        <v/>
      </c>
      <c r="AE55" s="52" t="str">
        <f t="shared" si="37"/>
        <v/>
      </c>
      <c r="AF55" s="52" t="str">
        <f t="shared" si="37"/>
        <v/>
      </c>
      <c r="AG55" s="52" t="str">
        <f t="shared" si="37"/>
        <v/>
      </c>
      <c r="AH55" s="52" t="str">
        <f t="shared" si="37"/>
        <v/>
      </c>
      <c r="AI55" s="52" t="str">
        <f t="shared" si="37"/>
        <v/>
      </c>
      <c r="AJ55" s="52" t="str">
        <f t="shared" si="37"/>
        <v/>
      </c>
      <c r="AK55" s="52" t="str">
        <f t="shared" si="37"/>
        <v/>
      </c>
      <c r="AL55" s="52" t="str">
        <f t="shared" si="37"/>
        <v/>
      </c>
      <c r="AM55" s="52" t="str">
        <f t="shared" si="37"/>
        <v/>
      </c>
      <c r="AN55" s="52" t="str">
        <f t="shared" si="37"/>
        <v/>
      </c>
      <c r="AO55" s="52" t="str">
        <f t="shared" si="37"/>
        <v/>
      </c>
    </row>
    <row r="56" ht="15" customHeight="1" spans="1:41">
      <c r="A56" s="53"/>
      <c r="B56" s="54">
        <v>1</v>
      </c>
      <c r="C56" s="55"/>
      <c r="D56" s="50"/>
      <c r="E56" s="50"/>
      <c r="F56" s="50"/>
      <c r="G56" s="50">
        <f t="shared" si="18"/>
        <v>0</v>
      </c>
      <c r="H56" s="50">
        <f t="shared" si="19"/>
        <v>0</v>
      </c>
      <c r="I56" s="50" t="s">
        <v>58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53"/>
      <c r="B57" s="54">
        <v>2</v>
      </c>
      <c r="C57" s="55"/>
      <c r="D57" s="50"/>
      <c r="E57" s="50"/>
      <c r="F57" s="50"/>
      <c r="G57" s="50">
        <f t="shared" si="18"/>
        <v>0</v>
      </c>
      <c r="H57" s="50">
        <f t="shared" si="19"/>
        <v>0</v>
      </c>
      <c r="I57" s="50" t="s">
        <v>58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53"/>
      <c r="B58" s="54">
        <v>3</v>
      </c>
      <c r="C58" s="55"/>
      <c r="D58" s="50"/>
      <c r="E58" s="50"/>
      <c r="F58" s="50"/>
      <c r="G58" s="50">
        <f t="shared" si="18"/>
        <v>0</v>
      </c>
      <c r="H58" s="50">
        <f t="shared" si="19"/>
        <v>0</v>
      </c>
      <c r="I58" s="50" t="s">
        <v>58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53"/>
      <c r="B59" s="54">
        <v>4</v>
      </c>
      <c r="C59" s="55"/>
      <c r="D59" s="50"/>
      <c r="E59" s="50"/>
      <c r="F59" s="50"/>
      <c r="G59" s="50">
        <f t="shared" si="18"/>
        <v>0</v>
      </c>
      <c r="H59" s="50">
        <f t="shared" si="19"/>
        <v>0</v>
      </c>
      <c r="I59" s="50" t="s">
        <v>58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53"/>
      <c r="B60" s="54" t="s">
        <v>86</v>
      </c>
      <c r="C60" s="55" t="s">
        <v>85</v>
      </c>
      <c r="D60" s="50">
        <v>0</v>
      </c>
      <c r="E60" s="50">
        <v>0.03</v>
      </c>
      <c r="F60" s="50">
        <v>0</v>
      </c>
      <c r="G60" s="50">
        <f t="shared" si="18"/>
        <v>0.03</v>
      </c>
      <c r="H60" s="50">
        <f t="shared" si="19"/>
        <v>0</v>
      </c>
      <c r="I60" s="50" t="s">
        <v>58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8">IF(J60="","",IF(J60&gt;($D60+$E60),(J60-$D60-$E60),IF(J60&lt;($D60+$F60),(J60-$D60-$F60),"√")))</f>
        <v/>
      </c>
      <c r="AA60" s="52" t="str">
        <f t="shared" si="38"/>
        <v/>
      </c>
      <c r="AB60" s="52" t="str">
        <f t="shared" si="38"/>
        <v/>
      </c>
      <c r="AC60" s="52" t="str">
        <f t="shared" si="38"/>
        <v/>
      </c>
      <c r="AD60" s="52" t="str">
        <f t="shared" si="38"/>
        <v/>
      </c>
      <c r="AE60" s="52" t="str">
        <f t="shared" si="38"/>
        <v/>
      </c>
      <c r="AF60" s="52" t="str">
        <f t="shared" si="38"/>
        <v/>
      </c>
      <c r="AG60" s="52" t="str">
        <f t="shared" si="38"/>
        <v/>
      </c>
      <c r="AH60" s="52" t="str">
        <f t="shared" si="38"/>
        <v/>
      </c>
      <c r="AI60" s="52" t="str">
        <f t="shared" si="38"/>
        <v/>
      </c>
      <c r="AJ60" s="52" t="str">
        <f t="shared" si="38"/>
        <v/>
      </c>
      <c r="AK60" s="52" t="str">
        <f t="shared" si="38"/>
        <v/>
      </c>
      <c r="AL60" s="52" t="str">
        <f t="shared" si="38"/>
        <v/>
      </c>
      <c r="AM60" s="52" t="str">
        <f t="shared" si="38"/>
        <v/>
      </c>
      <c r="AN60" s="52" t="str">
        <f t="shared" si="38"/>
        <v/>
      </c>
      <c r="AO60" s="52" t="str">
        <f t="shared" si="38"/>
        <v/>
      </c>
    </row>
    <row r="61" ht="15" customHeight="1" spans="1:41">
      <c r="A61" s="53"/>
      <c r="B61" s="54">
        <v>1</v>
      </c>
      <c r="C61" s="55"/>
      <c r="D61" s="50"/>
      <c r="E61" s="50"/>
      <c r="F61" s="50"/>
      <c r="G61" s="50">
        <f t="shared" si="18"/>
        <v>0</v>
      </c>
      <c r="H61" s="50">
        <f t="shared" si="19"/>
        <v>0</v>
      </c>
      <c r="I61" s="50" t="s">
        <v>58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53"/>
      <c r="B62" s="54">
        <v>2</v>
      </c>
      <c r="C62" s="55"/>
      <c r="D62" s="50"/>
      <c r="E62" s="50"/>
      <c r="F62" s="50"/>
      <c r="G62" s="50">
        <f t="shared" si="18"/>
        <v>0</v>
      </c>
      <c r="H62" s="50">
        <f t="shared" si="19"/>
        <v>0</v>
      </c>
      <c r="I62" s="50" t="s">
        <v>58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53"/>
      <c r="B63" s="54">
        <v>3</v>
      </c>
      <c r="C63" s="55"/>
      <c r="D63" s="50"/>
      <c r="E63" s="50"/>
      <c r="F63" s="50"/>
      <c r="G63" s="50">
        <f t="shared" si="18"/>
        <v>0</v>
      </c>
      <c r="H63" s="50">
        <f t="shared" si="19"/>
        <v>0</v>
      </c>
      <c r="I63" s="50" t="s">
        <v>58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53"/>
      <c r="B64" s="54">
        <v>4</v>
      </c>
      <c r="C64" s="55"/>
      <c r="D64" s="50"/>
      <c r="E64" s="50"/>
      <c r="F64" s="50"/>
      <c r="G64" s="50">
        <f t="shared" si="18"/>
        <v>0</v>
      </c>
      <c r="H64" s="50">
        <f t="shared" si="19"/>
        <v>0</v>
      </c>
      <c r="I64" s="50" t="s">
        <v>58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53"/>
      <c r="B65" s="54" t="s">
        <v>87</v>
      </c>
      <c r="C65" s="55"/>
      <c r="D65" s="50">
        <v>0</v>
      </c>
      <c r="E65" s="50">
        <v>0.06</v>
      </c>
      <c r="F65" s="50">
        <v>0</v>
      </c>
      <c r="G65" s="50">
        <f t="shared" si="18"/>
        <v>0.06</v>
      </c>
      <c r="H65" s="50">
        <f t="shared" si="19"/>
        <v>0</v>
      </c>
      <c r="I65" s="50" t="s">
        <v>58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9">IF(J65="","",IF(J65&gt;($D65+$E65),(J65-$D65-$E65),IF(J65&lt;($D65+$F65),(J65-$D65-$F65),"√")))</f>
        <v/>
      </c>
      <c r="AA65" s="52" t="str">
        <f t="shared" si="39"/>
        <v/>
      </c>
      <c r="AB65" s="52" t="str">
        <f t="shared" si="39"/>
        <v/>
      </c>
      <c r="AC65" s="52" t="str">
        <f t="shared" si="39"/>
        <v/>
      </c>
      <c r="AD65" s="52" t="str">
        <f t="shared" si="39"/>
        <v/>
      </c>
      <c r="AE65" s="52" t="str">
        <f t="shared" si="39"/>
        <v/>
      </c>
      <c r="AF65" s="52" t="str">
        <f t="shared" si="39"/>
        <v/>
      </c>
      <c r="AG65" s="52" t="str">
        <f t="shared" si="39"/>
        <v/>
      </c>
      <c r="AH65" s="52" t="str">
        <f t="shared" si="39"/>
        <v/>
      </c>
      <c r="AI65" s="52" t="str">
        <f t="shared" si="39"/>
        <v/>
      </c>
      <c r="AJ65" s="52" t="str">
        <f t="shared" si="39"/>
        <v/>
      </c>
      <c r="AK65" s="52" t="str">
        <f t="shared" si="39"/>
        <v/>
      </c>
      <c r="AL65" s="52" t="str">
        <f t="shared" si="39"/>
        <v/>
      </c>
      <c r="AM65" s="52" t="str">
        <f t="shared" si="39"/>
        <v/>
      </c>
      <c r="AN65" s="52" t="str">
        <f t="shared" si="39"/>
        <v/>
      </c>
      <c r="AO65" s="52" t="str">
        <f t="shared" si="39"/>
        <v/>
      </c>
    </row>
    <row r="66" ht="15" customHeight="1" spans="1:41">
      <c r="A66" s="53"/>
      <c r="B66" s="54">
        <v>1</v>
      </c>
      <c r="C66" s="55"/>
      <c r="D66" s="50"/>
      <c r="E66" s="50"/>
      <c r="F66" s="50"/>
      <c r="G66" s="50">
        <f t="shared" si="18"/>
        <v>0</v>
      </c>
      <c r="H66" s="50">
        <f t="shared" si="19"/>
        <v>0</v>
      </c>
      <c r="I66" s="50" t="s">
        <v>58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53"/>
      <c r="B67" s="54">
        <v>2</v>
      </c>
      <c r="C67" s="55"/>
      <c r="D67" s="50"/>
      <c r="E67" s="50"/>
      <c r="F67" s="50"/>
      <c r="G67" s="50">
        <f t="shared" si="18"/>
        <v>0</v>
      </c>
      <c r="H67" s="50">
        <f t="shared" si="19"/>
        <v>0</v>
      </c>
      <c r="I67" s="50" t="s">
        <v>58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53"/>
      <c r="B68" s="54">
        <v>3</v>
      </c>
      <c r="C68" s="55"/>
      <c r="D68" s="50"/>
      <c r="E68" s="50"/>
      <c r="F68" s="50"/>
      <c r="G68" s="50">
        <f t="shared" si="18"/>
        <v>0</v>
      </c>
      <c r="H68" s="50">
        <f t="shared" si="19"/>
        <v>0</v>
      </c>
      <c r="I68" s="50" t="s">
        <v>58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53"/>
      <c r="B69" s="54">
        <v>4</v>
      </c>
      <c r="C69" s="55"/>
      <c r="D69" s="50"/>
      <c r="E69" s="50"/>
      <c r="F69" s="50"/>
      <c r="G69" s="50">
        <f t="shared" si="18"/>
        <v>0</v>
      </c>
      <c r="H69" s="50">
        <f t="shared" si="19"/>
        <v>0</v>
      </c>
      <c r="I69" s="50" t="s">
        <v>58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53"/>
      <c r="B70" s="54">
        <v>5</v>
      </c>
      <c r="C70" s="55"/>
      <c r="D70" s="50"/>
      <c r="E70" s="50"/>
      <c r="F70" s="50"/>
      <c r="G70" s="50">
        <f t="shared" si="18"/>
        <v>0</v>
      </c>
      <c r="H70" s="50">
        <f t="shared" si="19"/>
        <v>0</v>
      </c>
      <c r="I70" s="50" t="s">
        <v>58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53"/>
      <c r="B71" s="54">
        <v>6</v>
      </c>
      <c r="C71" s="55"/>
      <c r="D71" s="50"/>
      <c r="E71" s="50"/>
      <c r="F71" s="50"/>
      <c r="G71" s="50">
        <f t="shared" si="18"/>
        <v>0</v>
      </c>
      <c r="H71" s="50">
        <f t="shared" si="19"/>
        <v>0</v>
      </c>
      <c r="I71" s="50" t="s">
        <v>58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53"/>
      <c r="B72" s="54">
        <v>7</v>
      </c>
      <c r="C72" s="55"/>
      <c r="D72" s="50"/>
      <c r="E72" s="50"/>
      <c r="F72" s="50"/>
      <c r="G72" s="50">
        <f t="shared" si="18"/>
        <v>0</v>
      </c>
      <c r="H72" s="50">
        <f t="shared" si="19"/>
        <v>0</v>
      </c>
      <c r="I72" s="50" t="s">
        <v>58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53"/>
      <c r="B73" s="54">
        <v>8</v>
      </c>
      <c r="C73" s="55"/>
      <c r="D73" s="50"/>
      <c r="E73" s="50"/>
      <c r="F73" s="50"/>
      <c r="G73" s="50">
        <f t="shared" si="18"/>
        <v>0</v>
      </c>
      <c r="H73" s="50">
        <f t="shared" si="19"/>
        <v>0</v>
      </c>
      <c r="I73" s="50" t="s">
        <v>58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53"/>
      <c r="B74" s="54">
        <v>9</v>
      </c>
      <c r="C74" s="55"/>
      <c r="D74" s="50"/>
      <c r="E74" s="50"/>
      <c r="F74" s="50"/>
      <c r="G74" s="50">
        <f t="shared" si="18"/>
        <v>0</v>
      </c>
      <c r="H74" s="50">
        <f t="shared" si="19"/>
        <v>0</v>
      </c>
      <c r="I74" s="50" t="s">
        <v>58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53"/>
      <c r="B75" s="54">
        <v>10</v>
      </c>
      <c r="C75" s="55"/>
      <c r="D75" s="50"/>
      <c r="E75" s="50"/>
      <c r="F75" s="50"/>
      <c r="G75" s="50">
        <f t="shared" si="18"/>
        <v>0</v>
      </c>
      <c r="H75" s="50">
        <f t="shared" si="19"/>
        <v>0</v>
      </c>
      <c r="I75" s="50" t="s">
        <v>58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53"/>
      <c r="B76" s="54">
        <v>11</v>
      </c>
      <c r="C76" s="55"/>
      <c r="D76" s="50"/>
      <c r="E76" s="50"/>
      <c r="F76" s="50"/>
      <c r="G76" s="50">
        <f t="shared" si="18"/>
        <v>0</v>
      </c>
      <c r="H76" s="50">
        <f t="shared" si="19"/>
        <v>0</v>
      </c>
      <c r="I76" s="50" t="s">
        <v>58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53"/>
      <c r="B77" s="54" t="s">
        <v>88</v>
      </c>
      <c r="C77" s="55" t="s">
        <v>89</v>
      </c>
      <c r="D77" s="50">
        <v>0</v>
      </c>
      <c r="E77" s="50">
        <v>0.08</v>
      </c>
      <c r="F77" s="50">
        <v>0</v>
      </c>
      <c r="G77" s="50">
        <f t="shared" si="18"/>
        <v>0.08</v>
      </c>
      <c r="H77" s="50">
        <f t="shared" si="19"/>
        <v>0</v>
      </c>
      <c r="I77" s="50" t="s">
        <v>58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0">IF(J77="","",IF(J77&gt;($D77+$E77),(J77-$D77-$E77),IF(J77&lt;($D77+$F77),(J77-$D77-$F77),"√")))</f>
        <v/>
      </c>
      <c r="AA77" s="52" t="str">
        <f t="shared" si="40"/>
        <v/>
      </c>
      <c r="AB77" s="52" t="str">
        <f t="shared" si="40"/>
        <v/>
      </c>
      <c r="AC77" s="52" t="str">
        <f t="shared" si="40"/>
        <v/>
      </c>
      <c r="AD77" s="52" t="str">
        <f t="shared" si="40"/>
        <v/>
      </c>
      <c r="AE77" s="52" t="str">
        <f t="shared" si="40"/>
        <v/>
      </c>
      <c r="AF77" s="52" t="str">
        <f t="shared" si="40"/>
        <v/>
      </c>
      <c r="AG77" s="52" t="str">
        <f t="shared" si="40"/>
        <v/>
      </c>
      <c r="AH77" s="52" t="str">
        <f t="shared" si="40"/>
        <v/>
      </c>
      <c r="AI77" s="52" t="str">
        <f t="shared" si="40"/>
        <v/>
      </c>
      <c r="AJ77" s="52" t="str">
        <f t="shared" si="40"/>
        <v/>
      </c>
      <c r="AK77" s="52" t="str">
        <f t="shared" si="40"/>
        <v/>
      </c>
      <c r="AL77" s="52" t="str">
        <f t="shared" si="40"/>
        <v/>
      </c>
      <c r="AM77" s="52" t="str">
        <f t="shared" si="40"/>
        <v/>
      </c>
      <c r="AN77" s="52" t="str">
        <f t="shared" si="40"/>
        <v/>
      </c>
      <c r="AO77" s="52" t="str">
        <f t="shared" si="40"/>
        <v/>
      </c>
    </row>
    <row r="78" ht="15" customHeight="1" spans="1:41">
      <c r="A78" s="53"/>
      <c r="B78" s="54">
        <v>1</v>
      </c>
      <c r="C78" s="55"/>
      <c r="D78" s="50"/>
      <c r="E78" s="50"/>
      <c r="F78" s="50"/>
      <c r="G78" s="50">
        <f t="shared" si="18"/>
        <v>0</v>
      </c>
      <c r="H78" s="50">
        <f t="shared" si="19"/>
        <v>0</v>
      </c>
      <c r="I78" s="50" t="s">
        <v>58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53"/>
      <c r="B79" s="54">
        <v>2</v>
      </c>
      <c r="C79" s="55"/>
      <c r="D79" s="50"/>
      <c r="E79" s="50"/>
      <c r="F79" s="50"/>
      <c r="G79" s="50">
        <f t="shared" si="18"/>
        <v>0</v>
      </c>
      <c r="H79" s="50">
        <f t="shared" si="19"/>
        <v>0</v>
      </c>
      <c r="I79" s="50" t="s">
        <v>58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53"/>
      <c r="B80" s="54">
        <v>3</v>
      </c>
      <c r="C80" s="55"/>
      <c r="D80" s="50"/>
      <c r="E80" s="50"/>
      <c r="F80" s="50"/>
      <c r="G80" s="50">
        <f t="shared" si="18"/>
        <v>0</v>
      </c>
      <c r="H80" s="50">
        <f t="shared" si="19"/>
        <v>0</v>
      </c>
      <c r="I80" s="50" t="s">
        <v>58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53"/>
      <c r="B81" s="54">
        <v>4</v>
      </c>
      <c r="C81" s="55"/>
      <c r="D81" s="50"/>
      <c r="E81" s="50"/>
      <c r="F81" s="50"/>
      <c r="G81" s="50">
        <f t="shared" si="18"/>
        <v>0</v>
      </c>
      <c r="H81" s="50">
        <f t="shared" si="19"/>
        <v>0</v>
      </c>
      <c r="I81" s="50" t="s">
        <v>58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53"/>
      <c r="B82" s="54" t="s">
        <v>90</v>
      </c>
      <c r="C82" s="55" t="s">
        <v>91</v>
      </c>
      <c r="D82" s="50">
        <v>0</v>
      </c>
      <c r="E82" s="50">
        <v>0.08</v>
      </c>
      <c r="F82" s="50">
        <v>0</v>
      </c>
      <c r="G82" s="50">
        <f t="shared" si="18"/>
        <v>0.08</v>
      </c>
      <c r="H82" s="50">
        <f t="shared" si="19"/>
        <v>0</v>
      </c>
      <c r="I82" s="50" t="s">
        <v>58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1">IF(J82="","",IF(J82&gt;($D82+$E82),(J82-$D82-$E82),IF(J82&lt;($D82+$F82),(J82-$D82-$F82),"√")))</f>
        <v/>
      </c>
      <c r="AA82" s="52" t="str">
        <f t="shared" si="41"/>
        <v/>
      </c>
      <c r="AB82" s="52" t="str">
        <f t="shared" si="41"/>
        <v/>
      </c>
      <c r="AC82" s="52" t="str">
        <f t="shared" si="41"/>
        <v/>
      </c>
      <c r="AD82" s="52" t="str">
        <f t="shared" si="41"/>
        <v/>
      </c>
      <c r="AE82" s="52" t="str">
        <f t="shared" si="41"/>
        <v/>
      </c>
      <c r="AF82" s="52" t="str">
        <f t="shared" si="41"/>
        <v/>
      </c>
      <c r="AG82" s="52" t="str">
        <f t="shared" si="41"/>
        <v/>
      </c>
      <c r="AH82" s="52" t="str">
        <f t="shared" si="41"/>
        <v/>
      </c>
      <c r="AI82" s="52" t="str">
        <f t="shared" si="41"/>
        <v/>
      </c>
      <c r="AJ82" s="52" t="str">
        <f t="shared" si="41"/>
        <v/>
      </c>
      <c r="AK82" s="52" t="str">
        <f t="shared" si="41"/>
        <v/>
      </c>
      <c r="AL82" s="52" t="str">
        <f t="shared" si="41"/>
        <v/>
      </c>
      <c r="AM82" s="52" t="str">
        <f t="shared" si="41"/>
        <v/>
      </c>
      <c r="AN82" s="52" t="str">
        <f t="shared" si="41"/>
        <v/>
      </c>
      <c r="AO82" s="52" t="str">
        <f t="shared" si="41"/>
        <v/>
      </c>
    </row>
    <row r="83" ht="15" customHeight="1" spans="1:41">
      <c r="A83" s="53"/>
      <c r="B83" s="54">
        <v>1</v>
      </c>
      <c r="C83" s="55"/>
      <c r="D83" s="50"/>
      <c r="E83" s="50"/>
      <c r="F83" s="50"/>
      <c r="G83" s="50">
        <f t="shared" si="18"/>
        <v>0</v>
      </c>
      <c r="H83" s="50">
        <f t="shared" si="19"/>
        <v>0</v>
      </c>
      <c r="I83" s="50" t="s">
        <v>58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53"/>
      <c r="B84" s="54">
        <v>2</v>
      </c>
      <c r="C84" s="55"/>
      <c r="D84" s="50"/>
      <c r="E84" s="50"/>
      <c r="F84" s="50"/>
      <c r="G84" s="50">
        <f t="shared" si="18"/>
        <v>0</v>
      </c>
      <c r="H84" s="50">
        <f t="shared" si="19"/>
        <v>0</v>
      </c>
      <c r="I84" s="50" t="s">
        <v>58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53"/>
      <c r="B85" s="54">
        <v>3</v>
      </c>
      <c r="C85" s="55"/>
      <c r="D85" s="50"/>
      <c r="E85" s="50"/>
      <c r="F85" s="50"/>
      <c r="G85" s="50">
        <f t="shared" si="18"/>
        <v>0</v>
      </c>
      <c r="H85" s="50">
        <f t="shared" si="19"/>
        <v>0</v>
      </c>
      <c r="I85" s="50" t="s">
        <v>58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53"/>
      <c r="B86" s="54">
        <v>4</v>
      </c>
      <c r="C86" s="55"/>
      <c r="D86" s="50"/>
      <c r="E86" s="50"/>
      <c r="F86" s="50"/>
      <c r="G86" s="50">
        <f t="shared" si="18"/>
        <v>0</v>
      </c>
      <c r="H86" s="50">
        <f t="shared" si="19"/>
        <v>0</v>
      </c>
      <c r="I86" s="50" t="s">
        <v>58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53"/>
      <c r="B87" s="54" t="s">
        <v>92</v>
      </c>
      <c r="C87" s="55" t="s">
        <v>93</v>
      </c>
      <c r="D87" s="50">
        <v>0</v>
      </c>
      <c r="E87" s="50">
        <v>0.08</v>
      </c>
      <c r="F87" s="50">
        <v>0</v>
      </c>
      <c r="G87" s="50">
        <f t="shared" si="18"/>
        <v>0.08</v>
      </c>
      <c r="H87" s="50">
        <f t="shared" si="19"/>
        <v>0</v>
      </c>
      <c r="I87" s="50" t="s">
        <v>58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2">IF(J87="","",IF(J87&gt;($D87+$E87),(J87-$D87-$E87),IF(J87&lt;($D87+$F87),(J87-$D87-$F87),"√")))</f>
        <v/>
      </c>
      <c r="AA87" s="52" t="str">
        <f t="shared" si="42"/>
        <v/>
      </c>
      <c r="AB87" s="52" t="str">
        <f t="shared" si="42"/>
        <v/>
      </c>
      <c r="AC87" s="52" t="str">
        <f t="shared" si="42"/>
        <v/>
      </c>
      <c r="AD87" s="52" t="str">
        <f t="shared" si="42"/>
        <v/>
      </c>
      <c r="AE87" s="52" t="str">
        <f t="shared" si="42"/>
        <v/>
      </c>
      <c r="AF87" s="52" t="str">
        <f t="shared" si="42"/>
        <v/>
      </c>
      <c r="AG87" s="52" t="str">
        <f t="shared" si="42"/>
        <v/>
      </c>
      <c r="AH87" s="52" t="str">
        <f t="shared" si="42"/>
        <v/>
      </c>
      <c r="AI87" s="52" t="str">
        <f t="shared" si="42"/>
        <v/>
      </c>
      <c r="AJ87" s="52" t="str">
        <f t="shared" si="42"/>
        <v/>
      </c>
      <c r="AK87" s="52" t="str">
        <f t="shared" si="42"/>
        <v/>
      </c>
      <c r="AL87" s="52" t="str">
        <f t="shared" si="42"/>
        <v/>
      </c>
      <c r="AM87" s="52" t="str">
        <f t="shared" si="42"/>
        <v/>
      </c>
      <c r="AN87" s="52" t="str">
        <f t="shared" si="42"/>
        <v/>
      </c>
      <c r="AO87" s="52" t="str">
        <f t="shared" si="42"/>
        <v/>
      </c>
    </row>
    <row r="88" ht="15" customHeight="1" spans="1:41">
      <c r="A88" s="53"/>
      <c r="B88" s="54">
        <v>1</v>
      </c>
      <c r="C88" s="55"/>
      <c r="D88" s="50"/>
      <c r="E88" s="50"/>
      <c r="F88" s="50"/>
      <c r="G88" s="50">
        <f t="shared" ref="G88:G118" si="43">D88+E88</f>
        <v>0</v>
      </c>
      <c r="H88" s="50">
        <f t="shared" ref="H88:H118" si="44">D88+F88</f>
        <v>0</v>
      </c>
      <c r="I88" s="50" t="s">
        <v>58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53"/>
      <c r="B89" s="54">
        <v>2</v>
      </c>
      <c r="C89" s="55"/>
      <c r="D89" s="50"/>
      <c r="E89" s="50"/>
      <c r="F89" s="50"/>
      <c r="G89" s="50">
        <f t="shared" si="43"/>
        <v>0</v>
      </c>
      <c r="H89" s="50">
        <f t="shared" si="44"/>
        <v>0</v>
      </c>
      <c r="I89" s="50" t="s">
        <v>58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53"/>
      <c r="B90" s="54">
        <v>3</v>
      </c>
      <c r="C90" s="55"/>
      <c r="D90" s="50"/>
      <c r="E90" s="50"/>
      <c r="F90" s="50"/>
      <c r="G90" s="50">
        <f t="shared" si="43"/>
        <v>0</v>
      </c>
      <c r="H90" s="50">
        <f t="shared" si="44"/>
        <v>0</v>
      </c>
      <c r="I90" s="50" t="s">
        <v>58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53"/>
      <c r="B91" s="54">
        <v>4</v>
      </c>
      <c r="C91" s="55"/>
      <c r="D91" s="50"/>
      <c r="E91" s="50"/>
      <c r="F91" s="50"/>
      <c r="G91" s="50">
        <f t="shared" si="43"/>
        <v>0</v>
      </c>
      <c r="H91" s="50">
        <f t="shared" si="44"/>
        <v>0</v>
      </c>
      <c r="I91" s="50" t="s">
        <v>58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53"/>
      <c r="B92" s="54" t="s">
        <v>94</v>
      </c>
      <c r="C92" s="55" t="s">
        <v>95</v>
      </c>
      <c r="D92" s="50">
        <v>0</v>
      </c>
      <c r="E92" s="50">
        <v>0.08</v>
      </c>
      <c r="F92" s="50">
        <v>0</v>
      </c>
      <c r="G92" s="50">
        <f t="shared" si="43"/>
        <v>0.08</v>
      </c>
      <c r="H92" s="50">
        <f t="shared" si="44"/>
        <v>0</v>
      </c>
      <c r="I92" s="50" t="s">
        <v>58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5">IF(J92="","",IF(J92&gt;($D92+$E92),(J92-$D92-$E92),IF(J92&lt;($D92+$F92),(J92-$D92-$F92),"√")))</f>
        <v/>
      </c>
      <c r="AA92" s="52" t="str">
        <f t="shared" si="45"/>
        <v/>
      </c>
      <c r="AB92" s="52" t="str">
        <f t="shared" si="45"/>
        <v/>
      </c>
      <c r="AC92" s="52" t="str">
        <f t="shared" si="45"/>
        <v/>
      </c>
      <c r="AD92" s="52" t="str">
        <f t="shared" si="45"/>
        <v/>
      </c>
      <c r="AE92" s="52" t="str">
        <f t="shared" si="45"/>
        <v/>
      </c>
      <c r="AF92" s="52" t="str">
        <f t="shared" si="45"/>
        <v/>
      </c>
      <c r="AG92" s="52" t="str">
        <f t="shared" si="45"/>
        <v/>
      </c>
      <c r="AH92" s="52" t="str">
        <f t="shared" si="45"/>
        <v/>
      </c>
      <c r="AI92" s="52" t="str">
        <f t="shared" si="45"/>
        <v/>
      </c>
      <c r="AJ92" s="52" t="str">
        <f t="shared" si="45"/>
        <v/>
      </c>
      <c r="AK92" s="52" t="str">
        <f t="shared" si="45"/>
        <v/>
      </c>
      <c r="AL92" s="52" t="str">
        <f t="shared" si="45"/>
        <v/>
      </c>
      <c r="AM92" s="52" t="str">
        <f t="shared" si="45"/>
        <v/>
      </c>
      <c r="AN92" s="52" t="str">
        <f t="shared" si="45"/>
        <v/>
      </c>
      <c r="AO92" s="52" t="str">
        <f t="shared" si="45"/>
        <v/>
      </c>
    </row>
    <row r="93" ht="15" customHeight="1" spans="1:41">
      <c r="A93" s="53"/>
      <c r="B93" s="54">
        <v>1</v>
      </c>
      <c r="C93" s="55"/>
      <c r="D93" s="50"/>
      <c r="E93" s="50"/>
      <c r="F93" s="50"/>
      <c r="G93" s="50">
        <f t="shared" si="43"/>
        <v>0</v>
      </c>
      <c r="H93" s="50">
        <f t="shared" si="44"/>
        <v>0</v>
      </c>
      <c r="I93" s="50" t="s">
        <v>58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53"/>
      <c r="B94" s="54">
        <v>2</v>
      </c>
      <c r="C94" s="55"/>
      <c r="D94" s="50"/>
      <c r="E94" s="50"/>
      <c r="F94" s="50"/>
      <c r="G94" s="50">
        <f t="shared" si="43"/>
        <v>0</v>
      </c>
      <c r="H94" s="50">
        <f t="shared" si="44"/>
        <v>0</v>
      </c>
      <c r="I94" s="50" t="s">
        <v>58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53"/>
      <c r="B95" s="54">
        <v>3</v>
      </c>
      <c r="C95" s="55"/>
      <c r="D95" s="50"/>
      <c r="E95" s="50"/>
      <c r="F95" s="50"/>
      <c r="G95" s="50">
        <f t="shared" si="43"/>
        <v>0</v>
      </c>
      <c r="H95" s="50">
        <f t="shared" si="44"/>
        <v>0</v>
      </c>
      <c r="I95" s="50" t="s">
        <v>58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53"/>
      <c r="B96" s="54">
        <v>4</v>
      </c>
      <c r="C96" s="55"/>
      <c r="D96" s="50"/>
      <c r="E96" s="50"/>
      <c r="F96" s="50"/>
      <c r="G96" s="50">
        <f t="shared" si="43"/>
        <v>0</v>
      </c>
      <c r="H96" s="50">
        <f t="shared" si="44"/>
        <v>0</v>
      </c>
      <c r="I96" s="50" t="s">
        <v>58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53"/>
      <c r="B97" s="54" t="s">
        <v>96</v>
      </c>
      <c r="C97" s="55"/>
      <c r="D97" s="50">
        <v>0</v>
      </c>
      <c r="E97" s="50">
        <v>0.05</v>
      </c>
      <c r="F97" s="50">
        <v>0</v>
      </c>
      <c r="G97" s="50">
        <f t="shared" si="43"/>
        <v>0.05</v>
      </c>
      <c r="H97" s="50">
        <f t="shared" si="44"/>
        <v>0</v>
      </c>
      <c r="I97" s="50" t="s">
        <v>58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6">IF(J97="","",IF(J97&gt;($D97+$E97),(J97-$D97-$E97),IF(J97&lt;($D97+$F97),(J97-$D97-$F97),"√")))</f>
        <v/>
      </c>
      <c r="AA97" s="52" t="str">
        <f t="shared" si="46"/>
        <v/>
      </c>
      <c r="AB97" s="52" t="str">
        <f t="shared" si="46"/>
        <v/>
      </c>
      <c r="AC97" s="52" t="str">
        <f t="shared" si="46"/>
        <v/>
      </c>
      <c r="AD97" s="52" t="str">
        <f t="shared" si="46"/>
        <v/>
      </c>
      <c r="AE97" s="52" t="str">
        <f t="shared" si="46"/>
        <v/>
      </c>
      <c r="AF97" s="52" t="str">
        <f t="shared" si="46"/>
        <v/>
      </c>
      <c r="AG97" s="52" t="str">
        <f t="shared" si="46"/>
        <v/>
      </c>
      <c r="AH97" s="52" t="str">
        <f t="shared" si="46"/>
        <v/>
      </c>
      <c r="AI97" s="52" t="str">
        <f t="shared" si="46"/>
        <v/>
      </c>
      <c r="AJ97" s="52" t="str">
        <f t="shared" si="46"/>
        <v/>
      </c>
      <c r="AK97" s="52" t="str">
        <f t="shared" si="46"/>
        <v/>
      </c>
      <c r="AL97" s="52" t="str">
        <f t="shared" si="46"/>
        <v/>
      </c>
      <c r="AM97" s="52" t="str">
        <f t="shared" si="46"/>
        <v/>
      </c>
      <c r="AN97" s="52" t="str">
        <f t="shared" si="46"/>
        <v/>
      </c>
      <c r="AO97" s="52" t="str">
        <f t="shared" si="46"/>
        <v/>
      </c>
    </row>
    <row r="98" ht="15" customHeight="1" spans="1:41">
      <c r="A98" s="53"/>
      <c r="B98" s="54" t="s">
        <v>97</v>
      </c>
      <c r="C98" s="55"/>
      <c r="D98" s="50"/>
      <c r="E98" s="50"/>
      <c r="F98" s="50"/>
      <c r="G98" s="50">
        <f t="shared" si="43"/>
        <v>0</v>
      </c>
      <c r="H98" s="50">
        <f t="shared" si="44"/>
        <v>0</v>
      </c>
      <c r="I98" s="50" t="s">
        <v>58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53"/>
      <c r="B99" s="54" t="s">
        <v>98</v>
      </c>
      <c r="C99" s="55"/>
      <c r="D99" s="50"/>
      <c r="E99" s="50"/>
      <c r="F99" s="50"/>
      <c r="G99" s="50">
        <f t="shared" si="43"/>
        <v>0</v>
      </c>
      <c r="H99" s="50">
        <f t="shared" si="44"/>
        <v>0</v>
      </c>
      <c r="I99" s="50" t="s">
        <v>58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53"/>
      <c r="B100" s="54" t="s">
        <v>99</v>
      </c>
      <c r="C100" s="55"/>
      <c r="D100" s="50">
        <v>0</v>
      </c>
      <c r="E100" s="50">
        <v>0.04</v>
      </c>
      <c r="F100" s="50">
        <v>0</v>
      </c>
      <c r="G100" s="50">
        <f t="shared" si="43"/>
        <v>0.04</v>
      </c>
      <c r="H100" s="50">
        <f t="shared" si="44"/>
        <v>0</v>
      </c>
      <c r="I100" s="50" t="s">
        <v>58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7">IF(J100="","",IF(J100&gt;($D100+$E100),(J100-$D100-$E100),IF(J100&lt;($D100+$F100),(J100-$D100-$F100),"√")))</f>
        <v/>
      </c>
      <c r="AA100" s="52" t="str">
        <f t="shared" si="47"/>
        <v/>
      </c>
      <c r="AB100" s="52" t="str">
        <f t="shared" si="47"/>
        <v/>
      </c>
      <c r="AC100" s="52" t="str">
        <f t="shared" si="47"/>
        <v/>
      </c>
      <c r="AD100" s="52" t="str">
        <f t="shared" si="47"/>
        <v/>
      </c>
      <c r="AE100" s="52" t="str">
        <f t="shared" si="47"/>
        <v/>
      </c>
      <c r="AF100" s="52" t="str">
        <f t="shared" si="47"/>
        <v/>
      </c>
      <c r="AG100" s="52" t="str">
        <f t="shared" si="47"/>
        <v/>
      </c>
      <c r="AH100" s="52" t="str">
        <f t="shared" si="47"/>
        <v/>
      </c>
      <c r="AI100" s="52" t="str">
        <f t="shared" si="47"/>
        <v/>
      </c>
      <c r="AJ100" s="52" t="str">
        <f t="shared" si="47"/>
        <v/>
      </c>
      <c r="AK100" s="52" t="str">
        <f t="shared" si="47"/>
        <v/>
      </c>
      <c r="AL100" s="52" t="str">
        <f t="shared" si="47"/>
        <v/>
      </c>
      <c r="AM100" s="52" t="str">
        <f t="shared" si="47"/>
        <v/>
      </c>
      <c r="AN100" s="52" t="str">
        <f t="shared" si="47"/>
        <v/>
      </c>
      <c r="AO100" s="52" t="str">
        <f t="shared" si="47"/>
        <v/>
      </c>
    </row>
    <row r="101" ht="15" customHeight="1" spans="1:41">
      <c r="A101" s="53"/>
      <c r="B101" s="54">
        <v>1</v>
      </c>
      <c r="C101" s="55"/>
      <c r="D101" s="50"/>
      <c r="E101" s="50"/>
      <c r="F101" s="50"/>
      <c r="G101" s="50">
        <f t="shared" si="43"/>
        <v>0</v>
      </c>
      <c r="H101" s="50">
        <f t="shared" si="44"/>
        <v>0</v>
      </c>
      <c r="I101" s="50" t="s">
        <v>58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53"/>
      <c r="B102" s="54">
        <v>2</v>
      </c>
      <c r="C102" s="55"/>
      <c r="D102" s="50"/>
      <c r="E102" s="50"/>
      <c r="F102" s="50"/>
      <c r="G102" s="50">
        <f t="shared" si="43"/>
        <v>0</v>
      </c>
      <c r="H102" s="50">
        <f t="shared" si="44"/>
        <v>0</v>
      </c>
      <c r="I102" s="50" t="s">
        <v>58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" customHeight="1" spans="1:41">
      <c r="A103" s="53"/>
      <c r="B103" s="54">
        <v>3</v>
      </c>
      <c r="C103" s="55"/>
      <c r="D103" s="50"/>
      <c r="E103" s="50"/>
      <c r="F103" s="50"/>
      <c r="G103" s="50">
        <f t="shared" si="43"/>
        <v>0</v>
      </c>
      <c r="H103" s="50">
        <f t="shared" si="44"/>
        <v>0</v>
      </c>
      <c r="I103" s="50" t="s">
        <v>58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</row>
    <row r="104" ht="15" customHeight="1" spans="1:41">
      <c r="A104" s="53"/>
      <c r="B104" s="54" t="s">
        <v>100</v>
      </c>
      <c r="C104" s="55"/>
      <c r="D104" s="50">
        <v>0</v>
      </c>
      <c r="E104" s="50">
        <v>0.04</v>
      </c>
      <c r="F104" s="50">
        <v>0</v>
      </c>
      <c r="G104" s="50">
        <f t="shared" si="43"/>
        <v>0.04</v>
      </c>
      <c r="H104" s="50">
        <f t="shared" si="44"/>
        <v>0</v>
      </c>
      <c r="I104" s="50" t="s">
        <v>58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 t="str">
        <f t="shared" ref="Z104:AO104" si="48">IF(J104="","",IF(J104&gt;($D104+$E104),(J104-$D104-$E104),IF(J104&lt;($D104+$F104),(J104-$D104-$F104),"√")))</f>
        <v/>
      </c>
      <c r="AA104" s="52" t="str">
        <f t="shared" si="48"/>
        <v/>
      </c>
      <c r="AB104" s="52" t="str">
        <f t="shared" si="48"/>
        <v/>
      </c>
      <c r="AC104" s="52" t="str">
        <f t="shared" si="48"/>
        <v/>
      </c>
      <c r="AD104" s="52" t="str">
        <f t="shared" si="48"/>
        <v/>
      </c>
      <c r="AE104" s="52" t="str">
        <f t="shared" si="48"/>
        <v/>
      </c>
      <c r="AF104" s="52" t="str">
        <f t="shared" si="48"/>
        <v/>
      </c>
      <c r="AG104" s="52" t="str">
        <f t="shared" si="48"/>
        <v/>
      </c>
      <c r="AH104" s="52" t="str">
        <f t="shared" si="48"/>
        <v/>
      </c>
      <c r="AI104" s="52" t="str">
        <f t="shared" si="48"/>
        <v/>
      </c>
      <c r="AJ104" s="52" t="str">
        <f t="shared" si="48"/>
        <v/>
      </c>
      <c r="AK104" s="52" t="str">
        <f t="shared" si="48"/>
        <v/>
      </c>
      <c r="AL104" s="52" t="str">
        <f t="shared" si="48"/>
        <v/>
      </c>
      <c r="AM104" s="52" t="str">
        <f t="shared" si="48"/>
        <v/>
      </c>
      <c r="AN104" s="52" t="str">
        <f t="shared" si="48"/>
        <v/>
      </c>
      <c r="AO104" s="52" t="str">
        <f t="shared" si="48"/>
        <v/>
      </c>
    </row>
    <row r="105" ht="15" customHeight="1" spans="1:41">
      <c r="A105" s="53"/>
      <c r="B105" s="54">
        <v>1</v>
      </c>
      <c r="C105" s="55"/>
      <c r="D105" s="50"/>
      <c r="E105" s="50"/>
      <c r="F105" s="50"/>
      <c r="G105" s="50">
        <f t="shared" si="43"/>
        <v>0</v>
      </c>
      <c r="H105" s="50">
        <f t="shared" si="44"/>
        <v>0</v>
      </c>
      <c r="I105" s="50" t="s">
        <v>58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" customHeight="1" spans="1:41">
      <c r="A106" s="53"/>
      <c r="B106" s="54">
        <v>2</v>
      </c>
      <c r="C106" s="55"/>
      <c r="D106" s="50"/>
      <c r="E106" s="50"/>
      <c r="F106" s="50"/>
      <c r="G106" s="50">
        <f t="shared" si="43"/>
        <v>0</v>
      </c>
      <c r="H106" s="50">
        <f t="shared" si="44"/>
        <v>0</v>
      </c>
      <c r="I106" s="50" t="s">
        <v>58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" customHeight="1" spans="1:41">
      <c r="A107" s="53"/>
      <c r="B107" s="54" t="s">
        <v>101</v>
      </c>
      <c r="C107" s="55" t="s">
        <v>102</v>
      </c>
      <c r="D107" s="50">
        <v>0</v>
      </c>
      <c r="E107" s="50">
        <v>0.05</v>
      </c>
      <c r="F107" s="50">
        <v>0</v>
      </c>
      <c r="G107" s="50">
        <f t="shared" si="43"/>
        <v>0.05</v>
      </c>
      <c r="H107" s="50">
        <f t="shared" si="44"/>
        <v>0</v>
      </c>
      <c r="I107" s="50" t="s">
        <v>58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9">IF(J107="","",IF(J107&gt;($D107+$E107),(J107-$D107-$E107),IF(J107&lt;($D107+$F107),(J107-$D107-$F107),"√")))</f>
        <v/>
      </c>
      <c r="AA107" s="52" t="str">
        <f t="shared" si="49"/>
        <v/>
      </c>
      <c r="AB107" s="52" t="str">
        <f t="shared" si="49"/>
        <v/>
      </c>
      <c r="AC107" s="52" t="str">
        <f t="shared" si="49"/>
        <v/>
      </c>
      <c r="AD107" s="52" t="str">
        <f t="shared" si="49"/>
        <v/>
      </c>
      <c r="AE107" s="52" t="str">
        <f t="shared" si="49"/>
        <v/>
      </c>
      <c r="AF107" s="52" t="str">
        <f t="shared" si="49"/>
        <v/>
      </c>
      <c r="AG107" s="52" t="str">
        <f t="shared" si="49"/>
        <v/>
      </c>
      <c r="AH107" s="52" t="str">
        <f t="shared" si="49"/>
        <v/>
      </c>
      <c r="AI107" s="52" t="str">
        <f t="shared" si="49"/>
        <v/>
      </c>
      <c r="AJ107" s="52" t="str">
        <f t="shared" si="49"/>
        <v/>
      </c>
      <c r="AK107" s="52" t="str">
        <f t="shared" si="49"/>
        <v/>
      </c>
      <c r="AL107" s="52" t="str">
        <f t="shared" si="49"/>
        <v/>
      </c>
      <c r="AM107" s="52" t="str">
        <f t="shared" si="49"/>
        <v/>
      </c>
      <c r="AN107" s="52" t="str">
        <f t="shared" si="49"/>
        <v/>
      </c>
      <c r="AO107" s="52" t="str">
        <f t="shared" si="49"/>
        <v/>
      </c>
    </row>
    <row r="108" ht="15" customHeight="1" spans="1:41">
      <c r="A108" s="53"/>
      <c r="B108" s="54">
        <v>1</v>
      </c>
      <c r="C108" s="55"/>
      <c r="D108" s="50"/>
      <c r="E108" s="50"/>
      <c r="F108" s="50"/>
      <c r="G108" s="50">
        <f t="shared" si="43"/>
        <v>0</v>
      </c>
      <c r="H108" s="50">
        <f t="shared" si="44"/>
        <v>0</v>
      </c>
      <c r="I108" s="50" t="s">
        <v>58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" customHeight="1" spans="1:41">
      <c r="A109" s="53"/>
      <c r="B109" s="54">
        <v>2</v>
      </c>
      <c r="C109" s="55"/>
      <c r="D109" s="50"/>
      <c r="E109" s="50"/>
      <c r="F109" s="50"/>
      <c r="G109" s="50">
        <f t="shared" si="43"/>
        <v>0</v>
      </c>
      <c r="H109" s="50">
        <f t="shared" si="44"/>
        <v>0</v>
      </c>
      <c r="I109" s="50" t="s">
        <v>58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" customHeight="1" spans="1:41">
      <c r="A110" s="53"/>
      <c r="B110" s="54">
        <v>3</v>
      </c>
      <c r="C110" s="55"/>
      <c r="D110" s="50"/>
      <c r="E110" s="50"/>
      <c r="F110" s="50"/>
      <c r="G110" s="50">
        <f t="shared" si="43"/>
        <v>0</v>
      </c>
      <c r="H110" s="50">
        <f t="shared" si="44"/>
        <v>0</v>
      </c>
      <c r="I110" s="50" t="s">
        <v>58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" customHeight="1" spans="1:41">
      <c r="A111" s="53"/>
      <c r="B111" s="54">
        <v>4</v>
      </c>
      <c r="C111" s="55"/>
      <c r="D111" s="50"/>
      <c r="E111" s="50"/>
      <c r="F111" s="50"/>
      <c r="G111" s="50">
        <f t="shared" si="43"/>
        <v>0</v>
      </c>
      <c r="H111" s="50">
        <f t="shared" si="44"/>
        <v>0</v>
      </c>
      <c r="I111" s="50" t="s">
        <v>58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" customHeight="1" spans="1:41">
      <c r="A112" s="53"/>
      <c r="B112" s="54">
        <v>5</v>
      </c>
      <c r="C112" s="55"/>
      <c r="D112" s="50"/>
      <c r="E112" s="50"/>
      <c r="F112" s="50"/>
      <c r="G112" s="50">
        <f t="shared" si="43"/>
        <v>0</v>
      </c>
      <c r="H112" s="50">
        <f t="shared" si="44"/>
        <v>0</v>
      </c>
      <c r="I112" s="50" t="s">
        <v>58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" customHeight="1" spans="1:41">
      <c r="A113" s="53"/>
      <c r="B113" s="54" t="s">
        <v>103</v>
      </c>
      <c r="C113" s="55" t="s">
        <v>104</v>
      </c>
      <c r="D113" s="50">
        <v>0.915</v>
      </c>
      <c r="E113" s="50">
        <v>0.015</v>
      </c>
      <c r="F113" s="50">
        <v>-0.01</v>
      </c>
      <c r="G113" s="50">
        <f t="shared" si="43"/>
        <v>0.93</v>
      </c>
      <c r="H113" s="50">
        <f t="shared" si="44"/>
        <v>0.905</v>
      </c>
      <c r="I113" s="50" t="s">
        <v>105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50">IF(J113="","",IF(J113&gt;($D113+$E113),(J113-$D113-$E113),IF(J113&lt;($D113+$F113),(J113-$D113-$F113),"√")))</f>
        <v/>
      </c>
      <c r="AA113" s="52" t="str">
        <f t="shared" si="50"/>
        <v/>
      </c>
      <c r="AB113" s="52" t="str">
        <f t="shared" si="50"/>
        <v/>
      </c>
      <c r="AC113" s="52" t="str">
        <f t="shared" si="50"/>
        <v/>
      </c>
      <c r="AD113" s="52" t="str">
        <f t="shared" si="50"/>
        <v/>
      </c>
      <c r="AE113" s="52" t="str">
        <f t="shared" si="50"/>
        <v/>
      </c>
      <c r="AF113" s="52" t="str">
        <f t="shared" si="50"/>
        <v/>
      </c>
      <c r="AG113" s="52" t="str">
        <f t="shared" si="50"/>
        <v/>
      </c>
      <c r="AH113" s="52" t="str">
        <f t="shared" si="50"/>
        <v/>
      </c>
      <c r="AI113" s="52" t="str">
        <f t="shared" si="50"/>
        <v/>
      </c>
      <c r="AJ113" s="52" t="str">
        <f t="shared" si="50"/>
        <v/>
      </c>
      <c r="AK113" s="52" t="str">
        <f t="shared" si="50"/>
        <v/>
      </c>
      <c r="AL113" s="52" t="str">
        <f t="shared" si="50"/>
        <v/>
      </c>
      <c r="AM113" s="52" t="str">
        <f t="shared" si="50"/>
        <v/>
      </c>
      <c r="AN113" s="52" t="str">
        <f t="shared" si="50"/>
        <v/>
      </c>
      <c r="AO113" s="52" t="str">
        <f t="shared" si="50"/>
        <v/>
      </c>
    </row>
    <row r="114" ht="15" customHeight="1" spans="1:41">
      <c r="A114" s="53"/>
      <c r="B114" s="54" t="s">
        <v>106</v>
      </c>
      <c r="C114" s="55"/>
      <c r="D114" s="50">
        <v>0.65</v>
      </c>
      <c r="E114" s="50">
        <v>0.03</v>
      </c>
      <c r="F114" s="50">
        <v>-0.03</v>
      </c>
      <c r="G114" s="50">
        <f t="shared" si="43"/>
        <v>0.68</v>
      </c>
      <c r="H114" s="50">
        <f t="shared" si="44"/>
        <v>0.62</v>
      </c>
      <c r="I114" s="50" t="s">
        <v>107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51">IF(J114="","",IF(J114&gt;($D114+$E114),(J114-$D114-$E114),IF(J114&lt;($D114+$F114),(J114-$D114-$F114),"√")))</f>
        <v/>
      </c>
      <c r="AA114" s="52" t="str">
        <f t="shared" si="51"/>
        <v/>
      </c>
      <c r="AB114" s="52" t="str">
        <f t="shared" si="51"/>
        <v/>
      </c>
      <c r="AC114" s="52" t="str">
        <f t="shared" si="51"/>
        <v/>
      </c>
      <c r="AD114" s="52" t="str">
        <f t="shared" si="51"/>
        <v/>
      </c>
      <c r="AE114" s="52" t="str">
        <f t="shared" si="51"/>
        <v/>
      </c>
      <c r="AF114" s="52" t="str">
        <f t="shared" si="51"/>
        <v/>
      </c>
      <c r="AG114" s="52" t="str">
        <f t="shared" si="51"/>
        <v/>
      </c>
      <c r="AH114" s="52" t="str">
        <f t="shared" si="51"/>
        <v/>
      </c>
      <c r="AI114" s="52" t="str">
        <f t="shared" si="51"/>
        <v/>
      </c>
      <c r="AJ114" s="52" t="str">
        <f t="shared" si="51"/>
        <v/>
      </c>
      <c r="AK114" s="52" t="str">
        <f t="shared" si="51"/>
        <v/>
      </c>
      <c r="AL114" s="52" t="str">
        <f t="shared" si="51"/>
        <v/>
      </c>
      <c r="AM114" s="52" t="str">
        <f t="shared" si="51"/>
        <v/>
      </c>
      <c r="AN114" s="52" t="str">
        <f t="shared" si="51"/>
        <v/>
      </c>
      <c r="AO114" s="52" t="str">
        <f t="shared" si="51"/>
        <v/>
      </c>
    </row>
    <row r="115" ht="15" customHeight="1" spans="1:41">
      <c r="A115" s="53"/>
      <c r="B115" s="54" t="s">
        <v>108</v>
      </c>
      <c r="C115" s="55"/>
      <c r="D115" s="50">
        <v>0.65</v>
      </c>
      <c r="E115" s="50">
        <v>0.05</v>
      </c>
      <c r="F115" s="50">
        <v>-0.05</v>
      </c>
      <c r="G115" s="50">
        <f t="shared" si="43"/>
        <v>0.7</v>
      </c>
      <c r="H115" s="50">
        <f t="shared" si="44"/>
        <v>0.6</v>
      </c>
      <c r="I115" s="50" t="s">
        <v>107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2">IF(J115="","",IF(J115&gt;($D115+$E115),(J115-$D115-$E115),IF(J115&lt;($D115+$F115),(J115-$D115-$F115),"√")))</f>
        <v/>
      </c>
      <c r="AA115" s="52" t="str">
        <f t="shared" si="52"/>
        <v/>
      </c>
      <c r="AB115" s="52" t="str">
        <f t="shared" si="52"/>
        <v/>
      </c>
      <c r="AC115" s="52" t="str">
        <f t="shared" si="52"/>
        <v/>
      </c>
      <c r="AD115" s="52" t="str">
        <f t="shared" si="52"/>
        <v/>
      </c>
      <c r="AE115" s="52" t="str">
        <f t="shared" si="52"/>
        <v/>
      </c>
      <c r="AF115" s="52" t="str">
        <f t="shared" si="52"/>
        <v/>
      </c>
      <c r="AG115" s="52" t="str">
        <f t="shared" si="52"/>
        <v/>
      </c>
      <c r="AH115" s="52" t="str">
        <f t="shared" si="52"/>
        <v/>
      </c>
      <c r="AI115" s="52" t="str">
        <f t="shared" si="52"/>
        <v/>
      </c>
      <c r="AJ115" s="52" t="str">
        <f t="shared" si="52"/>
        <v/>
      </c>
      <c r="AK115" s="52" t="str">
        <f t="shared" si="52"/>
        <v/>
      </c>
      <c r="AL115" s="52" t="str">
        <f t="shared" si="52"/>
        <v/>
      </c>
      <c r="AM115" s="52" t="str">
        <f t="shared" si="52"/>
        <v/>
      </c>
      <c r="AN115" s="52" t="str">
        <f t="shared" si="52"/>
        <v/>
      </c>
      <c r="AO115" s="52" t="str">
        <f t="shared" si="52"/>
        <v/>
      </c>
    </row>
    <row r="116" ht="15" customHeight="1" spans="1:41">
      <c r="A116" s="53"/>
      <c r="B116" s="54" t="s">
        <v>109</v>
      </c>
      <c r="C116" s="55"/>
      <c r="D116" s="50">
        <v>0.65</v>
      </c>
      <c r="E116" s="50">
        <v>0.05</v>
      </c>
      <c r="F116" s="50">
        <v>-0.05</v>
      </c>
      <c r="G116" s="50">
        <f t="shared" si="43"/>
        <v>0.7</v>
      </c>
      <c r="H116" s="50">
        <f t="shared" si="44"/>
        <v>0.6</v>
      </c>
      <c r="I116" s="50" t="s">
        <v>107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3">IF(J116="","",IF(J116&gt;($D116+$E116),(J116-$D116-$E116),IF(J116&lt;($D116+$F116),(J116-$D116-$F116),"√")))</f>
        <v/>
      </c>
      <c r="AA116" s="52" t="str">
        <f t="shared" si="53"/>
        <v/>
      </c>
      <c r="AB116" s="52" t="str">
        <f t="shared" si="53"/>
        <v/>
      </c>
      <c r="AC116" s="52" t="str">
        <f t="shared" si="53"/>
        <v/>
      </c>
      <c r="AD116" s="52" t="str">
        <f t="shared" si="53"/>
        <v/>
      </c>
      <c r="AE116" s="52" t="str">
        <f t="shared" si="53"/>
        <v/>
      </c>
      <c r="AF116" s="52" t="str">
        <f t="shared" si="53"/>
        <v/>
      </c>
      <c r="AG116" s="52" t="str">
        <f t="shared" si="53"/>
        <v/>
      </c>
      <c r="AH116" s="52" t="str">
        <f t="shared" si="53"/>
        <v/>
      </c>
      <c r="AI116" s="52" t="str">
        <f t="shared" si="53"/>
        <v/>
      </c>
      <c r="AJ116" s="52" t="str">
        <f t="shared" si="53"/>
        <v/>
      </c>
      <c r="AK116" s="52" t="str">
        <f t="shared" si="53"/>
        <v/>
      </c>
      <c r="AL116" s="52" t="str">
        <f t="shared" si="53"/>
        <v/>
      </c>
      <c r="AM116" s="52" t="str">
        <f t="shared" si="53"/>
        <v/>
      </c>
      <c r="AN116" s="52" t="str">
        <f t="shared" si="53"/>
        <v/>
      </c>
      <c r="AO116" s="52" t="str">
        <f t="shared" si="53"/>
        <v/>
      </c>
    </row>
    <row r="117" ht="15" customHeight="1" spans="1:41">
      <c r="A117" s="53"/>
      <c r="B117" s="54" t="s">
        <v>110</v>
      </c>
      <c r="C117" s="55" t="s">
        <v>111</v>
      </c>
      <c r="D117" s="50">
        <v>0.4</v>
      </c>
      <c r="E117" s="50">
        <v>0.03</v>
      </c>
      <c r="F117" s="50">
        <v>-0.03</v>
      </c>
      <c r="G117" s="50">
        <f t="shared" si="43"/>
        <v>0.43</v>
      </c>
      <c r="H117" s="50">
        <f t="shared" si="44"/>
        <v>0.37</v>
      </c>
      <c r="I117" s="50" t="s">
        <v>107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4">IF(J117="","",IF(J117&gt;($D117+$E117),(J117-$D117-$E117),IF(J117&lt;($D117+$F117),(J117-$D117-$F117),"√")))</f>
        <v/>
      </c>
      <c r="AA117" s="52" t="str">
        <f t="shared" si="54"/>
        <v/>
      </c>
      <c r="AB117" s="52" t="str">
        <f t="shared" si="54"/>
        <v/>
      </c>
      <c r="AC117" s="52" t="str">
        <f t="shared" si="54"/>
        <v/>
      </c>
      <c r="AD117" s="52" t="str">
        <f t="shared" si="54"/>
        <v/>
      </c>
      <c r="AE117" s="52" t="str">
        <f t="shared" si="54"/>
        <v/>
      </c>
      <c r="AF117" s="52" t="str">
        <f t="shared" si="54"/>
        <v/>
      </c>
      <c r="AG117" s="52" t="str">
        <f t="shared" si="54"/>
        <v/>
      </c>
      <c r="AH117" s="52" t="str">
        <f t="shared" si="54"/>
        <v/>
      </c>
      <c r="AI117" s="52" t="str">
        <f t="shared" si="54"/>
        <v/>
      </c>
      <c r="AJ117" s="52" t="str">
        <f t="shared" si="54"/>
        <v/>
      </c>
      <c r="AK117" s="52" t="str">
        <f t="shared" si="54"/>
        <v/>
      </c>
      <c r="AL117" s="52" t="str">
        <f t="shared" si="54"/>
        <v/>
      </c>
      <c r="AM117" s="52" t="str">
        <f t="shared" si="54"/>
        <v/>
      </c>
      <c r="AN117" s="52" t="str">
        <f t="shared" si="54"/>
        <v/>
      </c>
      <c r="AO117" s="52" t="str">
        <f t="shared" si="54"/>
        <v/>
      </c>
    </row>
    <row r="118" ht="15" customHeight="1" spans="1:41">
      <c r="A118" s="53"/>
      <c r="B118" s="54" t="s">
        <v>112</v>
      </c>
      <c r="C118" s="55" t="s">
        <v>111</v>
      </c>
      <c r="D118" s="50">
        <v>0.4</v>
      </c>
      <c r="E118" s="50">
        <v>0.03</v>
      </c>
      <c r="F118" s="50">
        <v>-0.03</v>
      </c>
      <c r="G118" s="50">
        <f t="shared" si="43"/>
        <v>0.43</v>
      </c>
      <c r="H118" s="50">
        <f t="shared" si="44"/>
        <v>0.37</v>
      </c>
      <c r="I118" s="50" t="s">
        <v>107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5">IF(J118="","",IF(J118&gt;($D118+$E118),(J118-$D118-$E118),IF(J118&lt;($D118+$F118),(J118-$D118-$F118),"√")))</f>
        <v/>
      </c>
      <c r="AA118" s="52" t="str">
        <f t="shared" si="55"/>
        <v/>
      </c>
      <c r="AB118" s="52" t="str">
        <f t="shared" si="55"/>
        <v/>
      </c>
      <c r="AC118" s="52" t="str">
        <f t="shared" si="55"/>
        <v/>
      </c>
      <c r="AD118" s="52" t="str">
        <f t="shared" si="55"/>
        <v/>
      </c>
      <c r="AE118" s="52" t="str">
        <f t="shared" si="55"/>
        <v/>
      </c>
      <c r="AF118" s="52" t="str">
        <f t="shared" si="55"/>
        <v/>
      </c>
      <c r="AG118" s="52" t="str">
        <f t="shared" si="55"/>
        <v/>
      </c>
      <c r="AH118" s="52" t="str">
        <f t="shared" si="55"/>
        <v/>
      </c>
      <c r="AI118" s="52" t="str">
        <f t="shared" si="55"/>
        <v/>
      </c>
      <c r="AJ118" s="52" t="str">
        <f t="shared" si="55"/>
        <v/>
      </c>
      <c r="AK118" s="52" t="str">
        <f t="shared" si="55"/>
        <v/>
      </c>
      <c r="AL118" s="52" t="str">
        <f t="shared" si="55"/>
        <v/>
      </c>
      <c r="AM118" s="52" t="str">
        <f t="shared" si="55"/>
        <v/>
      </c>
      <c r="AN118" s="52" t="str">
        <f t="shared" si="55"/>
        <v/>
      </c>
      <c r="AO118" s="52" t="str">
        <f t="shared" si="55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9">
    <cfRule type="cellIs" dxfId="0" priority="182" operator="notBetween">
      <formula>$G19</formula>
      <formula>$H19</formula>
    </cfRule>
  </conditionalFormatting>
  <conditionalFormatting sqref="J82">
    <cfRule type="cellIs" dxfId="0" priority="186" operator="notBetween">
      <formula>$G82</formula>
      <formula>$H82</formula>
    </cfRule>
  </conditionalFormatting>
  <conditionalFormatting sqref="K82">
    <cfRule type="cellIs" dxfId="0" priority="150" operator="notBetween">
      <formula>$G82</formula>
      <formula>$H82</formula>
    </cfRule>
  </conditionalFormatting>
  <conditionalFormatting sqref="L82">
    <cfRule type="cellIs" dxfId="0" priority="149" operator="notBetween">
      <formula>$G82</formula>
      <formula>$H82</formula>
    </cfRule>
  </conditionalFormatting>
  <conditionalFormatting sqref="M82">
    <cfRule type="cellIs" dxfId="0" priority="148" operator="notBetween">
      <formula>$G82</formula>
      <formula>$H82</formula>
    </cfRule>
  </conditionalFormatting>
  <conditionalFormatting sqref="N82">
    <cfRule type="cellIs" dxfId="0" priority="147" operator="notBetween">
      <formula>$G82</formula>
      <formula>$H82</formula>
    </cfRule>
  </conditionalFormatting>
  <conditionalFormatting sqref="O82">
    <cfRule type="cellIs" dxfId="0" priority="146" operator="notBetween">
      <formula>$G82</formula>
      <formula>$H82</formula>
    </cfRule>
  </conditionalFormatting>
  <conditionalFormatting sqref="P82">
    <cfRule type="cellIs" dxfId="0" priority="145" operator="notBetween">
      <formula>$G82</formula>
      <formula>$H82</formula>
    </cfRule>
  </conditionalFormatting>
  <conditionalFormatting sqref="Q82">
    <cfRule type="cellIs" dxfId="0" priority="144" operator="notBetween">
      <formula>$G82</formula>
      <formula>$H82</formula>
    </cfRule>
  </conditionalFormatting>
  <conditionalFormatting sqref="R82">
    <cfRule type="cellIs" dxfId="0" priority="143" operator="notBetween">
      <formula>$G82</formula>
      <formula>$H82</formula>
    </cfRule>
  </conditionalFormatting>
  <conditionalFormatting sqref="S82">
    <cfRule type="cellIs" dxfId="0" priority="142" operator="notBetween">
      <formula>$G82</formula>
      <formula>$H82</formula>
    </cfRule>
  </conditionalFormatting>
  <conditionalFormatting sqref="T82">
    <cfRule type="cellIs" dxfId="0" priority="141" operator="notBetween">
      <formula>$G82</formula>
      <formula>$H82</formula>
    </cfRule>
  </conditionalFormatting>
  <conditionalFormatting sqref="U82">
    <cfRule type="cellIs" dxfId="0" priority="140" operator="notBetween">
      <formula>$G82</formula>
      <formula>$H82</formula>
    </cfRule>
  </conditionalFormatting>
  <conditionalFormatting sqref="V82">
    <cfRule type="cellIs" dxfId="0" priority="139" operator="notBetween">
      <formula>$G82</formula>
      <formula>$H82</formula>
    </cfRule>
  </conditionalFormatting>
  <conditionalFormatting sqref="W82">
    <cfRule type="cellIs" dxfId="0" priority="138" operator="notBetween">
      <formula>$G82</formula>
      <formula>$H82</formula>
    </cfRule>
  </conditionalFormatting>
  <conditionalFormatting sqref="X82">
    <cfRule type="cellIs" dxfId="0" priority="137" operator="notBetween">
      <formula>$G82</formula>
      <formula>$H82</formula>
    </cfRule>
  </conditionalFormatting>
  <conditionalFormatting sqref="Y82">
    <cfRule type="cellIs" dxfId="0" priority="136" operator="notBetween">
      <formula>$G82</formula>
      <formula>$H82</formula>
    </cfRule>
  </conditionalFormatting>
  <conditionalFormatting sqref="J104">
    <cfRule type="cellIs" dxfId="0" priority="183" operator="notBetween">
      <formula>$G104</formula>
      <formula>$H104</formula>
    </cfRule>
  </conditionalFormatting>
  <conditionalFormatting sqref="K104">
    <cfRule type="cellIs" dxfId="0" priority="105" operator="notBetween">
      <formula>$G104</formula>
      <formula>$H104</formula>
    </cfRule>
  </conditionalFormatting>
  <conditionalFormatting sqref="L104">
    <cfRule type="cellIs" dxfId="0" priority="104" operator="notBetween">
      <formula>$G104</formula>
      <formula>$H104</formula>
    </cfRule>
  </conditionalFormatting>
  <conditionalFormatting sqref="M104">
    <cfRule type="cellIs" dxfId="0" priority="103" operator="notBetween">
      <formula>$G104</formula>
      <formula>$H104</formula>
    </cfRule>
  </conditionalFormatting>
  <conditionalFormatting sqref="N104">
    <cfRule type="cellIs" dxfId="0" priority="102" operator="notBetween">
      <formula>$G104</formula>
      <formula>$H104</formula>
    </cfRule>
  </conditionalFormatting>
  <conditionalFormatting sqref="O104">
    <cfRule type="cellIs" dxfId="0" priority="101" operator="notBetween">
      <formula>$G104</formula>
      <formula>$H104</formula>
    </cfRule>
  </conditionalFormatting>
  <conditionalFormatting sqref="P104">
    <cfRule type="cellIs" dxfId="0" priority="100" operator="notBetween">
      <formula>$G104</formula>
      <formula>$H104</formula>
    </cfRule>
  </conditionalFormatting>
  <conditionalFormatting sqref="Q104">
    <cfRule type="cellIs" dxfId="0" priority="99" operator="notBetween">
      <formula>$G104</formula>
      <formula>$H104</formula>
    </cfRule>
  </conditionalFormatting>
  <conditionalFormatting sqref="R104">
    <cfRule type="cellIs" dxfId="0" priority="98" operator="notBetween">
      <formula>$G104</formula>
      <formula>$H104</formula>
    </cfRule>
  </conditionalFormatting>
  <conditionalFormatting sqref="S104">
    <cfRule type="cellIs" dxfId="0" priority="97" operator="notBetween">
      <formula>$G104</formula>
      <formula>$H104</formula>
    </cfRule>
  </conditionalFormatting>
  <conditionalFormatting sqref="T104">
    <cfRule type="cellIs" dxfId="0" priority="96" operator="notBetween">
      <formula>$G104</formula>
      <formula>$H104</formula>
    </cfRule>
  </conditionalFormatting>
  <conditionalFormatting sqref="U104">
    <cfRule type="cellIs" dxfId="0" priority="95" operator="notBetween">
      <formula>$G104</formula>
      <formula>$H104</formula>
    </cfRule>
  </conditionalFormatting>
  <conditionalFormatting sqref="V104">
    <cfRule type="cellIs" dxfId="0" priority="94" operator="notBetween">
      <formula>$G104</formula>
      <formula>$H104</formula>
    </cfRule>
  </conditionalFormatting>
  <conditionalFormatting sqref="W104">
    <cfRule type="cellIs" dxfId="0" priority="93" operator="notBetween">
      <formula>$G104</formula>
      <formula>$H104</formula>
    </cfRule>
  </conditionalFormatting>
  <conditionalFormatting sqref="X104">
    <cfRule type="cellIs" dxfId="0" priority="92" operator="notBetween">
      <formula>$G104</formula>
      <formula>$H104</formula>
    </cfRule>
  </conditionalFormatting>
  <conditionalFormatting sqref="Y104">
    <cfRule type="cellIs" dxfId="0" priority="91" operator="notBetween">
      <formula>$G104</formula>
      <formula>$H104</formula>
    </cfRule>
  </conditionalFormatting>
  <conditionalFormatting sqref="J107">
    <cfRule type="cellIs" dxfId="0" priority="184" operator="notBetween">
      <formula>$G107</formula>
      <formula>$H107</formula>
    </cfRule>
  </conditionalFormatting>
  <conditionalFormatting sqref="K107">
    <cfRule type="cellIs" dxfId="0" priority="120" operator="notBetween">
      <formula>$G107</formula>
      <formula>$H107</formula>
    </cfRule>
  </conditionalFormatting>
  <conditionalFormatting sqref="L107">
    <cfRule type="cellIs" dxfId="0" priority="119" operator="notBetween">
      <formula>$G107</formula>
      <formula>$H107</formula>
    </cfRule>
  </conditionalFormatting>
  <conditionalFormatting sqref="M107">
    <cfRule type="cellIs" dxfId="0" priority="118" operator="notBetween">
      <formula>$G107</formula>
      <formula>$H107</formula>
    </cfRule>
  </conditionalFormatting>
  <conditionalFormatting sqref="N107">
    <cfRule type="cellIs" dxfId="0" priority="117" operator="notBetween">
      <formula>$G107</formula>
      <formula>$H107</formula>
    </cfRule>
  </conditionalFormatting>
  <conditionalFormatting sqref="O107">
    <cfRule type="cellIs" dxfId="0" priority="116" operator="notBetween">
      <formula>$G107</formula>
      <formula>$H107</formula>
    </cfRule>
  </conditionalFormatting>
  <conditionalFormatting sqref="P107">
    <cfRule type="cellIs" dxfId="0" priority="115" operator="notBetween">
      <formula>$G107</formula>
      <formula>$H107</formula>
    </cfRule>
  </conditionalFormatting>
  <conditionalFormatting sqref="Q107">
    <cfRule type="cellIs" dxfId="0" priority="114" operator="notBetween">
      <formula>$G107</formula>
      <formula>$H107</formula>
    </cfRule>
  </conditionalFormatting>
  <conditionalFormatting sqref="R107">
    <cfRule type="cellIs" dxfId="0" priority="113" operator="notBetween">
      <formula>$G107</formula>
      <formula>$H107</formula>
    </cfRule>
  </conditionalFormatting>
  <conditionalFormatting sqref="S107">
    <cfRule type="cellIs" dxfId="0" priority="112" operator="notBetween">
      <formula>$G107</formula>
      <formula>$H107</formula>
    </cfRule>
  </conditionalFormatting>
  <conditionalFormatting sqref="T107">
    <cfRule type="cellIs" dxfId="0" priority="111" operator="notBetween">
      <formula>$G107</formula>
      <formula>$H107</formula>
    </cfRule>
  </conditionalFormatting>
  <conditionalFormatting sqref="U107">
    <cfRule type="cellIs" dxfId="0" priority="110" operator="notBetween">
      <formula>$G107</formula>
      <formula>$H107</formula>
    </cfRule>
  </conditionalFormatting>
  <conditionalFormatting sqref="V107">
    <cfRule type="cellIs" dxfId="0" priority="109" operator="notBetween">
      <formula>$G107</formula>
      <formula>$H107</formula>
    </cfRule>
  </conditionalFormatting>
  <conditionalFormatting sqref="W107">
    <cfRule type="cellIs" dxfId="0" priority="108" operator="notBetween">
      <formula>$G107</formula>
      <formula>$H107</formula>
    </cfRule>
  </conditionalFormatting>
  <conditionalFormatting sqref="X107">
    <cfRule type="cellIs" dxfId="0" priority="107" operator="notBetween">
      <formula>$G107</formula>
      <formula>$H107</formula>
    </cfRule>
  </conditionalFormatting>
  <conditionalFormatting sqref="Y107">
    <cfRule type="cellIs" dxfId="0" priority="106" operator="notBetween">
      <formula>$G107</formula>
      <formula>$H107</formula>
    </cfRule>
  </conditionalFormatting>
  <conditionalFormatting sqref="J113:J118">
    <cfRule type="cellIs" dxfId="0" priority="181" operator="notBetween">
      <formula>$G113</formula>
      <formula>$H113</formula>
    </cfRule>
  </conditionalFormatting>
  <conditionalFormatting sqref="K113:K118">
    <cfRule type="cellIs" dxfId="0" priority="15" operator="notBetween">
      <formula>$G113</formula>
      <formula>$H113</formula>
    </cfRule>
  </conditionalFormatting>
  <conditionalFormatting sqref="L10:L11">
    <cfRule type="cellIs" dxfId="0" priority="89" operator="notBetween">
      <formula>$G10</formula>
      <formula>$H10</formula>
    </cfRule>
  </conditionalFormatting>
  <conditionalFormatting sqref="L12:L13">
    <cfRule type="cellIs" dxfId="0" priority="74" operator="notBetween">
      <formula>$G12</formula>
      <formula>$H12</formula>
    </cfRule>
  </conditionalFormatting>
  <conditionalFormatting sqref="L14:L15">
    <cfRule type="cellIs" dxfId="0" priority="59" operator="notBetween">
      <formula>$G14</formula>
      <formula>$H14</formula>
    </cfRule>
  </conditionalFormatting>
  <conditionalFormatting sqref="L16:L17">
    <cfRule type="cellIs" dxfId="0" priority="44" operator="notBetween">
      <formula>$G16</formula>
      <formula>$H16</formula>
    </cfRule>
  </conditionalFormatting>
  <conditionalFormatting sqref="L18:L19">
    <cfRule type="cellIs" dxfId="0" priority="29" operator="notBetween">
      <formula>$G18</formula>
      <formula>$H18</formula>
    </cfRule>
  </conditionalFormatting>
  <conditionalFormatting sqref="L113:L118">
    <cfRule type="cellIs" dxfId="0" priority="14" operator="notBetween">
      <formula>$G113</formula>
      <formula>$H113</formula>
    </cfRule>
  </conditionalFormatting>
  <conditionalFormatting sqref="M10:M11">
    <cfRule type="cellIs" dxfId="0" priority="88" operator="notBetween">
      <formula>$G10</formula>
      <formula>$H10</formula>
    </cfRule>
  </conditionalFormatting>
  <conditionalFormatting sqref="M12:M13">
    <cfRule type="cellIs" dxfId="0" priority="73" operator="notBetween">
      <formula>$G12</formula>
      <formula>$H12</formula>
    </cfRule>
  </conditionalFormatting>
  <conditionalFormatting sqref="M14:M15">
    <cfRule type="cellIs" dxfId="0" priority="58" operator="notBetween">
      <formula>$G14</formula>
      <formula>$H14</formula>
    </cfRule>
  </conditionalFormatting>
  <conditionalFormatting sqref="M16:M17">
    <cfRule type="cellIs" dxfId="0" priority="43" operator="notBetween">
      <formula>$G16</formula>
      <formula>$H16</formula>
    </cfRule>
  </conditionalFormatting>
  <conditionalFormatting sqref="M18:M19">
    <cfRule type="cellIs" dxfId="0" priority="28" operator="notBetween">
      <formula>$G18</formula>
      <formula>$H18</formula>
    </cfRule>
  </conditionalFormatting>
  <conditionalFormatting sqref="M113:M118">
    <cfRule type="cellIs" dxfId="0" priority="13" operator="notBetween">
      <formula>$G113</formula>
      <formula>$H113</formula>
    </cfRule>
  </conditionalFormatting>
  <conditionalFormatting sqref="N10:N11">
    <cfRule type="cellIs" dxfId="0" priority="87" operator="notBetween">
      <formula>$G10</formula>
      <formula>$H10</formula>
    </cfRule>
  </conditionalFormatting>
  <conditionalFormatting sqref="N12:N13">
    <cfRule type="cellIs" dxfId="0" priority="72" operator="notBetween">
      <formula>$G12</formula>
      <formula>$H12</formula>
    </cfRule>
  </conditionalFormatting>
  <conditionalFormatting sqref="N14:N15">
    <cfRule type="cellIs" dxfId="0" priority="57" operator="notBetween">
      <formula>$G14</formula>
      <formula>$H14</formula>
    </cfRule>
  </conditionalFormatting>
  <conditionalFormatting sqref="N16:N17">
    <cfRule type="cellIs" dxfId="0" priority="42" operator="notBetween">
      <formula>$G16</formula>
      <formula>$H16</formula>
    </cfRule>
  </conditionalFormatting>
  <conditionalFormatting sqref="N18:N19">
    <cfRule type="cellIs" dxfId="0" priority="27" operator="notBetween">
      <formula>$G18</formula>
      <formula>$H18</formula>
    </cfRule>
  </conditionalFormatting>
  <conditionalFormatting sqref="N113:N118">
    <cfRule type="cellIs" dxfId="0" priority="12" operator="notBetween">
      <formula>$G113</formula>
      <formula>$H113</formula>
    </cfRule>
  </conditionalFormatting>
  <conditionalFormatting sqref="O10:O11">
    <cfRule type="cellIs" dxfId="0" priority="86" operator="notBetween">
      <formula>$G10</formula>
      <formula>$H10</formula>
    </cfRule>
  </conditionalFormatting>
  <conditionalFormatting sqref="O12:O13">
    <cfRule type="cellIs" dxfId="0" priority="71" operator="notBetween">
      <formula>$G12</formula>
      <formula>$H12</formula>
    </cfRule>
  </conditionalFormatting>
  <conditionalFormatting sqref="O14:O15">
    <cfRule type="cellIs" dxfId="0" priority="56" operator="notBetween">
      <formula>$G14</formula>
      <formula>$H14</formula>
    </cfRule>
  </conditionalFormatting>
  <conditionalFormatting sqref="O16:O17">
    <cfRule type="cellIs" dxfId="0" priority="41" operator="notBetween">
      <formula>$G16</formula>
      <formula>$H16</formula>
    </cfRule>
  </conditionalFormatting>
  <conditionalFormatting sqref="O18:O19">
    <cfRule type="cellIs" dxfId="0" priority="26" operator="notBetween">
      <formula>$G18</formula>
      <formula>$H18</formula>
    </cfRule>
  </conditionalFormatting>
  <conditionalFormatting sqref="O113:O118">
    <cfRule type="cellIs" dxfId="0" priority="11" operator="notBetween">
      <formula>$G113</formula>
      <formula>$H113</formula>
    </cfRule>
  </conditionalFormatting>
  <conditionalFormatting sqref="P10:P11">
    <cfRule type="cellIs" dxfId="0" priority="85" operator="notBetween">
      <formula>$G10</formula>
      <formula>$H10</formula>
    </cfRule>
  </conditionalFormatting>
  <conditionalFormatting sqref="P12:P13">
    <cfRule type="cellIs" dxfId="0" priority="70" operator="notBetween">
      <formula>$G12</formula>
      <formula>$H12</formula>
    </cfRule>
  </conditionalFormatting>
  <conditionalFormatting sqref="P14:P15">
    <cfRule type="cellIs" dxfId="0" priority="55" operator="notBetween">
      <formula>$G14</formula>
      <formula>$H14</formula>
    </cfRule>
  </conditionalFormatting>
  <conditionalFormatting sqref="P16:P17">
    <cfRule type="cellIs" dxfId="0" priority="40" operator="notBetween">
      <formula>$G16</formula>
      <formula>$H16</formula>
    </cfRule>
  </conditionalFormatting>
  <conditionalFormatting sqref="P18:P19">
    <cfRule type="cellIs" dxfId="0" priority="25" operator="notBetween">
      <formula>$G18</formula>
      <formula>$H18</formula>
    </cfRule>
  </conditionalFormatting>
  <conditionalFormatting sqref="P113:P118">
    <cfRule type="cellIs" dxfId="0" priority="10" operator="notBetween">
      <formula>$G113</formula>
      <formula>$H113</formula>
    </cfRule>
  </conditionalFormatting>
  <conditionalFormatting sqref="Q10:Q11">
    <cfRule type="cellIs" dxfId="0" priority="84" operator="notBetween">
      <formula>$G10</formula>
      <formula>$H10</formula>
    </cfRule>
  </conditionalFormatting>
  <conditionalFormatting sqref="Q12:Q13">
    <cfRule type="cellIs" dxfId="0" priority="69" operator="notBetween">
      <formula>$G12</formula>
      <formula>$H12</formula>
    </cfRule>
  </conditionalFormatting>
  <conditionalFormatting sqref="Q14:Q15">
    <cfRule type="cellIs" dxfId="0" priority="54" operator="notBetween">
      <formula>$G14</formula>
      <formula>$H14</formula>
    </cfRule>
  </conditionalFormatting>
  <conditionalFormatting sqref="Q16:Q17">
    <cfRule type="cellIs" dxfId="0" priority="39" operator="notBetween">
      <formula>$G16</formula>
      <formula>$H16</formula>
    </cfRule>
  </conditionalFormatting>
  <conditionalFormatting sqref="Q18:Q19">
    <cfRule type="cellIs" dxfId="0" priority="24" operator="notBetween">
      <formula>$G18</formula>
      <formula>$H18</formula>
    </cfRule>
  </conditionalFormatting>
  <conditionalFormatting sqref="Q113:Q118">
    <cfRule type="cellIs" dxfId="0" priority="9" operator="notBetween">
      <formula>$G113</formula>
      <formula>$H113</formula>
    </cfRule>
  </conditionalFormatting>
  <conditionalFormatting sqref="R10:R11">
    <cfRule type="cellIs" dxfId="0" priority="83" operator="notBetween">
      <formula>$G10</formula>
      <formula>$H10</formula>
    </cfRule>
  </conditionalFormatting>
  <conditionalFormatting sqref="R12:R13">
    <cfRule type="cellIs" dxfId="0" priority="68" operator="notBetween">
      <formula>$G12</formula>
      <formula>$H12</formula>
    </cfRule>
  </conditionalFormatting>
  <conditionalFormatting sqref="R14:R15">
    <cfRule type="cellIs" dxfId="0" priority="53" operator="notBetween">
      <formula>$G14</formula>
      <formula>$H14</formula>
    </cfRule>
  </conditionalFormatting>
  <conditionalFormatting sqref="R16:R17">
    <cfRule type="cellIs" dxfId="0" priority="38" operator="notBetween">
      <formula>$G16</formula>
      <formula>$H16</formula>
    </cfRule>
  </conditionalFormatting>
  <conditionalFormatting sqref="R18:R19">
    <cfRule type="cellIs" dxfId="0" priority="23" operator="notBetween">
      <formula>$G18</formula>
      <formula>$H18</formula>
    </cfRule>
  </conditionalFormatting>
  <conditionalFormatting sqref="R113:R118">
    <cfRule type="cellIs" dxfId="0" priority="8" operator="notBetween">
      <formula>$G113</formula>
      <formula>$H113</formula>
    </cfRule>
  </conditionalFormatting>
  <conditionalFormatting sqref="S10:S11">
    <cfRule type="cellIs" dxfId="0" priority="82" operator="notBetween">
      <formula>$G10</formula>
      <formula>$H10</formula>
    </cfRule>
  </conditionalFormatting>
  <conditionalFormatting sqref="S12:S13">
    <cfRule type="cellIs" dxfId="0" priority="67" operator="notBetween">
      <formula>$G12</formula>
      <formula>$H12</formula>
    </cfRule>
  </conditionalFormatting>
  <conditionalFormatting sqref="S14:S15">
    <cfRule type="cellIs" dxfId="0" priority="52" operator="notBetween">
      <formula>$G14</formula>
      <formula>$H14</formula>
    </cfRule>
  </conditionalFormatting>
  <conditionalFormatting sqref="S16:S17">
    <cfRule type="cellIs" dxfId="0" priority="37" operator="notBetween">
      <formula>$G16</formula>
      <formula>$H16</formula>
    </cfRule>
  </conditionalFormatting>
  <conditionalFormatting sqref="S18:S19">
    <cfRule type="cellIs" dxfId="0" priority="22" operator="notBetween">
      <formula>$G18</formula>
      <formula>$H18</formula>
    </cfRule>
  </conditionalFormatting>
  <conditionalFormatting sqref="S113:S118">
    <cfRule type="cellIs" dxfId="0" priority="7" operator="notBetween">
      <formula>$G113</formula>
      <formula>$H113</formula>
    </cfRule>
  </conditionalFormatting>
  <conditionalFormatting sqref="T10:T11">
    <cfRule type="cellIs" dxfId="0" priority="81" operator="notBetween">
      <formula>$G10</formula>
      <formula>$H10</formula>
    </cfRule>
  </conditionalFormatting>
  <conditionalFormatting sqref="T12:T13">
    <cfRule type="cellIs" dxfId="0" priority="66" operator="notBetween">
      <formula>$G12</formula>
      <formula>$H12</formula>
    </cfRule>
  </conditionalFormatting>
  <conditionalFormatting sqref="T14:T15">
    <cfRule type="cellIs" dxfId="0" priority="51" operator="notBetween">
      <formula>$G14</formula>
      <formula>$H14</formula>
    </cfRule>
  </conditionalFormatting>
  <conditionalFormatting sqref="T16:T17">
    <cfRule type="cellIs" dxfId="0" priority="36" operator="notBetween">
      <formula>$G16</formula>
      <formula>$H16</formula>
    </cfRule>
  </conditionalFormatting>
  <conditionalFormatting sqref="T18:T19">
    <cfRule type="cellIs" dxfId="0" priority="21" operator="notBetween">
      <formula>$G18</formula>
      <formula>$H18</formula>
    </cfRule>
  </conditionalFormatting>
  <conditionalFormatting sqref="T113:T118">
    <cfRule type="cellIs" dxfId="0" priority="6" operator="notBetween">
      <formula>$G113</formula>
      <formula>$H113</formula>
    </cfRule>
  </conditionalFormatting>
  <conditionalFormatting sqref="U10:U11">
    <cfRule type="cellIs" dxfId="0" priority="80" operator="notBetween">
      <formula>$G10</formula>
      <formula>$H10</formula>
    </cfRule>
  </conditionalFormatting>
  <conditionalFormatting sqref="U12:U13">
    <cfRule type="cellIs" dxfId="0" priority="65" operator="notBetween">
      <formula>$G12</formula>
      <formula>$H12</formula>
    </cfRule>
  </conditionalFormatting>
  <conditionalFormatting sqref="U14:U15">
    <cfRule type="cellIs" dxfId="0" priority="50" operator="notBetween">
      <formula>$G14</formula>
      <formula>$H14</formula>
    </cfRule>
  </conditionalFormatting>
  <conditionalFormatting sqref="U16:U17">
    <cfRule type="cellIs" dxfId="0" priority="35" operator="notBetween">
      <formula>$G16</formula>
      <formula>$H16</formula>
    </cfRule>
  </conditionalFormatting>
  <conditionalFormatting sqref="U18:U19">
    <cfRule type="cellIs" dxfId="0" priority="20" operator="notBetween">
      <formula>$G18</formula>
      <formula>$H18</formula>
    </cfRule>
  </conditionalFormatting>
  <conditionalFormatting sqref="U113:U118">
    <cfRule type="cellIs" dxfId="0" priority="5" operator="notBetween">
      <formula>$G113</formula>
      <formula>$H113</formula>
    </cfRule>
  </conditionalFormatting>
  <conditionalFormatting sqref="V10:V11">
    <cfRule type="cellIs" dxfId="0" priority="79" operator="notBetween">
      <formula>$G10</formula>
      <formula>$H10</formula>
    </cfRule>
  </conditionalFormatting>
  <conditionalFormatting sqref="V12:V13">
    <cfRule type="cellIs" dxfId="0" priority="64" operator="notBetween">
      <formula>$G12</formula>
      <formula>$H12</formula>
    </cfRule>
  </conditionalFormatting>
  <conditionalFormatting sqref="V14:V15">
    <cfRule type="cellIs" dxfId="0" priority="49" operator="notBetween">
      <formula>$G14</formula>
      <formula>$H14</formula>
    </cfRule>
  </conditionalFormatting>
  <conditionalFormatting sqref="V16:V17">
    <cfRule type="cellIs" dxfId="0" priority="34" operator="notBetween">
      <formula>$G16</formula>
      <formula>$H16</formula>
    </cfRule>
  </conditionalFormatting>
  <conditionalFormatting sqref="V18:V19">
    <cfRule type="cellIs" dxfId="0" priority="19" operator="notBetween">
      <formula>$G18</formula>
      <formula>$H18</formula>
    </cfRule>
  </conditionalFormatting>
  <conditionalFormatting sqref="V113:V118">
    <cfRule type="cellIs" dxfId="0" priority="4" operator="notBetween">
      <formula>$G113</formula>
      <formula>$H113</formula>
    </cfRule>
  </conditionalFormatting>
  <conditionalFormatting sqref="W10:W11">
    <cfRule type="cellIs" dxfId="0" priority="78" operator="notBetween">
      <formula>$G10</formula>
      <formula>$H10</formula>
    </cfRule>
  </conditionalFormatting>
  <conditionalFormatting sqref="W12:W13">
    <cfRule type="cellIs" dxfId="0" priority="63" operator="notBetween">
      <formula>$G12</formula>
      <formula>$H12</formula>
    </cfRule>
  </conditionalFormatting>
  <conditionalFormatting sqref="W14:W15">
    <cfRule type="cellIs" dxfId="0" priority="48" operator="notBetween">
      <formula>$G14</formula>
      <formula>$H14</formula>
    </cfRule>
  </conditionalFormatting>
  <conditionalFormatting sqref="W16:W17">
    <cfRule type="cellIs" dxfId="0" priority="33" operator="notBetween">
      <formula>$G16</formula>
      <formula>$H16</formula>
    </cfRule>
  </conditionalFormatting>
  <conditionalFormatting sqref="W18:W19">
    <cfRule type="cellIs" dxfId="0" priority="18" operator="notBetween">
      <formula>$G18</formula>
      <formula>$H18</formula>
    </cfRule>
  </conditionalFormatting>
  <conditionalFormatting sqref="W113:W118">
    <cfRule type="cellIs" dxfId="0" priority="3" operator="notBetween">
      <formula>$G113</formula>
      <formula>$H113</formula>
    </cfRule>
  </conditionalFormatting>
  <conditionalFormatting sqref="X10:X11">
    <cfRule type="cellIs" dxfId="0" priority="77" operator="notBetween">
      <formula>$G10</formula>
      <formula>$H10</formula>
    </cfRule>
  </conditionalFormatting>
  <conditionalFormatting sqref="X12:X13">
    <cfRule type="cellIs" dxfId="0" priority="62" operator="notBetween">
      <formula>$G12</formula>
      <formula>$H12</formula>
    </cfRule>
  </conditionalFormatting>
  <conditionalFormatting sqref="X14:X15">
    <cfRule type="cellIs" dxfId="0" priority="47" operator="notBetween">
      <formula>$G14</formula>
      <formula>$H14</formula>
    </cfRule>
  </conditionalFormatting>
  <conditionalFormatting sqref="X16:X17">
    <cfRule type="cellIs" dxfId="0" priority="32" operator="notBetween">
      <formula>$G16</formula>
      <formula>$H16</formula>
    </cfRule>
  </conditionalFormatting>
  <conditionalFormatting sqref="X18:X19">
    <cfRule type="cellIs" dxfId="0" priority="17" operator="notBetween">
      <formula>$G18</formula>
      <formula>$H18</formula>
    </cfRule>
  </conditionalFormatting>
  <conditionalFormatting sqref="X113:X118">
    <cfRule type="cellIs" dxfId="0" priority="2" operator="notBetween">
      <formula>$G113</formula>
      <formula>$H113</formula>
    </cfRule>
  </conditionalFormatting>
  <conditionalFormatting sqref="Y10:Y11">
    <cfRule type="cellIs" dxfId="0" priority="76" operator="notBetween">
      <formula>$G10</formula>
      <formula>$H10</formula>
    </cfRule>
  </conditionalFormatting>
  <conditionalFormatting sqref="Y12:Y13">
    <cfRule type="cellIs" dxfId="0" priority="61" operator="notBetween">
      <formula>$G12</formula>
      <formula>$H12</formula>
    </cfRule>
  </conditionalFormatting>
  <conditionalFormatting sqref="Y14:Y15">
    <cfRule type="cellIs" dxfId="0" priority="46" operator="notBetween">
      <formula>$G14</formula>
      <formula>$H14</formula>
    </cfRule>
  </conditionalFormatting>
  <conditionalFormatting sqref="Y16:Y17">
    <cfRule type="cellIs" dxfId="0" priority="31" operator="notBetween">
      <formula>$G16</formula>
      <formula>$H16</formula>
    </cfRule>
  </conditionalFormatting>
  <conditionalFormatting sqref="Y18:Y19">
    <cfRule type="cellIs" dxfId="0" priority="16" operator="notBetween">
      <formula>$G18</formula>
      <formula>$H18</formula>
    </cfRule>
  </conditionalFormatting>
  <conditionalFormatting sqref="Y113:Y118">
    <cfRule type="cellIs" dxfId="0" priority="1" operator="notBetween">
      <formula>$G113</formula>
      <formula>$H113</formula>
    </cfRule>
  </conditionalFormatting>
  <conditionalFormatting sqref="J7:K9 K20:K21 K25:K36 K43 K50 K77">
    <cfRule type="cellIs" dxfId="0" priority="180" operator="notBetween">
      <formula>$G7</formula>
      <formula>$H7</formula>
    </cfRule>
  </conditionalFormatting>
  <conditionalFormatting sqref="L7:L9 L20:L21 L25:L36 L43 L50 L77">
    <cfRule type="cellIs" dxfId="0" priority="179" operator="notBetween">
      <formula>$G7</formula>
      <formula>$H7</formula>
    </cfRule>
  </conditionalFormatting>
  <conditionalFormatting sqref="M7:M9 M20:M21 M25:M36 M43 M50 M77">
    <cfRule type="cellIs" dxfId="0" priority="178" operator="notBetween">
      <formula>$G7</formula>
      <formula>$H7</formula>
    </cfRule>
  </conditionalFormatting>
  <conditionalFormatting sqref="N7:N9 N20:N21 N25:N36 N43 N50 N77">
    <cfRule type="cellIs" dxfId="0" priority="177" operator="notBetween">
      <formula>$G7</formula>
      <formula>$H7</formula>
    </cfRule>
  </conditionalFormatting>
  <conditionalFormatting sqref="O7:O9 O20:O21 O25:O36 O43 O50 O77">
    <cfRule type="cellIs" dxfId="0" priority="176" operator="notBetween">
      <formula>$G7</formula>
      <formula>$H7</formula>
    </cfRule>
  </conditionalFormatting>
  <conditionalFormatting sqref="P7:P9 P20:P21 P25:P36 P43 P50 P77">
    <cfRule type="cellIs" dxfId="0" priority="175" operator="notBetween">
      <formula>$G7</formula>
      <formula>$H7</formula>
    </cfRule>
  </conditionalFormatting>
  <conditionalFormatting sqref="Q7:Q9 Q20:Q21 Q25:Q36 Q43 Q50 Q77">
    <cfRule type="cellIs" dxfId="0" priority="174" operator="notBetween">
      <formula>$G7</formula>
      <formula>$H7</formula>
    </cfRule>
  </conditionalFormatting>
  <conditionalFormatting sqref="R7:R9 R20:R21 R25:R36 R43 R50 R77">
    <cfRule type="cellIs" dxfId="0" priority="173" operator="notBetween">
      <formula>$G7</formula>
      <formula>$H7</formula>
    </cfRule>
  </conditionalFormatting>
  <conditionalFormatting sqref="S7:S9 S20:S21 S25:S36 S43 S50 S77">
    <cfRule type="cellIs" dxfId="0" priority="172" operator="notBetween">
      <formula>$G7</formula>
      <formula>$H7</formula>
    </cfRule>
  </conditionalFormatting>
  <conditionalFormatting sqref="T7:T9 T20:T21 T25:T36 T43 T50 T77">
    <cfRule type="cellIs" dxfId="0" priority="171" operator="notBetween">
      <formula>$G7</formula>
      <formula>$H7</formula>
    </cfRule>
  </conditionalFormatting>
  <conditionalFormatting sqref="U7:U9 U20:U21 U25:U36 U43 U50 U77">
    <cfRule type="cellIs" dxfId="0" priority="170" operator="notBetween">
      <formula>$G7</formula>
      <formula>$H7</formula>
    </cfRule>
  </conditionalFormatting>
  <conditionalFormatting sqref="V7:V9 V20:V21 V25:V36 V43 V50 V77">
    <cfRule type="cellIs" dxfId="0" priority="169" operator="notBetween">
      <formula>$G7</formula>
      <formula>$H7</formula>
    </cfRule>
  </conditionalFormatting>
  <conditionalFormatting sqref="W7:W9 W20:W21 W25:W36 W43 W50 W77">
    <cfRule type="cellIs" dxfId="0" priority="168" operator="notBetween">
      <formula>$G7</formula>
      <formula>$H7</formula>
    </cfRule>
  </conditionalFormatting>
  <conditionalFormatting sqref="X7:X9 X20:X21 X25:X36 X43 X50 X77">
    <cfRule type="cellIs" dxfId="0" priority="167" operator="notBetween">
      <formula>$G7</formula>
      <formula>$H7</formula>
    </cfRule>
  </conditionalFormatting>
  <conditionalFormatting sqref="Y7:Y9 Y20:Y21 Y25:Y36 Y43 Y50 Y77">
    <cfRule type="cellIs" dxfId="0" priority="166" operator="notBetween">
      <formula>$G7</formula>
      <formula>$H7</formula>
    </cfRule>
  </conditionalFormatting>
  <conditionalFormatting sqref="J10:K11">
    <cfRule type="cellIs" dxfId="0" priority="90" operator="notBetween">
      <formula>$G10</formula>
      <formula>$H10</formula>
    </cfRule>
  </conditionalFormatting>
  <conditionalFormatting sqref="J12:K13">
    <cfRule type="cellIs" dxfId="0" priority="75" operator="notBetween">
      <formula>$G12</formula>
      <formula>$H12</formula>
    </cfRule>
  </conditionalFormatting>
  <conditionalFormatting sqref="J14:K15">
    <cfRule type="cellIs" dxfId="0" priority="60" operator="notBetween">
      <formula>$G14</formula>
      <formula>$H14</formula>
    </cfRule>
  </conditionalFormatting>
  <conditionalFormatting sqref="J16:K17">
    <cfRule type="cellIs" dxfId="0" priority="45" operator="notBetween">
      <formula>$G16</formula>
      <formula>$H16</formula>
    </cfRule>
  </conditionalFormatting>
  <conditionalFormatting sqref="J18:K18 K19">
    <cfRule type="cellIs" dxfId="0" priority="30" operator="notBetween">
      <formula>$G18</formula>
      <formula>$H18</formula>
    </cfRule>
  </conditionalFormatting>
  <conditionalFormatting sqref="J20:J21 J25:J36 J43 J50 J77">
    <cfRule type="cellIs" dxfId="0" priority="188" operator="notBetween">
      <formula>$G20</formula>
      <formula>$H20</formula>
    </cfRule>
  </conditionalFormatting>
  <conditionalFormatting sqref="J22:J24 J55 J60 J65">
    <cfRule type="cellIs" dxfId="0" priority="187" operator="notBetween">
      <formula>$G22</formula>
      <formula>$H22</formula>
    </cfRule>
  </conditionalFormatting>
  <conditionalFormatting sqref="K22:K24 K55 K60 K65">
    <cfRule type="cellIs" dxfId="0" priority="165" operator="notBetween">
      <formula>$G22</formula>
      <formula>$H22</formula>
    </cfRule>
  </conditionalFormatting>
  <conditionalFormatting sqref="L22:L24 L55 L60 L65">
    <cfRule type="cellIs" dxfId="0" priority="164" operator="notBetween">
      <formula>$G22</formula>
      <formula>$H22</formula>
    </cfRule>
  </conditionalFormatting>
  <conditionalFormatting sqref="M22:M24 M55 M60 M65">
    <cfRule type="cellIs" dxfId="0" priority="163" operator="notBetween">
      <formula>$G22</formula>
      <formula>$H22</formula>
    </cfRule>
  </conditionalFormatting>
  <conditionalFormatting sqref="N22:N24 N55 N60 N65">
    <cfRule type="cellIs" dxfId="0" priority="162" operator="notBetween">
      <formula>$G22</formula>
      <formula>$H22</formula>
    </cfRule>
  </conditionalFormatting>
  <conditionalFormatting sqref="O22:O24 O55 O60 O65">
    <cfRule type="cellIs" dxfId="0" priority="161" operator="notBetween">
      <formula>$G22</formula>
      <formula>$H22</formula>
    </cfRule>
  </conditionalFormatting>
  <conditionalFormatting sqref="P22:P24 P55 P60 P65">
    <cfRule type="cellIs" dxfId="0" priority="160" operator="notBetween">
      <formula>$G22</formula>
      <formula>$H22</formula>
    </cfRule>
  </conditionalFormatting>
  <conditionalFormatting sqref="Q22:Q24 Q55 Q60 Q65">
    <cfRule type="cellIs" dxfId="0" priority="159" operator="notBetween">
      <formula>$G22</formula>
      <formula>$H22</formula>
    </cfRule>
  </conditionalFormatting>
  <conditionalFormatting sqref="R22:R24 R55 R60 R65">
    <cfRule type="cellIs" dxfId="0" priority="158" operator="notBetween">
      <formula>$G22</formula>
      <formula>$H22</formula>
    </cfRule>
  </conditionalFormatting>
  <conditionalFormatting sqref="S22:S24 S55 S60 S65">
    <cfRule type="cellIs" dxfId="0" priority="157" operator="notBetween">
      <formula>$G22</formula>
      <formula>$H22</formula>
    </cfRule>
  </conditionalFormatting>
  <conditionalFormatting sqref="T22:T24 T55 T60 T65">
    <cfRule type="cellIs" dxfId="0" priority="156" operator="notBetween">
      <formula>$G22</formula>
      <formula>$H22</formula>
    </cfRule>
  </conditionalFormatting>
  <conditionalFormatting sqref="U22:U24 U55 U60 U65">
    <cfRule type="cellIs" dxfId="0" priority="155" operator="notBetween">
      <formula>$G22</formula>
      <formula>$H22</formula>
    </cfRule>
  </conditionalFormatting>
  <conditionalFormatting sqref="V22:V24 V55 V60 V65">
    <cfRule type="cellIs" dxfId="0" priority="154" operator="notBetween">
      <formula>$G22</formula>
      <formula>$H22</formula>
    </cfRule>
  </conditionalFormatting>
  <conditionalFormatting sqref="W22:W24 W55 W60 W65">
    <cfRule type="cellIs" dxfId="0" priority="153" operator="notBetween">
      <formula>$G22</formula>
      <formula>$H22</formula>
    </cfRule>
  </conditionalFormatting>
  <conditionalFormatting sqref="X22:X24 X55 X60 X65">
    <cfRule type="cellIs" dxfId="0" priority="152" operator="notBetween">
      <formula>$G22</formula>
      <formula>$H22</formula>
    </cfRule>
  </conditionalFormatting>
  <conditionalFormatting sqref="Y22:Y24 Y55 Y60 Y65">
    <cfRule type="cellIs" dxfId="0" priority="151" operator="notBetween">
      <formula>$G22</formula>
      <formula>$H22</formula>
    </cfRule>
  </conditionalFormatting>
  <conditionalFormatting sqref="J87 J92 J97 J100">
    <cfRule type="cellIs" dxfId="0" priority="185" operator="notBetween">
      <formula>$G87</formula>
      <formula>$H87</formula>
    </cfRule>
  </conditionalFormatting>
  <conditionalFormatting sqref="K87 K92 K97 K100">
    <cfRule type="cellIs" dxfId="0" priority="135" operator="notBetween">
      <formula>$G87</formula>
      <formula>$H87</formula>
    </cfRule>
  </conditionalFormatting>
  <conditionalFormatting sqref="L87 L92 L97 L100">
    <cfRule type="cellIs" dxfId="0" priority="134" operator="notBetween">
      <formula>$G87</formula>
      <formula>$H87</formula>
    </cfRule>
  </conditionalFormatting>
  <conditionalFormatting sqref="M87 M92 M97 M100">
    <cfRule type="cellIs" dxfId="0" priority="133" operator="notBetween">
      <formula>$G87</formula>
      <formula>$H87</formula>
    </cfRule>
  </conditionalFormatting>
  <conditionalFormatting sqref="N87 N92 N97 N100">
    <cfRule type="cellIs" dxfId="0" priority="132" operator="notBetween">
      <formula>$G87</formula>
      <formula>$H87</formula>
    </cfRule>
  </conditionalFormatting>
  <conditionalFormatting sqref="O87 O92 O97 O100">
    <cfRule type="cellIs" dxfId="0" priority="131" operator="notBetween">
      <formula>$G87</formula>
      <formula>$H87</formula>
    </cfRule>
  </conditionalFormatting>
  <conditionalFormatting sqref="P87 P92 P97 P100">
    <cfRule type="cellIs" dxfId="0" priority="130" operator="notBetween">
      <formula>$G87</formula>
      <formula>$H87</formula>
    </cfRule>
  </conditionalFormatting>
  <conditionalFormatting sqref="Q87 Q92 Q97 Q100">
    <cfRule type="cellIs" dxfId="0" priority="129" operator="notBetween">
      <formula>$G87</formula>
      <formula>$H87</formula>
    </cfRule>
  </conditionalFormatting>
  <conditionalFormatting sqref="R87 R92 R97 R100">
    <cfRule type="cellIs" dxfId="0" priority="128" operator="notBetween">
      <formula>$G87</formula>
      <formula>$H87</formula>
    </cfRule>
  </conditionalFormatting>
  <conditionalFormatting sqref="S87 S92 S97 S100">
    <cfRule type="cellIs" dxfId="0" priority="127" operator="notBetween">
      <formula>$G87</formula>
      <formula>$H87</formula>
    </cfRule>
  </conditionalFormatting>
  <conditionalFormatting sqref="T87 T92 T97 T100">
    <cfRule type="cellIs" dxfId="0" priority="126" operator="notBetween">
      <formula>$G87</formula>
      <formula>$H87</formula>
    </cfRule>
  </conditionalFormatting>
  <conditionalFormatting sqref="U87 U92 U97 U100">
    <cfRule type="cellIs" dxfId="0" priority="125" operator="notBetween">
      <formula>$G87</formula>
      <formula>$H87</formula>
    </cfRule>
  </conditionalFormatting>
  <conditionalFormatting sqref="V87 V92 V97 V100">
    <cfRule type="cellIs" dxfId="0" priority="124" operator="notBetween">
      <formula>$G87</formula>
      <formula>$H87</formula>
    </cfRule>
  </conditionalFormatting>
  <conditionalFormatting sqref="W87 W92 W97 W100">
    <cfRule type="cellIs" dxfId="0" priority="123" operator="notBetween">
      <formula>$G87</formula>
      <formula>$H87</formula>
    </cfRule>
  </conditionalFormatting>
  <conditionalFormatting sqref="X87 X92 X97 X100">
    <cfRule type="cellIs" dxfId="0" priority="122" operator="notBetween">
      <formula>$G87</formula>
      <formula>$H87</formula>
    </cfRule>
  </conditionalFormatting>
  <conditionalFormatting sqref="Y87 Y92 Y97 Y100">
    <cfRule type="cellIs" dxfId="0" priority="121" operator="notBetween">
      <formula>$G87</formula>
      <formula>$H87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opLeftCell="A3" workbookViewId="0">
      <selection activeCell="N23" sqref="N2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129</v>
      </c>
      <c r="K6" s="46" t="s">
        <v>130</v>
      </c>
      <c r="L6" s="46" t="s">
        <v>131</v>
      </c>
      <c r="M6" s="46" t="s">
        <v>132</v>
      </c>
      <c r="N6" s="46" t="s">
        <v>133</v>
      </c>
      <c r="O6" s="46" t="s">
        <v>134</v>
      </c>
      <c r="P6" s="46" t="s">
        <v>135</v>
      </c>
      <c r="Q6" s="46" t="s">
        <v>136</v>
      </c>
      <c r="R6" s="46" t="s">
        <v>137</v>
      </c>
      <c r="S6" s="46" t="s">
        <v>138</v>
      </c>
      <c r="T6" s="46" t="s">
        <v>139</v>
      </c>
      <c r="U6" s="46" t="s">
        <v>140</v>
      </c>
      <c r="V6" s="46" t="s">
        <v>141</v>
      </c>
      <c r="W6" s="46" t="s">
        <v>142</v>
      </c>
      <c r="X6" s="46" t="s">
        <v>143</v>
      </c>
      <c r="Y6" s="46" t="s">
        <v>144</v>
      </c>
      <c r="Z6" s="47" t="str">
        <f t="shared" ref="Z6:AO6" si="0">J6</f>
        <v>5-1</v>
      </c>
      <c r="AA6" s="47" t="str">
        <f t="shared" si="0"/>
        <v>5-2</v>
      </c>
      <c r="AB6" s="47" t="str">
        <f t="shared" si="0"/>
        <v>5-3</v>
      </c>
      <c r="AC6" s="47" t="str">
        <f t="shared" si="0"/>
        <v>5-4</v>
      </c>
      <c r="AD6" s="47" t="str">
        <f t="shared" si="0"/>
        <v>5-5</v>
      </c>
      <c r="AE6" s="47" t="str">
        <f t="shared" si="0"/>
        <v>5-6</v>
      </c>
      <c r="AF6" s="47" t="str">
        <f t="shared" si="0"/>
        <v>5-7</v>
      </c>
      <c r="AG6" s="47" t="str">
        <f t="shared" si="0"/>
        <v>5-8</v>
      </c>
      <c r="AH6" s="47" t="str">
        <f t="shared" si="0"/>
        <v>6-1</v>
      </c>
      <c r="AI6" s="47" t="str">
        <f t="shared" si="0"/>
        <v>6-2</v>
      </c>
      <c r="AJ6" s="47" t="str">
        <f t="shared" si="0"/>
        <v>6-3</v>
      </c>
      <c r="AK6" s="47" t="str">
        <f t="shared" si="0"/>
        <v>6-4</v>
      </c>
      <c r="AL6" s="47" t="str">
        <f t="shared" si="0"/>
        <v>6-5</v>
      </c>
      <c r="AM6" s="47" t="str">
        <f t="shared" si="0"/>
        <v>6-6</v>
      </c>
      <c r="AN6" s="47" t="str">
        <f t="shared" si="0"/>
        <v>6-7</v>
      </c>
      <c r="AO6" s="47" t="str">
        <f t="shared" si="0"/>
        <v>6-8</v>
      </c>
    </row>
    <row r="7" ht="15" customHeight="1" spans="1:41">
      <c r="A7" s="48">
        <v>46206</v>
      </c>
      <c r="B7" s="49" t="s">
        <v>42</v>
      </c>
      <c r="C7" s="49" t="s">
        <v>43</v>
      </c>
      <c r="D7" s="50">
        <v>0.5</v>
      </c>
      <c r="E7" s="50">
        <v>0.03</v>
      </c>
      <c r="F7" s="50">
        <v>-0.03</v>
      </c>
      <c r="G7" s="50">
        <f t="shared" ref="G7:G20" si="1">D7+E7</f>
        <v>0.53</v>
      </c>
      <c r="H7" s="50">
        <f t="shared" ref="H7:H20" si="2">D7+F7</f>
        <v>0.47</v>
      </c>
      <c r="I7" s="50" t="s">
        <v>44</v>
      </c>
      <c r="J7" s="51">
        <v>0.5016</v>
      </c>
      <c r="K7" s="51">
        <v>0.4998</v>
      </c>
      <c r="L7" s="51">
        <v>0.5174</v>
      </c>
      <c r="M7" s="51">
        <v>0.501</v>
      </c>
      <c r="N7" s="51">
        <v>0.4977</v>
      </c>
      <c r="O7" s="51">
        <v>0.5018</v>
      </c>
      <c r="P7" s="51">
        <v>0.5016</v>
      </c>
      <c r="Q7" s="51">
        <v>0.5018</v>
      </c>
      <c r="R7" s="51">
        <v>0.5007</v>
      </c>
      <c r="S7" s="51">
        <v>0.5008</v>
      </c>
      <c r="T7" s="51">
        <v>0.4993</v>
      </c>
      <c r="U7" s="51">
        <v>0.498</v>
      </c>
      <c r="V7" s="51">
        <v>0.5</v>
      </c>
      <c r="W7" s="51">
        <v>0.4998</v>
      </c>
      <c r="X7" s="51">
        <v>0.4994</v>
      </c>
      <c r="Y7" s="51">
        <v>0.5002</v>
      </c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>√</v>
      </c>
      <c r="AI7" s="52" t="str">
        <f t="shared" si="3"/>
        <v>√</v>
      </c>
      <c r="AJ7" s="52" t="str">
        <f t="shared" si="3"/>
        <v>√</v>
      </c>
      <c r="AK7" s="52" t="str">
        <f t="shared" si="3"/>
        <v>√</v>
      </c>
      <c r="AL7" s="52" t="str">
        <f t="shared" si="3"/>
        <v>√</v>
      </c>
      <c r="AM7" s="52" t="str">
        <f t="shared" si="3"/>
        <v>√</v>
      </c>
      <c r="AN7" s="52" t="str">
        <f t="shared" si="3"/>
        <v>√</v>
      </c>
      <c r="AO7" s="52" t="str">
        <f t="shared" si="3"/>
        <v>√</v>
      </c>
    </row>
    <row r="8" ht="15" customHeight="1" spans="1:41">
      <c r="A8" s="53"/>
      <c r="B8" s="54" t="s">
        <v>45</v>
      </c>
      <c r="C8" s="55" t="s">
        <v>46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44</v>
      </c>
      <c r="J8" s="51">
        <v>0.5851</v>
      </c>
      <c r="K8" s="51">
        <v>0.5856</v>
      </c>
      <c r="L8" s="51">
        <v>0.5873</v>
      </c>
      <c r="M8" s="51">
        <v>0.5919</v>
      </c>
      <c r="N8" s="51">
        <v>0.5912</v>
      </c>
      <c r="O8" s="51">
        <v>0.5907</v>
      </c>
      <c r="P8" s="51">
        <v>0.5857</v>
      </c>
      <c r="Q8" s="51">
        <v>0.584</v>
      </c>
      <c r="R8" s="51">
        <v>0.5768</v>
      </c>
      <c r="S8" s="51">
        <v>0.576</v>
      </c>
      <c r="T8" s="51">
        <v>0.5839</v>
      </c>
      <c r="U8" s="51">
        <v>0.5829</v>
      </c>
      <c r="V8" s="51">
        <v>0.5859</v>
      </c>
      <c r="W8" s="51">
        <v>0.579</v>
      </c>
      <c r="X8" s="51">
        <v>0.5775</v>
      </c>
      <c r="Y8" s="51">
        <v>0.5783</v>
      </c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>√</v>
      </c>
      <c r="AI8" s="52" t="str">
        <f t="shared" si="4"/>
        <v>√</v>
      </c>
      <c r="AJ8" s="52" t="str">
        <f t="shared" si="4"/>
        <v>√</v>
      </c>
      <c r="AK8" s="52" t="str">
        <f t="shared" si="4"/>
        <v>√</v>
      </c>
      <c r="AL8" s="52" t="str">
        <f t="shared" si="4"/>
        <v>√</v>
      </c>
      <c r="AM8" s="52" t="str">
        <f t="shared" si="4"/>
        <v>√</v>
      </c>
      <c r="AN8" s="52" t="str">
        <f t="shared" si="4"/>
        <v>√</v>
      </c>
      <c r="AO8" s="52" t="str">
        <f t="shared" si="4"/>
        <v>√</v>
      </c>
    </row>
    <row r="9" ht="15" customHeight="1" spans="1:41">
      <c r="A9" s="53"/>
      <c r="B9" s="54" t="s">
        <v>47</v>
      </c>
      <c r="C9" s="55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44</v>
      </c>
      <c r="J9" s="51">
        <v>0.0653</v>
      </c>
      <c r="K9" s="51">
        <v>0.0495</v>
      </c>
      <c r="L9" s="51">
        <v>0.0357</v>
      </c>
      <c r="M9" s="51">
        <v>0.0452</v>
      </c>
      <c r="N9" s="51">
        <v>0.0391</v>
      </c>
      <c r="O9" s="51">
        <v>0.0631</v>
      </c>
      <c r="P9" s="51">
        <v>0.0503</v>
      </c>
      <c r="Q9" s="51">
        <v>0.0503</v>
      </c>
      <c r="R9" s="51">
        <v>0.0637</v>
      </c>
      <c r="S9" s="51">
        <v>0.0698</v>
      </c>
      <c r="T9" s="51">
        <v>0.0587</v>
      </c>
      <c r="U9" s="51">
        <v>0.0576</v>
      </c>
      <c r="V9" s="51">
        <v>0.0528</v>
      </c>
      <c r="W9" s="51">
        <v>0.0603</v>
      </c>
      <c r="X9" s="51">
        <v>0.0628</v>
      </c>
      <c r="Y9" s="51">
        <v>0.0649</v>
      </c>
      <c r="Z9" s="52" t="str">
        <f t="shared" ref="Z9:AO9" si="5">IF(J9="","",IF(J9&gt;($D9+$E9),(J9-$D9-$E9),IF(J9&lt;($D9+$F9),(J9-$D9-$F9),"√")))</f>
        <v>√</v>
      </c>
      <c r="AA9" s="52" t="str">
        <f t="shared" si="5"/>
        <v>√</v>
      </c>
      <c r="AB9" s="52" t="str">
        <f t="shared" si="5"/>
        <v>√</v>
      </c>
      <c r="AC9" s="52" t="str">
        <f t="shared" si="5"/>
        <v>√</v>
      </c>
      <c r="AD9" s="52" t="str">
        <f t="shared" si="5"/>
        <v>√</v>
      </c>
      <c r="AE9" s="52" t="str">
        <f t="shared" si="5"/>
        <v>√</v>
      </c>
      <c r="AF9" s="52" t="str">
        <f t="shared" si="5"/>
        <v>√</v>
      </c>
      <c r="AG9" s="52" t="str">
        <f t="shared" si="5"/>
        <v>√</v>
      </c>
      <c r="AH9" s="52" t="str">
        <f t="shared" si="5"/>
        <v>√</v>
      </c>
      <c r="AI9" s="52" t="str">
        <f t="shared" si="5"/>
        <v>√</v>
      </c>
      <c r="AJ9" s="52" t="str">
        <f t="shared" si="5"/>
        <v>√</v>
      </c>
      <c r="AK9" s="52" t="str">
        <f t="shared" si="5"/>
        <v>√</v>
      </c>
      <c r="AL9" s="52" t="str">
        <f t="shared" si="5"/>
        <v>√</v>
      </c>
      <c r="AM9" s="52" t="str">
        <f t="shared" si="5"/>
        <v>√</v>
      </c>
      <c r="AN9" s="52" t="str">
        <f t="shared" si="5"/>
        <v>√</v>
      </c>
      <c r="AO9" s="52" t="str">
        <f t="shared" si="5"/>
        <v>√</v>
      </c>
    </row>
    <row r="10" ht="15" customHeight="1" spans="1:41">
      <c r="A10" s="53"/>
      <c r="B10" s="54" t="s">
        <v>48</v>
      </c>
      <c r="C10" s="55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44</v>
      </c>
      <c r="J10" s="51">
        <v>0.0371</v>
      </c>
      <c r="K10" s="51">
        <v>0.0553</v>
      </c>
      <c r="L10" s="51">
        <v>0.0633</v>
      </c>
      <c r="M10" s="51">
        <v>0.0607</v>
      </c>
      <c r="N10" s="51">
        <v>0.0606</v>
      </c>
      <c r="O10" s="51">
        <v>0.045</v>
      </c>
      <c r="P10" s="51">
        <v>0.056</v>
      </c>
      <c r="Q10" s="51">
        <v>0.0558</v>
      </c>
      <c r="R10" s="51">
        <v>0.0413</v>
      </c>
      <c r="S10" s="51">
        <v>0.0301</v>
      </c>
      <c r="T10" s="51">
        <v>0.0429</v>
      </c>
      <c r="U10" s="51">
        <v>0.046</v>
      </c>
      <c r="V10" s="51">
        <v>0.0511</v>
      </c>
      <c r="W10" s="51">
        <v>0.041</v>
      </c>
      <c r="X10" s="51">
        <v>0.0407</v>
      </c>
      <c r="Y10" s="51">
        <v>0.0382</v>
      </c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>√</v>
      </c>
      <c r="AI10" s="52" t="str">
        <f t="shared" si="6"/>
        <v>√</v>
      </c>
      <c r="AJ10" s="52" t="str">
        <f t="shared" si="6"/>
        <v>√</v>
      </c>
      <c r="AK10" s="52" t="str">
        <f t="shared" si="6"/>
        <v>√</v>
      </c>
      <c r="AL10" s="52" t="str">
        <f t="shared" si="6"/>
        <v>√</v>
      </c>
      <c r="AM10" s="52" t="str">
        <f t="shared" si="6"/>
        <v>√</v>
      </c>
      <c r="AN10" s="52" t="str">
        <f t="shared" si="6"/>
        <v>√</v>
      </c>
      <c r="AO10" s="52" t="str">
        <f t="shared" si="6"/>
        <v>√</v>
      </c>
    </row>
    <row r="11" ht="15" customHeight="1" spans="1:41">
      <c r="A11" s="53"/>
      <c r="B11" s="54" t="s">
        <v>49</v>
      </c>
      <c r="C11" s="55"/>
      <c r="D11" s="50">
        <v>0.025</v>
      </c>
      <c r="E11" s="50">
        <v>0.01</v>
      </c>
      <c r="F11" s="50">
        <v>-0.01</v>
      </c>
      <c r="G11" s="50">
        <f t="shared" si="1"/>
        <v>0.035</v>
      </c>
      <c r="H11" s="50">
        <f t="shared" si="2"/>
        <v>0.015</v>
      </c>
      <c r="I11" s="50" t="s">
        <v>44</v>
      </c>
      <c r="J11" s="51">
        <v>0.0202</v>
      </c>
      <c r="K11" s="51">
        <v>0.0202</v>
      </c>
      <c r="L11" s="51">
        <v>0.0236</v>
      </c>
      <c r="M11" s="51">
        <v>0.0231</v>
      </c>
      <c r="N11" s="51">
        <v>0.016</v>
      </c>
      <c r="O11" s="51">
        <v>0.0151</v>
      </c>
      <c r="P11" s="51">
        <v>0.0214</v>
      </c>
      <c r="Q11" s="51">
        <v>0.0262</v>
      </c>
      <c r="R11" s="51">
        <v>0.0152</v>
      </c>
      <c r="S11" s="51">
        <v>0.0151</v>
      </c>
      <c r="T11" s="51">
        <v>0.0227</v>
      </c>
      <c r="U11" s="51">
        <v>0.0232</v>
      </c>
      <c r="V11" s="51">
        <v>0.0181</v>
      </c>
      <c r="W11" s="51">
        <v>0.0281</v>
      </c>
      <c r="X11" s="51">
        <v>0.0188</v>
      </c>
      <c r="Y11" s="51">
        <v>0.0231</v>
      </c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>√</v>
      </c>
      <c r="AI11" s="52" t="str">
        <f t="shared" si="7"/>
        <v>√</v>
      </c>
      <c r="AJ11" s="52" t="str">
        <f t="shared" si="7"/>
        <v>√</v>
      </c>
      <c r="AK11" s="52" t="str">
        <f t="shared" si="7"/>
        <v>√</v>
      </c>
      <c r="AL11" s="52" t="str">
        <f t="shared" si="7"/>
        <v>√</v>
      </c>
      <c r="AM11" s="52" t="str">
        <f t="shared" si="7"/>
        <v>√</v>
      </c>
      <c r="AN11" s="52" t="str">
        <f t="shared" si="7"/>
        <v>√</v>
      </c>
      <c r="AO11" s="52" t="str">
        <f t="shared" si="7"/>
        <v>√</v>
      </c>
    </row>
    <row r="12" ht="15" customHeight="1" spans="1:41">
      <c r="A12" s="53"/>
      <c r="B12" s="54" t="s">
        <v>50</v>
      </c>
      <c r="C12" s="55"/>
      <c r="D12" s="50">
        <v>0.025</v>
      </c>
      <c r="E12" s="50">
        <v>0.01</v>
      </c>
      <c r="F12" s="50">
        <v>-0.01</v>
      </c>
      <c r="G12" s="50">
        <f t="shared" si="1"/>
        <v>0.035</v>
      </c>
      <c r="H12" s="50">
        <f t="shared" si="2"/>
        <v>0.015</v>
      </c>
      <c r="I12" s="50" t="s">
        <v>44</v>
      </c>
      <c r="J12" s="51">
        <v>0.017</v>
      </c>
      <c r="K12" s="51">
        <v>0.0186</v>
      </c>
      <c r="L12" s="51">
        <v>0.0173</v>
      </c>
      <c r="M12" s="51">
        <v>0.0211</v>
      </c>
      <c r="N12" s="51">
        <v>0.0186</v>
      </c>
      <c r="O12" s="51">
        <v>0.0195</v>
      </c>
      <c r="P12" s="51">
        <v>0.0252</v>
      </c>
      <c r="Q12" s="51">
        <v>0.0238</v>
      </c>
      <c r="R12" s="51">
        <v>0.0195</v>
      </c>
      <c r="S12" s="51">
        <v>0.0156</v>
      </c>
      <c r="T12" s="51">
        <v>0.0189</v>
      </c>
      <c r="U12" s="51">
        <v>0.0213</v>
      </c>
      <c r="V12" s="51">
        <v>0.0215</v>
      </c>
      <c r="W12" s="51">
        <v>0.0165</v>
      </c>
      <c r="X12" s="51">
        <v>0.019</v>
      </c>
      <c r="Y12" s="51">
        <v>0.0213</v>
      </c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>√</v>
      </c>
      <c r="AI12" s="52" t="str">
        <f t="shared" si="8"/>
        <v>√</v>
      </c>
      <c r="AJ12" s="52" t="str">
        <f t="shared" si="8"/>
        <v>√</v>
      </c>
      <c r="AK12" s="52" t="str">
        <f t="shared" si="8"/>
        <v>√</v>
      </c>
      <c r="AL12" s="52" t="str">
        <f t="shared" si="8"/>
        <v>√</v>
      </c>
      <c r="AM12" s="52" t="str">
        <f t="shared" si="8"/>
        <v>√</v>
      </c>
      <c r="AN12" s="52" t="str">
        <f t="shared" si="8"/>
        <v>√</v>
      </c>
      <c r="AO12" s="52" t="str">
        <f t="shared" si="8"/>
        <v>√</v>
      </c>
    </row>
    <row r="13" ht="15" customHeight="1" spans="1:41">
      <c r="A13" s="53"/>
      <c r="B13" s="54" t="s">
        <v>51</v>
      </c>
      <c r="C13" s="55"/>
      <c r="D13" s="50">
        <v>0.025</v>
      </c>
      <c r="E13" s="50">
        <v>0.01</v>
      </c>
      <c r="F13" s="50">
        <v>-0.01</v>
      </c>
      <c r="G13" s="50">
        <f t="shared" si="1"/>
        <v>0.035</v>
      </c>
      <c r="H13" s="50">
        <f t="shared" si="2"/>
        <v>0.015</v>
      </c>
      <c r="I13" s="50" t="s">
        <v>44</v>
      </c>
      <c r="J13" s="51">
        <v>0.0209</v>
      </c>
      <c r="K13" s="51">
        <v>0.0242</v>
      </c>
      <c r="L13" s="51">
        <v>0.0208</v>
      </c>
      <c r="M13" s="51">
        <v>0.0251</v>
      </c>
      <c r="N13" s="51">
        <v>0.0228</v>
      </c>
      <c r="O13" s="51">
        <v>0.0239</v>
      </c>
      <c r="P13" s="51">
        <v>0.0245</v>
      </c>
      <c r="Q13" s="51">
        <v>0.0166</v>
      </c>
      <c r="R13" s="51">
        <v>0.0184</v>
      </c>
      <c r="S13" s="51">
        <v>0.0228</v>
      </c>
      <c r="T13" s="51">
        <v>0.021</v>
      </c>
      <c r="U13" s="51">
        <v>0.0238</v>
      </c>
      <c r="V13" s="51">
        <v>0.0201</v>
      </c>
      <c r="W13" s="51">
        <v>0.0181</v>
      </c>
      <c r="X13" s="51">
        <v>0.0164</v>
      </c>
      <c r="Y13" s="51">
        <v>0.0228</v>
      </c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>√</v>
      </c>
      <c r="AI13" s="52" t="str">
        <f t="shared" si="9"/>
        <v>√</v>
      </c>
      <c r="AJ13" s="52" t="str">
        <f t="shared" si="9"/>
        <v>√</v>
      </c>
      <c r="AK13" s="52" t="str">
        <f t="shared" si="9"/>
        <v>√</v>
      </c>
      <c r="AL13" s="52" t="str">
        <f t="shared" si="9"/>
        <v>√</v>
      </c>
      <c r="AM13" s="52" t="str">
        <f t="shared" si="9"/>
        <v>√</v>
      </c>
      <c r="AN13" s="52" t="str">
        <f t="shared" si="9"/>
        <v>√</v>
      </c>
      <c r="AO13" s="52" t="str">
        <f t="shared" si="9"/>
        <v>√</v>
      </c>
    </row>
    <row r="14" ht="15" customHeight="1" spans="1:41">
      <c r="A14" s="53"/>
      <c r="B14" s="54" t="s">
        <v>52</v>
      </c>
      <c r="C14" s="55"/>
      <c r="D14" s="50">
        <v>0.025</v>
      </c>
      <c r="E14" s="50">
        <v>0.01</v>
      </c>
      <c r="F14" s="50">
        <v>-0.01</v>
      </c>
      <c r="G14" s="50">
        <f t="shared" si="1"/>
        <v>0.035</v>
      </c>
      <c r="H14" s="50">
        <f t="shared" si="2"/>
        <v>0.015</v>
      </c>
      <c r="I14" s="50" t="s">
        <v>44</v>
      </c>
      <c r="J14" s="51">
        <v>0.0256</v>
      </c>
      <c r="K14" s="51">
        <v>0.0251</v>
      </c>
      <c r="L14" s="51">
        <v>0.0249</v>
      </c>
      <c r="M14" s="51">
        <v>0.0194</v>
      </c>
      <c r="N14" s="51">
        <v>0.0221</v>
      </c>
      <c r="O14" s="51">
        <v>0.0231</v>
      </c>
      <c r="P14" s="51">
        <v>0.0233</v>
      </c>
      <c r="Q14" s="51">
        <v>0.0232</v>
      </c>
      <c r="R14" s="51">
        <v>0.0181</v>
      </c>
      <c r="S14" s="51">
        <v>0.0234</v>
      </c>
      <c r="T14" s="51">
        <v>0.0171</v>
      </c>
      <c r="U14" s="51">
        <v>0.0196</v>
      </c>
      <c r="V14" s="51">
        <v>0.0229</v>
      </c>
      <c r="W14" s="51">
        <v>0.0244</v>
      </c>
      <c r="X14" s="51">
        <v>0.0182</v>
      </c>
      <c r="Y14" s="51">
        <v>0.0229</v>
      </c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>√</v>
      </c>
      <c r="AI14" s="52" t="str">
        <f t="shared" si="10"/>
        <v>√</v>
      </c>
      <c r="AJ14" s="52" t="str">
        <f t="shared" si="10"/>
        <v>√</v>
      </c>
      <c r="AK14" s="52" t="str">
        <f t="shared" si="10"/>
        <v>√</v>
      </c>
      <c r="AL14" s="52" t="str">
        <f t="shared" si="10"/>
        <v>√</v>
      </c>
      <c r="AM14" s="52" t="str">
        <f t="shared" si="10"/>
        <v>√</v>
      </c>
      <c r="AN14" s="52" t="str">
        <f t="shared" si="10"/>
        <v>√</v>
      </c>
      <c r="AO14" s="52" t="str">
        <f t="shared" si="10"/>
        <v>√</v>
      </c>
    </row>
    <row r="15" ht="15" customHeight="1" spans="1:41">
      <c r="A15" s="53"/>
      <c r="B15" s="54" t="s">
        <v>53</v>
      </c>
      <c r="C15" s="55"/>
      <c r="D15" s="50">
        <v>0.025</v>
      </c>
      <c r="E15" s="50">
        <v>0.01</v>
      </c>
      <c r="F15" s="50">
        <v>-0.01</v>
      </c>
      <c r="G15" s="50">
        <f t="shared" si="1"/>
        <v>0.035</v>
      </c>
      <c r="H15" s="50">
        <f t="shared" si="2"/>
        <v>0.015</v>
      </c>
      <c r="I15" s="50" t="s">
        <v>44</v>
      </c>
      <c r="J15" s="51">
        <v>0.0307</v>
      </c>
      <c r="K15" s="51">
        <v>0.0288</v>
      </c>
      <c r="L15" s="51">
        <v>0.0281</v>
      </c>
      <c r="M15" s="51">
        <v>0.0267</v>
      </c>
      <c r="N15" s="51">
        <v>0.0227</v>
      </c>
      <c r="O15" s="51">
        <v>0.0282</v>
      </c>
      <c r="P15" s="51">
        <v>0.0286</v>
      </c>
      <c r="Q15" s="51">
        <v>0.0315</v>
      </c>
      <c r="R15" s="51">
        <v>0.03</v>
      </c>
      <c r="S15" s="51">
        <v>0.0278</v>
      </c>
      <c r="T15" s="51">
        <v>0.0301</v>
      </c>
      <c r="U15" s="51">
        <v>0.0307</v>
      </c>
      <c r="V15" s="51">
        <v>0.0274</v>
      </c>
      <c r="W15" s="51">
        <v>0.0268</v>
      </c>
      <c r="X15" s="51">
        <v>0.0328</v>
      </c>
      <c r="Y15" s="51">
        <v>0.0266</v>
      </c>
      <c r="Z15" s="52" t="str">
        <f t="shared" ref="Z15:AO15" si="11">IF(J15="","",IF(J15&gt;($D15+$E15),(J15-$D15-$E15),IF(J15&lt;($D15+$F15),(J15-$D15-$F15),"√")))</f>
        <v>√</v>
      </c>
      <c r="AA15" s="52" t="str">
        <f t="shared" si="11"/>
        <v>√</v>
      </c>
      <c r="AB15" s="52" t="str">
        <f t="shared" si="11"/>
        <v>√</v>
      </c>
      <c r="AC15" s="52" t="str">
        <f t="shared" si="11"/>
        <v>√</v>
      </c>
      <c r="AD15" s="52" t="str">
        <f t="shared" si="11"/>
        <v>√</v>
      </c>
      <c r="AE15" s="52" t="str">
        <f t="shared" si="11"/>
        <v>√</v>
      </c>
      <c r="AF15" s="52" t="str">
        <f t="shared" si="11"/>
        <v>√</v>
      </c>
      <c r="AG15" s="52" t="str">
        <f t="shared" si="11"/>
        <v>√</v>
      </c>
      <c r="AH15" s="52" t="str">
        <f t="shared" si="11"/>
        <v>√</v>
      </c>
      <c r="AI15" s="52" t="str">
        <f t="shared" si="11"/>
        <v>√</v>
      </c>
      <c r="AJ15" s="52" t="str">
        <f t="shared" si="11"/>
        <v>√</v>
      </c>
      <c r="AK15" s="52" t="str">
        <f t="shared" si="11"/>
        <v>√</v>
      </c>
      <c r="AL15" s="52" t="str">
        <f t="shared" si="11"/>
        <v>√</v>
      </c>
      <c r="AM15" s="52" t="str">
        <f t="shared" si="11"/>
        <v>√</v>
      </c>
      <c r="AN15" s="52" t="str">
        <f t="shared" si="11"/>
        <v>√</v>
      </c>
      <c r="AO15" s="52" t="str">
        <f t="shared" si="11"/>
        <v>√</v>
      </c>
    </row>
    <row r="16" ht="15" customHeight="1" spans="1:41">
      <c r="A16" s="53"/>
      <c r="B16" s="54" t="s">
        <v>54</v>
      </c>
      <c r="C16" s="55"/>
      <c r="D16" s="50">
        <v>0.025</v>
      </c>
      <c r="E16" s="50">
        <v>0.01</v>
      </c>
      <c r="F16" s="50">
        <v>-0.01</v>
      </c>
      <c r="G16" s="50">
        <f t="shared" si="1"/>
        <v>0.035</v>
      </c>
      <c r="H16" s="50">
        <f t="shared" si="2"/>
        <v>0.015</v>
      </c>
      <c r="I16" s="50" t="s">
        <v>44</v>
      </c>
      <c r="J16" s="51">
        <v>0.0157</v>
      </c>
      <c r="K16" s="51">
        <v>0.0184</v>
      </c>
      <c r="L16" s="51">
        <v>0.0168</v>
      </c>
      <c r="M16" s="51">
        <v>0.0187</v>
      </c>
      <c r="N16" s="51">
        <v>0.0208</v>
      </c>
      <c r="O16" s="51">
        <v>0.0279</v>
      </c>
      <c r="P16" s="51">
        <v>0.023</v>
      </c>
      <c r="Q16" s="51">
        <v>0.0204</v>
      </c>
      <c r="R16" s="51">
        <v>0.0162</v>
      </c>
      <c r="S16" s="51">
        <v>0.0262</v>
      </c>
      <c r="T16" s="51">
        <v>0.0184</v>
      </c>
      <c r="U16" s="51">
        <v>0.0292</v>
      </c>
      <c r="V16" s="51">
        <v>0.0213</v>
      </c>
      <c r="W16" s="51">
        <v>0.0215</v>
      </c>
      <c r="X16" s="51">
        <v>0.0242</v>
      </c>
      <c r="Y16" s="51">
        <v>0.0234</v>
      </c>
      <c r="Z16" s="52" t="str">
        <f t="shared" ref="Z16:AO16" si="12">IF(J16="","",IF(J16&gt;($D16+$E16),(J16-$D16-$E16),IF(J16&lt;($D16+$F16),(J16-$D16-$F16),"√")))</f>
        <v>√</v>
      </c>
      <c r="AA16" s="52" t="str">
        <f t="shared" si="12"/>
        <v>√</v>
      </c>
      <c r="AB16" s="52" t="str">
        <f t="shared" si="12"/>
        <v>√</v>
      </c>
      <c r="AC16" s="52" t="str">
        <f t="shared" si="12"/>
        <v>√</v>
      </c>
      <c r="AD16" s="52" t="str">
        <f t="shared" si="12"/>
        <v>√</v>
      </c>
      <c r="AE16" s="52" t="str">
        <f t="shared" si="12"/>
        <v>√</v>
      </c>
      <c r="AF16" s="52" t="str">
        <f t="shared" si="12"/>
        <v>√</v>
      </c>
      <c r="AG16" s="52" t="str">
        <f t="shared" si="12"/>
        <v>√</v>
      </c>
      <c r="AH16" s="52" t="str">
        <f t="shared" si="12"/>
        <v>√</v>
      </c>
      <c r="AI16" s="52" t="str">
        <f t="shared" si="12"/>
        <v>√</v>
      </c>
      <c r="AJ16" s="52" t="str">
        <f t="shared" si="12"/>
        <v>√</v>
      </c>
      <c r="AK16" s="52" t="str">
        <f t="shared" si="12"/>
        <v>√</v>
      </c>
      <c r="AL16" s="52" t="str">
        <f t="shared" si="12"/>
        <v>√</v>
      </c>
      <c r="AM16" s="52" t="str">
        <f t="shared" si="12"/>
        <v>√</v>
      </c>
      <c r="AN16" s="52" t="str">
        <f t="shared" si="12"/>
        <v>√</v>
      </c>
      <c r="AO16" s="52" t="str">
        <f t="shared" si="12"/>
        <v>√</v>
      </c>
    </row>
    <row r="17" ht="15" customHeight="1" spans="1:41">
      <c r="A17" s="53"/>
      <c r="B17" s="54" t="s">
        <v>55</v>
      </c>
      <c r="C17" s="55"/>
      <c r="D17" s="50">
        <v>0.025</v>
      </c>
      <c r="E17" s="50">
        <v>0.01</v>
      </c>
      <c r="F17" s="50">
        <v>-0.01</v>
      </c>
      <c r="G17" s="50">
        <f t="shared" si="1"/>
        <v>0.035</v>
      </c>
      <c r="H17" s="50">
        <f t="shared" si="2"/>
        <v>0.015</v>
      </c>
      <c r="I17" s="50" t="s">
        <v>44</v>
      </c>
      <c r="J17" s="51">
        <v>0.0253</v>
      </c>
      <c r="K17" s="51">
        <v>0.0213</v>
      </c>
      <c r="L17" s="51">
        <v>0.0201</v>
      </c>
      <c r="M17" s="51">
        <v>0.019</v>
      </c>
      <c r="N17" s="51">
        <v>0.027</v>
      </c>
      <c r="O17" s="51">
        <v>0.0235</v>
      </c>
      <c r="P17" s="51">
        <v>0.0218</v>
      </c>
      <c r="Q17" s="51">
        <v>0.0215</v>
      </c>
      <c r="R17" s="51">
        <v>0.0247</v>
      </c>
      <c r="S17" s="51">
        <v>0.0192</v>
      </c>
      <c r="T17" s="51">
        <v>0.0197</v>
      </c>
      <c r="U17" s="51">
        <v>0.0235</v>
      </c>
      <c r="V17" s="51">
        <v>0.0289</v>
      </c>
      <c r="W17" s="51">
        <v>0.0219</v>
      </c>
      <c r="X17" s="51">
        <v>0.0296</v>
      </c>
      <c r="Y17" s="51">
        <v>0.023</v>
      </c>
      <c r="Z17" s="52" t="str">
        <f t="shared" ref="Z17:AO17" si="13">IF(J17="","",IF(J17&gt;($D17+$E17),(J17-$D17-$E17),IF(J17&lt;($D17+$F17),(J17-$D17-$F17),"√")))</f>
        <v>√</v>
      </c>
      <c r="AA17" s="52" t="str">
        <f t="shared" si="13"/>
        <v>√</v>
      </c>
      <c r="AB17" s="52" t="str">
        <f t="shared" si="13"/>
        <v>√</v>
      </c>
      <c r="AC17" s="52" t="str">
        <f t="shared" si="13"/>
        <v>√</v>
      </c>
      <c r="AD17" s="52" t="str">
        <f t="shared" si="13"/>
        <v>√</v>
      </c>
      <c r="AE17" s="52" t="str">
        <f t="shared" si="13"/>
        <v>√</v>
      </c>
      <c r="AF17" s="52" t="str">
        <f t="shared" si="13"/>
        <v>√</v>
      </c>
      <c r="AG17" s="52" t="str">
        <f t="shared" si="13"/>
        <v>√</v>
      </c>
      <c r="AH17" s="52" t="str">
        <f t="shared" si="13"/>
        <v>√</v>
      </c>
      <c r="AI17" s="52" t="str">
        <f t="shared" si="13"/>
        <v>√</v>
      </c>
      <c r="AJ17" s="52" t="str">
        <f t="shared" si="13"/>
        <v>√</v>
      </c>
      <c r="AK17" s="52" t="str">
        <f t="shared" si="13"/>
        <v>√</v>
      </c>
      <c r="AL17" s="52" t="str">
        <f t="shared" si="13"/>
        <v>√</v>
      </c>
      <c r="AM17" s="52" t="str">
        <f t="shared" si="13"/>
        <v>√</v>
      </c>
      <c r="AN17" s="52" t="str">
        <f t="shared" si="13"/>
        <v>√</v>
      </c>
      <c r="AO17" s="52" t="str">
        <f t="shared" si="13"/>
        <v>√</v>
      </c>
    </row>
    <row r="18" ht="15" customHeight="1" spans="1:41">
      <c r="A18" s="53"/>
      <c r="B18" s="54" t="s">
        <v>56</v>
      </c>
      <c r="C18" s="55"/>
      <c r="D18" s="50">
        <v>0.025</v>
      </c>
      <c r="E18" s="50">
        <v>0.01</v>
      </c>
      <c r="F18" s="50">
        <v>-0.01</v>
      </c>
      <c r="G18" s="50">
        <f t="shared" si="1"/>
        <v>0.035</v>
      </c>
      <c r="H18" s="50">
        <f t="shared" si="2"/>
        <v>0.015</v>
      </c>
      <c r="I18" s="50" t="s">
        <v>44</v>
      </c>
      <c r="J18" s="51">
        <v>0.0156</v>
      </c>
      <c r="K18" s="51">
        <v>0.0206</v>
      </c>
      <c r="L18" s="51">
        <v>0.0217</v>
      </c>
      <c r="M18" s="51">
        <v>0.0248</v>
      </c>
      <c r="N18" s="51">
        <v>0.0249</v>
      </c>
      <c r="O18" s="51">
        <v>0.0192</v>
      </c>
      <c r="P18" s="51">
        <v>0.0261</v>
      </c>
      <c r="Q18" s="51">
        <v>0.0239</v>
      </c>
      <c r="R18" s="51">
        <v>0.0198</v>
      </c>
      <c r="S18" s="51">
        <v>0.0189</v>
      </c>
      <c r="T18" s="51">
        <v>0.021</v>
      </c>
      <c r="U18" s="51">
        <v>0.0233</v>
      </c>
      <c r="V18" s="51">
        <v>0.0179</v>
      </c>
      <c r="W18" s="51">
        <v>0.021</v>
      </c>
      <c r="X18" s="51">
        <v>0.0222</v>
      </c>
      <c r="Y18" s="51">
        <v>0.02</v>
      </c>
      <c r="Z18" s="52" t="str">
        <f t="shared" ref="Z18:AO18" si="14">IF(J18="","",IF(J18&gt;($D18+$E18),(J18-$D18-$E18),IF(J18&lt;($D18+$F18),(J18-$D18-$F18),"√")))</f>
        <v>√</v>
      </c>
      <c r="AA18" s="52" t="str">
        <f t="shared" si="14"/>
        <v>√</v>
      </c>
      <c r="AB18" s="52" t="str">
        <f t="shared" si="14"/>
        <v>√</v>
      </c>
      <c r="AC18" s="52" t="str">
        <f t="shared" si="14"/>
        <v>√</v>
      </c>
      <c r="AD18" s="52" t="str">
        <f t="shared" si="14"/>
        <v>√</v>
      </c>
      <c r="AE18" s="52" t="str">
        <f t="shared" si="14"/>
        <v>√</v>
      </c>
      <c r="AF18" s="52" t="str">
        <f t="shared" si="14"/>
        <v>√</v>
      </c>
      <c r="AG18" s="52" t="str">
        <f t="shared" si="14"/>
        <v>√</v>
      </c>
      <c r="AH18" s="52" t="str">
        <f t="shared" si="14"/>
        <v>√</v>
      </c>
      <c r="AI18" s="52" t="str">
        <f t="shared" si="14"/>
        <v>√</v>
      </c>
      <c r="AJ18" s="52" t="str">
        <f t="shared" si="14"/>
        <v>√</v>
      </c>
      <c r="AK18" s="52" t="str">
        <f t="shared" si="14"/>
        <v>√</v>
      </c>
      <c r="AL18" s="52" t="str">
        <f t="shared" si="14"/>
        <v>√</v>
      </c>
      <c r="AM18" s="52" t="str">
        <f t="shared" si="14"/>
        <v>√</v>
      </c>
      <c r="AN18" s="52" t="str">
        <f t="shared" si="14"/>
        <v>√</v>
      </c>
      <c r="AO18" s="52" t="str">
        <f t="shared" si="14"/>
        <v>√</v>
      </c>
    </row>
    <row r="19" ht="15" customHeight="1" spans="1:41">
      <c r="A19" s="53"/>
      <c r="B19" s="54" t="s">
        <v>57</v>
      </c>
      <c r="C19" s="55"/>
      <c r="D19" s="50">
        <v>1.3</v>
      </c>
      <c r="E19" s="50">
        <v>0.03</v>
      </c>
      <c r="F19" s="50">
        <v>-0.03</v>
      </c>
      <c r="G19" s="50">
        <f t="shared" si="1"/>
        <v>1.33</v>
      </c>
      <c r="H19" s="50">
        <f t="shared" si="2"/>
        <v>1.27</v>
      </c>
      <c r="I19" s="50" t="s">
        <v>58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53"/>
      <c r="B20" s="54" t="s">
        <v>59</v>
      </c>
      <c r="C20" s="55" t="s">
        <v>60</v>
      </c>
      <c r="D20" s="50">
        <v>186.04</v>
      </c>
      <c r="E20" s="50">
        <v>1</v>
      </c>
      <c r="F20" s="50">
        <v>-1</v>
      </c>
      <c r="G20" s="50">
        <f t="shared" si="1"/>
        <v>187.04</v>
      </c>
      <c r="H20" s="50">
        <f t="shared" si="2"/>
        <v>185.04</v>
      </c>
      <c r="I20" s="50" t="s">
        <v>58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6">IF(J20="","",IF(J20&gt;($D20+$E20),(J20-$D20-$E20),IF(J20&lt;($D20+$F20),(J20-$D20-$F20),"√")))</f>
        <v/>
      </c>
      <c r="AA20" s="52" t="str">
        <f t="shared" si="16"/>
        <v/>
      </c>
      <c r="AB20" s="52" t="str">
        <f t="shared" si="16"/>
        <v/>
      </c>
      <c r="AC20" s="52" t="str">
        <f t="shared" si="16"/>
        <v/>
      </c>
      <c r="AD20" s="52" t="str">
        <f t="shared" si="16"/>
        <v/>
      </c>
      <c r="AE20" s="52" t="str">
        <f t="shared" si="16"/>
        <v/>
      </c>
      <c r="AF20" s="52" t="str">
        <f t="shared" si="16"/>
        <v/>
      </c>
      <c r="AG20" s="52" t="str">
        <f t="shared" si="16"/>
        <v/>
      </c>
      <c r="AH20" s="52" t="str">
        <f t="shared" si="16"/>
        <v/>
      </c>
      <c r="AI20" s="52" t="str">
        <f t="shared" si="16"/>
        <v/>
      </c>
      <c r="AJ20" s="52" t="str">
        <f t="shared" si="16"/>
        <v/>
      </c>
      <c r="AK20" s="52" t="str">
        <f t="shared" si="16"/>
        <v/>
      </c>
      <c r="AL20" s="52" t="str">
        <f t="shared" si="16"/>
        <v/>
      </c>
      <c r="AM20" s="52" t="str">
        <f t="shared" si="16"/>
        <v/>
      </c>
      <c r="AN20" s="52" t="str">
        <f t="shared" si="16"/>
        <v/>
      </c>
      <c r="AO20" s="52" t="str">
        <f t="shared" si="16"/>
        <v/>
      </c>
    </row>
    <row r="21" ht="15" customHeight="1" spans="1:41">
      <c r="A21" s="53"/>
      <c r="B21" s="49" t="s">
        <v>42</v>
      </c>
      <c r="C21" s="56" t="s">
        <v>61</v>
      </c>
      <c r="D21" s="50">
        <v>0.5</v>
      </c>
      <c r="E21" s="50">
        <v>0.03</v>
      </c>
      <c r="F21" s="50">
        <v>-0.03</v>
      </c>
      <c r="G21" s="50">
        <v>0.53</v>
      </c>
      <c r="H21" s="50">
        <v>0.47</v>
      </c>
      <c r="I21" s="50" t="s">
        <v>58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7">IF(J21="","",IF(J21&gt;($D21+$E21),(J21-$D21-$E21),IF(J21&lt;($D21+$F21),(J21-$D21-$F21),"√")))</f>
        <v/>
      </c>
      <c r="AA21" s="52" t="str">
        <f t="shared" si="17"/>
        <v/>
      </c>
      <c r="AB21" s="52" t="str">
        <f t="shared" si="17"/>
        <v/>
      </c>
      <c r="AC21" s="52" t="str">
        <f t="shared" si="17"/>
        <v/>
      </c>
      <c r="AD21" s="52" t="str">
        <f t="shared" si="17"/>
        <v/>
      </c>
      <c r="AE21" s="52" t="str">
        <f t="shared" si="17"/>
        <v/>
      </c>
      <c r="AF21" s="52" t="str">
        <f t="shared" si="17"/>
        <v/>
      </c>
      <c r="AG21" s="52" t="str">
        <f t="shared" si="17"/>
        <v/>
      </c>
      <c r="AH21" s="52" t="str">
        <f t="shared" si="17"/>
        <v/>
      </c>
      <c r="AI21" s="52" t="str">
        <f t="shared" si="17"/>
        <v/>
      </c>
      <c r="AJ21" s="52" t="str">
        <f t="shared" si="17"/>
        <v/>
      </c>
      <c r="AK21" s="52" t="str">
        <f t="shared" si="17"/>
        <v/>
      </c>
      <c r="AL21" s="52" t="str">
        <f t="shared" si="17"/>
        <v/>
      </c>
      <c r="AM21" s="52" t="str">
        <f t="shared" si="17"/>
        <v/>
      </c>
      <c r="AN21" s="52" t="str">
        <f t="shared" si="17"/>
        <v/>
      </c>
      <c r="AO21" s="52" t="str">
        <f t="shared" si="17"/>
        <v/>
      </c>
    </row>
    <row r="22" ht="15" customHeight="1" spans="1:41">
      <c r="A22" s="53"/>
      <c r="B22" s="54" t="s">
        <v>62</v>
      </c>
      <c r="C22" s="55"/>
      <c r="D22" s="50">
        <v>1</v>
      </c>
      <c r="E22" s="50">
        <v>0.03</v>
      </c>
      <c r="F22" s="50">
        <v>-0.03</v>
      </c>
      <c r="G22" s="50">
        <f t="shared" ref="G22:G87" si="18">D22+E22</f>
        <v>1.03</v>
      </c>
      <c r="H22" s="50">
        <f t="shared" ref="H22:H87" si="19">D22+F22</f>
        <v>0.97</v>
      </c>
      <c r="I22" s="50" t="s">
        <v>58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20">IF(J22="","",IF(J22&gt;($D22+$E22),(J22-$D22-$E22),IF(J22&lt;($D22+$F22),(J22-$D22-$F22),"√")))</f>
        <v/>
      </c>
      <c r="AA22" s="52" t="str">
        <f t="shared" si="20"/>
        <v/>
      </c>
      <c r="AB22" s="52" t="str">
        <f t="shared" si="20"/>
        <v/>
      </c>
      <c r="AC22" s="52" t="str">
        <f t="shared" si="20"/>
        <v/>
      </c>
      <c r="AD22" s="52" t="str">
        <f t="shared" si="20"/>
        <v/>
      </c>
      <c r="AE22" s="52" t="str">
        <f t="shared" si="20"/>
        <v/>
      </c>
      <c r="AF22" s="52" t="str">
        <f t="shared" si="20"/>
        <v/>
      </c>
      <c r="AG22" s="52" t="str">
        <f t="shared" si="20"/>
        <v/>
      </c>
      <c r="AH22" s="52" t="str">
        <f t="shared" si="20"/>
        <v/>
      </c>
      <c r="AI22" s="52" t="str">
        <f t="shared" si="20"/>
        <v/>
      </c>
      <c r="AJ22" s="52" t="str">
        <f t="shared" si="20"/>
        <v/>
      </c>
      <c r="AK22" s="52" t="str">
        <f t="shared" si="20"/>
        <v/>
      </c>
      <c r="AL22" s="52" t="str">
        <f t="shared" si="20"/>
        <v/>
      </c>
      <c r="AM22" s="52" t="str">
        <f t="shared" si="20"/>
        <v/>
      </c>
      <c r="AN22" s="52" t="str">
        <f t="shared" si="20"/>
        <v/>
      </c>
      <c r="AO22" s="52" t="str">
        <f t="shared" si="20"/>
        <v/>
      </c>
    </row>
    <row r="23" ht="15" customHeight="1" spans="1:41">
      <c r="A23" s="53"/>
      <c r="B23" s="54" t="s">
        <v>63</v>
      </c>
      <c r="C23" s="55"/>
      <c r="D23" s="50">
        <v>1.03</v>
      </c>
      <c r="E23" s="50">
        <v>0.03</v>
      </c>
      <c r="F23" s="50">
        <v>-0.03</v>
      </c>
      <c r="G23" s="50">
        <v>1.06</v>
      </c>
      <c r="H23" s="50">
        <v>1</v>
      </c>
      <c r="I23" s="50" t="s">
        <v>58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21">IF(J23="","",IF(J23&gt;($D23+$E23),(J23-$D23-$E23),IF(J23&lt;($D23+$F23),(J23-$D23-$F23),"√")))</f>
        <v/>
      </c>
      <c r="AA23" s="52" t="str">
        <f t="shared" si="21"/>
        <v/>
      </c>
      <c r="AB23" s="52" t="str">
        <f t="shared" si="21"/>
        <v/>
      </c>
      <c r="AC23" s="52" t="str">
        <f t="shared" si="21"/>
        <v/>
      </c>
      <c r="AD23" s="52" t="str">
        <f t="shared" si="21"/>
        <v/>
      </c>
      <c r="AE23" s="52" t="str">
        <f t="shared" si="21"/>
        <v/>
      </c>
      <c r="AF23" s="52" t="str">
        <f t="shared" si="21"/>
        <v/>
      </c>
      <c r="AG23" s="52" t="str">
        <f t="shared" si="21"/>
        <v/>
      </c>
      <c r="AH23" s="52" t="str">
        <f t="shared" si="21"/>
        <v/>
      </c>
      <c r="AI23" s="52" t="str">
        <f t="shared" si="21"/>
        <v/>
      </c>
      <c r="AJ23" s="52" t="str">
        <f t="shared" si="21"/>
        <v/>
      </c>
      <c r="AK23" s="52" t="str">
        <f t="shared" si="21"/>
        <v/>
      </c>
      <c r="AL23" s="52" t="str">
        <f t="shared" si="21"/>
        <v/>
      </c>
      <c r="AM23" s="52" t="str">
        <f t="shared" si="21"/>
        <v/>
      </c>
      <c r="AN23" s="52" t="str">
        <f t="shared" si="21"/>
        <v/>
      </c>
      <c r="AO23" s="52" t="str">
        <f t="shared" si="21"/>
        <v/>
      </c>
    </row>
    <row r="24" ht="15" customHeight="1" spans="1:41">
      <c r="A24" s="53"/>
      <c r="B24" s="54" t="s">
        <v>64</v>
      </c>
      <c r="C24" s="55"/>
      <c r="D24" s="50">
        <v>0.89</v>
      </c>
      <c r="E24" s="50">
        <v>0.03</v>
      </c>
      <c r="F24" s="50">
        <v>-0.03</v>
      </c>
      <c r="G24" s="50">
        <v>0.92</v>
      </c>
      <c r="H24" s="50">
        <v>0.86</v>
      </c>
      <c r="I24" s="50" t="s">
        <v>58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2">IF(J24="","",IF(J24&gt;($D24+$E24),(J24-$D24-$E24),IF(J24&lt;($D24+$F24),(J24-$D24-$F24),"√")))</f>
        <v/>
      </c>
      <c r="AA24" s="52" t="str">
        <f t="shared" si="22"/>
        <v/>
      </c>
      <c r="AB24" s="52" t="str">
        <f t="shared" si="22"/>
        <v/>
      </c>
      <c r="AC24" s="52" t="str">
        <f t="shared" si="22"/>
        <v/>
      </c>
      <c r="AD24" s="52" t="str">
        <f t="shared" si="22"/>
        <v/>
      </c>
      <c r="AE24" s="52" t="str">
        <f t="shared" si="22"/>
        <v/>
      </c>
      <c r="AF24" s="52" t="str">
        <f t="shared" si="22"/>
        <v/>
      </c>
      <c r="AG24" s="52" t="str">
        <f t="shared" si="22"/>
        <v/>
      </c>
      <c r="AH24" s="52" t="str">
        <f t="shared" si="22"/>
        <v/>
      </c>
      <c r="AI24" s="52" t="str">
        <f t="shared" si="22"/>
        <v/>
      </c>
      <c r="AJ24" s="52" t="str">
        <f t="shared" si="22"/>
        <v/>
      </c>
      <c r="AK24" s="52" t="str">
        <f t="shared" si="22"/>
        <v/>
      </c>
      <c r="AL24" s="52" t="str">
        <f t="shared" si="22"/>
        <v/>
      </c>
      <c r="AM24" s="52" t="str">
        <f t="shared" si="22"/>
        <v/>
      </c>
      <c r="AN24" s="52" t="str">
        <f t="shared" si="22"/>
        <v/>
      </c>
      <c r="AO24" s="52" t="str">
        <f t="shared" si="22"/>
        <v/>
      </c>
    </row>
    <row r="25" ht="15" customHeight="1" spans="1:41">
      <c r="A25" s="53"/>
      <c r="B25" s="54" t="s">
        <v>65</v>
      </c>
      <c r="C25" s="55"/>
      <c r="D25" s="50">
        <v>4.16</v>
      </c>
      <c r="E25" s="50">
        <v>0.05</v>
      </c>
      <c r="F25" s="50">
        <v>-0.05</v>
      </c>
      <c r="G25" s="50">
        <f t="shared" si="18"/>
        <v>4.21</v>
      </c>
      <c r="H25" s="50">
        <f t="shared" si="19"/>
        <v>4.11</v>
      </c>
      <c r="I25" s="50" t="s">
        <v>58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3">IF(J25="","",IF(J25&gt;($D25+$E25),(J25-$D25-$E25),IF(J25&lt;($D25+$F25),(J25-$D25-$F25),"√")))</f>
        <v/>
      </c>
      <c r="AA25" s="52" t="str">
        <f t="shared" si="23"/>
        <v/>
      </c>
      <c r="AB25" s="52" t="str">
        <f t="shared" si="23"/>
        <v/>
      </c>
      <c r="AC25" s="52" t="str">
        <f t="shared" si="23"/>
        <v/>
      </c>
      <c r="AD25" s="52" t="str">
        <f t="shared" si="23"/>
        <v/>
      </c>
      <c r="AE25" s="52" t="str">
        <f t="shared" si="23"/>
        <v/>
      </c>
      <c r="AF25" s="52" t="str">
        <f t="shared" si="23"/>
        <v/>
      </c>
      <c r="AG25" s="52" t="str">
        <f t="shared" si="23"/>
        <v/>
      </c>
      <c r="AH25" s="52" t="str">
        <f t="shared" si="23"/>
        <v/>
      </c>
      <c r="AI25" s="52" t="str">
        <f t="shared" si="23"/>
        <v/>
      </c>
      <c r="AJ25" s="52" t="str">
        <f t="shared" si="23"/>
        <v/>
      </c>
      <c r="AK25" s="52" t="str">
        <f t="shared" si="23"/>
        <v/>
      </c>
      <c r="AL25" s="52" t="str">
        <f t="shared" si="23"/>
        <v/>
      </c>
      <c r="AM25" s="52" t="str">
        <f t="shared" si="23"/>
        <v/>
      </c>
      <c r="AN25" s="52" t="str">
        <f t="shared" si="23"/>
        <v/>
      </c>
      <c r="AO25" s="52" t="str">
        <f t="shared" si="23"/>
        <v/>
      </c>
    </row>
    <row r="26" ht="15" customHeight="1" spans="1:41">
      <c r="A26" s="53"/>
      <c r="B26" s="54" t="s">
        <v>66</v>
      </c>
      <c r="C26" s="55"/>
      <c r="D26" s="50">
        <v>4.19</v>
      </c>
      <c r="E26" s="50">
        <v>0.05</v>
      </c>
      <c r="F26" s="50">
        <v>-0.05</v>
      </c>
      <c r="G26" s="50">
        <f t="shared" si="18"/>
        <v>4.24</v>
      </c>
      <c r="H26" s="50">
        <f t="shared" si="19"/>
        <v>4.14</v>
      </c>
      <c r="I26" s="50" t="s">
        <v>58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4">IF(J26="","",IF(J26&gt;($D26+$E26),(J26-$D26-$E26),IF(J26&lt;($D26+$F26),(J26-$D26-$F26),"√")))</f>
        <v/>
      </c>
      <c r="AA26" s="52" t="str">
        <f t="shared" si="24"/>
        <v/>
      </c>
      <c r="AB26" s="52" t="str">
        <f t="shared" si="24"/>
        <v/>
      </c>
      <c r="AC26" s="52" t="str">
        <f t="shared" si="24"/>
        <v/>
      </c>
      <c r="AD26" s="52" t="str">
        <f t="shared" si="24"/>
        <v/>
      </c>
      <c r="AE26" s="52" t="str">
        <f t="shared" si="24"/>
        <v/>
      </c>
      <c r="AF26" s="52" t="str">
        <f t="shared" si="24"/>
        <v/>
      </c>
      <c r="AG26" s="52" t="str">
        <f t="shared" si="24"/>
        <v/>
      </c>
      <c r="AH26" s="52" t="str">
        <f t="shared" si="24"/>
        <v/>
      </c>
      <c r="AI26" s="52" t="str">
        <f t="shared" si="24"/>
        <v/>
      </c>
      <c r="AJ26" s="52" t="str">
        <f t="shared" si="24"/>
        <v/>
      </c>
      <c r="AK26" s="52" t="str">
        <f t="shared" si="24"/>
        <v/>
      </c>
      <c r="AL26" s="52" t="str">
        <f t="shared" si="24"/>
        <v/>
      </c>
      <c r="AM26" s="52" t="str">
        <f t="shared" si="24"/>
        <v/>
      </c>
      <c r="AN26" s="52" t="str">
        <f t="shared" si="24"/>
        <v/>
      </c>
      <c r="AO26" s="52" t="str">
        <f t="shared" si="24"/>
        <v/>
      </c>
    </row>
    <row r="27" ht="15" customHeight="1" spans="1:41">
      <c r="A27" s="53"/>
      <c r="B27" s="54" t="s">
        <v>67</v>
      </c>
      <c r="C27" s="55"/>
      <c r="D27" s="50">
        <v>8.2</v>
      </c>
      <c r="E27" s="50">
        <v>0.05</v>
      </c>
      <c r="F27" s="50">
        <v>-0.05</v>
      </c>
      <c r="G27" s="50">
        <f t="shared" si="18"/>
        <v>8.25</v>
      </c>
      <c r="H27" s="50">
        <f t="shared" si="19"/>
        <v>8.15</v>
      </c>
      <c r="I27" s="50" t="s">
        <v>58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5">IF(J27="","",IF(J27&gt;($D27+$E27),(J27-$D27-$E27),IF(J27&lt;($D27+$F27),(J27-$D27-$F27),"√")))</f>
        <v/>
      </c>
      <c r="AA27" s="52" t="str">
        <f t="shared" si="25"/>
        <v/>
      </c>
      <c r="AB27" s="52" t="str">
        <f t="shared" si="25"/>
        <v/>
      </c>
      <c r="AC27" s="52" t="str">
        <f t="shared" si="25"/>
        <v/>
      </c>
      <c r="AD27" s="52" t="str">
        <f t="shared" si="25"/>
        <v/>
      </c>
      <c r="AE27" s="52" t="str">
        <f t="shared" si="25"/>
        <v/>
      </c>
      <c r="AF27" s="52" t="str">
        <f t="shared" si="25"/>
        <v/>
      </c>
      <c r="AG27" s="52" t="str">
        <f t="shared" si="25"/>
        <v/>
      </c>
      <c r="AH27" s="52" t="str">
        <f t="shared" si="25"/>
        <v/>
      </c>
      <c r="AI27" s="52" t="str">
        <f t="shared" si="25"/>
        <v/>
      </c>
      <c r="AJ27" s="52" t="str">
        <f t="shared" si="25"/>
        <v/>
      </c>
      <c r="AK27" s="52" t="str">
        <f t="shared" si="25"/>
        <v/>
      </c>
      <c r="AL27" s="52" t="str">
        <f t="shared" si="25"/>
        <v/>
      </c>
      <c r="AM27" s="52" t="str">
        <f t="shared" si="25"/>
        <v/>
      </c>
      <c r="AN27" s="52" t="str">
        <f t="shared" si="25"/>
        <v/>
      </c>
      <c r="AO27" s="52" t="str">
        <f t="shared" si="25"/>
        <v/>
      </c>
    </row>
    <row r="28" ht="15" customHeight="1" spans="1:41">
      <c r="A28" s="53"/>
      <c r="B28" s="54" t="s">
        <v>68</v>
      </c>
      <c r="C28" s="55"/>
      <c r="D28" s="50">
        <v>2.69</v>
      </c>
      <c r="E28" s="50">
        <v>0.03</v>
      </c>
      <c r="F28" s="50">
        <v>-0.03</v>
      </c>
      <c r="G28" s="50">
        <f t="shared" si="18"/>
        <v>2.72</v>
      </c>
      <c r="H28" s="50">
        <f t="shared" si="19"/>
        <v>2.66</v>
      </c>
      <c r="I28" s="50" t="s">
        <v>58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6">IF(J28="","",IF(J28&gt;($D28+$E28),(J28-$D28-$E28),IF(J28&lt;($D28+$F28),(J28-$D28-$F28),"√")))</f>
        <v/>
      </c>
      <c r="AA28" s="52" t="str">
        <f t="shared" si="26"/>
        <v/>
      </c>
      <c r="AB28" s="52" t="str">
        <f t="shared" si="26"/>
        <v/>
      </c>
      <c r="AC28" s="52" t="str">
        <f t="shared" si="26"/>
        <v/>
      </c>
      <c r="AD28" s="52" t="str">
        <f t="shared" si="26"/>
        <v/>
      </c>
      <c r="AE28" s="52" t="str">
        <f t="shared" si="26"/>
        <v/>
      </c>
      <c r="AF28" s="52" t="str">
        <f t="shared" si="26"/>
        <v/>
      </c>
      <c r="AG28" s="52" t="str">
        <f t="shared" si="26"/>
        <v/>
      </c>
      <c r="AH28" s="52" t="str">
        <f t="shared" si="26"/>
        <v/>
      </c>
      <c r="AI28" s="52" t="str">
        <f t="shared" si="26"/>
        <v/>
      </c>
      <c r="AJ28" s="52" t="str">
        <f t="shared" si="26"/>
        <v/>
      </c>
      <c r="AK28" s="52" t="str">
        <f t="shared" si="26"/>
        <v/>
      </c>
      <c r="AL28" s="52" t="str">
        <f t="shared" si="26"/>
        <v/>
      </c>
      <c r="AM28" s="52" t="str">
        <f t="shared" si="26"/>
        <v/>
      </c>
      <c r="AN28" s="52" t="str">
        <f t="shared" si="26"/>
        <v/>
      </c>
      <c r="AO28" s="52" t="str">
        <f t="shared" si="26"/>
        <v/>
      </c>
    </row>
    <row r="29" ht="15" customHeight="1" spans="1:41">
      <c r="A29" s="53"/>
      <c r="B29" s="54" t="s">
        <v>69</v>
      </c>
      <c r="C29" s="55"/>
      <c r="D29" s="50">
        <v>5.58</v>
      </c>
      <c r="E29" s="50">
        <v>0.03</v>
      </c>
      <c r="F29" s="50">
        <v>-0.03</v>
      </c>
      <c r="G29" s="50">
        <f t="shared" si="18"/>
        <v>5.61</v>
      </c>
      <c r="H29" s="50">
        <f t="shared" si="19"/>
        <v>5.55</v>
      </c>
      <c r="I29" s="50" t="s">
        <v>58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7">IF(J29="","",IF(J29&gt;($D29+$E29),(J29-$D29-$E29),IF(J29&lt;($D29+$F29),(J29-$D29-$F29),"√")))</f>
        <v/>
      </c>
      <c r="AA29" s="52" t="str">
        <f t="shared" si="27"/>
        <v/>
      </c>
      <c r="AB29" s="52" t="str">
        <f t="shared" si="27"/>
        <v/>
      </c>
      <c r="AC29" s="52" t="str">
        <f t="shared" si="27"/>
        <v/>
      </c>
      <c r="AD29" s="52" t="str">
        <f t="shared" si="27"/>
        <v/>
      </c>
      <c r="AE29" s="52" t="str">
        <f t="shared" si="27"/>
        <v/>
      </c>
      <c r="AF29" s="52" t="str">
        <f t="shared" si="27"/>
        <v/>
      </c>
      <c r="AG29" s="52" t="str">
        <f t="shared" si="27"/>
        <v/>
      </c>
      <c r="AH29" s="52" t="str">
        <f t="shared" si="27"/>
        <v/>
      </c>
      <c r="AI29" s="52" t="str">
        <f t="shared" si="27"/>
        <v/>
      </c>
      <c r="AJ29" s="52" t="str">
        <f t="shared" si="27"/>
        <v/>
      </c>
      <c r="AK29" s="52" t="str">
        <f t="shared" si="27"/>
        <v/>
      </c>
      <c r="AL29" s="52" t="str">
        <f t="shared" si="27"/>
        <v/>
      </c>
      <c r="AM29" s="52" t="str">
        <f t="shared" si="27"/>
        <v/>
      </c>
      <c r="AN29" s="52" t="str">
        <f t="shared" si="27"/>
        <v/>
      </c>
      <c r="AO29" s="52" t="str">
        <f t="shared" si="27"/>
        <v/>
      </c>
    </row>
    <row r="30" ht="15" customHeight="1" spans="1:41">
      <c r="A30" s="53"/>
      <c r="B30" s="54" t="s">
        <v>70</v>
      </c>
      <c r="C30" s="55"/>
      <c r="D30" s="50">
        <v>0.4</v>
      </c>
      <c r="E30" s="50">
        <v>0.03</v>
      </c>
      <c r="F30" s="50">
        <v>-0.03</v>
      </c>
      <c r="G30" s="50">
        <f t="shared" si="18"/>
        <v>0.43</v>
      </c>
      <c r="H30" s="50">
        <f t="shared" si="19"/>
        <v>0.37</v>
      </c>
      <c r="I30" s="50" t="s">
        <v>58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28">IF(J30="","",IF(J30&gt;($D30+$E30),(J30-$D30-$E30),IF(J30&lt;($D30+$F30),(J30-$D30-$F30),"√")))</f>
        <v/>
      </c>
      <c r="AA30" s="52" t="str">
        <f t="shared" si="28"/>
        <v/>
      </c>
      <c r="AB30" s="52" t="str">
        <f t="shared" si="28"/>
        <v/>
      </c>
      <c r="AC30" s="52" t="str">
        <f t="shared" si="28"/>
        <v/>
      </c>
      <c r="AD30" s="52" t="str">
        <f t="shared" si="28"/>
        <v/>
      </c>
      <c r="AE30" s="52" t="str">
        <f t="shared" si="28"/>
        <v/>
      </c>
      <c r="AF30" s="52" t="str">
        <f t="shared" si="28"/>
        <v/>
      </c>
      <c r="AG30" s="52" t="str">
        <f t="shared" si="28"/>
        <v/>
      </c>
      <c r="AH30" s="52" t="str">
        <f t="shared" si="28"/>
        <v/>
      </c>
      <c r="AI30" s="52" t="str">
        <f t="shared" si="28"/>
        <v/>
      </c>
      <c r="AJ30" s="52" t="str">
        <f t="shared" si="28"/>
        <v/>
      </c>
      <c r="AK30" s="52" t="str">
        <f t="shared" si="28"/>
        <v/>
      </c>
      <c r="AL30" s="52" t="str">
        <f t="shared" si="28"/>
        <v/>
      </c>
      <c r="AM30" s="52" t="str">
        <f t="shared" si="28"/>
        <v/>
      </c>
      <c r="AN30" s="52" t="str">
        <f t="shared" si="28"/>
        <v/>
      </c>
      <c r="AO30" s="52" t="str">
        <f t="shared" si="28"/>
        <v/>
      </c>
    </row>
    <row r="31" ht="15" customHeight="1" spans="1:41">
      <c r="A31" s="53"/>
      <c r="B31" s="54" t="s">
        <v>71</v>
      </c>
      <c r="C31" s="55"/>
      <c r="D31" s="50">
        <v>0.4</v>
      </c>
      <c r="E31" s="50">
        <v>0.03</v>
      </c>
      <c r="F31" s="50">
        <v>-0.03</v>
      </c>
      <c r="G31" s="50">
        <f t="shared" si="18"/>
        <v>0.43</v>
      </c>
      <c r="H31" s="50">
        <f t="shared" si="19"/>
        <v>0.37</v>
      </c>
      <c r="I31" s="50" t="s">
        <v>58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1" si="29">IF(J31="","",IF(J31&gt;($D31+$E31),(J31-$D31-$E31),IF(J31&lt;($D31+$F31),(J31-$D31-$F31),"√")))</f>
        <v/>
      </c>
      <c r="AA31" s="52" t="str">
        <f t="shared" si="29"/>
        <v/>
      </c>
      <c r="AB31" s="52" t="str">
        <f t="shared" si="29"/>
        <v/>
      </c>
      <c r="AC31" s="52" t="str">
        <f t="shared" si="29"/>
        <v/>
      </c>
      <c r="AD31" s="52" t="str">
        <f t="shared" si="29"/>
        <v/>
      </c>
      <c r="AE31" s="52" t="str">
        <f t="shared" si="29"/>
        <v/>
      </c>
      <c r="AF31" s="52" t="str">
        <f t="shared" si="29"/>
        <v/>
      </c>
      <c r="AG31" s="52" t="str">
        <f t="shared" si="29"/>
        <v/>
      </c>
      <c r="AH31" s="52" t="str">
        <f t="shared" si="29"/>
        <v/>
      </c>
      <c r="AI31" s="52" t="str">
        <f t="shared" si="29"/>
        <v/>
      </c>
      <c r="AJ31" s="52" t="str">
        <f t="shared" si="29"/>
        <v/>
      </c>
      <c r="AK31" s="52" t="str">
        <f t="shared" si="29"/>
        <v/>
      </c>
      <c r="AL31" s="52" t="str">
        <f t="shared" si="29"/>
        <v/>
      </c>
      <c r="AM31" s="52" t="str">
        <f t="shared" si="29"/>
        <v/>
      </c>
      <c r="AN31" s="52" t="str">
        <f t="shared" si="29"/>
        <v/>
      </c>
      <c r="AO31" s="52" t="str">
        <f t="shared" si="29"/>
        <v/>
      </c>
    </row>
    <row r="32" ht="15" customHeight="1" spans="1:41">
      <c r="A32" s="53"/>
      <c r="B32" s="54" t="s">
        <v>72</v>
      </c>
      <c r="C32" s="55" t="s">
        <v>73</v>
      </c>
      <c r="D32" s="50">
        <v>3.34</v>
      </c>
      <c r="E32" s="50">
        <v>0.03</v>
      </c>
      <c r="F32" s="50">
        <v>-0.03</v>
      </c>
      <c r="G32" s="50">
        <f t="shared" si="18"/>
        <v>3.37</v>
      </c>
      <c r="H32" s="50">
        <f t="shared" si="19"/>
        <v>3.31</v>
      </c>
      <c r="I32" s="50" t="s">
        <v>58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2" t="str">
        <f t="shared" ref="Z32:AO32" si="30">IF(J32="","",IF(J32&gt;($D32+$E32),(J32-$D32-$E32),IF(J32&lt;($D32+$F32),(J32-$D32-$F32),"√")))</f>
        <v/>
      </c>
      <c r="AA32" s="52" t="str">
        <f t="shared" si="30"/>
        <v/>
      </c>
      <c r="AB32" s="52" t="str">
        <f t="shared" si="30"/>
        <v/>
      </c>
      <c r="AC32" s="52" t="str">
        <f t="shared" si="30"/>
        <v/>
      </c>
      <c r="AD32" s="52" t="str">
        <f t="shared" si="30"/>
        <v/>
      </c>
      <c r="AE32" s="52" t="str">
        <f t="shared" si="30"/>
        <v/>
      </c>
      <c r="AF32" s="52" t="str">
        <f t="shared" si="30"/>
        <v/>
      </c>
      <c r="AG32" s="52" t="str">
        <f t="shared" si="30"/>
        <v/>
      </c>
      <c r="AH32" s="52" t="str">
        <f t="shared" si="30"/>
        <v/>
      </c>
      <c r="AI32" s="52" t="str">
        <f t="shared" si="30"/>
        <v/>
      </c>
      <c r="AJ32" s="52" t="str">
        <f t="shared" si="30"/>
        <v/>
      </c>
      <c r="AK32" s="52" t="str">
        <f t="shared" si="30"/>
        <v/>
      </c>
      <c r="AL32" s="52" t="str">
        <f t="shared" si="30"/>
        <v/>
      </c>
      <c r="AM32" s="52" t="str">
        <f t="shared" si="30"/>
        <v/>
      </c>
      <c r="AN32" s="52" t="str">
        <f t="shared" si="30"/>
        <v/>
      </c>
      <c r="AO32" s="52" t="str">
        <f t="shared" si="30"/>
        <v/>
      </c>
    </row>
    <row r="33" ht="15" customHeight="1" spans="1:41">
      <c r="A33" s="53"/>
      <c r="B33" s="54" t="s">
        <v>74</v>
      </c>
      <c r="C33" s="55" t="s">
        <v>75</v>
      </c>
      <c r="D33" s="50">
        <v>1.57</v>
      </c>
      <c r="E33" s="50">
        <v>0.03</v>
      </c>
      <c r="F33" s="50">
        <v>-0.03</v>
      </c>
      <c r="G33" s="50">
        <f t="shared" si="18"/>
        <v>1.6</v>
      </c>
      <c r="H33" s="50">
        <f t="shared" si="19"/>
        <v>1.54</v>
      </c>
      <c r="I33" s="50" t="s">
        <v>58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31">IF(J33="","",IF(J33&gt;($D33+$E33),(J33-$D33-$E33),IF(J33&lt;($D33+$F33),(J33-$D33-$F33),"√")))</f>
        <v/>
      </c>
      <c r="AA33" s="52" t="str">
        <f t="shared" si="31"/>
        <v/>
      </c>
      <c r="AB33" s="52" t="str">
        <f t="shared" si="31"/>
        <v/>
      </c>
      <c r="AC33" s="52" t="str">
        <f t="shared" si="31"/>
        <v/>
      </c>
      <c r="AD33" s="52" t="str">
        <f t="shared" si="31"/>
        <v/>
      </c>
      <c r="AE33" s="52" t="str">
        <f t="shared" si="31"/>
        <v/>
      </c>
      <c r="AF33" s="52" t="str">
        <f t="shared" si="31"/>
        <v/>
      </c>
      <c r="AG33" s="52" t="str">
        <f t="shared" si="31"/>
        <v/>
      </c>
      <c r="AH33" s="52" t="str">
        <f t="shared" si="31"/>
        <v/>
      </c>
      <c r="AI33" s="52" t="str">
        <f t="shared" si="31"/>
        <v/>
      </c>
      <c r="AJ33" s="52" t="str">
        <f t="shared" si="31"/>
        <v/>
      </c>
      <c r="AK33" s="52" t="str">
        <f t="shared" si="31"/>
        <v/>
      </c>
      <c r="AL33" s="52" t="str">
        <f t="shared" si="31"/>
        <v/>
      </c>
      <c r="AM33" s="52" t="str">
        <f t="shared" si="31"/>
        <v/>
      </c>
      <c r="AN33" s="52" t="str">
        <f t="shared" si="31"/>
        <v/>
      </c>
      <c r="AO33" s="52" t="str">
        <f t="shared" si="31"/>
        <v/>
      </c>
    </row>
    <row r="34" ht="15" customHeight="1" spans="1:41">
      <c r="A34" s="53"/>
      <c r="B34" s="54" t="s">
        <v>76</v>
      </c>
      <c r="C34" s="55"/>
      <c r="D34" s="50">
        <v>1.17</v>
      </c>
      <c r="E34" s="50">
        <v>0.03</v>
      </c>
      <c r="F34" s="50">
        <v>-0.03</v>
      </c>
      <c r="G34" s="50">
        <f t="shared" si="18"/>
        <v>1.2</v>
      </c>
      <c r="H34" s="50">
        <f t="shared" si="19"/>
        <v>1.14</v>
      </c>
      <c r="I34" s="50" t="s">
        <v>58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2">IF(J34="","",IF(J34&gt;($D34+$E34),(J34-$D34-$E34),IF(J34&lt;($D34+$F34),(J34-$D34-$F34),"√")))</f>
        <v/>
      </c>
      <c r="AA34" s="52" t="str">
        <f t="shared" si="32"/>
        <v/>
      </c>
      <c r="AB34" s="52" t="str">
        <f t="shared" si="32"/>
        <v/>
      </c>
      <c r="AC34" s="52" t="str">
        <f t="shared" si="32"/>
        <v/>
      </c>
      <c r="AD34" s="52" t="str">
        <f t="shared" si="32"/>
        <v/>
      </c>
      <c r="AE34" s="52" t="str">
        <f t="shared" si="32"/>
        <v/>
      </c>
      <c r="AF34" s="52" t="str">
        <f t="shared" si="32"/>
        <v/>
      </c>
      <c r="AG34" s="52" t="str">
        <f t="shared" si="32"/>
        <v/>
      </c>
      <c r="AH34" s="52" t="str">
        <f t="shared" si="32"/>
        <v/>
      </c>
      <c r="AI34" s="52" t="str">
        <f t="shared" si="32"/>
        <v/>
      </c>
      <c r="AJ34" s="52" t="str">
        <f t="shared" si="32"/>
        <v/>
      </c>
      <c r="AK34" s="52" t="str">
        <f t="shared" si="32"/>
        <v/>
      </c>
      <c r="AL34" s="52" t="str">
        <f t="shared" si="32"/>
        <v/>
      </c>
      <c r="AM34" s="52" t="str">
        <f t="shared" si="32"/>
        <v/>
      </c>
      <c r="AN34" s="52" t="str">
        <f t="shared" si="32"/>
        <v/>
      </c>
      <c r="AO34" s="52" t="str">
        <f t="shared" si="32"/>
        <v/>
      </c>
    </row>
    <row r="35" ht="15" customHeight="1" spans="1:41">
      <c r="A35" s="53"/>
      <c r="B35" s="54" t="s">
        <v>77</v>
      </c>
      <c r="C35" s="55"/>
      <c r="D35" s="50">
        <v>2.1</v>
      </c>
      <c r="E35" s="50">
        <v>0.03</v>
      </c>
      <c r="F35" s="50">
        <v>-0.03</v>
      </c>
      <c r="G35" s="50">
        <f t="shared" si="18"/>
        <v>2.13</v>
      </c>
      <c r="H35" s="50">
        <f t="shared" si="19"/>
        <v>2.07</v>
      </c>
      <c r="I35" s="50" t="s">
        <v>58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3">IF(J35="","",IF(J35&gt;($D35+$E35),(J35-$D35-$E35),IF(J35&lt;($D35+$F35),(J35-$D35-$F35),"√")))</f>
        <v/>
      </c>
      <c r="AA35" s="52" t="str">
        <f t="shared" si="33"/>
        <v/>
      </c>
      <c r="AB35" s="52" t="str">
        <f t="shared" si="33"/>
        <v/>
      </c>
      <c r="AC35" s="52" t="str">
        <f t="shared" si="33"/>
        <v/>
      </c>
      <c r="AD35" s="52" t="str">
        <f t="shared" si="33"/>
        <v/>
      </c>
      <c r="AE35" s="52" t="str">
        <f t="shared" si="33"/>
        <v/>
      </c>
      <c r="AF35" s="52" t="str">
        <f t="shared" si="33"/>
        <v/>
      </c>
      <c r="AG35" s="52" t="str">
        <f t="shared" si="33"/>
        <v/>
      </c>
      <c r="AH35" s="52" t="str">
        <f t="shared" si="33"/>
        <v/>
      </c>
      <c r="AI35" s="52" t="str">
        <f t="shared" si="33"/>
        <v/>
      </c>
      <c r="AJ35" s="52" t="str">
        <f t="shared" si="33"/>
        <v/>
      </c>
      <c r="AK35" s="52" t="str">
        <f t="shared" si="33"/>
        <v/>
      </c>
      <c r="AL35" s="52" t="str">
        <f t="shared" si="33"/>
        <v/>
      </c>
      <c r="AM35" s="52" t="str">
        <f t="shared" si="33"/>
        <v/>
      </c>
      <c r="AN35" s="52" t="str">
        <f t="shared" si="33"/>
        <v/>
      </c>
      <c r="AO35" s="52" t="str">
        <f t="shared" si="33"/>
        <v/>
      </c>
    </row>
    <row r="36" ht="15" customHeight="1" spans="1:41">
      <c r="A36" s="53"/>
      <c r="B36" s="54" t="s">
        <v>78</v>
      </c>
      <c r="C36" s="55" t="s">
        <v>79</v>
      </c>
      <c r="D36" s="50">
        <v>0</v>
      </c>
      <c r="E36" s="50">
        <v>0.05</v>
      </c>
      <c r="F36" s="50">
        <v>0</v>
      </c>
      <c r="G36" s="50">
        <f t="shared" si="18"/>
        <v>0.05</v>
      </c>
      <c r="H36" s="50">
        <f t="shared" si="19"/>
        <v>0</v>
      </c>
      <c r="I36" s="50" t="s">
        <v>58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4">IF(J36="","",IF(J36&gt;($D36+$E36),(J36-$D36-$E36),IF(J36&lt;($D36+$F36),(J36-$D36-$F36),"√")))</f>
        <v/>
      </c>
      <c r="AA36" s="52" t="str">
        <f t="shared" si="34"/>
        <v/>
      </c>
      <c r="AB36" s="52" t="str">
        <f t="shared" si="34"/>
        <v/>
      </c>
      <c r="AC36" s="52" t="str">
        <f t="shared" si="34"/>
        <v/>
      </c>
      <c r="AD36" s="52" t="str">
        <f t="shared" si="34"/>
        <v/>
      </c>
      <c r="AE36" s="52" t="str">
        <f t="shared" si="34"/>
        <v/>
      </c>
      <c r="AF36" s="52" t="str">
        <f t="shared" si="34"/>
        <v/>
      </c>
      <c r="AG36" s="52" t="str">
        <f t="shared" si="34"/>
        <v/>
      </c>
      <c r="AH36" s="52" t="str">
        <f t="shared" si="34"/>
        <v/>
      </c>
      <c r="AI36" s="52" t="str">
        <f t="shared" si="34"/>
        <v/>
      </c>
      <c r="AJ36" s="52" t="str">
        <f t="shared" si="34"/>
        <v/>
      </c>
      <c r="AK36" s="52" t="str">
        <f t="shared" si="34"/>
        <v/>
      </c>
      <c r="AL36" s="52" t="str">
        <f t="shared" si="34"/>
        <v/>
      </c>
      <c r="AM36" s="52" t="str">
        <f t="shared" si="34"/>
        <v/>
      </c>
      <c r="AN36" s="52" t="str">
        <f t="shared" si="34"/>
        <v/>
      </c>
      <c r="AO36" s="52" t="str">
        <f t="shared" si="34"/>
        <v/>
      </c>
    </row>
    <row r="37" ht="15" customHeight="1" spans="1:41">
      <c r="A37" s="53"/>
      <c r="B37" s="54">
        <v>1</v>
      </c>
      <c r="C37" s="55"/>
      <c r="D37" s="50"/>
      <c r="E37" s="50"/>
      <c r="F37" s="50"/>
      <c r="G37" s="50">
        <f t="shared" si="18"/>
        <v>0</v>
      </c>
      <c r="H37" s="50">
        <f t="shared" si="19"/>
        <v>0</v>
      </c>
      <c r="I37" s="50" t="s">
        <v>58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53"/>
      <c r="B38" s="54">
        <v>2</v>
      </c>
      <c r="C38" s="55"/>
      <c r="D38" s="50"/>
      <c r="E38" s="50"/>
      <c r="F38" s="50"/>
      <c r="G38" s="50">
        <f t="shared" si="18"/>
        <v>0</v>
      </c>
      <c r="H38" s="50">
        <f t="shared" si="19"/>
        <v>0</v>
      </c>
      <c r="I38" s="50" t="s">
        <v>58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53"/>
      <c r="B39" s="54">
        <v>3</v>
      </c>
      <c r="C39" s="55"/>
      <c r="D39" s="50"/>
      <c r="E39" s="50"/>
      <c r="F39" s="50"/>
      <c r="G39" s="50">
        <f t="shared" si="18"/>
        <v>0</v>
      </c>
      <c r="H39" s="50">
        <f t="shared" si="19"/>
        <v>0</v>
      </c>
      <c r="I39" s="50" t="s">
        <v>58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53"/>
      <c r="B40" s="54">
        <v>4</v>
      </c>
      <c r="C40" s="55"/>
      <c r="D40" s="50"/>
      <c r="E40" s="50"/>
      <c r="F40" s="50"/>
      <c r="G40" s="50">
        <f t="shared" si="18"/>
        <v>0</v>
      </c>
      <c r="H40" s="50">
        <f t="shared" si="19"/>
        <v>0</v>
      </c>
      <c r="I40" s="50" t="s">
        <v>58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53"/>
      <c r="B41" s="54">
        <v>5</v>
      </c>
      <c r="C41" s="55"/>
      <c r="D41" s="50"/>
      <c r="E41" s="50"/>
      <c r="F41" s="50"/>
      <c r="G41" s="50">
        <f t="shared" si="18"/>
        <v>0</v>
      </c>
      <c r="H41" s="50">
        <f t="shared" si="19"/>
        <v>0</v>
      </c>
      <c r="I41" s="50" t="s">
        <v>58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53"/>
      <c r="B42" s="54">
        <v>6</v>
      </c>
      <c r="C42" s="55"/>
      <c r="D42" s="50"/>
      <c r="E42" s="50"/>
      <c r="F42" s="50"/>
      <c r="G42" s="50">
        <f t="shared" si="18"/>
        <v>0</v>
      </c>
      <c r="H42" s="50">
        <f t="shared" si="19"/>
        <v>0</v>
      </c>
      <c r="I42" s="50" t="s">
        <v>58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53"/>
      <c r="B43" s="54" t="s">
        <v>80</v>
      </c>
      <c r="C43" s="55" t="s">
        <v>81</v>
      </c>
      <c r="D43" s="50">
        <v>0</v>
      </c>
      <c r="E43" s="50">
        <v>0.04</v>
      </c>
      <c r="F43" s="50">
        <v>0</v>
      </c>
      <c r="G43" s="50">
        <f t="shared" si="18"/>
        <v>0.04</v>
      </c>
      <c r="H43" s="50">
        <f t="shared" si="19"/>
        <v>0</v>
      </c>
      <c r="I43" s="50" t="s">
        <v>58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5">IF(J43="","",IF(J43&gt;($D43+$E43),(J43-$D43-$E43),IF(J43&lt;($D43+$F43),(J43-$D43-$F43),"√")))</f>
        <v/>
      </c>
      <c r="AA43" s="52" t="str">
        <f t="shared" si="35"/>
        <v/>
      </c>
      <c r="AB43" s="52" t="str">
        <f t="shared" si="35"/>
        <v/>
      </c>
      <c r="AC43" s="52" t="str">
        <f t="shared" si="35"/>
        <v/>
      </c>
      <c r="AD43" s="52" t="str">
        <f t="shared" si="35"/>
        <v/>
      </c>
      <c r="AE43" s="52" t="str">
        <f t="shared" si="35"/>
        <v/>
      </c>
      <c r="AF43" s="52" t="str">
        <f t="shared" si="35"/>
        <v/>
      </c>
      <c r="AG43" s="52" t="str">
        <f t="shared" si="35"/>
        <v/>
      </c>
      <c r="AH43" s="52" t="str">
        <f t="shared" si="35"/>
        <v/>
      </c>
      <c r="AI43" s="52" t="str">
        <f t="shared" si="35"/>
        <v/>
      </c>
      <c r="AJ43" s="52" t="str">
        <f t="shared" si="35"/>
        <v/>
      </c>
      <c r="AK43" s="52" t="str">
        <f t="shared" si="35"/>
        <v/>
      </c>
      <c r="AL43" s="52" t="str">
        <f t="shared" si="35"/>
        <v/>
      </c>
      <c r="AM43" s="52" t="str">
        <f t="shared" si="35"/>
        <v/>
      </c>
      <c r="AN43" s="52" t="str">
        <f t="shared" si="35"/>
        <v/>
      </c>
      <c r="AO43" s="52" t="str">
        <f t="shared" si="35"/>
        <v/>
      </c>
    </row>
    <row r="44" ht="15" customHeight="1" spans="1:41">
      <c r="A44" s="53"/>
      <c r="B44" s="54">
        <v>1</v>
      </c>
      <c r="C44" s="55"/>
      <c r="D44" s="50"/>
      <c r="E44" s="50"/>
      <c r="F44" s="50"/>
      <c r="G44" s="50">
        <f t="shared" si="18"/>
        <v>0</v>
      </c>
      <c r="H44" s="50">
        <f t="shared" si="19"/>
        <v>0</v>
      </c>
      <c r="I44" s="50" t="s">
        <v>58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53"/>
      <c r="B45" s="54">
        <v>2</v>
      </c>
      <c r="C45" s="55"/>
      <c r="D45" s="50"/>
      <c r="E45" s="50"/>
      <c r="F45" s="50"/>
      <c r="G45" s="50">
        <f t="shared" si="18"/>
        <v>0</v>
      </c>
      <c r="H45" s="50">
        <f t="shared" si="19"/>
        <v>0</v>
      </c>
      <c r="I45" s="50" t="s">
        <v>58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53"/>
      <c r="B46" s="54">
        <v>3</v>
      </c>
      <c r="C46" s="55"/>
      <c r="D46" s="50"/>
      <c r="E46" s="50"/>
      <c r="F46" s="50"/>
      <c r="G46" s="50">
        <f t="shared" si="18"/>
        <v>0</v>
      </c>
      <c r="H46" s="50">
        <f t="shared" si="19"/>
        <v>0</v>
      </c>
      <c r="I46" s="50" t="s">
        <v>58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53"/>
      <c r="B47" s="54">
        <v>4</v>
      </c>
      <c r="C47" s="55"/>
      <c r="D47" s="50"/>
      <c r="E47" s="50"/>
      <c r="F47" s="50"/>
      <c r="G47" s="50">
        <f t="shared" si="18"/>
        <v>0</v>
      </c>
      <c r="H47" s="50">
        <f t="shared" si="19"/>
        <v>0</v>
      </c>
      <c r="I47" s="50" t="s">
        <v>58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53"/>
      <c r="B48" s="54">
        <v>5</v>
      </c>
      <c r="C48" s="55"/>
      <c r="D48" s="50"/>
      <c r="E48" s="50"/>
      <c r="F48" s="50"/>
      <c r="G48" s="50">
        <f t="shared" si="18"/>
        <v>0</v>
      </c>
      <c r="H48" s="50">
        <f t="shared" si="19"/>
        <v>0</v>
      </c>
      <c r="I48" s="50" t="s">
        <v>58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53"/>
      <c r="B49" s="54">
        <v>6</v>
      </c>
      <c r="C49" s="55"/>
      <c r="D49" s="50"/>
      <c r="E49" s="50"/>
      <c r="F49" s="50"/>
      <c r="G49" s="50">
        <f t="shared" si="18"/>
        <v>0</v>
      </c>
      <c r="H49" s="50">
        <f t="shared" si="19"/>
        <v>0</v>
      </c>
      <c r="I49" s="50" t="s">
        <v>58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53"/>
      <c r="B50" s="54" t="s">
        <v>82</v>
      </c>
      <c r="C50" s="55" t="s">
        <v>83</v>
      </c>
      <c r="D50" s="50">
        <v>0</v>
      </c>
      <c r="E50" s="50">
        <v>0.03</v>
      </c>
      <c r="F50" s="50">
        <v>0</v>
      </c>
      <c r="G50" s="50">
        <f t="shared" si="18"/>
        <v>0.03</v>
      </c>
      <c r="H50" s="50">
        <f t="shared" si="19"/>
        <v>0</v>
      </c>
      <c r="I50" s="50" t="s">
        <v>58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6">IF(J50="","",IF(J50&gt;($D50+$E50),(J50-$D50-$E50),IF(J50&lt;($D50+$F50),(J50-$D50-$F50),"√")))</f>
        <v/>
      </c>
      <c r="AA50" s="52" t="str">
        <f t="shared" si="36"/>
        <v/>
      </c>
      <c r="AB50" s="52" t="str">
        <f t="shared" si="36"/>
        <v/>
      </c>
      <c r="AC50" s="52" t="str">
        <f t="shared" si="36"/>
        <v/>
      </c>
      <c r="AD50" s="52" t="str">
        <f t="shared" si="36"/>
        <v/>
      </c>
      <c r="AE50" s="52" t="str">
        <f t="shared" si="36"/>
        <v/>
      </c>
      <c r="AF50" s="52" t="str">
        <f t="shared" si="36"/>
        <v/>
      </c>
      <c r="AG50" s="52" t="str">
        <f t="shared" si="36"/>
        <v/>
      </c>
      <c r="AH50" s="52" t="str">
        <f t="shared" si="36"/>
        <v/>
      </c>
      <c r="AI50" s="52" t="str">
        <f t="shared" si="36"/>
        <v/>
      </c>
      <c r="AJ50" s="52" t="str">
        <f t="shared" si="36"/>
        <v/>
      </c>
      <c r="AK50" s="52" t="str">
        <f t="shared" si="36"/>
        <v/>
      </c>
      <c r="AL50" s="52" t="str">
        <f t="shared" si="36"/>
        <v/>
      </c>
      <c r="AM50" s="52" t="str">
        <f t="shared" si="36"/>
        <v/>
      </c>
      <c r="AN50" s="52" t="str">
        <f t="shared" si="36"/>
        <v/>
      </c>
      <c r="AO50" s="52" t="str">
        <f t="shared" si="36"/>
        <v/>
      </c>
    </row>
    <row r="51" ht="15" customHeight="1" spans="1:41">
      <c r="A51" s="53"/>
      <c r="B51" s="54">
        <v>1</v>
      </c>
      <c r="C51" s="55"/>
      <c r="D51" s="50"/>
      <c r="E51" s="50"/>
      <c r="F51" s="50"/>
      <c r="G51" s="50">
        <f t="shared" si="18"/>
        <v>0</v>
      </c>
      <c r="H51" s="50">
        <f t="shared" si="19"/>
        <v>0</v>
      </c>
      <c r="I51" s="50" t="s">
        <v>58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53"/>
      <c r="B52" s="54">
        <v>2</v>
      </c>
      <c r="C52" s="55"/>
      <c r="D52" s="50"/>
      <c r="E52" s="50"/>
      <c r="F52" s="50"/>
      <c r="G52" s="50">
        <f t="shared" si="18"/>
        <v>0</v>
      </c>
      <c r="H52" s="50">
        <f t="shared" si="19"/>
        <v>0</v>
      </c>
      <c r="I52" s="50" t="s">
        <v>58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53"/>
      <c r="B53" s="54">
        <v>3</v>
      </c>
      <c r="C53" s="55"/>
      <c r="D53" s="50"/>
      <c r="E53" s="50"/>
      <c r="F53" s="50"/>
      <c r="G53" s="50">
        <f t="shared" si="18"/>
        <v>0</v>
      </c>
      <c r="H53" s="50">
        <f t="shared" si="19"/>
        <v>0</v>
      </c>
      <c r="I53" s="50" t="s">
        <v>58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53"/>
      <c r="B54" s="54">
        <v>4</v>
      </c>
      <c r="C54" s="55"/>
      <c r="D54" s="50"/>
      <c r="E54" s="50"/>
      <c r="F54" s="50"/>
      <c r="G54" s="50">
        <f t="shared" si="18"/>
        <v>0</v>
      </c>
      <c r="H54" s="50">
        <f t="shared" si="19"/>
        <v>0</v>
      </c>
      <c r="I54" s="50" t="s">
        <v>58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53"/>
      <c r="B55" s="54" t="s">
        <v>84</v>
      </c>
      <c r="C55" s="55" t="s">
        <v>85</v>
      </c>
      <c r="D55" s="50">
        <v>0</v>
      </c>
      <c r="E55" s="50">
        <v>0.03</v>
      </c>
      <c r="F55" s="50">
        <v>0</v>
      </c>
      <c r="G55" s="50">
        <f t="shared" si="18"/>
        <v>0.03</v>
      </c>
      <c r="H55" s="50">
        <f t="shared" si="19"/>
        <v>0</v>
      </c>
      <c r="I55" s="50" t="s">
        <v>58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7">IF(J55="","",IF(J55&gt;($D55+$E55),(J55-$D55-$E55),IF(J55&lt;($D55+$F55),(J55-$D55-$F55),"√")))</f>
        <v/>
      </c>
      <c r="AA55" s="52" t="str">
        <f t="shared" si="37"/>
        <v/>
      </c>
      <c r="AB55" s="52" t="str">
        <f t="shared" si="37"/>
        <v/>
      </c>
      <c r="AC55" s="52" t="str">
        <f t="shared" si="37"/>
        <v/>
      </c>
      <c r="AD55" s="52" t="str">
        <f t="shared" si="37"/>
        <v/>
      </c>
      <c r="AE55" s="52" t="str">
        <f t="shared" si="37"/>
        <v/>
      </c>
      <c r="AF55" s="52" t="str">
        <f t="shared" si="37"/>
        <v/>
      </c>
      <c r="AG55" s="52" t="str">
        <f t="shared" si="37"/>
        <v/>
      </c>
      <c r="AH55" s="52" t="str">
        <f t="shared" si="37"/>
        <v/>
      </c>
      <c r="AI55" s="52" t="str">
        <f t="shared" si="37"/>
        <v/>
      </c>
      <c r="AJ55" s="52" t="str">
        <f t="shared" si="37"/>
        <v/>
      </c>
      <c r="AK55" s="52" t="str">
        <f t="shared" si="37"/>
        <v/>
      </c>
      <c r="AL55" s="52" t="str">
        <f t="shared" si="37"/>
        <v/>
      </c>
      <c r="AM55" s="52" t="str">
        <f t="shared" si="37"/>
        <v/>
      </c>
      <c r="AN55" s="52" t="str">
        <f t="shared" si="37"/>
        <v/>
      </c>
      <c r="AO55" s="52" t="str">
        <f t="shared" si="37"/>
        <v/>
      </c>
    </row>
    <row r="56" ht="15" customHeight="1" spans="1:41">
      <c r="A56" s="53"/>
      <c r="B56" s="54">
        <v>1</v>
      </c>
      <c r="C56" s="55"/>
      <c r="D56" s="50"/>
      <c r="E56" s="50"/>
      <c r="F56" s="50"/>
      <c r="G56" s="50">
        <f t="shared" si="18"/>
        <v>0</v>
      </c>
      <c r="H56" s="50">
        <f t="shared" si="19"/>
        <v>0</v>
      </c>
      <c r="I56" s="50" t="s">
        <v>58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53"/>
      <c r="B57" s="54">
        <v>2</v>
      </c>
      <c r="C57" s="55"/>
      <c r="D57" s="50"/>
      <c r="E57" s="50"/>
      <c r="F57" s="50"/>
      <c r="G57" s="50">
        <f t="shared" si="18"/>
        <v>0</v>
      </c>
      <c r="H57" s="50">
        <f t="shared" si="19"/>
        <v>0</v>
      </c>
      <c r="I57" s="50" t="s">
        <v>58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53"/>
      <c r="B58" s="54">
        <v>3</v>
      </c>
      <c r="C58" s="55"/>
      <c r="D58" s="50"/>
      <c r="E58" s="50"/>
      <c r="F58" s="50"/>
      <c r="G58" s="50">
        <f t="shared" si="18"/>
        <v>0</v>
      </c>
      <c r="H58" s="50">
        <f t="shared" si="19"/>
        <v>0</v>
      </c>
      <c r="I58" s="50" t="s">
        <v>58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53"/>
      <c r="B59" s="54">
        <v>4</v>
      </c>
      <c r="C59" s="55"/>
      <c r="D59" s="50"/>
      <c r="E59" s="50"/>
      <c r="F59" s="50"/>
      <c r="G59" s="50">
        <f t="shared" si="18"/>
        <v>0</v>
      </c>
      <c r="H59" s="50">
        <f t="shared" si="19"/>
        <v>0</v>
      </c>
      <c r="I59" s="50" t="s">
        <v>58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53"/>
      <c r="B60" s="54" t="s">
        <v>86</v>
      </c>
      <c r="C60" s="55" t="s">
        <v>85</v>
      </c>
      <c r="D60" s="50">
        <v>0</v>
      </c>
      <c r="E60" s="50">
        <v>0.03</v>
      </c>
      <c r="F60" s="50">
        <v>0</v>
      </c>
      <c r="G60" s="50">
        <f t="shared" si="18"/>
        <v>0.03</v>
      </c>
      <c r="H60" s="50">
        <f t="shared" si="19"/>
        <v>0</v>
      </c>
      <c r="I60" s="50" t="s">
        <v>58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8">IF(J60="","",IF(J60&gt;($D60+$E60),(J60-$D60-$E60),IF(J60&lt;($D60+$F60),(J60-$D60-$F60),"√")))</f>
        <v/>
      </c>
      <c r="AA60" s="52" t="str">
        <f t="shared" si="38"/>
        <v/>
      </c>
      <c r="AB60" s="52" t="str">
        <f t="shared" si="38"/>
        <v/>
      </c>
      <c r="AC60" s="52" t="str">
        <f t="shared" si="38"/>
        <v/>
      </c>
      <c r="AD60" s="52" t="str">
        <f t="shared" si="38"/>
        <v/>
      </c>
      <c r="AE60" s="52" t="str">
        <f t="shared" si="38"/>
        <v/>
      </c>
      <c r="AF60" s="52" t="str">
        <f t="shared" si="38"/>
        <v/>
      </c>
      <c r="AG60" s="52" t="str">
        <f t="shared" si="38"/>
        <v/>
      </c>
      <c r="AH60" s="52" t="str">
        <f t="shared" si="38"/>
        <v/>
      </c>
      <c r="AI60" s="52" t="str">
        <f t="shared" si="38"/>
        <v/>
      </c>
      <c r="AJ60" s="52" t="str">
        <f t="shared" si="38"/>
        <v/>
      </c>
      <c r="AK60" s="52" t="str">
        <f t="shared" si="38"/>
        <v/>
      </c>
      <c r="AL60" s="52" t="str">
        <f t="shared" si="38"/>
        <v/>
      </c>
      <c r="AM60" s="52" t="str">
        <f t="shared" si="38"/>
        <v/>
      </c>
      <c r="AN60" s="52" t="str">
        <f t="shared" si="38"/>
        <v/>
      </c>
      <c r="AO60" s="52" t="str">
        <f t="shared" si="38"/>
        <v/>
      </c>
    </row>
    <row r="61" ht="15" customHeight="1" spans="1:41">
      <c r="A61" s="53"/>
      <c r="B61" s="54">
        <v>1</v>
      </c>
      <c r="C61" s="55"/>
      <c r="D61" s="50"/>
      <c r="E61" s="50"/>
      <c r="F61" s="50"/>
      <c r="G61" s="50">
        <f t="shared" si="18"/>
        <v>0</v>
      </c>
      <c r="H61" s="50">
        <f t="shared" si="19"/>
        <v>0</v>
      </c>
      <c r="I61" s="50" t="s">
        <v>58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53"/>
      <c r="B62" s="54">
        <v>2</v>
      </c>
      <c r="C62" s="55"/>
      <c r="D62" s="50"/>
      <c r="E62" s="50"/>
      <c r="F62" s="50"/>
      <c r="G62" s="50">
        <f t="shared" si="18"/>
        <v>0</v>
      </c>
      <c r="H62" s="50">
        <f t="shared" si="19"/>
        <v>0</v>
      </c>
      <c r="I62" s="50" t="s">
        <v>58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53"/>
      <c r="B63" s="54">
        <v>3</v>
      </c>
      <c r="C63" s="55"/>
      <c r="D63" s="50"/>
      <c r="E63" s="50"/>
      <c r="F63" s="50"/>
      <c r="G63" s="50">
        <f t="shared" si="18"/>
        <v>0</v>
      </c>
      <c r="H63" s="50">
        <f t="shared" si="19"/>
        <v>0</v>
      </c>
      <c r="I63" s="50" t="s">
        <v>58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53"/>
      <c r="B64" s="54">
        <v>4</v>
      </c>
      <c r="C64" s="55"/>
      <c r="D64" s="50"/>
      <c r="E64" s="50"/>
      <c r="F64" s="50"/>
      <c r="G64" s="50">
        <f t="shared" si="18"/>
        <v>0</v>
      </c>
      <c r="H64" s="50">
        <f t="shared" si="19"/>
        <v>0</v>
      </c>
      <c r="I64" s="50" t="s">
        <v>58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53"/>
      <c r="B65" s="54" t="s">
        <v>87</v>
      </c>
      <c r="C65" s="55"/>
      <c r="D65" s="50">
        <v>0</v>
      </c>
      <c r="E65" s="50">
        <v>0.06</v>
      </c>
      <c r="F65" s="50">
        <v>0</v>
      </c>
      <c r="G65" s="50">
        <f t="shared" si="18"/>
        <v>0.06</v>
      </c>
      <c r="H65" s="50">
        <f t="shared" si="19"/>
        <v>0</v>
      </c>
      <c r="I65" s="50" t="s">
        <v>58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9">IF(J65="","",IF(J65&gt;($D65+$E65),(J65-$D65-$E65),IF(J65&lt;($D65+$F65),(J65-$D65-$F65),"√")))</f>
        <v/>
      </c>
      <c r="AA65" s="52" t="str">
        <f t="shared" si="39"/>
        <v/>
      </c>
      <c r="AB65" s="52" t="str">
        <f t="shared" si="39"/>
        <v/>
      </c>
      <c r="AC65" s="52" t="str">
        <f t="shared" si="39"/>
        <v/>
      </c>
      <c r="AD65" s="52" t="str">
        <f t="shared" si="39"/>
        <v/>
      </c>
      <c r="AE65" s="52" t="str">
        <f t="shared" si="39"/>
        <v/>
      </c>
      <c r="AF65" s="52" t="str">
        <f t="shared" si="39"/>
        <v/>
      </c>
      <c r="AG65" s="52" t="str">
        <f t="shared" si="39"/>
        <v/>
      </c>
      <c r="AH65" s="52" t="str">
        <f t="shared" si="39"/>
        <v/>
      </c>
      <c r="AI65" s="52" t="str">
        <f t="shared" si="39"/>
        <v/>
      </c>
      <c r="AJ65" s="52" t="str">
        <f t="shared" si="39"/>
        <v/>
      </c>
      <c r="AK65" s="52" t="str">
        <f t="shared" si="39"/>
        <v/>
      </c>
      <c r="AL65" s="52" t="str">
        <f t="shared" si="39"/>
        <v/>
      </c>
      <c r="AM65" s="52" t="str">
        <f t="shared" si="39"/>
        <v/>
      </c>
      <c r="AN65" s="52" t="str">
        <f t="shared" si="39"/>
        <v/>
      </c>
      <c r="AO65" s="52" t="str">
        <f t="shared" si="39"/>
        <v/>
      </c>
    </row>
    <row r="66" ht="15" customHeight="1" spans="1:41">
      <c r="A66" s="53"/>
      <c r="B66" s="54">
        <v>1</v>
      </c>
      <c r="C66" s="55"/>
      <c r="D66" s="50"/>
      <c r="E66" s="50"/>
      <c r="F66" s="50"/>
      <c r="G66" s="50">
        <f t="shared" si="18"/>
        <v>0</v>
      </c>
      <c r="H66" s="50">
        <f t="shared" si="19"/>
        <v>0</v>
      </c>
      <c r="I66" s="50" t="s">
        <v>58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53"/>
      <c r="B67" s="54">
        <v>2</v>
      </c>
      <c r="C67" s="55"/>
      <c r="D67" s="50"/>
      <c r="E67" s="50"/>
      <c r="F67" s="50"/>
      <c r="G67" s="50">
        <f t="shared" si="18"/>
        <v>0</v>
      </c>
      <c r="H67" s="50">
        <f t="shared" si="19"/>
        <v>0</v>
      </c>
      <c r="I67" s="50" t="s">
        <v>58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53"/>
      <c r="B68" s="54">
        <v>3</v>
      </c>
      <c r="C68" s="55"/>
      <c r="D68" s="50"/>
      <c r="E68" s="50"/>
      <c r="F68" s="50"/>
      <c r="G68" s="50">
        <f t="shared" si="18"/>
        <v>0</v>
      </c>
      <c r="H68" s="50">
        <f t="shared" si="19"/>
        <v>0</v>
      </c>
      <c r="I68" s="50" t="s">
        <v>58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53"/>
      <c r="B69" s="54">
        <v>4</v>
      </c>
      <c r="C69" s="55"/>
      <c r="D69" s="50"/>
      <c r="E69" s="50"/>
      <c r="F69" s="50"/>
      <c r="G69" s="50">
        <f t="shared" si="18"/>
        <v>0</v>
      </c>
      <c r="H69" s="50">
        <f t="shared" si="19"/>
        <v>0</v>
      </c>
      <c r="I69" s="50" t="s">
        <v>58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53"/>
      <c r="B70" s="54">
        <v>5</v>
      </c>
      <c r="C70" s="55"/>
      <c r="D70" s="50"/>
      <c r="E70" s="50"/>
      <c r="F70" s="50"/>
      <c r="G70" s="50">
        <f t="shared" si="18"/>
        <v>0</v>
      </c>
      <c r="H70" s="50">
        <f t="shared" si="19"/>
        <v>0</v>
      </c>
      <c r="I70" s="50" t="s">
        <v>58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53"/>
      <c r="B71" s="54">
        <v>6</v>
      </c>
      <c r="C71" s="55"/>
      <c r="D71" s="50"/>
      <c r="E71" s="50"/>
      <c r="F71" s="50"/>
      <c r="G71" s="50">
        <f t="shared" si="18"/>
        <v>0</v>
      </c>
      <c r="H71" s="50">
        <f t="shared" si="19"/>
        <v>0</v>
      </c>
      <c r="I71" s="50" t="s">
        <v>58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53"/>
      <c r="B72" s="54">
        <v>7</v>
      </c>
      <c r="C72" s="55"/>
      <c r="D72" s="50"/>
      <c r="E72" s="50"/>
      <c r="F72" s="50"/>
      <c r="G72" s="50">
        <f t="shared" si="18"/>
        <v>0</v>
      </c>
      <c r="H72" s="50">
        <f t="shared" si="19"/>
        <v>0</v>
      </c>
      <c r="I72" s="50" t="s">
        <v>58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53"/>
      <c r="B73" s="54">
        <v>8</v>
      </c>
      <c r="C73" s="55"/>
      <c r="D73" s="50"/>
      <c r="E73" s="50"/>
      <c r="F73" s="50"/>
      <c r="G73" s="50">
        <f t="shared" si="18"/>
        <v>0</v>
      </c>
      <c r="H73" s="50">
        <f t="shared" si="19"/>
        <v>0</v>
      </c>
      <c r="I73" s="50" t="s">
        <v>58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53"/>
      <c r="B74" s="54">
        <v>9</v>
      </c>
      <c r="C74" s="55"/>
      <c r="D74" s="50"/>
      <c r="E74" s="50"/>
      <c r="F74" s="50"/>
      <c r="G74" s="50">
        <f t="shared" si="18"/>
        <v>0</v>
      </c>
      <c r="H74" s="50">
        <f t="shared" si="19"/>
        <v>0</v>
      </c>
      <c r="I74" s="50" t="s">
        <v>58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53"/>
      <c r="B75" s="54">
        <v>10</v>
      </c>
      <c r="C75" s="55"/>
      <c r="D75" s="50"/>
      <c r="E75" s="50"/>
      <c r="F75" s="50"/>
      <c r="G75" s="50">
        <f t="shared" si="18"/>
        <v>0</v>
      </c>
      <c r="H75" s="50">
        <f t="shared" si="19"/>
        <v>0</v>
      </c>
      <c r="I75" s="50" t="s">
        <v>58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53"/>
      <c r="B76" s="54">
        <v>11</v>
      </c>
      <c r="C76" s="55"/>
      <c r="D76" s="50"/>
      <c r="E76" s="50"/>
      <c r="F76" s="50"/>
      <c r="G76" s="50">
        <f t="shared" si="18"/>
        <v>0</v>
      </c>
      <c r="H76" s="50">
        <f t="shared" si="19"/>
        <v>0</v>
      </c>
      <c r="I76" s="50" t="s">
        <v>58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53"/>
      <c r="B77" s="54" t="s">
        <v>88</v>
      </c>
      <c r="C77" s="55" t="s">
        <v>89</v>
      </c>
      <c r="D77" s="50">
        <v>0</v>
      </c>
      <c r="E77" s="50">
        <v>0.08</v>
      </c>
      <c r="F77" s="50">
        <v>0</v>
      </c>
      <c r="G77" s="50">
        <f t="shared" si="18"/>
        <v>0.08</v>
      </c>
      <c r="H77" s="50">
        <f t="shared" si="19"/>
        <v>0</v>
      </c>
      <c r="I77" s="50" t="s">
        <v>58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0">IF(J77="","",IF(J77&gt;($D77+$E77),(J77-$D77-$E77),IF(J77&lt;($D77+$F77),(J77-$D77-$F77),"√")))</f>
        <v/>
      </c>
      <c r="AA77" s="52" t="str">
        <f t="shared" si="40"/>
        <v/>
      </c>
      <c r="AB77" s="52" t="str">
        <f t="shared" si="40"/>
        <v/>
      </c>
      <c r="AC77" s="52" t="str">
        <f t="shared" si="40"/>
        <v/>
      </c>
      <c r="AD77" s="52" t="str">
        <f t="shared" si="40"/>
        <v/>
      </c>
      <c r="AE77" s="52" t="str">
        <f t="shared" si="40"/>
        <v/>
      </c>
      <c r="AF77" s="52" t="str">
        <f t="shared" si="40"/>
        <v/>
      </c>
      <c r="AG77" s="52" t="str">
        <f t="shared" si="40"/>
        <v/>
      </c>
      <c r="AH77" s="52" t="str">
        <f t="shared" si="40"/>
        <v/>
      </c>
      <c r="AI77" s="52" t="str">
        <f t="shared" si="40"/>
        <v/>
      </c>
      <c r="AJ77" s="52" t="str">
        <f t="shared" si="40"/>
        <v/>
      </c>
      <c r="AK77" s="52" t="str">
        <f t="shared" si="40"/>
        <v/>
      </c>
      <c r="AL77" s="52" t="str">
        <f t="shared" si="40"/>
        <v/>
      </c>
      <c r="AM77" s="52" t="str">
        <f t="shared" si="40"/>
        <v/>
      </c>
      <c r="AN77" s="52" t="str">
        <f t="shared" si="40"/>
        <v/>
      </c>
      <c r="AO77" s="52" t="str">
        <f t="shared" si="40"/>
        <v/>
      </c>
    </row>
    <row r="78" ht="15" customHeight="1" spans="1:41">
      <c r="A78" s="53"/>
      <c r="B78" s="54">
        <v>1</v>
      </c>
      <c r="C78" s="55"/>
      <c r="D78" s="50"/>
      <c r="E78" s="50"/>
      <c r="F78" s="50"/>
      <c r="G78" s="50">
        <f t="shared" si="18"/>
        <v>0</v>
      </c>
      <c r="H78" s="50">
        <f t="shared" si="19"/>
        <v>0</v>
      </c>
      <c r="I78" s="50" t="s">
        <v>58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53"/>
      <c r="B79" s="54">
        <v>2</v>
      </c>
      <c r="C79" s="55"/>
      <c r="D79" s="50"/>
      <c r="E79" s="50"/>
      <c r="F79" s="50"/>
      <c r="G79" s="50">
        <f t="shared" si="18"/>
        <v>0</v>
      </c>
      <c r="H79" s="50">
        <f t="shared" si="19"/>
        <v>0</v>
      </c>
      <c r="I79" s="50" t="s">
        <v>58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53"/>
      <c r="B80" s="54">
        <v>3</v>
      </c>
      <c r="C80" s="55"/>
      <c r="D80" s="50"/>
      <c r="E80" s="50"/>
      <c r="F80" s="50"/>
      <c r="G80" s="50">
        <f t="shared" si="18"/>
        <v>0</v>
      </c>
      <c r="H80" s="50">
        <f t="shared" si="19"/>
        <v>0</v>
      </c>
      <c r="I80" s="50" t="s">
        <v>58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53"/>
      <c r="B81" s="54">
        <v>4</v>
      </c>
      <c r="C81" s="55"/>
      <c r="D81" s="50"/>
      <c r="E81" s="50"/>
      <c r="F81" s="50"/>
      <c r="G81" s="50">
        <f t="shared" si="18"/>
        <v>0</v>
      </c>
      <c r="H81" s="50">
        <f t="shared" si="19"/>
        <v>0</v>
      </c>
      <c r="I81" s="50" t="s">
        <v>58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53"/>
      <c r="B82" s="54" t="s">
        <v>90</v>
      </c>
      <c r="C82" s="55" t="s">
        <v>91</v>
      </c>
      <c r="D82" s="50">
        <v>0</v>
      </c>
      <c r="E82" s="50">
        <v>0.08</v>
      </c>
      <c r="F82" s="50">
        <v>0</v>
      </c>
      <c r="G82" s="50">
        <f t="shared" si="18"/>
        <v>0.08</v>
      </c>
      <c r="H82" s="50">
        <f t="shared" si="19"/>
        <v>0</v>
      </c>
      <c r="I82" s="50" t="s">
        <v>58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1">IF(J82="","",IF(J82&gt;($D82+$E82),(J82-$D82-$E82),IF(J82&lt;($D82+$F82),(J82-$D82-$F82),"√")))</f>
        <v/>
      </c>
      <c r="AA82" s="52" t="str">
        <f t="shared" si="41"/>
        <v/>
      </c>
      <c r="AB82" s="52" t="str">
        <f t="shared" si="41"/>
        <v/>
      </c>
      <c r="AC82" s="52" t="str">
        <f t="shared" si="41"/>
        <v/>
      </c>
      <c r="AD82" s="52" t="str">
        <f t="shared" si="41"/>
        <v/>
      </c>
      <c r="AE82" s="52" t="str">
        <f t="shared" si="41"/>
        <v/>
      </c>
      <c r="AF82" s="52" t="str">
        <f t="shared" si="41"/>
        <v/>
      </c>
      <c r="AG82" s="52" t="str">
        <f t="shared" si="41"/>
        <v/>
      </c>
      <c r="AH82" s="52" t="str">
        <f t="shared" si="41"/>
        <v/>
      </c>
      <c r="AI82" s="52" t="str">
        <f t="shared" si="41"/>
        <v/>
      </c>
      <c r="AJ82" s="52" t="str">
        <f t="shared" si="41"/>
        <v/>
      </c>
      <c r="AK82" s="52" t="str">
        <f t="shared" si="41"/>
        <v/>
      </c>
      <c r="AL82" s="52" t="str">
        <f t="shared" si="41"/>
        <v/>
      </c>
      <c r="AM82" s="52" t="str">
        <f t="shared" si="41"/>
        <v/>
      </c>
      <c r="AN82" s="52" t="str">
        <f t="shared" si="41"/>
        <v/>
      </c>
      <c r="AO82" s="52" t="str">
        <f t="shared" si="41"/>
        <v/>
      </c>
    </row>
    <row r="83" ht="15" customHeight="1" spans="1:41">
      <c r="A83" s="53"/>
      <c r="B83" s="54">
        <v>1</v>
      </c>
      <c r="C83" s="55"/>
      <c r="D83" s="50"/>
      <c r="E83" s="50"/>
      <c r="F83" s="50"/>
      <c r="G83" s="50">
        <f t="shared" si="18"/>
        <v>0</v>
      </c>
      <c r="H83" s="50">
        <f t="shared" si="19"/>
        <v>0</v>
      </c>
      <c r="I83" s="50" t="s">
        <v>58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53"/>
      <c r="B84" s="54">
        <v>2</v>
      </c>
      <c r="C84" s="55"/>
      <c r="D84" s="50"/>
      <c r="E84" s="50"/>
      <c r="F84" s="50"/>
      <c r="G84" s="50">
        <f t="shared" si="18"/>
        <v>0</v>
      </c>
      <c r="H84" s="50">
        <f t="shared" si="19"/>
        <v>0</v>
      </c>
      <c r="I84" s="50" t="s">
        <v>58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53"/>
      <c r="B85" s="54">
        <v>3</v>
      </c>
      <c r="C85" s="55"/>
      <c r="D85" s="50"/>
      <c r="E85" s="50"/>
      <c r="F85" s="50"/>
      <c r="G85" s="50">
        <f t="shared" si="18"/>
        <v>0</v>
      </c>
      <c r="H85" s="50">
        <f t="shared" si="19"/>
        <v>0</v>
      </c>
      <c r="I85" s="50" t="s">
        <v>58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53"/>
      <c r="B86" s="54">
        <v>4</v>
      </c>
      <c r="C86" s="55"/>
      <c r="D86" s="50"/>
      <c r="E86" s="50"/>
      <c r="F86" s="50"/>
      <c r="G86" s="50">
        <f t="shared" si="18"/>
        <v>0</v>
      </c>
      <c r="H86" s="50">
        <f t="shared" si="19"/>
        <v>0</v>
      </c>
      <c r="I86" s="50" t="s">
        <v>58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53"/>
      <c r="B87" s="54" t="s">
        <v>92</v>
      </c>
      <c r="C87" s="55" t="s">
        <v>93</v>
      </c>
      <c r="D87" s="50">
        <v>0</v>
      </c>
      <c r="E87" s="50">
        <v>0.08</v>
      </c>
      <c r="F87" s="50">
        <v>0</v>
      </c>
      <c r="G87" s="50">
        <f t="shared" si="18"/>
        <v>0.08</v>
      </c>
      <c r="H87" s="50">
        <f t="shared" si="19"/>
        <v>0</v>
      </c>
      <c r="I87" s="50" t="s">
        <v>58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2">IF(J87="","",IF(J87&gt;($D87+$E87),(J87-$D87-$E87),IF(J87&lt;($D87+$F87),(J87-$D87-$F87),"√")))</f>
        <v/>
      </c>
      <c r="AA87" s="52" t="str">
        <f t="shared" si="42"/>
        <v/>
      </c>
      <c r="AB87" s="52" t="str">
        <f t="shared" si="42"/>
        <v/>
      </c>
      <c r="AC87" s="52" t="str">
        <f t="shared" si="42"/>
        <v/>
      </c>
      <c r="AD87" s="52" t="str">
        <f t="shared" si="42"/>
        <v/>
      </c>
      <c r="AE87" s="52" t="str">
        <f t="shared" si="42"/>
        <v/>
      </c>
      <c r="AF87" s="52" t="str">
        <f t="shared" si="42"/>
        <v/>
      </c>
      <c r="AG87" s="52" t="str">
        <f t="shared" si="42"/>
        <v/>
      </c>
      <c r="AH87" s="52" t="str">
        <f t="shared" si="42"/>
        <v/>
      </c>
      <c r="AI87" s="52" t="str">
        <f t="shared" si="42"/>
        <v/>
      </c>
      <c r="AJ87" s="52" t="str">
        <f t="shared" si="42"/>
        <v/>
      </c>
      <c r="AK87" s="52" t="str">
        <f t="shared" si="42"/>
        <v/>
      </c>
      <c r="AL87" s="52" t="str">
        <f t="shared" si="42"/>
        <v/>
      </c>
      <c r="AM87" s="52" t="str">
        <f t="shared" si="42"/>
        <v/>
      </c>
      <c r="AN87" s="52" t="str">
        <f t="shared" si="42"/>
        <v/>
      </c>
      <c r="AO87" s="52" t="str">
        <f t="shared" si="42"/>
        <v/>
      </c>
    </row>
    <row r="88" ht="15" customHeight="1" spans="1:41">
      <c r="A88" s="53"/>
      <c r="B88" s="54">
        <v>1</v>
      </c>
      <c r="C88" s="55"/>
      <c r="D88" s="50"/>
      <c r="E88" s="50"/>
      <c r="F88" s="50"/>
      <c r="G88" s="50">
        <f t="shared" ref="G88:G118" si="43">D88+E88</f>
        <v>0</v>
      </c>
      <c r="H88" s="50">
        <f t="shared" ref="H88:H118" si="44">D88+F88</f>
        <v>0</v>
      </c>
      <c r="I88" s="50" t="s">
        <v>58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53"/>
      <c r="B89" s="54">
        <v>2</v>
      </c>
      <c r="C89" s="55"/>
      <c r="D89" s="50"/>
      <c r="E89" s="50"/>
      <c r="F89" s="50"/>
      <c r="G89" s="50">
        <f t="shared" si="43"/>
        <v>0</v>
      </c>
      <c r="H89" s="50">
        <f t="shared" si="44"/>
        <v>0</v>
      </c>
      <c r="I89" s="50" t="s">
        <v>58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53"/>
      <c r="B90" s="54">
        <v>3</v>
      </c>
      <c r="C90" s="55"/>
      <c r="D90" s="50"/>
      <c r="E90" s="50"/>
      <c r="F90" s="50"/>
      <c r="G90" s="50">
        <f t="shared" si="43"/>
        <v>0</v>
      </c>
      <c r="H90" s="50">
        <f t="shared" si="44"/>
        <v>0</v>
      </c>
      <c r="I90" s="50" t="s">
        <v>58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53"/>
      <c r="B91" s="54">
        <v>4</v>
      </c>
      <c r="C91" s="55"/>
      <c r="D91" s="50"/>
      <c r="E91" s="50"/>
      <c r="F91" s="50"/>
      <c r="G91" s="50">
        <f t="shared" si="43"/>
        <v>0</v>
      </c>
      <c r="H91" s="50">
        <f t="shared" si="44"/>
        <v>0</v>
      </c>
      <c r="I91" s="50" t="s">
        <v>58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53"/>
      <c r="B92" s="54" t="s">
        <v>94</v>
      </c>
      <c r="C92" s="55" t="s">
        <v>95</v>
      </c>
      <c r="D92" s="50">
        <v>0</v>
      </c>
      <c r="E92" s="50">
        <v>0.08</v>
      </c>
      <c r="F92" s="50">
        <v>0</v>
      </c>
      <c r="G92" s="50">
        <f t="shared" si="43"/>
        <v>0.08</v>
      </c>
      <c r="H92" s="50">
        <f t="shared" si="44"/>
        <v>0</v>
      </c>
      <c r="I92" s="50" t="s">
        <v>58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5">IF(J92="","",IF(J92&gt;($D92+$E92),(J92-$D92-$E92),IF(J92&lt;($D92+$F92),(J92-$D92-$F92),"√")))</f>
        <v/>
      </c>
      <c r="AA92" s="52" t="str">
        <f t="shared" si="45"/>
        <v/>
      </c>
      <c r="AB92" s="52" t="str">
        <f t="shared" si="45"/>
        <v/>
      </c>
      <c r="AC92" s="52" t="str">
        <f t="shared" si="45"/>
        <v/>
      </c>
      <c r="AD92" s="52" t="str">
        <f t="shared" si="45"/>
        <v/>
      </c>
      <c r="AE92" s="52" t="str">
        <f t="shared" si="45"/>
        <v/>
      </c>
      <c r="AF92" s="52" t="str">
        <f t="shared" si="45"/>
        <v/>
      </c>
      <c r="AG92" s="52" t="str">
        <f t="shared" si="45"/>
        <v/>
      </c>
      <c r="AH92" s="52" t="str">
        <f t="shared" si="45"/>
        <v/>
      </c>
      <c r="AI92" s="52" t="str">
        <f t="shared" si="45"/>
        <v/>
      </c>
      <c r="AJ92" s="52" t="str">
        <f t="shared" si="45"/>
        <v/>
      </c>
      <c r="AK92" s="52" t="str">
        <f t="shared" si="45"/>
        <v/>
      </c>
      <c r="AL92" s="52" t="str">
        <f t="shared" si="45"/>
        <v/>
      </c>
      <c r="AM92" s="52" t="str">
        <f t="shared" si="45"/>
        <v/>
      </c>
      <c r="AN92" s="52" t="str">
        <f t="shared" si="45"/>
        <v/>
      </c>
      <c r="AO92" s="52" t="str">
        <f t="shared" si="45"/>
        <v/>
      </c>
    </row>
    <row r="93" ht="15" customHeight="1" spans="1:41">
      <c r="A93" s="53"/>
      <c r="B93" s="54">
        <v>1</v>
      </c>
      <c r="C93" s="55"/>
      <c r="D93" s="50"/>
      <c r="E93" s="50"/>
      <c r="F93" s="50"/>
      <c r="G93" s="50">
        <f t="shared" si="43"/>
        <v>0</v>
      </c>
      <c r="H93" s="50">
        <f t="shared" si="44"/>
        <v>0</v>
      </c>
      <c r="I93" s="50" t="s">
        <v>58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53"/>
      <c r="B94" s="54">
        <v>2</v>
      </c>
      <c r="C94" s="55"/>
      <c r="D94" s="50"/>
      <c r="E94" s="50"/>
      <c r="F94" s="50"/>
      <c r="G94" s="50">
        <f t="shared" si="43"/>
        <v>0</v>
      </c>
      <c r="H94" s="50">
        <f t="shared" si="44"/>
        <v>0</v>
      </c>
      <c r="I94" s="50" t="s">
        <v>58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53"/>
      <c r="B95" s="54">
        <v>3</v>
      </c>
      <c r="C95" s="55"/>
      <c r="D95" s="50"/>
      <c r="E95" s="50"/>
      <c r="F95" s="50"/>
      <c r="G95" s="50">
        <f t="shared" si="43"/>
        <v>0</v>
      </c>
      <c r="H95" s="50">
        <f t="shared" si="44"/>
        <v>0</v>
      </c>
      <c r="I95" s="50" t="s">
        <v>58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53"/>
      <c r="B96" s="54">
        <v>4</v>
      </c>
      <c r="C96" s="55"/>
      <c r="D96" s="50"/>
      <c r="E96" s="50"/>
      <c r="F96" s="50"/>
      <c r="G96" s="50">
        <f t="shared" si="43"/>
        <v>0</v>
      </c>
      <c r="H96" s="50">
        <f t="shared" si="44"/>
        <v>0</v>
      </c>
      <c r="I96" s="50" t="s">
        <v>58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53"/>
      <c r="B97" s="54" t="s">
        <v>96</v>
      </c>
      <c r="C97" s="55"/>
      <c r="D97" s="50">
        <v>0</v>
      </c>
      <c r="E97" s="50">
        <v>0.05</v>
      </c>
      <c r="F97" s="50">
        <v>0</v>
      </c>
      <c r="G97" s="50">
        <f t="shared" si="43"/>
        <v>0.05</v>
      </c>
      <c r="H97" s="50">
        <f t="shared" si="44"/>
        <v>0</v>
      </c>
      <c r="I97" s="50" t="s">
        <v>58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6">IF(J97="","",IF(J97&gt;($D97+$E97),(J97-$D97-$E97),IF(J97&lt;($D97+$F97),(J97-$D97-$F97),"√")))</f>
        <v/>
      </c>
      <c r="AA97" s="52" t="str">
        <f t="shared" si="46"/>
        <v/>
      </c>
      <c r="AB97" s="52" t="str">
        <f t="shared" si="46"/>
        <v/>
      </c>
      <c r="AC97" s="52" t="str">
        <f t="shared" si="46"/>
        <v/>
      </c>
      <c r="AD97" s="52" t="str">
        <f t="shared" si="46"/>
        <v/>
      </c>
      <c r="AE97" s="52" t="str">
        <f t="shared" si="46"/>
        <v/>
      </c>
      <c r="AF97" s="52" t="str">
        <f t="shared" si="46"/>
        <v/>
      </c>
      <c r="AG97" s="52" t="str">
        <f t="shared" si="46"/>
        <v/>
      </c>
      <c r="AH97" s="52" t="str">
        <f t="shared" si="46"/>
        <v/>
      </c>
      <c r="AI97" s="52" t="str">
        <f t="shared" si="46"/>
        <v/>
      </c>
      <c r="AJ97" s="52" t="str">
        <f t="shared" si="46"/>
        <v/>
      </c>
      <c r="AK97" s="52" t="str">
        <f t="shared" si="46"/>
        <v/>
      </c>
      <c r="AL97" s="52" t="str">
        <f t="shared" si="46"/>
        <v/>
      </c>
      <c r="AM97" s="52" t="str">
        <f t="shared" si="46"/>
        <v/>
      </c>
      <c r="AN97" s="52" t="str">
        <f t="shared" si="46"/>
        <v/>
      </c>
      <c r="AO97" s="52" t="str">
        <f t="shared" si="46"/>
        <v/>
      </c>
    </row>
    <row r="98" ht="15" customHeight="1" spans="1:41">
      <c r="A98" s="53"/>
      <c r="B98" s="54" t="s">
        <v>97</v>
      </c>
      <c r="C98" s="55"/>
      <c r="D98" s="50"/>
      <c r="E98" s="50"/>
      <c r="F98" s="50"/>
      <c r="G98" s="50">
        <f t="shared" si="43"/>
        <v>0</v>
      </c>
      <c r="H98" s="50">
        <f t="shared" si="44"/>
        <v>0</v>
      </c>
      <c r="I98" s="50" t="s">
        <v>58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53"/>
      <c r="B99" s="54" t="s">
        <v>98</v>
      </c>
      <c r="C99" s="55"/>
      <c r="D99" s="50"/>
      <c r="E99" s="50"/>
      <c r="F99" s="50"/>
      <c r="G99" s="50">
        <f t="shared" si="43"/>
        <v>0</v>
      </c>
      <c r="H99" s="50">
        <f t="shared" si="44"/>
        <v>0</v>
      </c>
      <c r="I99" s="50" t="s">
        <v>58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53"/>
      <c r="B100" s="54" t="s">
        <v>99</v>
      </c>
      <c r="C100" s="55"/>
      <c r="D100" s="50">
        <v>0</v>
      </c>
      <c r="E100" s="50">
        <v>0.04</v>
      </c>
      <c r="F100" s="50">
        <v>0</v>
      </c>
      <c r="G100" s="50">
        <f t="shared" si="43"/>
        <v>0.04</v>
      </c>
      <c r="H100" s="50">
        <f t="shared" si="44"/>
        <v>0</v>
      </c>
      <c r="I100" s="50" t="s">
        <v>58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7">IF(J100="","",IF(J100&gt;($D100+$E100),(J100-$D100-$E100),IF(J100&lt;($D100+$F100),(J100-$D100-$F100),"√")))</f>
        <v/>
      </c>
      <c r="AA100" s="52" t="str">
        <f t="shared" si="47"/>
        <v/>
      </c>
      <c r="AB100" s="52" t="str">
        <f t="shared" si="47"/>
        <v/>
      </c>
      <c r="AC100" s="52" t="str">
        <f t="shared" si="47"/>
        <v/>
      </c>
      <c r="AD100" s="52" t="str">
        <f t="shared" si="47"/>
        <v/>
      </c>
      <c r="AE100" s="52" t="str">
        <f t="shared" si="47"/>
        <v/>
      </c>
      <c r="AF100" s="52" t="str">
        <f t="shared" si="47"/>
        <v/>
      </c>
      <c r="AG100" s="52" t="str">
        <f t="shared" si="47"/>
        <v/>
      </c>
      <c r="AH100" s="52" t="str">
        <f t="shared" si="47"/>
        <v/>
      </c>
      <c r="AI100" s="52" t="str">
        <f t="shared" si="47"/>
        <v/>
      </c>
      <c r="AJ100" s="52" t="str">
        <f t="shared" si="47"/>
        <v/>
      </c>
      <c r="AK100" s="52" t="str">
        <f t="shared" si="47"/>
        <v/>
      </c>
      <c r="AL100" s="52" t="str">
        <f t="shared" si="47"/>
        <v/>
      </c>
      <c r="AM100" s="52" t="str">
        <f t="shared" si="47"/>
        <v/>
      </c>
      <c r="AN100" s="52" t="str">
        <f t="shared" si="47"/>
        <v/>
      </c>
      <c r="AO100" s="52" t="str">
        <f t="shared" si="47"/>
        <v/>
      </c>
    </row>
    <row r="101" ht="15" customHeight="1" spans="1:41">
      <c r="A101" s="53"/>
      <c r="B101" s="54">
        <v>1</v>
      </c>
      <c r="C101" s="55"/>
      <c r="D101" s="50"/>
      <c r="E101" s="50"/>
      <c r="F101" s="50"/>
      <c r="G101" s="50">
        <f t="shared" si="43"/>
        <v>0</v>
      </c>
      <c r="H101" s="50">
        <f t="shared" si="44"/>
        <v>0</v>
      </c>
      <c r="I101" s="50" t="s">
        <v>58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53"/>
      <c r="B102" s="54">
        <v>2</v>
      </c>
      <c r="C102" s="55"/>
      <c r="D102" s="50"/>
      <c r="E102" s="50"/>
      <c r="F102" s="50"/>
      <c r="G102" s="50">
        <f t="shared" si="43"/>
        <v>0</v>
      </c>
      <c r="H102" s="50">
        <f t="shared" si="44"/>
        <v>0</v>
      </c>
      <c r="I102" s="50" t="s">
        <v>58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" customHeight="1" spans="1:41">
      <c r="A103" s="53"/>
      <c r="B103" s="54">
        <v>3</v>
      </c>
      <c r="C103" s="55"/>
      <c r="D103" s="50"/>
      <c r="E103" s="50"/>
      <c r="F103" s="50"/>
      <c r="G103" s="50">
        <f t="shared" si="43"/>
        <v>0</v>
      </c>
      <c r="H103" s="50">
        <f t="shared" si="44"/>
        <v>0</v>
      </c>
      <c r="I103" s="50" t="s">
        <v>58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</row>
    <row r="104" ht="15" customHeight="1" spans="1:41">
      <c r="A104" s="53"/>
      <c r="B104" s="54" t="s">
        <v>100</v>
      </c>
      <c r="C104" s="55"/>
      <c r="D104" s="50">
        <v>0</v>
      </c>
      <c r="E104" s="50">
        <v>0.04</v>
      </c>
      <c r="F104" s="50">
        <v>0</v>
      </c>
      <c r="G104" s="50">
        <f t="shared" si="43"/>
        <v>0.04</v>
      </c>
      <c r="H104" s="50">
        <f t="shared" si="44"/>
        <v>0</v>
      </c>
      <c r="I104" s="50" t="s">
        <v>58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 t="str">
        <f t="shared" ref="Z104:AO104" si="48">IF(J104="","",IF(J104&gt;($D104+$E104),(J104-$D104-$E104),IF(J104&lt;($D104+$F104),(J104-$D104-$F104),"√")))</f>
        <v/>
      </c>
      <c r="AA104" s="52" t="str">
        <f t="shared" si="48"/>
        <v/>
      </c>
      <c r="AB104" s="52" t="str">
        <f t="shared" si="48"/>
        <v/>
      </c>
      <c r="AC104" s="52" t="str">
        <f t="shared" si="48"/>
        <v/>
      </c>
      <c r="AD104" s="52" t="str">
        <f t="shared" si="48"/>
        <v/>
      </c>
      <c r="AE104" s="52" t="str">
        <f t="shared" si="48"/>
        <v/>
      </c>
      <c r="AF104" s="52" t="str">
        <f t="shared" si="48"/>
        <v/>
      </c>
      <c r="AG104" s="52" t="str">
        <f t="shared" si="48"/>
        <v/>
      </c>
      <c r="AH104" s="52" t="str">
        <f t="shared" si="48"/>
        <v/>
      </c>
      <c r="AI104" s="52" t="str">
        <f t="shared" si="48"/>
        <v/>
      </c>
      <c r="AJ104" s="52" t="str">
        <f t="shared" si="48"/>
        <v/>
      </c>
      <c r="AK104" s="52" t="str">
        <f t="shared" si="48"/>
        <v/>
      </c>
      <c r="AL104" s="52" t="str">
        <f t="shared" si="48"/>
        <v/>
      </c>
      <c r="AM104" s="52" t="str">
        <f t="shared" si="48"/>
        <v/>
      </c>
      <c r="AN104" s="52" t="str">
        <f t="shared" si="48"/>
        <v/>
      </c>
      <c r="AO104" s="52" t="str">
        <f t="shared" si="48"/>
        <v/>
      </c>
    </row>
    <row r="105" ht="15" customHeight="1" spans="1:41">
      <c r="A105" s="53"/>
      <c r="B105" s="54">
        <v>1</v>
      </c>
      <c r="C105" s="55"/>
      <c r="D105" s="50"/>
      <c r="E105" s="50"/>
      <c r="F105" s="50"/>
      <c r="G105" s="50">
        <f t="shared" si="43"/>
        <v>0</v>
      </c>
      <c r="H105" s="50">
        <f t="shared" si="44"/>
        <v>0</v>
      </c>
      <c r="I105" s="50" t="s">
        <v>58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" customHeight="1" spans="1:41">
      <c r="A106" s="53"/>
      <c r="B106" s="54">
        <v>2</v>
      </c>
      <c r="C106" s="55"/>
      <c r="D106" s="50"/>
      <c r="E106" s="50"/>
      <c r="F106" s="50"/>
      <c r="G106" s="50">
        <f t="shared" si="43"/>
        <v>0</v>
      </c>
      <c r="H106" s="50">
        <f t="shared" si="44"/>
        <v>0</v>
      </c>
      <c r="I106" s="50" t="s">
        <v>58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" customHeight="1" spans="1:41">
      <c r="A107" s="53"/>
      <c r="B107" s="54" t="s">
        <v>101</v>
      </c>
      <c r="C107" s="55" t="s">
        <v>102</v>
      </c>
      <c r="D107" s="50">
        <v>0</v>
      </c>
      <c r="E107" s="50">
        <v>0.05</v>
      </c>
      <c r="F107" s="50">
        <v>0</v>
      </c>
      <c r="G107" s="50">
        <f t="shared" si="43"/>
        <v>0.05</v>
      </c>
      <c r="H107" s="50">
        <f t="shared" si="44"/>
        <v>0</v>
      </c>
      <c r="I107" s="50" t="s">
        <v>58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9">IF(J107="","",IF(J107&gt;($D107+$E107),(J107-$D107-$E107),IF(J107&lt;($D107+$F107),(J107-$D107-$F107),"√")))</f>
        <v/>
      </c>
      <c r="AA107" s="52" t="str">
        <f t="shared" si="49"/>
        <v/>
      </c>
      <c r="AB107" s="52" t="str">
        <f t="shared" si="49"/>
        <v/>
      </c>
      <c r="AC107" s="52" t="str">
        <f t="shared" si="49"/>
        <v/>
      </c>
      <c r="AD107" s="52" t="str">
        <f t="shared" si="49"/>
        <v/>
      </c>
      <c r="AE107" s="52" t="str">
        <f t="shared" si="49"/>
        <v/>
      </c>
      <c r="AF107" s="52" t="str">
        <f t="shared" si="49"/>
        <v/>
      </c>
      <c r="AG107" s="52" t="str">
        <f t="shared" si="49"/>
        <v/>
      </c>
      <c r="AH107" s="52" t="str">
        <f t="shared" si="49"/>
        <v/>
      </c>
      <c r="AI107" s="52" t="str">
        <f t="shared" si="49"/>
        <v/>
      </c>
      <c r="AJ107" s="52" t="str">
        <f t="shared" si="49"/>
        <v/>
      </c>
      <c r="AK107" s="52" t="str">
        <f t="shared" si="49"/>
        <v/>
      </c>
      <c r="AL107" s="52" t="str">
        <f t="shared" si="49"/>
        <v/>
      </c>
      <c r="AM107" s="52" t="str">
        <f t="shared" si="49"/>
        <v/>
      </c>
      <c r="AN107" s="52" t="str">
        <f t="shared" si="49"/>
        <v/>
      </c>
      <c r="AO107" s="52" t="str">
        <f t="shared" si="49"/>
        <v/>
      </c>
    </row>
    <row r="108" ht="15" customHeight="1" spans="1:41">
      <c r="A108" s="53"/>
      <c r="B108" s="54">
        <v>1</v>
      </c>
      <c r="C108" s="55"/>
      <c r="D108" s="50"/>
      <c r="E108" s="50"/>
      <c r="F108" s="50"/>
      <c r="G108" s="50">
        <f t="shared" si="43"/>
        <v>0</v>
      </c>
      <c r="H108" s="50">
        <f t="shared" si="44"/>
        <v>0</v>
      </c>
      <c r="I108" s="50" t="s">
        <v>58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" customHeight="1" spans="1:41">
      <c r="A109" s="53"/>
      <c r="B109" s="54">
        <v>2</v>
      </c>
      <c r="C109" s="55"/>
      <c r="D109" s="50"/>
      <c r="E109" s="50"/>
      <c r="F109" s="50"/>
      <c r="G109" s="50">
        <f t="shared" si="43"/>
        <v>0</v>
      </c>
      <c r="H109" s="50">
        <f t="shared" si="44"/>
        <v>0</v>
      </c>
      <c r="I109" s="50" t="s">
        <v>58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" customHeight="1" spans="1:41">
      <c r="A110" s="53"/>
      <c r="B110" s="54">
        <v>3</v>
      </c>
      <c r="C110" s="55"/>
      <c r="D110" s="50"/>
      <c r="E110" s="50"/>
      <c r="F110" s="50"/>
      <c r="G110" s="50">
        <f t="shared" si="43"/>
        <v>0</v>
      </c>
      <c r="H110" s="50">
        <f t="shared" si="44"/>
        <v>0</v>
      </c>
      <c r="I110" s="50" t="s">
        <v>58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" customHeight="1" spans="1:41">
      <c r="A111" s="53"/>
      <c r="B111" s="54">
        <v>4</v>
      </c>
      <c r="C111" s="55"/>
      <c r="D111" s="50"/>
      <c r="E111" s="50"/>
      <c r="F111" s="50"/>
      <c r="G111" s="50">
        <f t="shared" si="43"/>
        <v>0</v>
      </c>
      <c r="H111" s="50">
        <f t="shared" si="44"/>
        <v>0</v>
      </c>
      <c r="I111" s="50" t="s">
        <v>58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" customHeight="1" spans="1:41">
      <c r="A112" s="53"/>
      <c r="B112" s="54">
        <v>5</v>
      </c>
      <c r="C112" s="55"/>
      <c r="D112" s="50"/>
      <c r="E112" s="50"/>
      <c r="F112" s="50"/>
      <c r="G112" s="50">
        <f t="shared" si="43"/>
        <v>0</v>
      </c>
      <c r="H112" s="50">
        <f t="shared" si="44"/>
        <v>0</v>
      </c>
      <c r="I112" s="50" t="s">
        <v>58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" customHeight="1" spans="1:41">
      <c r="A113" s="53"/>
      <c r="B113" s="54" t="s">
        <v>103</v>
      </c>
      <c r="C113" s="55" t="s">
        <v>104</v>
      </c>
      <c r="D113" s="50">
        <v>0.915</v>
      </c>
      <c r="E113" s="50">
        <v>0.015</v>
      </c>
      <c r="F113" s="50">
        <v>-0.01</v>
      </c>
      <c r="G113" s="50">
        <f t="shared" si="43"/>
        <v>0.93</v>
      </c>
      <c r="H113" s="50">
        <f t="shared" si="44"/>
        <v>0.905</v>
      </c>
      <c r="I113" s="50" t="s">
        <v>105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50">IF(J113="","",IF(J113&gt;($D113+$E113),(J113-$D113-$E113),IF(J113&lt;($D113+$F113),(J113-$D113-$F113),"√")))</f>
        <v/>
      </c>
      <c r="AA113" s="52" t="str">
        <f t="shared" si="50"/>
        <v/>
      </c>
      <c r="AB113" s="52" t="str">
        <f t="shared" si="50"/>
        <v/>
      </c>
      <c r="AC113" s="52" t="str">
        <f t="shared" si="50"/>
        <v/>
      </c>
      <c r="AD113" s="52" t="str">
        <f t="shared" si="50"/>
        <v/>
      </c>
      <c r="AE113" s="52" t="str">
        <f t="shared" si="50"/>
        <v/>
      </c>
      <c r="AF113" s="52" t="str">
        <f t="shared" si="50"/>
        <v/>
      </c>
      <c r="AG113" s="52" t="str">
        <f t="shared" si="50"/>
        <v/>
      </c>
      <c r="AH113" s="52" t="str">
        <f t="shared" si="50"/>
        <v/>
      </c>
      <c r="AI113" s="52" t="str">
        <f t="shared" si="50"/>
        <v/>
      </c>
      <c r="AJ113" s="52" t="str">
        <f t="shared" si="50"/>
        <v/>
      </c>
      <c r="AK113" s="52" t="str">
        <f t="shared" si="50"/>
        <v/>
      </c>
      <c r="AL113" s="52" t="str">
        <f t="shared" si="50"/>
        <v/>
      </c>
      <c r="AM113" s="52" t="str">
        <f t="shared" si="50"/>
        <v/>
      </c>
      <c r="AN113" s="52" t="str">
        <f t="shared" si="50"/>
        <v/>
      </c>
      <c r="AO113" s="52" t="str">
        <f t="shared" si="50"/>
        <v/>
      </c>
    </row>
    <row r="114" ht="15" customHeight="1" spans="1:41">
      <c r="A114" s="53"/>
      <c r="B114" s="54" t="s">
        <v>106</v>
      </c>
      <c r="C114" s="55"/>
      <c r="D114" s="50">
        <v>0.65</v>
      </c>
      <c r="E114" s="50">
        <v>0.03</v>
      </c>
      <c r="F114" s="50">
        <v>-0.03</v>
      </c>
      <c r="G114" s="50">
        <f t="shared" si="43"/>
        <v>0.68</v>
      </c>
      <c r="H114" s="50">
        <f t="shared" si="44"/>
        <v>0.62</v>
      </c>
      <c r="I114" s="50" t="s">
        <v>107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51">IF(J114="","",IF(J114&gt;($D114+$E114),(J114-$D114-$E114),IF(J114&lt;($D114+$F114),(J114-$D114-$F114),"√")))</f>
        <v/>
      </c>
      <c r="AA114" s="52" t="str">
        <f t="shared" si="51"/>
        <v/>
      </c>
      <c r="AB114" s="52" t="str">
        <f t="shared" si="51"/>
        <v/>
      </c>
      <c r="AC114" s="52" t="str">
        <f t="shared" si="51"/>
        <v/>
      </c>
      <c r="AD114" s="52" t="str">
        <f t="shared" si="51"/>
        <v/>
      </c>
      <c r="AE114" s="52" t="str">
        <f t="shared" si="51"/>
        <v/>
      </c>
      <c r="AF114" s="52" t="str">
        <f t="shared" si="51"/>
        <v/>
      </c>
      <c r="AG114" s="52" t="str">
        <f t="shared" si="51"/>
        <v/>
      </c>
      <c r="AH114" s="52" t="str">
        <f t="shared" si="51"/>
        <v/>
      </c>
      <c r="AI114" s="52" t="str">
        <f t="shared" si="51"/>
        <v/>
      </c>
      <c r="AJ114" s="52" t="str">
        <f t="shared" si="51"/>
        <v/>
      </c>
      <c r="AK114" s="52" t="str">
        <f t="shared" si="51"/>
        <v/>
      </c>
      <c r="AL114" s="52" t="str">
        <f t="shared" si="51"/>
        <v/>
      </c>
      <c r="AM114" s="52" t="str">
        <f t="shared" si="51"/>
        <v/>
      </c>
      <c r="AN114" s="52" t="str">
        <f t="shared" si="51"/>
        <v/>
      </c>
      <c r="AO114" s="52" t="str">
        <f t="shared" si="51"/>
        <v/>
      </c>
    </row>
    <row r="115" ht="15" customHeight="1" spans="1:41">
      <c r="A115" s="53"/>
      <c r="B115" s="54" t="s">
        <v>108</v>
      </c>
      <c r="C115" s="55"/>
      <c r="D115" s="50">
        <v>0.65</v>
      </c>
      <c r="E115" s="50">
        <v>0.05</v>
      </c>
      <c r="F115" s="50">
        <v>-0.05</v>
      </c>
      <c r="G115" s="50">
        <f t="shared" si="43"/>
        <v>0.7</v>
      </c>
      <c r="H115" s="50">
        <f t="shared" si="44"/>
        <v>0.6</v>
      </c>
      <c r="I115" s="50" t="s">
        <v>107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2">IF(J115="","",IF(J115&gt;($D115+$E115),(J115-$D115-$E115),IF(J115&lt;($D115+$F115),(J115-$D115-$F115),"√")))</f>
        <v/>
      </c>
      <c r="AA115" s="52" t="str">
        <f t="shared" si="52"/>
        <v/>
      </c>
      <c r="AB115" s="52" t="str">
        <f t="shared" si="52"/>
        <v/>
      </c>
      <c r="AC115" s="52" t="str">
        <f t="shared" si="52"/>
        <v/>
      </c>
      <c r="AD115" s="52" t="str">
        <f t="shared" si="52"/>
        <v/>
      </c>
      <c r="AE115" s="52" t="str">
        <f t="shared" si="52"/>
        <v/>
      </c>
      <c r="AF115" s="52" t="str">
        <f t="shared" si="52"/>
        <v/>
      </c>
      <c r="AG115" s="52" t="str">
        <f t="shared" si="52"/>
        <v/>
      </c>
      <c r="AH115" s="52" t="str">
        <f t="shared" si="52"/>
        <v/>
      </c>
      <c r="AI115" s="52" t="str">
        <f t="shared" si="52"/>
        <v/>
      </c>
      <c r="AJ115" s="52" t="str">
        <f t="shared" si="52"/>
        <v/>
      </c>
      <c r="AK115" s="52" t="str">
        <f t="shared" si="52"/>
        <v/>
      </c>
      <c r="AL115" s="52" t="str">
        <f t="shared" si="52"/>
        <v/>
      </c>
      <c r="AM115" s="52" t="str">
        <f t="shared" si="52"/>
        <v/>
      </c>
      <c r="AN115" s="52" t="str">
        <f t="shared" si="52"/>
        <v/>
      </c>
      <c r="AO115" s="52" t="str">
        <f t="shared" si="52"/>
        <v/>
      </c>
    </row>
    <row r="116" ht="15" customHeight="1" spans="1:41">
      <c r="A116" s="53"/>
      <c r="B116" s="54" t="s">
        <v>109</v>
      </c>
      <c r="C116" s="55"/>
      <c r="D116" s="50">
        <v>0.65</v>
      </c>
      <c r="E116" s="50">
        <v>0.05</v>
      </c>
      <c r="F116" s="50">
        <v>-0.05</v>
      </c>
      <c r="G116" s="50">
        <f t="shared" si="43"/>
        <v>0.7</v>
      </c>
      <c r="H116" s="50">
        <f t="shared" si="44"/>
        <v>0.6</v>
      </c>
      <c r="I116" s="50" t="s">
        <v>107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3">IF(J116="","",IF(J116&gt;($D116+$E116),(J116-$D116-$E116),IF(J116&lt;($D116+$F116),(J116-$D116-$F116),"√")))</f>
        <v/>
      </c>
      <c r="AA116" s="52" t="str">
        <f t="shared" si="53"/>
        <v/>
      </c>
      <c r="AB116" s="52" t="str">
        <f t="shared" si="53"/>
        <v/>
      </c>
      <c r="AC116" s="52" t="str">
        <f t="shared" si="53"/>
        <v/>
      </c>
      <c r="AD116" s="52" t="str">
        <f t="shared" si="53"/>
        <v/>
      </c>
      <c r="AE116" s="52" t="str">
        <f t="shared" si="53"/>
        <v/>
      </c>
      <c r="AF116" s="52" t="str">
        <f t="shared" si="53"/>
        <v/>
      </c>
      <c r="AG116" s="52" t="str">
        <f t="shared" si="53"/>
        <v/>
      </c>
      <c r="AH116" s="52" t="str">
        <f t="shared" si="53"/>
        <v/>
      </c>
      <c r="AI116" s="52" t="str">
        <f t="shared" si="53"/>
        <v/>
      </c>
      <c r="AJ116" s="52" t="str">
        <f t="shared" si="53"/>
        <v/>
      </c>
      <c r="AK116" s="52" t="str">
        <f t="shared" si="53"/>
        <v/>
      </c>
      <c r="AL116" s="52" t="str">
        <f t="shared" si="53"/>
        <v/>
      </c>
      <c r="AM116" s="52" t="str">
        <f t="shared" si="53"/>
        <v/>
      </c>
      <c r="AN116" s="52" t="str">
        <f t="shared" si="53"/>
        <v/>
      </c>
      <c r="AO116" s="52" t="str">
        <f t="shared" si="53"/>
        <v/>
      </c>
    </row>
    <row r="117" ht="15" customHeight="1" spans="1:41">
      <c r="A117" s="53"/>
      <c r="B117" s="54" t="s">
        <v>110</v>
      </c>
      <c r="C117" s="55" t="s">
        <v>111</v>
      </c>
      <c r="D117" s="50">
        <v>0.4</v>
      </c>
      <c r="E117" s="50">
        <v>0.03</v>
      </c>
      <c r="F117" s="50">
        <v>-0.03</v>
      </c>
      <c r="G117" s="50">
        <f t="shared" si="43"/>
        <v>0.43</v>
      </c>
      <c r="H117" s="50">
        <f t="shared" si="44"/>
        <v>0.37</v>
      </c>
      <c r="I117" s="50" t="s">
        <v>107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4">IF(J117="","",IF(J117&gt;($D117+$E117),(J117-$D117-$E117),IF(J117&lt;($D117+$F117),(J117-$D117-$F117),"√")))</f>
        <v/>
      </c>
      <c r="AA117" s="52" t="str">
        <f t="shared" si="54"/>
        <v/>
      </c>
      <c r="AB117" s="52" t="str">
        <f t="shared" si="54"/>
        <v/>
      </c>
      <c r="AC117" s="52" t="str">
        <f t="shared" si="54"/>
        <v/>
      </c>
      <c r="AD117" s="52" t="str">
        <f t="shared" si="54"/>
        <v/>
      </c>
      <c r="AE117" s="52" t="str">
        <f t="shared" si="54"/>
        <v/>
      </c>
      <c r="AF117" s="52" t="str">
        <f t="shared" si="54"/>
        <v/>
      </c>
      <c r="AG117" s="52" t="str">
        <f t="shared" si="54"/>
        <v/>
      </c>
      <c r="AH117" s="52" t="str">
        <f t="shared" si="54"/>
        <v/>
      </c>
      <c r="AI117" s="52" t="str">
        <f t="shared" si="54"/>
        <v/>
      </c>
      <c r="AJ117" s="52" t="str">
        <f t="shared" si="54"/>
        <v/>
      </c>
      <c r="AK117" s="52" t="str">
        <f t="shared" si="54"/>
        <v/>
      </c>
      <c r="AL117" s="52" t="str">
        <f t="shared" si="54"/>
        <v/>
      </c>
      <c r="AM117" s="52" t="str">
        <f t="shared" si="54"/>
        <v/>
      </c>
      <c r="AN117" s="52" t="str">
        <f t="shared" si="54"/>
        <v/>
      </c>
      <c r="AO117" s="52" t="str">
        <f t="shared" si="54"/>
        <v/>
      </c>
    </row>
    <row r="118" ht="15" customHeight="1" spans="1:41">
      <c r="A118" s="53"/>
      <c r="B118" s="54" t="s">
        <v>112</v>
      </c>
      <c r="C118" s="55" t="s">
        <v>111</v>
      </c>
      <c r="D118" s="50">
        <v>0.4</v>
      </c>
      <c r="E118" s="50">
        <v>0.03</v>
      </c>
      <c r="F118" s="50">
        <v>-0.03</v>
      </c>
      <c r="G118" s="50">
        <f t="shared" si="43"/>
        <v>0.43</v>
      </c>
      <c r="H118" s="50">
        <f t="shared" si="44"/>
        <v>0.37</v>
      </c>
      <c r="I118" s="50" t="s">
        <v>107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5">IF(J118="","",IF(J118&gt;($D118+$E118),(J118-$D118-$E118),IF(J118&lt;($D118+$F118),(J118-$D118-$F118),"√")))</f>
        <v/>
      </c>
      <c r="AA118" s="52" t="str">
        <f t="shared" si="55"/>
        <v/>
      </c>
      <c r="AB118" s="52" t="str">
        <f t="shared" si="55"/>
        <v/>
      </c>
      <c r="AC118" s="52" t="str">
        <f t="shared" si="55"/>
        <v/>
      </c>
      <c r="AD118" s="52" t="str">
        <f t="shared" si="55"/>
        <v/>
      </c>
      <c r="AE118" s="52" t="str">
        <f t="shared" si="55"/>
        <v/>
      </c>
      <c r="AF118" s="52" t="str">
        <f t="shared" si="55"/>
        <v/>
      </c>
      <c r="AG118" s="52" t="str">
        <f t="shared" si="55"/>
        <v/>
      </c>
      <c r="AH118" s="52" t="str">
        <f t="shared" si="55"/>
        <v/>
      </c>
      <c r="AI118" s="52" t="str">
        <f t="shared" si="55"/>
        <v/>
      </c>
      <c r="AJ118" s="52" t="str">
        <f t="shared" si="55"/>
        <v/>
      </c>
      <c r="AK118" s="52" t="str">
        <f t="shared" si="55"/>
        <v/>
      </c>
      <c r="AL118" s="52" t="str">
        <f t="shared" si="55"/>
        <v/>
      </c>
      <c r="AM118" s="52" t="str">
        <f t="shared" si="55"/>
        <v/>
      </c>
      <c r="AN118" s="52" t="str">
        <f t="shared" si="55"/>
        <v/>
      </c>
      <c r="AO118" s="52" t="str">
        <f t="shared" si="55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Y10">
    <cfRule type="cellIs" dxfId="0" priority="80" operator="notBetween">
      <formula>$G10</formula>
      <formula>$H10</formula>
    </cfRule>
  </conditionalFormatting>
  <conditionalFormatting sqref="Y11">
    <cfRule type="cellIs" dxfId="0" priority="2" operator="notBetween">
      <formula>$G11</formula>
      <formula>$H11</formula>
    </cfRule>
  </conditionalFormatting>
  <conditionalFormatting sqref="Y12">
    <cfRule type="cellIs" dxfId="0" priority="1" operator="notBetween">
      <formula>$G12</formula>
      <formula>$H12</formula>
    </cfRule>
  </conditionalFormatting>
  <conditionalFormatting sqref="Y13">
    <cfRule type="cellIs" dxfId="0" priority="4" operator="notBetween">
      <formula>$G13</formula>
      <formula>$H13</formula>
    </cfRule>
  </conditionalFormatting>
  <conditionalFormatting sqref="Y14">
    <cfRule type="cellIs" dxfId="0" priority="3" operator="notBetween">
      <formula>$G14</formula>
      <formula>$H14</formula>
    </cfRule>
  </conditionalFormatting>
  <conditionalFormatting sqref="Y15">
    <cfRule type="cellIs" dxfId="0" priority="50" operator="notBetween">
      <formula>$G15</formula>
      <formula>$H15</formula>
    </cfRule>
  </conditionalFormatting>
  <conditionalFormatting sqref="J19">
    <cfRule type="cellIs" dxfId="0" priority="186" operator="notBetween">
      <formula>$G19</formula>
      <formula>$H19</formula>
    </cfRule>
  </conditionalFormatting>
  <conditionalFormatting sqref="J82">
    <cfRule type="cellIs" dxfId="0" priority="190" operator="notBetween">
      <formula>$G82</formula>
      <formula>$H82</formula>
    </cfRule>
  </conditionalFormatting>
  <conditionalFormatting sqref="K82">
    <cfRule type="cellIs" dxfId="0" priority="154" operator="notBetween">
      <formula>$G82</formula>
      <formula>$H82</formula>
    </cfRule>
  </conditionalFormatting>
  <conditionalFormatting sqref="L82">
    <cfRule type="cellIs" dxfId="0" priority="153" operator="notBetween">
      <formula>$G82</formula>
      <formula>$H82</formula>
    </cfRule>
  </conditionalFormatting>
  <conditionalFormatting sqref="M82">
    <cfRule type="cellIs" dxfId="0" priority="152" operator="notBetween">
      <formula>$G82</formula>
      <formula>$H82</formula>
    </cfRule>
  </conditionalFormatting>
  <conditionalFormatting sqref="N82">
    <cfRule type="cellIs" dxfId="0" priority="151" operator="notBetween">
      <formula>$G82</formula>
      <formula>$H82</formula>
    </cfRule>
  </conditionalFormatting>
  <conditionalFormatting sqref="O82">
    <cfRule type="cellIs" dxfId="0" priority="150" operator="notBetween">
      <formula>$G82</formula>
      <formula>$H82</formula>
    </cfRule>
  </conditionalFormatting>
  <conditionalFormatting sqref="P82">
    <cfRule type="cellIs" dxfId="0" priority="149" operator="notBetween">
      <formula>$G82</formula>
      <formula>$H82</formula>
    </cfRule>
  </conditionalFormatting>
  <conditionalFormatting sqref="Q82">
    <cfRule type="cellIs" dxfId="0" priority="148" operator="notBetween">
      <formula>$G82</formula>
      <formula>$H82</formula>
    </cfRule>
  </conditionalFormatting>
  <conditionalFormatting sqref="R82">
    <cfRule type="cellIs" dxfId="0" priority="147" operator="notBetween">
      <formula>$G82</formula>
      <formula>$H82</formula>
    </cfRule>
  </conditionalFormatting>
  <conditionalFormatting sqref="S82">
    <cfRule type="cellIs" dxfId="0" priority="146" operator="notBetween">
      <formula>$G82</formula>
      <formula>$H82</formula>
    </cfRule>
  </conditionalFormatting>
  <conditionalFormatting sqref="T82">
    <cfRule type="cellIs" dxfId="0" priority="145" operator="notBetween">
      <formula>$G82</formula>
      <formula>$H82</formula>
    </cfRule>
  </conditionalFormatting>
  <conditionalFormatting sqref="U82">
    <cfRule type="cellIs" dxfId="0" priority="144" operator="notBetween">
      <formula>$G82</formula>
      <formula>$H82</formula>
    </cfRule>
  </conditionalFormatting>
  <conditionalFormatting sqref="V82">
    <cfRule type="cellIs" dxfId="0" priority="143" operator="notBetween">
      <formula>$G82</formula>
      <formula>$H82</formula>
    </cfRule>
  </conditionalFormatting>
  <conditionalFormatting sqref="W82">
    <cfRule type="cellIs" dxfId="0" priority="142" operator="notBetween">
      <formula>$G82</formula>
      <formula>$H82</formula>
    </cfRule>
  </conditionalFormatting>
  <conditionalFormatting sqref="X82">
    <cfRule type="cellIs" dxfId="0" priority="141" operator="notBetween">
      <formula>$G82</formula>
      <formula>$H82</formula>
    </cfRule>
  </conditionalFormatting>
  <conditionalFormatting sqref="Y82">
    <cfRule type="cellIs" dxfId="0" priority="140" operator="notBetween">
      <formula>$G82</formula>
      <formula>$H82</formula>
    </cfRule>
  </conditionalFormatting>
  <conditionalFormatting sqref="J104">
    <cfRule type="cellIs" dxfId="0" priority="187" operator="notBetween">
      <formula>$G104</formula>
      <formula>$H104</formula>
    </cfRule>
  </conditionalFormatting>
  <conditionalFormatting sqref="K104">
    <cfRule type="cellIs" dxfId="0" priority="109" operator="notBetween">
      <formula>$G104</formula>
      <formula>$H104</formula>
    </cfRule>
  </conditionalFormatting>
  <conditionalFormatting sqref="L104">
    <cfRule type="cellIs" dxfId="0" priority="108" operator="notBetween">
      <formula>$G104</formula>
      <formula>$H104</formula>
    </cfRule>
  </conditionalFormatting>
  <conditionalFormatting sqref="M104">
    <cfRule type="cellIs" dxfId="0" priority="107" operator="notBetween">
      <formula>$G104</formula>
      <formula>$H104</formula>
    </cfRule>
  </conditionalFormatting>
  <conditionalFormatting sqref="N104">
    <cfRule type="cellIs" dxfId="0" priority="106" operator="notBetween">
      <formula>$G104</formula>
      <formula>$H104</formula>
    </cfRule>
  </conditionalFormatting>
  <conditionalFormatting sqref="O104">
    <cfRule type="cellIs" dxfId="0" priority="105" operator="notBetween">
      <formula>$G104</formula>
      <formula>$H104</formula>
    </cfRule>
  </conditionalFormatting>
  <conditionalFormatting sqref="P104">
    <cfRule type="cellIs" dxfId="0" priority="104" operator="notBetween">
      <formula>$G104</formula>
      <formula>$H104</formula>
    </cfRule>
  </conditionalFormatting>
  <conditionalFormatting sqref="Q104">
    <cfRule type="cellIs" dxfId="0" priority="103" operator="notBetween">
      <formula>$G104</formula>
      <formula>$H104</formula>
    </cfRule>
  </conditionalFormatting>
  <conditionalFormatting sqref="R104">
    <cfRule type="cellIs" dxfId="0" priority="102" operator="notBetween">
      <formula>$G104</formula>
      <formula>$H104</formula>
    </cfRule>
  </conditionalFormatting>
  <conditionalFormatting sqref="S104">
    <cfRule type="cellIs" dxfId="0" priority="101" operator="notBetween">
      <formula>$G104</formula>
      <formula>$H104</formula>
    </cfRule>
  </conditionalFormatting>
  <conditionalFormatting sqref="T104">
    <cfRule type="cellIs" dxfId="0" priority="100" operator="notBetween">
      <formula>$G104</formula>
      <formula>$H104</formula>
    </cfRule>
  </conditionalFormatting>
  <conditionalFormatting sqref="U104">
    <cfRule type="cellIs" dxfId="0" priority="99" operator="notBetween">
      <formula>$G104</formula>
      <formula>$H104</formula>
    </cfRule>
  </conditionalFormatting>
  <conditionalFormatting sqref="V104">
    <cfRule type="cellIs" dxfId="0" priority="98" operator="notBetween">
      <formula>$G104</formula>
      <formula>$H104</formula>
    </cfRule>
  </conditionalFormatting>
  <conditionalFormatting sqref="W104">
    <cfRule type="cellIs" dxfId="0" priority="97" operator="notBetween">
      <formula>$G104</formula>
      <formula>$H104</formula>
    </cfRule>
  </conditionalFormatting>
  <conditionalFormatting sqref="X104">
    <cfRule type="cellIs" dxfId="0" priority="96" operator="notBetween">
      <formula>$G104</formula>
      <formula>$H104</formula>
    </cfRule>
  </conditionalFormatting>
  <conditionalFormatting sqref="Y104">
    <cfRule type="cellIs" dxfId="0" priority="95" operator="notBetween">
      <formula>$G104</formula>
      <formula>$H104</formula>
    </cfRule>
  </conditionalFormatting>
  <conditionalFormatting sqref="J107">
    <cfRule type="cellIs" dxfId="0" priority="188" operator="notBetween">
      <formula>$G107</formula>
      <formula>$H107</formula>
    </cfRule>
  </conditionalFormatting>
  <conditionalFormatting sqref="K107">
    <cfRule type="cellIs" dxfId="0" priority="124" operator="notBetween">
      <formula>$G107</formula>
      <formula>$H107</formula>
    </cfRule>
  </conditionalFormatting>
  <conditionalFormatting sqref="L107">
    <cfRule type="cellIs" dxfId="0" priority="123" operator="notBetween">
      <formula>$G107</formula>
      <formula>$H107</formula>
    </cfRule>
  </conditionalFormatting>
  <conditionalFormatting sqref="M107">
    <cfRule type="cellIs" dxfId="0" priority="122" operator="notBetween">
      <formula>$G107</formula>
      <formula>$H107</formula>
    </cfRule>
  </conditionalFormatting>
  <conditionalFormatting sqref="N107">
    <cfRule type="cellIs" dxfId="0" priority="121" operator="notBetween">
      <formula>$G107</formula>
      <formula>$H107</formula>
    </cfRule>
  </conditionalFormatting>
  <conditionalFormatting sqref="O107">
    <cfRule type="cellIs" dxfId="0" priority="120" operator="notBetween">
      <formula>$G107</formula>
      <formula>$H107</formula>
    </cfRule>
  </conditionalFormatting>
  <conditionalFormatting sqref="P107">
    <cfRule type="cellIs" dxfId="0" priority="119" operator="notBetween">
      <formula>$G107</formula>
      <formula>$H107</formula>
    </cfRule>
  </conditionalFormatting>
  <conditionalFormatting sqref="Q107">
    <cfRule type="cellIs" dxfId="0" priority="118" operator="notBetween">
      <formula>$G107</formula>
      <formula>$H107</formula>
    </cfRule>
  </conditionalFormatting>
  <conditionalFormatting sqref="R107">
    <cfRule type="cellIs" dxfId="0" priority="117" operator="notBetween">
      <formula>$G107</formula>
      <formula>$H107</formula>
    </cfRule>
  </conditionalFormatting>
  <conditionalFormatting sqref="S107">
    <cfRule type="cellIs" dxfId="0" priority="116" operator="notBetween">
      <formula>$G107</formula>
      <formula>$H107</formula>
    </cfRule>
  </conditionalFormatting>
  <conditionalFormatting sqref="T107">
    <cfRule type="cellIs" dxfId="0" priority="115" operator="notBetween">
      <formula>$G107</formula>
      <formula>$H107</formula>
    </cfRule>
  </conditionalFormatting>
  <conditionalFormatting sqref="U107">
    <cfRule type="cellIs" dxfId="0" priority="114" operator="notBetween">
      <formula>$G107</formula>
      <formula>$H107</formula>
    </cfRule>
  </conditionalFormatting>
  <conditionalFormatting sqref="V107">
    <cfRule type="cellIs" dxfId="0" priority="113" operator="notBetween">
      <formula>$G107</formula>
      <formula>$H107</formula>
    </cfRule>
  </conditionalFormatting>
  <conditionalFormatting sqref="W107">
    <cfRule type="cellIs" dxfId="0" priority="112" operator="notBetween">
      <formula>$G107</formula>
      <formula>$H107</formula>
    </cfRule>
  </conditionalFormatting>
  <conditionalFormatting sqref="X107">
    <cfRule type="cellIs" dxfId="0" priority="111" operator="notBetween">
      <formula>$G107</formula>
      <formula>$H107</formula>
    </cfRule>
  </conditionalFormatting>
  <conditionalFormatting sqref="Y107">
    <cfRule type="cellIs" dxfId="0" priority="110" operator="notBetween">
      <formula>$G107</formula>
      <formula>$H107</formula>
    </cfRule>
  </conditionalFormatting>
  <conditionalFormatting sqref="J113:J118">
    <cfRule type="cellIs" dxfId="0" priority="185" operator="notBetween">
      <formula>$G113</formula>
      <formula>$H113</formula>
    </cfRule>
  </conditionalFormatting>
  <conditionalFormatting sqref="K113:K118">
    <cfRule type="cellIs" dxfId="0" priority="19" operator="notBetween">
      <formula>$G113</formula>
      <formula>$H113</formula>
    </cfRule>
  </conditionalFormatting>
  <conditionalFormatting sqref="L10:L11">
    <cfRule type="cellIs" dxfId="0" priority="93" operator="notBetween">
      <formula>$G10</formula>
      <formula>$H10</formula>
    </cfRule>
  </conditionalFormatting>
  <conditionalFormatting sqref="L12:L13">
    <cfRule type="cellIs" dxfId="0" priority="78" operator="notBetween">
      <formula>$G12</formula>
      <formula>$H12</formula>
    </cfRule>
  </conditionalFormatting>
  <conditionalFormatting sqref="L14:L15">
    <cfRule type="cellIs" dxfId="0" priority="63" operator="notBetween">
      <formula>$G14</formula>
      <formula>$H14</formula>
    </cfRule>
  </conditionalFormatting>
  <conditionalFormatting sqref="L16:L17">
    <cfRule type="cellIs" dxfId="0" priority="48" operator="notBetween">
      <formula>$G16</formula>
      <formula>$H16</formula>
    </cfRule>
  </conditionalFormatting>
  <conditionalFormatting sqref="L18:L19">
    <cfRule type="cellIs" dxfId="0" priority="33" operator="notBetween">
      <formula>$G18</formula>
      <formula>$H18</formula>
    </cfRule>
  </conditionalFormatting>
  <conditionalFormatting sqref="L113:L118">
    <cfRule type="cellIs" dxfId="0" priority="18" operator="notBetween">
      <formula>$G113</formula>
      <formula>$H113</formula>
    </cfRule>
  </conditionalFormatting>
  <conditionalFormatting sqref="M10:M11">
    <cfRule type="cellIs" dxfId="0" priority="92" operator="notBetween">
      <formula>$G10</formula>
      <formula>$H10</formula>
    </cfRule>
  </conditionalFormatting>
  <conditionalFormatting sqref="M12:M13">
    <cfRule type="cellIs" dxfId="0" priority="77" operator="notBetween">
      <formula>$G12</formula>
      <formula>$H12</formula>
    </cfRule>
  </conditionalFormatting>
  <conditionalFormatting sqref="M14:M15">
    <cfRule type="cellIs" dxfId="0" priority="62" operator="notBetween">
      <formula>$G14</formula>
      <formula>$H14</formula>
    </cfRule>
  </conditionalFormatting>
  <conditionalFormatting sqref="M16:M17">
    <cfRule type="cellIs" dxfId="0" priority="47" operator="notBetween">
      <formula>$G16</formula>
      <formula>$H16</formula>
    </cfRule>
  </conditionalFormatting>
  <conditionalFormatting sqref="M18:M19">
    <cfRule type="cellIs" dxfId="0" priority="32" operator="notBetween">
      <formula>$G18</formula>
      <formula>$H18</formula>
    </cfRule>
  </conditionalFormatting>
  <conditionalFormatting sqref="M113:M118">
    <cfRule type="cellIs" dxfId="0" priority="17" operator="notBetween">
      <formula>$G113</formula>
      <formula>$H113</formula>
    </cfRule>
  </conditionalFormatting>
  <conditionalFormatting sqref="N10:N11">
    <cfRule type="cellIs" dxfId="0" priority="91" operator="notBetween">
      <formula>$G10</formula>
      <formula>$H10</formula>
    </cfRule>
  </conditionalFormatting>
  <conditionalFormatting sqref="N12:N13">
    <cfRule type="cellIs" dxfId="0" priority="76" operator="notBetween">
      <formula>$G12</formula>
      <formula>$H12</formula>
    </cfRule>
  </conditionalFormatting>
  <conditionalFormatting sqref="N14:N15">
    <cfRule type="cellIs" dxfId="0" priority="61" operator="notBetween">
      <formula>$G14</formula>
      <formula>$H14</formula>
    </cfRule>
  </conditionalFormatting>
  <conditionalFormatting sqref="N16:N17">
    <cfRule type="cellIs" dxfId="0" priority="46" operator="notBetween">
      <formula>$G16</formula>
      <formula>$H16</formula>
    </cfRule>
  </conditionalFormatting>
  <conditionalFormatting sqref="N18:N19">
    <cfRule type="cellIs" dxfId="0" priority="31" operator="notBetween">
      <formula>$G18</formula>
      <formula>$H18</formula>
    </cfRule>
  </conditionalFormatting>
  <conditionalFormatting sqref="N113:N118">
    <cfRule type="cellIs" dxfId="0" priority="16" operator="notBetween">
      <formula>$G113</formula>
      <formula>$H113</formula>
    </cfRule>
  </conditionalFormatting>
  <conditionalFormatting sqref="O10:O11">
    <cfRule type="cellIs" dxfId="0" priority="90" operator="notBetween">
      <formula>$G10</formula>
      <formula>$H10</formula>
    </cfRule>
  </conditionalFormatting>
  <conditionalFormatting sqref="O12:O13">
    <cfRule type="cellIs" dxfId="0" priority="75" operator="notBetween">
      <formula>$G12</formula>
      <formula>$H12</formula>
    </cfRule>
  </conditionalFormatting>
  <conditionalFormatting sqref="O14:O15">
    <cfRule type="cellIs" dxfId="0" priority="60" operator="notBetween">
      <formula>$G14</formula>
      <formula>$H14</formula>
    </cfRule>
  </conditionalFormatting>
  <conditionalFormatting sqref="O16:O17">
    <cfRule type="cellIs" dxfId="0" priority="45" operator="notBetween">
      <formula>$G16</formula>
      <formula>$H16</formula>
    </cfRule>
  </conditionalFormatting>
  <conditionalFormatting sqref="O18:O19">
    <cfRule type="cellIs" dxfId="0" priority="30" operator="notBetween">
      <formula>$G18</formula>
      <formula>$H18</formula>
    </cfRule>
  </conditionalFormatting>
  <conditionalFormatting sqref="O113:O118">
    <cfRule type="cellIs" dxfId="0" priority="15" operator="notBetween">
      <formula>$G113</formula>
      <formula>$H113</formula>
    </cfRule>
  </conditionalFormatting>
  <conditionalFormatting sqref="P10:P11">
    <cfRule type="cellIs" dxfId="0" priority="89" operator="notBetween">
      <formula>$G10</formula>
      <formula>$H10</formula>
    </cfRule>
  </conditionalFormatting>
  <conditionalFormatting sqref="P12:P13">
    <cfRule type="cellIs" dxfId="0" priority="74" operator="notBetween">
      <formula>$G12</formula>
      <formula>$H12</formula>
    </cfRule>
  </conditionalFormatting>
  <conditionalFormatting sqref="P14:P15">
    <cfRule type="cellIs" dxfId="0" priority="59" operator="notBetween">
      <formula>$G14</formula>
      <formula>$H14</formula>
    </cfRule>
  </conditionalFormatting>
  <conditionalFormatting sqref="P16:P17">
    <cfRule type="cellIs" dxfId="0" priority="44" operator="notBetween">
      <formula>$G16</formula>
      <formula>$H16</formula>
    </cfRule>
  </conditionalFormatting>
  <conditionalFormatting sqref="P18:P19">
    <cfRule type="cellIs" dxfId="0" priority="29" operator="notBetween">
      <formula>$G18</formula>
      <formula>$H18</formula>
    </cfRule>
  </conditionalFormatting>
  <conditionalFormatting sqref="P113:P118">
    <cfRule type="cellIs" dxfId="0" priority="14" operator="notBetween">
      <formula>$G113</formula>
      <formula>$H113</formula>
    </cfRule>
  </conditionalFormatting>
  <conditionalFormatting sqref="Q10:Q11">
    <cfRule type="cellIs" dxfId="0" priority="88" operator="notBetween">
      <formula>$G10</formula>
      <formula>$H10</formula>
    </cfRule>
  </conditionalFormatting>
  <conditionalFormatting sqref="Q12:Q13">
    <cfRule type="cellIs" dxfId="0" priority="73" operator="notBetween">
      <formula>$G12</formula>
      <formula>$H12</formula>
    </cfRule>
  </conditionalFormatting>
  <conditionalFormatting sqref="Q14:Q15">
    <cfRule type="cellIs" dxfId="0" priority="58" operator="notBetween">
      <formula>$G14</formula>
      <formula>$H14</formula>
    </cfRule>
  </conditionalFormatting>
  <conditionalFormatting sqref="Q16:Q17">
    <cfRule type="cellIs" dxfId="0" priority="43" operator="notBetween">
      <formula>$G16</formula>
      <formula>$H16</formula>
    </cfRule>
  </conditionalFormatting>
  <conditionalFormatting sqref="Q18:Q19">
    <cfRule type="cellIs" dxfId="0" priority="28" operator="notBetween">
      <formula>$G18</formula>
      <formula>$H18</formula>
    </cfRule>
  </conditionalFormatting>
  <conditionalFormatting sqref="Q113:Q118">
    <cfRule type="cellIs" dxfId="0" priority="13" operator="notBetween">
      <formula>$G113</formula>
      <formula>$H113</formula>
    </cfRule>
  </conditionalFormatting>
  <conditionalFormatting sqref="R10:R11">
    <cfRule type="cellIs" dxfId="0" priority="87" operator="notBetween">
      <formula>$G10</formula>
      <formula>$H10</formula>
    </cfRule>
  </conditionalFormatting>
  <conditionalFormatting sqref="R12:R13">
    <cfRule type="cellIs" dxfId="0" priority="72" operator="notBetween">
      <formula>$G12</formula>
      <formula>$H12</formula>
    </cfRule>
  </conditionalFormatting>
  <conditionalFormatting sqref="R14:R15">
    <cfRule type="cellIs" dxfId="0" priority="57" operator="notBetween">
      <formula>$G14</formula>
      <formula>$H14</formula>
    </cfRule>
  </conditionalFormatting>
  <conditionalFormatting sqref="R16:R17">
    <cfRule type="cellIs" dxfId="0" priority="42" operator="notBetween">
      <formula>$G16</formula>
      <formula>$H16</formula>
    </cfRule>
  </conditionalFormatting>
  <conditionalFormatting sqref="R18:R19">
    <cfRule type="cellIs" dxfId="0" priority="27" operator="notBetween">
      <formula>$G18</formula>
      <formula>$H18</formula>
    </cfRule>
  </conditionalFormatting>
  <conditionalFormatting sqref="R113:R118">
    <cfRule type="cellIs" dxfId="0" priority="12" operator="notBetween">
      <formula>$G113</formula>
      <formula>$H113</formula>
    </cfRule>
  </conditionalFormatting>
  <conditionalFormatting sqref="S10:S11">
    <cfRule type="cellIs" dxfId="0" priority="86" operator="notBetween">
      <formula>$G10</formula>
      <formula>$H10</formula>
    </cfRule>
  </conditionalFormatting>
  <conditionalFormatting sqref="S12:S13">
    <cfRule type="cellIs" dxfId="0" priority="71" operator="notBetween">
      <formula>$G12</formula>
      <formula>$H12</formula>
    </cfRule>
  </conditionalFormatting>
  <conditionalFormatting sqref="S14:S15">
    <cfRule type="cellIs" dxfId="0" priority="56" operator="notBetween">
      <formula>$G14</formula>
      <formula>$H14</formula>
    </cfRule>
  </conditionalFormatting>
  <conditionalFormatting sqref="S16:S17">
    <cfRule type="cellIs" dxfId="0" priority="41" operator="notBetween">
      <formula>$G16</formula>
      <formula>$H16</formula>
    </cfRule>
  </conditionalFormatting>
  <conditionalFormatting sqref="S18:S19">
    <cfRule type="cellIs" dxfId="0" priority="26" operator="notBetween">
      <formula>$G18</formula>
      <formula>$H18</formula>
    </cfRule>
  </conditionalFormatting>
  <conditionalFormatting sqref="S113:S118">
    <cfRule type="cellIs" dxfId="0" priority="11" operator="notBetween">
      <formula>$G113</formula>
      <formula>$H113</formula>
    </cfRule>
  </conditionalFormatting>
  <conditionalFormatting sqref="T10:T11">
    <cfRule type="cellIs" dxfId="0" priority="85" operator="notBetween">
      <formula>$G10</formula>
      <formula>$H10</formula>
    </cfRule>
  </conditionalFormatting>
  <conditionalFormatting sqref="T12:T13">
    <cfRule type="cellIs" dxfId="0" priority="70" operator="notBetween">
      <formula>$G12</formula>
      <formula>$H12</formula>
    </cfRule>
  </conditionalFormatting>
  <conditionalFormatting sqref="T14:T15">
    <cfRule type="cellIs" dxfId="0" priority="55" operator="notBetween">
      <formula>$G14</formula>
      <formula>$H14</formula>
    </cfRule>
  </conditionalFormatting>
  <conditionalFormatting sqref="T16:T17">
    <cfRule type="cellIs" dxfId="0" priority="40" operator="notBetween">
      <formula>$G16</formula>
      <formula>$H16</formula>
    </cfRule>
  </conditionalFormatting>
  <conditionalFormatting sqref="T18:T19">
    <cfRule type="cellIs" dxfId="0" priority="25" operator="notBetween">
      <formula>$G18</formula>
      <formula>$H18</formula>
    </cfRule>
  </conditionalFormatting>
  <conditionalFormatting sqref="T113:T118">
    <cfRule type="cellIs" dxfId="0" priority="10" operator="notBetween">
      <formula>$G113</formula>
      <formula>$H113</formula>
    </cfRule>
  </conditionalFormatting>
  <conditionalFormatting sqref="U10:U11">
    <cfRule type="cellIs" dxfId="0" priority="84" operator="notBetween">
      <formula>$G10</formula>
      <formula>$H10</formula>
    </cfRule>
  </conditionalFormatting>
  <conditionalFormatting sqref="U12:U13">
    <cfRule type="cellIs" dxfId="0" priority="69" operator="notBetween">
      <formula>$G12</formula>
      <formula>$H12</formula>
    </cfRule>
  </conditionalFormatting>
  <conditionalFormatting sqref="U14:U15">
    <cfRule type="cellIs" dxfId="0" priority="54" operator="notBetween">
      <formula>$G14</formula>
      <formula>$H14</formula>
    </cfRule>
  </conditionalFormatting>
  <conditionalFormatting sqref="U16:U17">
    <cfRule type="cellIs" dxfId="0" priority="39" operator="notBetween">
      <formula>$G16</formula>
      <formula>$H16</formula>
    </cfRule>
  </conditionalFormatting>
  <conditionalFormatting sqref="U18:U19">
    <cfRule type="cellIs" dxfId="0" priority="24" operator="notBetween">
      <formula>$G18</formula>
      <formula>$H18</formula>
    </cfRule>
  </conditionalFormatting>
  <conditionalFormatting sqref="U113:U118">
    <cfRule type="cellIs" dxfId="0" priority="9" operator="notBetween">
      <formula>$G113</formula>
      <formula>$H113</formula>
    </cfRule>
  </conditionalFormatting>
  <conditionalFormatting sqref="V10:V11">
    <cfRule type="cellIs" dxfId="0" priority="83" operator="notBetween">
      <formula>$G10</formula>
      <formula>$H10</formula>
    </cfRule>
  </conditionalFormatting>
  <conditionalFormatting sqref="V12:V13">
    <cfRule type="cellIs" dxfId="0" priority="68" operator="notBetween">
      <formula>$G12</formula>
      <formula>$H12</formula>
    </cfRule>
  </conditionalFormatting>
  <conditionalFormatting sqref="V14:V15">
    <cfRule type="cellIs" dxfId="0" priority="53" operator="notBetween">
      <formula>$G14</formula>
      <formula>$H14</formula>
    </cfRule>
  </conditionalFormatting>
  <conditionalFormatting sqref="V16:V17">
    <cfRule type="cellIs" dxfId="0" priority="38" operator="notBetween">
      <formula>$G16</formula>
      <formula>$H16</formula>
    </cfRule>
  </conditionalFormatting>
  <conditionalFormatting sqref="V18:V19">
    <cfRule type="cellIs" dxfId="0" priority="23" operator="notBetween">
      <formula>$G18</formula>
      <formula>$H18</formula>
    </cfRule>
  </conditionalFormatting>
  <conditionalFormatting sqref="V113:V118">
    <cfRule type="cellIs" dxfId="0" priority="8" operator="notBetween">
      <formula>$G113</formula>
      <formula>$H113</formula>
    </cfRule>
  </conditionalFormatting>
  <conditionalFormatting sqref="W10:W11">
    <cfRule type="cellIs" dxfId="0" priority="82" operator="notBetween">
      <formula>$G10</formula>
      <formula>$H10</formula>
    </cfRule>
  </conditionalFormatting>
  <conditionalFormatting sqref="W12:W13">
    <cfRule type="cellIs" dxfId="0" priority="67" operator="notBetween">
      <formula>$G12</formula>
      <formula>$H12</formula>
    </cfRule>
  </conditionalFormatting>
  <conditionalFormatting sqref="W14:W15">
    <cfRule type="cellIs" dxfId="0" priority="52" operator="notBetween">
      <formula>$G14</formula>
      <formula>$H14</formula>
    </cfRule>
  </conditionalFormatting>
  <conditionalFormatting sqref="W16:W17">
    <cfRule type="cellIs" dxfId="0" priority="37" operator="notBetween">
      <formula>$G16</formula>
      <formula>$H16</formula>
    </cfRule>
  </conditionalFormatting>
  <conditionalFormatting sqref="W18:W19">
    <cfRule type="cellIs" dxfId="0" priority="22" operator="notBetween">
      <formula>$G18</formula>
      <formula>$H18</formula>
    </cfRule>
  </conditionalFormatting>
  <conditionalFormatting sqref="W113:W118">
    <cfRule type="cellIs" dxfId="0" priority="7" operator="notBetween">
      <formula>$G113</formula>
      <formula>$H113</formula>
    </cfRule>
  </conditionalFormatting>
  <conditionalFormatting sqref="X10:X11">
    <cfRule type="cellIs" dxfId="0" priority="81" operator="notBetween">
      <formula>$G10</formula>
      <formula>$H10</formula>
    </cfRule>
  </conditionalFormatting>
  <conditionalFormatting sqref="X12:X13">
    <cfRule type="cellIs" dxfId="0" priority="66" operator="notBetween">
      <formula>$G12</formula>
      <formula>$H12</formula>
    </cfRule>
  </conditionalFormatting>
  <conditionalFormatting sqref="X14:X15">
    <cfRule type="cellIs" dxfId="0" priority="51" operator="notBetween">
      <formula>$G14</formula>
      <formula>$H14</formula>
    </cfRule>
  </conditionalFormatting>
  <conditionalFormatting sqref="X16:X17">
    <cfRule type="cellIs" dxfId="0" priority="36" operator="notBetween">
      <formula>$G16</formula>
      <formula>$H16</formula>
    </cfRule>
  </conditionalFormatting>
  <conditionalFormatting sqref="X18:X19">
    <cfRule type="cellIs" dxfId="0" priority="21" operator="notBetween">
      <formula>$G18</formula>
      <formula>$H18</formula>
    </cfRule>
  </conditionalFormatting>
  <conditionalFormatting sqref="X113:X118">
    <cfRule type="cellIs" dxfId="0" priority="6" operator="notBetween">
      <formula>$G113</formula>
      <formula>$H113</formula>
    </cfRule>
  </conditionalFormatting>
  <conditionalFormatting sqref="Y16:Y17">
    <cfRule type="cellIs" dxfId="0" priority="35" operator="notBetween">
      <formula>$G16</formula>
      <formula>$H16</formula>
    </cfRule>
  </conditionalFormatting>
  <conditionalFormatting sqref="Y18:Y19">
    <cfRule type="cellIs" dxfId="0" priority="20" operator="notBetween">
      <formula>$G18</formula>
      <formula>$H18</formula>
    </cfRule>
  </conditionalFormatting>
  <conditionalFormatting sqref="Y113:Y118">
    <cfRule type="cellIs" dxfId="0" priority="5" operator="notBetween">
      <formula>$G113</formula>
      <formula>$H113</formula>
    </cfRule>
  </conditionalFormatting>
  <conditionalFormatting sqref="J7:K9 K20:K21 K25:K36 K43 K50 K77">
    <cfRule type="cellIs" dxfId="0" priority="184" operator="notBetween">
      <formula>$G7</formula>
      <formula>$H7</formula>
    </cfRule>
  </conditionalFormatting>
  <conditionalFormatting sqref="L7:L9 L20:L21 L25:L36 L43 L50 L77">
    <cfRule type="cellIs" dxfId="0" priority="183" operator="notBetween">
      <formula>$G7</formula>
      <formula>$H7</formula>
    </cfRule>
  </conditionalFormatting>
  <conditionalFormatting sqref="M7:M9 M20:M21 M25:M36 M43 M50 M77">
    <cfRule type="cellIs" dxfId="0" priority="182" operator="notBetween">
      <formula>$G7</formula>
      <formula>$H7</formula>
    </cfRule>
  </conditionalFormatting>
  <conditionalFormatting sqref="N7:N9 N20:N21 N25:N36 N43 N50 N77">
    <cfRule type="cellIs" dxfId="0" priority="181" operator="notBetween">
      <formula>$G7</formula>
      <formula>$H7</formula>
    </cfRule>
  </conditionalFormatting>
  <conditionalFormatting sqref="O7:O9 O20:O21 O25:O36 O43 O50 O77">
    <cfRule type="cellIs" dxfId="0" priority="180" operator="notBetween">
      <formula>$G7</formula>
      <formula>$H7</formula>
    </cfRule>
  </conditionalFormatting>
  <conditionalFormatting sqref="P7:P9 P20:P21 P25:P36 P43 P50 P77">
    <cfRule type="cellIs" dxfId="0" priority="179" operator="notBetween">
      <formula>$G7</formula>
      <formula>$H7</formula>
    </cfRule>
  </conditionalFormatting>
  <conditionalFormatting sqref="Q7:Q9 Q20:Q21 Q25:Q36 Q43 Q50 Q77">
    <cfRule type="cellIs" dxfId="0" priority="178" operator="notBetween">
      <formula>$G7</formula>
      <formula>$H7</formula>
    </cfRule>
  </conditionalFormatting>
  <conditionalFormatting sqref="R7:R9 R20:R21 R25:R36 R43 R50 R77">
    <cfRule type="cellIs" dxfId="0" priority="177" operator="notBetween">
      <formula>$G7</formula>
      <formula>$H7</formula>
    </cfRule>
  </conditionalFormatting>
  <conditionalFormatting sqref="S7:S9 S20:S21 S25:S36 S43 S50 S77">
    <cfRule type="cellIs" dxfId="0" priority="176" operator="notBetween">
      <formula>$G7</formula>
      <formula>$H7</formula>
    </cfRule>
  </conditionalFormatting>
  <conditionalFormatting sqref="T7:T9 T20:T21 T25:T36 T43 T50 T77">
    <cfRule type="cellIs" dxfId="0" priority="175" operator="notBetween">
      <formula>$G7</formula>
      <formula>$H7</formula>
    </cfRule>
  </conditionalFormatting>
  <conditionalFormatting sqref="U7:U9 U20:U21 U25:U36 U43 U50 U77">
    <cfRule type="cellIs" dxfId="0" priority="174" operator="notBetween">
      <formula>$G7</formula>
      <formula>$H7</formula>
    </cfRule>
  </conditionalFormatting>
  <conditionalFormatting sqref="V7:V9 V20:V21 V25:V36 V43 V50 V77">
    <cfRule type="cellIs" dxfId="0" priority="173" operator="notBetween">
      <formula>$G7</formula>
      <formula>$H7</formula>
    </cfRule>
  </conditionalFormatting>
  <conditionalFormatting sqref="W7:W9 W20:W21 W25:W36 W43 W50 W77">
    <cfRule type="cellIs" dxfId="0" priority="172" operator="notBetween">
      <formula>$G7</formula>
      <formula>$H7</formula>
    </cfRule>
  </conditionalFormatting>
  <conditionalFormatting sqref="X7:X9 X20:X21 X25:X36 X43 X50 X77">
    <cfRule type="cellIs" dxfId="0" priority="171" operator="notBetween">
      <formula>$G7</formula>
      <formula>$H7</formula>
    </cfRule>
  </conditionalFormatting>
  <conditionalFormatting sqref="Y7:Y9 Y20:Y21 Y25:Y36 Y43 Y50 Y77">
    <cfRule type="cellIs" dxfId="0" priority="170" operator="notBetween">
      <formula>$G7</formula>
      <formula>$H7</formula>
    </cfRule>
  </conditionalFormatting>
  <conditionalFormatting sqref="J10:K11">
    <cfRule type="cellIs" dxfId="0" priority="94" operator="notBetween">
      <formula>$G10</formula>
      <formula>$H10</formula>
    </cfRule>
  </conditionalFormatting>
  <conditionalFormatting sqref="J12:K13">
    <cfRule type="cellIs" dxfId="0" priority="79" operator="notBetween">
      <formula>$G12</formula>
      <formula>$H12</formula>
    </cfRule>
  </conditionalFormatting>
  <conditionalFormatting sqref="J14:K15">
    <cfRule type="cellIs" dxfId="0" priority="64" operator="notBetween">
      <formula>$G14</formula>
      <formula>$H14</formula>
    </cfRule>
  </conditionalFormatting>
  <conditionalFormatting sqref="J16:K17">
    <cfRule type="cellIs" dxfId="0" priority="49" operator="notBetween">
      <formula>$G16</formula>
      <formula>$H16</formula>
    </cfRule>
  </conditionalFormatting>
  <conditionalFormatting sqref="J18:K18 K19">
    <cfRule type="cellIs" dxfId="0" priority="34" operator="notBetween">
      <formula>$G18</formula>
      <formula>$H18</formula>
    </cfRule>
  </conditionalFormatting>
  <conditionalFormatting sqref="J20:J21 J25:J36 J43 J50 J77">
    <cfRule type="cellIs" dxfId="0" priority="192" operator="notBetween">
      <formula>$G20</formula>
      <formula>$H20</formula>
    </cfRule>
  </conditionalFormatting>
  <conditionalFormatting sqref="J22:J24 J55 J60 J65">
    <cfRule type="cellIs" dxfId="0" priority="191" operator="notBetween">
      <formula>$G22</formula>
      <formula>$H22</formula>
    </cfRule>
  </conditionalFormatting>
  <conditionalFormatting sqref="K22:K24 K55 K60 K65">
    <cfRule type="cellIs" dxfId="0" priority="169" operator="notBetween">
      <formula>$G22</formula>
      <formula>$H22</formula>
    </cfRule>
  </conditionalFormatting>
  <conditionalFormatting sqref="L22:L24 L55 L60 L65">
    <cfRule type="cellIs" dxfId="0" priority="168" operator="notBetween">
      <formula>$G22</formula>
      <formula>$H22</formula>
    </cfRule>
  </conditionalFormatting>
  <conditionalFormatting sqref="M22:M24 M55 M60 M65">
    <cfRule type="cellIs" dxfId="0" priority="167" operator="notBetween">
      <formula>$G22</formula>
      <formula>$H22</formula>
    </cfRule>
  </conditionalFormatting>
  <conditionalFormatting sqref="N22:N24 N55 N60 N65">
    <cfRule type="cellIs" dxfId="0" priority="166" operator="notBetween">
      <formula>$G22</formula>
      <formula>$H22</formula>
    </cfRule>
  </conditionalFormatting>
  <conditionalFormatting sqref="O22:O24 O55 O60 O65">
    <cfRule type="cellIs" dxfId="0" priority="165" operator="notBetween">
      <formula>$G22</formula>
      <formula>$H22</formula>
    </cfRule>
  </conditionalFormatting>
  <conditionalFormatting sqref="P22:P24 P55 P60 P65">
    <cfRule type="cellIs" dxfId="0" priority="164" operator="notBetween">
      <formula>$G22</formula>
      <formula>$H22</formula>
    </cfRule>
  </conditionalFormatting>
  <conditionalFormatting sqref="Q22:Q24 Q55 Q60 Q65">
    <cfRule type="cellIs" dxfId="0" priority="163" operator="notBetween">
      <formula>$G22</formula>
      <formula>$H22</formula>
    </cfRule>
  </conditionalFormatting>
  <conditionalFormatting sqref="R22:R24 R55 R60 R65">
    <cfRule type="cellIs" dxfId="0" priority="162" operator="notBetween">
      <formula>$G22</formula>
      <formula>$H22</formula>
    </cfRule>
  </conditionalFormatting>
  <conditionalFormatting sqref="S22:S24 S55 S60 S65">
    <cfRule type="cellIs" dxfId="0" priority="161" operator="notBetween">
      <formula>$G22</formula>
      <formula>$H22</formula>
    </cfRule>
  </conditionalFormatting>
  <conditionalFormatting sqref="T22:T24 T55 T60 T65">
    <cfRule type="cellIs" dxfId="0" priority="160" operator="notBetween">
      <formula>$G22</formula>
      <formula>$H22</formula>
    </cfRule>
  </conditionalFormatting>
  <conditionalFormatting sqref="U22:U24 U55 U60 U65">
    <cfRule type="cellIs" dxfId="0" priority="159" operator="notBetween">
      <formula>$G22</formula>
      <formula>$H22</formula>
    </cfRule>
  </conditionalFormatting>
  <conditionalFormatting sqref="V22:V24 V55 V60 V65">
    <cfRule type="cellIs" dxfId="0" priority="158" operator="notBetween">
      <formula>$G22</formula>
      <formula>$H22</formula>
    </cfRule>
  </conditionalFormatting>
  <conditionalFormatting sqref="W22:W24 W55 W60 W65">
    <cfRule type="cellIs" dxfId="0" priority="157" operator="notBetween">
      <formula>$G22</formula>
      <formula>$H22</formula>
    </cfRule>
  </conditionalFormatting>
  <conditionalFormatting sqref="X22:X24 X55 X60 X65">
    <cfRule type="cellIs" dxfId="0" priority="156" operator="notBetween">
      <formula>$G22</formula>
      <formula>$H22</formula>
    </cfRule>
  </conditionalFormatting>
  <conditionalFormatting sqref="Y22:Y24 Y55 Y60 Y65">
    <cfRule type="cellIs" dxfId="0" priority="155" operator="notBetween">
      <formula>$G22</formula>
      <formula>$H22</formula>
    </cfRule>
  </conditionalFormatting>
  <conditionalFormatting sqref="J87 J92 J97 J100">
    <cfRule type="cellIs" dxfId="0" priority="189" operator="notBetween">
      <formula>$G87</formula>
      <formula>$H87</formula>
    </cfRule>
  </conditionalFormatting>
  <conditionalFormatting sqref="K87 K92 K97 K100">
    <cfRule type="cellIs" dxfId="0" priority="139" operator="notBetween">
      <formula>$G87</formula>
      <formula>$H87</formula>
    </cfRule>
  </conditionalFormatting>
  <conditionalFormatting sqref="L87 L92 L97 L100">
    <cfRule type="cellIs" dxfId="0" priority="138" operator="notBetween">
      <formula>$G87</formula>
      <formula>$H87</formula>
    </cfRule>
  </conditionalFormatting>
  <conditionalFormatting sqref="M87 M92 M97 M100">
    <cfRule type="cellIs" dxfId="0" priority="137" operator="notBetween">
      <formula>$G87</formula>
      <formula>$H87</formula>
    </cfRule>
  </conditionalFormatting>
  <conditionalFormatting sqref="N87 N92 N97 N100">
    <cfRule type="cellIs" dxfId="0" priority="136" operator="notBetween">
      <formula>$G87</formula>
      <formula>$H87</formula>
    </cfRule>
  </conditionalFormatting>
  <conditionalFormatting sqref="O87 O92 O97 O100">
    <cfRule type="cellIs" dxfId="0" priority="135" operator="notBetween">
      <formula>$G87</formula>
      <formula>$H87</formula>
    </cfRule>
  </conditionalFormatting>
  <conditionalFormatting sqref="P87 P92 P97 P100">
    <cfRule type="cellIs" dxfId="0" priority="134" operator="notBetween">
      <formula>$G87</formula>
      <formula>$H87</formula>
    </cfRule>
  </conditionalFormatting>
  <conditionalFormatting sqref="Q87 Q92 Q97 Q100">
    <cfRule type="cellIs" dxfId="0" priority="133" operator="notBetween">
      <formula>$G87</formula>
      <formula>$H87</formula>
    </cfRule>
  </conditionalFormatting>
  <conditionalFormatting sqref="R87 R92 R97 R100">
    <cfRule type="cellIs" dxfId="0" priority="132" operator="notBetween">
      <formula>$G87</formula>
      <formula>$H87</formula>
    </cfRule>
  </conditionalFormatting>
  <conditionalFormatting sqref="S87 S92 S97 S100">
    <cfRule type="cellIs" dxfId="0" priority="131" operator="notBetween">
      <formula>$G87</formula>
      <formula>$H87</formula>
    </cfRule>
  </conditionalFormatting>
  <conditionalFormatting sqref="T87 T92 T97 T100">
    <cfRule type="cellIs" dxfId="0" priority="130" operator="notBetween">
      <formula>$G87</formula>
      <formula>$H87</formula>
    </cfRule>
  </conditionalFormatting>
  <conditionalFormatting sqref="U87 U92 U97 U100">
    <cfRule type="cellIs" dxfId="0" priority="129" operator="notBetween">
      <formula>$G87</formula>
      <formula>$H87</formula>
    </cfRule>
  </conditionalFormatting>
  <conditionalFormatting sqref="V87 V92 V97 V100">
    <cfRule type="cellIs" dxfId="0" priority="128" operator="notBetween">
      <formula>$G87</formula>
      <formula>$H87</formula>
    </cfRule>
  </conditionalFormatting>
  <conditionalFormatting sqref="W87 W92 W97 W100">
    <cfRule type="cellIs" dxfId="0" priority="127" operator="notBetween">
      <formula>$G87</formula>
      <formula>$H87</formula>
    </cfRule>
  </conditionalFormatting>
  <conditionalFormatting sqref="X87 X92 X97 X100">
    <cfRule type="cellIs" dxfId="0" priority="126" operator="notBetween">
      <formula>$G87</formula>
      <formula>$H87</formula>
    </cfRule>
  </conditionalFormatting>
  <conditionalFormatting sqref="Y87 Y92 Y97 Y100">
    <cfRule type="cellIs" dxfId="0" priority="125" operator="notBetween">
      <formula>$G87</formula>
      <formula>$H87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abSelected="1" topLeftCell="M1" workbookViewId="0">
      <selection activeCell="AA15" sqref="AA15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145</v>
      </c>
      <c r="K6" s="46" t="s">
        <v>146</v>
      </c>
      <c r="L6" s="46" t="s">
        <v>147</v>
      </c>
      <c r="M6" s="46" t="s">
        <v>148</v>
      </c>
      <c r="N6" s="46" t="s">
        <v>149</v>
      </c>
      <c r="O6" s="46" t="s">
        <v>150</v>
      </c>
      <c r="P6" s="46" t="s">
        <v>151</v>
      </c>
      <c r="Q6" s="46" t="s">
        <v>152</v>
      </c>
      <c r="R6" s="46" t="s">
        <v>153</v>
      </c>
      <c r="S6" s="46" t="s">
        <v>154</v>
      </c>
      <c r="T6" s="46" t="s">
        <v>155</v>
      </c>
      <c r="U6" s="46" t="s">
        <v>156</v>
      </c>
      <c r="V6" s="46" t="s">
        <v>157</v>
      </c>
      <c r="W6" s="46" t="s">
        <v>158</v>
      </c>
      <c r="X6" s="46" t="s">
        <v>159</v>
      </c>
      <c r="Y6" s="46" t="s">
        <v>160</v>
      </c>
      <c r="Z6" s="47" t="str">
        <f t="shared" ref="Z6:AO6" si="0">J6</f>
        <v>7-1</v>
      </c>
      <c r="AA6" s="47" t="str">
        <f t="shared" si="0"/>
        <v>7-2</v>
      </c>
      <c r="AB6" s="47" t="str">
        <f t="shared" si="0"/>
        <v>7-3</v>
      </c>
      <c r="AC6" s="47" t="str">
        <f t="shared" si="0"/>
        <v>7-4</v>
      </c>
      <c r="AD6" s="47" t="str">
        <f t="shared" si="0"/>
        <v>7-5</v>
      </c>
      <c r="AE6" s="47" t="str">
        <f t="shared" si="0"/>
        <v>7-6</v>
      </c>
      <c r="AF6" s="47" t="str">
        <f t="shared" si="0"/>
        <v>7-7</v>
      </c>
      <c r="AG6" s="47" t="str">
        <f t="shared" si="0"/>
        <v>7-8</v>
      </c>
      <c r="AH6" s="47" t="str">
        <f t="shared" si="0"/>
        <v>8-1</v>
      </c>
      <c r="AI6" s="47" t="str">
        <f t="shared" si="0"/>
        <v>8-2</v>
      </c>
      <c r="AJ6" s="47" t="str">
        <f t="shared" si="0"/>
        <v>8-3</v>
      </c>
      <c r="AK6" s="47" t="str">
        <f t="shared" si="0"/>
        <v>8-4</v>
      </c>
      <c r="AL6" s="47" t="str">
        <f t="shared" si="0"/>
        <v>8-5</v>
      </c>
      <c r="AM6" s="47" t="str">
        <f t="shared" si="0"/>
        <v>8-6</v>
      </c>
      <c r="AN6" s="47" t="str">
        <f t="shared" si="0"/>
        <v>8-7</v>
      </c>
      <c r="AO6" s="47" t="str">
        <f t="shared" si="0"/>
        <v>8-8</v>
      </c>
    </row>
    <row r="7" ht="15" customHeight="1" spans="1:41">
      <c r="A7" s="48">
        <v>46206</v>
      </c>
      <c r="B7" s="49" t="s">
        <v>42</v>
      </c>
      <c r="C7" s="49" t="s">
        <v>43</v>
      </c>
      <c r="D7" s="50">
        <v>0.5</v>
      </c>
      <c r="E7" s="50">
        <v>0.03</v>
      </c>
      <c r="F7" s="50">
        <v>-0.03</v>
      </c>
      <c r="G7" s="50">
        <f t="shared" ref="G7:G20" si="1">D7+E7</f>
        <v>0.53</v>
      </c>
      <c r="H7" s="50">
        <f t="shared" ref="H7:H20" si="2">D7+F7</f>
        <v>0.47</v>
      </c>
      <c r="I7" s="50" t="s">
        <v>44</v>
      </c>
      <c r="J7" s="51">
        <v>0.5044</v>
      </c>
      <c r="K7" s="51">
        <v>0.5017</v>
      </c>
      <c r="L7" s="51">
        <v>0.5044</v>
      </c>
      <c r="M7" s="51">
        <v>0.5026</v>
      </c>
      <c r="N7" s="51">
        <v>0.5055</v>
      </c>
      <c r="O7" s="51">
        <v>0.504</v>
      </c>
      <c r="P7" s="51">
        <v>0.5047</v>
      </c>
      <c r="Q7" s="51">
        <v>0.5047</v>
      </c>
      <c r="R7" s="51">
        <v>0.5019</v>
      </c>
      <c r="S7" s="51">
        <v>0.4996</v>
      </c>
      <c r="T7" s="51">
        <v>0.5031</v>
      </c>
      <c r="U7" s="51">
        <v>0.4996</v>
      </c>
      <c r="V7" s="51">
        <v>0.5022</v>
      </c>
      <c r="W7" s="51">
        <v>0.5003</v>
      </c>
      <c r="X7" s="51">
        <v>0.4997</v>
      </c>
      <c r="Y7" s="51">
        <v>0.501</v>
      </c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>√</v>
      </c>
      <c r="AI7" s="52" t="str">
        <f t="shared" si="3"/>
        <v>√</v>
      </c>
      <c r="AJ7" s="52" t="str">
        <f t="shared" si="3"/>
        <v>√</v>
      </c>
      <c r="AK7" s="52" t="str">
        <f t="shared" si="3"/>
        <v>√</v>
      </c>
      <c r="AL7" s="52" t="str">
        <f t="shared" si="3"/>
        <v>√</v>
      </c>
      <c r="AM7" s="52" t="str">
        <f t="shared" si="3"/>
        <v>√</v>
      </c>
      <c r="AN7" s="52" t="str">
        <f t="shared" si="3"/>
        <v>√</v>
      </c>
      <c r="AO7" s="52" t="str">
        <f t="shared" si="3"/>
        <v>√</v>
      </c>
    </row>
    <row r="8" ht="15" customHeight="1" spans="1:41">
      <c r="A8" s="53"/>
      <c r="B8" s="54" t="s">
        <v>45</v>
      </c>
      <c r="C8" s="55" t="s">
        <v>46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44</v>
      </c>
      <c r="J8" s="51">
        <v>0.5853</v>
      </c>
      <c r="K8" s="51">
        <v>0.5862</v>
      </c>
      <c r="L8" s="51">
        <v>0.5844</v>
      </c>
      <c r="M8" s="51">
        <v>0.5895</v>
      </c>
      <c r="N8" s="51">
        <v>0.5868</v>
      </c>
      <c r="O8" s="51">
        <v>0.5887</v>
      </c>
      <c r="P8" s="51">
        <v>0.5791</v>
      </c>
      <c r="Q8" s="51">
        <v>0.5837</v>
      </c>
      <c r="R8" s="51">
        <v>0.5838</v>
      </c>
      <c r="S8" s="51">
        <v>0.5934</v>
      </c>
      <c r="T8" s="51">
        <v>0.5869</v>
      </c>
      <c r="U8" s="51">
        <v>0.5833</v>
      </c>
      <c r="V8" s="51">
        <v>0.5765</v>
      </c>
      <c r="W8" s="51">
        <v>0.5886</v>
      </c>
      <c r="X8" s="51">
        <v>0.5883</v>
      </c>
      <c r="Y8" s="51">
        <v>0.5835</v>
      </c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>√</v>
      </c>
      <c r="AI8" s="52" t="str">
        <f t="shared" si="4"/>
        <v>√</v>
      </c>
      <c r="AJ8" s="52" t="str">
        <f t="shared" si="4"/>
        <v>√</v>
      </c>
      <c r="AK8" s="52" t="str">
        <f t="shared" si="4"/>
        <v>√</v>
      </c>
      <c r="AL8" s="52" t="str">
        <f t="shared" si="4"/>
        <v>√</v>
      </c>
      <c r="AM8" s="52" t="str">
        <f t="shared" si="4"/>
        <v>√</v>
      </c>
      <c r="AN8" s="52" t="str">
        <f t="shared" si="4"/>
        <v>√</v>
      </c>
      <c r="AO8" s="52" t="str">
        <f t="shared" si="4"/>
        <v>√</v>
      </c>
    </row>
    <row r="9" ht="15" customHeight="1" spans="1:41">
      <c r="A9" s="53"/>
      <c r="B9" s="54" t="s">
        <v>47</v>
      </c>
      <c r="C9" s="55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44</v>
      </c>
      <c r="J9" s="51">
        <v>0.0425</v>
      </c>
      <c r="K9" s="51">
        <v>0.0503</v>
      </c>
      <c r="L9" s="51">
        <v>0.0583</v>
      </c>
      <c r="M9" s="51">
        <v>0.0445</v>
      </c>
      <c r="N9" s="51">
        <v>0.0459</v>
      </c>
      <c r="O9" s="51">
        <v>0.0458</v>
      </c>
      <c r="P9" s="51">
        <v>0.0678</v>
      </c>
      <c r="Q9" s="51">
        <v>0.0518</v>
      </c>
      <c r="R9" s="51">
        <v>0.0347</v>
      </c>
      <c r="S9" s="51">
        <v>0.0392</v>
      </c>
      <c r="T9" s="51">
        <v>0.0545</v>
      </c>
      <c r="U9" s="51">
        <v>0.0451</v>
      </c>
      <c r="V9" s="51">
        <v>0.0396</v>
      </c>
      <c r="W9" s="51">
        <v>0.0452</v>
      </c>
      <c r="X9" s="51">
        <v>0.0411</v>
      </c>
      <c r="Y9" s="51">
        <v>0.0396</v>
      </c>
      <c r="Z9" s="52" t="str">
        <f t="shared" ref="Z9:AO9" si="5">IF(J9="","",IF(J9&gt;($D9+$E9),(J9-$D9-$E9),IF(J9&lt;($D9+$F9),(J9-$D9-$F9),"√")))</f>
        <v>√</v>
      </c>
      <c r="AA9" s="52" t="str">
        <f t="shared" si="5"/>
        <v>√</v>
      </c>
      <c r="AB9" s="52" t="str">
        <f t="shared" si="5"/>
        <v>√</v>
      </c>
      <c r="AC9" s="52" t="str">
        <f t="shared" si="5"/>
        <v>√</v>
      </c>
      <c r="AD9" s="52" t="str">
        <f t="shared" si="5"/>
        <v>√</v>
      </c>
      <c r="AE9" s="52" t="str">
        <f t="shared" si="5"/>
        <v>√</v>
      </c>
      <c r="AF9" s="52" t="str">
        <f t="shared" si="5"/>
        <v>√</v>
      </c>
      <c r="AG9" s="52" t="str">
        <f t="shared" si="5"/>
        <v>√</v>
      </c>
      <c r="AH9" s="52" t="str">
        <f t="shared" si="5"/>
        <v>√</v>
      </c>
      <c r="AI9" s="52" t="str">
        <f t="shared" si="5"/>
        <v>√</v>
      </c>
      <c r="AJ9" s="52" t="str">
        <f t="shared" si="5"/>
        <v>√</v>
      </c>
      <c r="AK9" s="52" t="str">
        <f t="shared" si="5"/>
        <v>√</v>
      </c>
      <c r="AL9" s="52" t="str">
        <f t="shared" si="5"/>
        <v>√</v>
      </c>
      <c r="AM9" s="52" t="str">
        <f t="shared" si="5"/>
        <v>√</v>
      </c>
      <c r="AN9" s="52" t="str">
        <f t="shared" si="5"/>
        <v>√</v>
      </c>
      <c r="AO9" s="52" t="str">
        <f t="shared" si="5"/>
        <v>√</v>
      </c>
    </row>
    <row r="10" ht="15" customHeight="1" spans="1:41">
      <c r="A10" s="53"/>
      <c r="B10" s="54" t="s">
        <v>48</v>
      </c>
      <c r="C10" s="55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44</v>
      </c>
      <c r="J10" s="51">
        <v>0.0582</v>
      </c>
      <c r="K10" s="51">
        <v>0.0506</v>
      </c>
      <c r="L10" s="51">
        <v>0.0437</v>
      </c>
      <c r="M10" s="51">
        <v>0.056</v>
      </c>
      <c r="N10" s="51">
        <v>0.053</v>
      </c>
      <c r="O10" s="51">
        <v>0.053</v>
      </c>
      <c r="P10" s="51">
        <v>0.0362</v>
      </c>
      <c r="Q10" s="51">
        <v>0.0428</v>
      </c>
      <c r="R10" s="51">
        <v>0.0544</v>
      </c>
      <c r="S10" s="51">
        <v>0.0575</v>
      </c>
      <c r="T10" s="51">
        <v>0.0413</v>
      </c>
      <c r="U10" s="51">
        <v>0.0498</v>
      </c>
      <c r="V10" s="51">
        <v>0.0494</v>
      </c>
      <c r="W10" s="51">
        <v>0.0505</v>
      </c>
      <c r="X10" s="51">
        <v>0.0528</v>
      </c>
      <c r="Y10" s="51">
        <v>0.056</v>
      </c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>√</v>
      </c>
      <c r="AI10" s="52" t="str">
        <f t="shared" si="6"/>
        <v>√</v>
      </c>
      <c r="AJ10" s="52" t="str">
        <f t="shared" si="6"/>
        <v>√</v>
      </c>
      <c r="AK10" s="52" t="str">
        <f t="shared" si="6"/>
        <v>√</v>
      </c>
      <c r="AL10" s="52" t="str">
        <f t="shared" si="6"/>
        <v>√</v>
      </c>
      <c r="AM10" s="52" t="str">
        <f t="shared" si="6"/>
        <v>√</v>
      </c>
      <c r="AN10" s="52" t="str">
        <f t="shared" si="6"/>
        <v>√</v>
      </c>
      <c r="AO10" s="52" t="str">
        <f t="shared" si="6"/>
        <v>√</v>
      </c>
    </row>
    <row r="11" ht="15" customHeight="1" spans="1:41">
      <c r="A11" s="53"/>
      <c r="B11" s="54" t="s">
        <v>49</v>
      </c>
      <c r="C11" s="55"/>
      <c r="D11" s="50">
        <v>0.025</v>
      </c>
      <c r="E11" s="50">
        <v>0.01</v>
      </c>
      <c r="F11" s="50">
        <v>-0.01</v>
      </c>
      <c r="G11" s="50">
        <f t="shared" si="1"/>
        <v>0.035</v>
      </c>
      <c r="H11" s="50">
        <f t="shared" si="2"/>
        <v>0.015</v>
      </c>
      <c r="I11" s="50" t="s">
        <v>44</v>
      </c>
      <c r="J11" s="51">
        <v>0.0151</v>
      </c>
      <c r="K11" s="51">
        <v>0.0253</v>
      </c>
      <c r="L11" s="51">
        <v>0.0238</v>
      </c>
      <c r="M11" s="51">
        <v>0.0216</v>
      </c>
      <c r="N11" s="51">
        <v>0.0251</v>
      </c>
      <c r="O11" s="51">
        <v>0.0277</v>
      </c>
      <c r="P11" s="51">
        <v>0.0335</v>
      </c>
      <c r="Q11" s="51">
        <v>0.0187</v>
      </c>
      <c r="R11" s="51">
        <v>0.0248</v>
      </c>
      <c r="S11" s="51">
        <v>0.0154</v>
      </c>
      <c r="T11" s="51">
        <v>0.0211</v>
      </c>
      <c r="U11" s="51">
        <v>0.0252</v>
      </c>
      <c r="V11" s="51">
        <v>0.0269</v>
      </c>
      <c r="W11" s="51">
        <v>0.0246</v>
      </c>
      <c r="X11" s="51">
        <v>0.0202</v>
      </c>
      <c r="Y11" s="51">
        <v>0.0296</v>
      </c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>√</v>
      </c>
      <c r="AI11" s="52" t="str">
        <f t="shared" si="7"/>
        <v>√</v>
      </c>
      <c r="AJ11" s="52" t="str">
        <f t="shared" si="7"/>
        <v>√</v>
      </c>
      <c r="AK11" s="52" t="str">
        <f t="shared" si="7"/>
        <v>√</v>
      </c>
      <c r="AL11" s="52" t="str">
        <f t="shared" si="7"/>
        <v>√</v>
      </c>
      <c r="AM11" s="52" t="str">
        <f t="shared" si="7"/>
        <v>√</v>
      </c>
      <c r="AN11" s="52" t="str">
        <f t="shared" si="7"/>
        <v>√</v>
      </c>
      <c r="AO11" s="52" t="str">
        <f t="shared" si="7"/>
        <v>√</v>
      </c>
    </row>
    <row r="12" ht="15" customHeight="1" spans="1:41">
      <c r="A12" s="53"/>
      <c r="B12" s="54" t="s">
        <v>50</v>
      </c>
      <c r="C12" s="55"/>
      <c r="D12" s="50">
        <v>0.025</v>
      </c>
      <c r="E12" s="50">
        <v>0.01</v>
      </c>
      <c r="F12" s="50">
        <v>-0.01</v>
      </c>
      <c r="G12" s="50">
        <f t="shared" si="1"/>
        <v>0.035</v>
      </c>
      <c r="H12" s="50">
        <f t="shared" si="2"/>
        <v>0.015</v>
      </c>
      <c r="I12" s="50" t="s">
        <v>44</v>
      </c>
      <c r="J12" s="51">
        <v>0.0188</v>
      </c>
      <c r="K12" s="51">
        <v>0.0211</v>
      </c>
      <c r="L12" s="51">
        <v>0.0207</v>
      </c>
      <c r="M12" s="51">
        <v>0.0233</v>
      </c>
      <c r="N12" s="51">
        <v>0.0252</v>
      </c>
      <c r="O12" s="51">
        <v>0.0194</v>
      </c>
      <c r="P12" s="51">
        <v>0.0239</v>
      </c>
      <c r="Q12" s="51">
        <v>0.0197</v>
      </c>
      <c r="R12" s="51">
        <v>0.0204</v>
      </c>
      <c r="S12" s="51">
        <v>0.0183</v>
      </c>
      <c r="T12" s="51">
        <v>0.0193</v>
      </c>
      <c r="U12" s="51">
        <v>0.0233</v>
      </c>
      <c r="V12" s="51">
        <v>0.0204</v>
      </c>
      <c r="W12" s="51">
        <v>0.0231</v>
      </c>
      <c r="X12" s="51">
        <v>0.0213</v>
      </c>
      <c r="Y12" s="51">
        <v>0.0231</v>
      </c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>√</v>
      </c>
      <c r="AI12" s="52" t="str">
        <f t="shared" si="8"/>
        <v>√</v>
      </c>
      <c r="AJ12" s="52" t="str">
        <f t="shared" si="8"/>
        <v>√</v>
      </c>
      <c r="AK12" s="52" t="str">
        <f t="shared" si="8"/>
        <v>√</v>
      </c>
      <c r="AL12" s="52" t="str">
        <f t="shared" si="8"/>
        <v>√</v>
      </c>
      <c r="AM12" s="52" t="str">
        <f t="shared" si="8"/>
        <v>√</v>
      </c>
      <c r="AN12" s="52" t="str">
        <f t="shared" si="8"/>
        <v>√</v>
      </c>
      <c r="AO12" s="52" t="str">
        <f t="shared" si="8"/>
        <v>√</v>
      </c>
    </row>
    <row r="13" ht="15" customHeight="1" spans="1:41">
      <c r="A13" s="53"/>
      <c r="B13" s="54" t="s">
        <v>51</v>
      </c>
      <c r="C13" s="55"/>
      <c r="D13" s="50">
        <v>0.025</v>
      </c>
      <c r="E13" s="50">
        <v>0.01</v>
      </c>
      <c r="F13" s="50">
        <v>-0.01</v>
      </c>
      <c r="G13" s="50">
        <f t="shared" si="1"/>
        <v>0.035</v>
      </c>
      <c r="H13" s="50">
        <f t="shared" si="2"/>
        <v>0.015</v>
      </c>
      <c r="I13" s="50" t="s">
        <v>44</v>
      </c>
      <c r="J13" s="51">
        <v>0.0192</v>
      </c>
      <c r="K13" s="51">
        <v>0.017</v>
      </c>
      <c r="L13" s="51">
        <v>0.0192</v>
      </c>
      <c r="M13" s="51">
        <v>0.0265</v>
      </c>
      <c r="N13" s="51">
        <v>0.0198</v>
      </c>
      <c r="O13" s="51">
        <v>0.0217</v>
      </c>
      <c r="P13" s="51">
        <v>0.022</v>
      </c>
      <c r="Q13" s="51">
        <v>0.0224</v>
      </c>
      <c r="R13" s="51">
        <v>0.0195</v>
      </c>
      <c r="S13" s="51">
        <v>0.0152</v>
      </c>
      <c r="T13" s="51">
        <v>0.022</v>
      </c>
      <c r="U13" s="51">
        <v>0.0211</v>
      </c>
      <c r="V13" s="51">
        <v>0.0234</v>
      </c>
      <c r="W13" s="51">
        <v>0.0215</v>
      </c>
      <c r="X13" s="51">
        <v>0.016</v>
      </c>
      <c r="Y13" s="51">
        <v>0.0197</v>
      </c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>√</v>
      </c>
      <c r="AI13" s="52" t="str">
        <f t="shared" si="9"/>
        <v>√</v>
      </c>
      <c r="AJ13" s="52" t="str">
        <f t="shared" si="9"/>
        <v>√</v>
      </c>
      <c r="AK13" s="52" t="str">
        <f t="shared" si="9"/>
        <v>√</v>
      </c>
      <c r="AL13" s="52" t="str">
        <f t="shared" si="9"/>
        <v>√</v>
      </c>
      <c r="AM13" s="52" t="str">
        <f t="shared" si="9"/>
        <v>√</v>
      </c>
      <c r="AN13" s="52" t="str">
        <f t="shared" si="9"/>
        <v>√</v>
      </c>
      <c r="AO13" s="52" t="str">
        <f t="shared" si="9"/>
        <v>√</v>
      </c>
    </row>
    <row r="14" ht="15" customHeight="1" spans="1:41">
      <c r="A14" s="53"/>
      <c r="B14" s="54" t="s">
        <v>52</v>
      </c>
      <c r="C14" s="55"/>
      <c r="D14" s="50">
        <v>0.025</v>
      </c>
      <c r="E14" s="50">
        <v>0.01</v>
      </c>
      <c r="F14" s="50">
        <v>-0.01</v>
      </c>
      <c r="G14" s="50">
        <f t="shared" si="1"/>
        <v>0.035</v>
      </c>
      <c r="H14" s="50">
        <f t="shared" si="2"/>
        <v>0.015</v>
      </c>
      <c r="I14" s="50" t="s">
        <v>44</v>
      </c>
      <c r="J14" s="51">
        <v>0.0208</v>
      </c>
      <c r="K14" s="51">
        <v>0.0225</v>
      </c>
      <c r="L14" s="51">
        <v>0.0208</v>
      </c>
      <c r="M14" s="51">
        <v>0.0169</v>
      </c>
      <c r="N14" s="51">
        <v>0.0185</v>
      </c>
      <c r="O14" s="51">
        <v>0.0245</v>
      </c>
      <c r="P14" s="51">
        <v>0.0181</v>
      </c>
      <c r="Q14" s="51">
        <v>0.0203</v>
      </c>
      <c r="R14" s="51">
        <v>0.0225</v>
      </c>
      <c r="S14" s="51">
        <v>0.0214</v>
      </c>
      <c r="T14" s="51">
        <v>0.0215</v>
      </c>
      <c r="U14" s="51">
        <v>0.0205</v>
      </c>
      <c r="V14" s="51">
        <v>0.0165</v>
      </c>
      <c r="W14" s="51">
        <v>0.0296</v>
      </c>
      <c r="X14" s="51">
        <v>0.0276</v>
      </c>
      <c r="Y14" s="51">
        <v>0.0235</v>
      </c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>√</v>
      </c>
      <c r="AI14" s="52" t="str">
        <f t="shared" si="10"/>
        <v>√</v>
      </c>
      <c r="AJ14" s="52" t="str">
        <f t="shared" si="10"/>
        <v>√</v>
      </c>
      <c r="AK14" s="52" t="str">
        <f t="shared" si="10"/>
        <v>√</v>
      </c>
      <c r="AL14" s="52" t="str">
        <f t="shared" si="10"/>
        <v>√</v>
      </c>
      <c r="AM14" s="52" t="str">
        <f t="shared" si="10"/>
        <v>√</v>
      </c>
      <c r="AN14" s="52" t="str">
        <f t="shared" si="10"/>
        <v>√</v>
      </c>
      <c r="AO14" s="52" t="str">
        <f t="shared" si="10"/>
        <v>√</v>
      </c>
    </row>
    <row r="15" ht="15" customHeight="1" spans="1:41">
      <c r="A15" s="53"/>
      <c r="B15" s="54" t="s">
        <v>53</v>
      </c>
      <c r="C15" s="55"/>
      <c r="D15" s="50">
        <v>0.025</v>
      </c>
      <c r="E15" s="50">
        <v>0.01</v>
      </c>
      <c r="F15" s="50">
        <v>-0.01</v>
      </c>
      <c r="G15" s="50">
        <f t="shared" si="1"/>
        <v>0.035</v>
      </c>
      <c r="H15" s="50">
        <f t="shared" si="2"/>
        <v>0.015</v>
      </c>
      <c r="I15" s="50" t="s">
        <v>44</v>
      </c>
      <c r="J15" s="51">
        <v>0.0228</v>
      </c>
      <c r="K15" s="51">
        <v>0.0234</v>
      </c>
      <c r="L15" s="51">
        <v>0.0306</v>
      </c>
      <c r="M15" s="51">
        <v>0.0247</v>
      </c>
      <c r="N15" s="51">
        <v>0.0307</v>
      </c>
      <c r="O15" s="51">
        <v>0.0248</v>
      </c>
      <c r="P15" s="51">
        <v>0.0298</v>
      </c>
      <c r="Q15" s="51">
        <v>0.031</v>
      </c>
      <c r="R15" s="51">
        <v>0.0224</v>
      </c>
      <c r="S15" s="51">
        <v>0.0203</v>
      </c>
      <c r="T15" s="51">
        <v>0.0233</v>
      </c>
      <c r="U15" s="51">
        <v>0.0183</v>
      </c>
      <c r="V15" s="51">
        <v>0.0256</v>
      </c>
      <c r="W15" s="51">
        <v>0.02</v>
      </c>
      <c r="X15" s="51">
        <v>0.0249</v>
      </c>
      <c r="Y15" s="51">
        <v>0.0233</v>
      </c>
      <c r="Z15" s="52" t="str">
        <f t="shared" ref="Z15:AO15" si="11">IF(J15="","",IF(J15&gt;($D15+$E15),(J15-$D15-$E15),IF(J15&lt;($D15+$F15),(J15-$D15-$F15),"√")))</f>
        <v>√</v>
      </c>
      <c r="AA15" s="52" t="str">
        <f t="shared" si="11"/>
        <v>√</v>
      </c>
      <c r="AB15" s="52" t="str">
        <f t="shared" si="11"/>
        <v>√</v>
      </c>
      <c r="AC15" s="52" t="str">
        <f t="shared" si="11"/>
        <v>√</v>
      </c>
      <c r="AD15" s="52" t="str">
        <f t="shared" si="11"/>
        <v>√</v>
      </c>
      <c r="AE15" s="52" t="str">
        <f t="shared" si="11"/>
        <v>√</v>
      </c>
      <c r="AF15" s="52" t="str">
        <f t="shared" si="11"/>
        <v>√</v>
      </c>
      <c r="AG15" s="52" t="str">
        <f t="shared" si="11"/>
        <v>√</v>
      </c>
      <c r="AH15" s="52" t="str">
        <f t="shared" si="11"/>
        <v>√</v>
      </c>
      <c r="AI15" s="52" t="str">
        <f t="shared" si="11"/>
        <v>√</v>
      </c>
      <c r="AJ15" s="52" t="str">
        <f t="shared" si="11"/>
        <v>√</v>
      </c>
      <c r="AK15" s="52" t="str">
        <f t="shared" si="11"/>
        <v>√</v>
      </c>
      <c r="AL15" s="52" t="str">
        <f t="shared" si="11"/>
        <v>√</v>
      </c>
      <c r="AM15" s="52" t="str">
        <f t="shared" si="11"/>
        <v>√</v>
      </c>
      <c r="AN15" s="52" t="str">
        <f t="shared" si="11"/>
        <v>√</v>
      </c>
      <c r="AO15" s="52" t="str">
        <f t="shared" si="11"/>
        <v>√</v>
      </c>
    </row>
    <row r="16" ht="15" customHeight="1" spans="1:41">
      <c r="A16" s="53"/>
      <c r="B16" s="54" t="s">
        <v>54</v>
      </c>
      <c r="C16" s="55"/>
      <c r="D16" s="50">
        <v>0.025</v>
      </c>
      <c r="E16" s="50">
        <v>0.01</v>
      </c>
      <c r="F16" s="50">
        <v>-0.01</v>
      </c>
      <c r="G16" s="50">
        <f t="shared" si="1"/>
        <v>0.035</v>
      </c>
      <c r="H16" s="50">
        <f t="shared" si="2"/>
        <v>0.015</v>
      </c>
      <c r="I16" s="50" t="s">
        <v>44</v>
      </c>
      <c r="J16" s="51">
        <v>0.0309</v>
      </c>
      <c r="K16" s="51">
        <v>0.0214</v>
      </c>
      <c r="L16" s="51">
        <v>0.0309</v>
      </c>
      <c r="M16" s="51">
        <v>0.0153</v>
      </c>
      <c r="N16" s="51">
        <v>0.025</v>
      </c>
      <c r="O16" s="51">
        <v>0.0227</v>
      </c>
      <c r="P16" s="51">
        <v>0.0239</v>
      </c>
      <c r="Q16" s="51">
        <v>0.0219</v>
      </c>
      <c r="R16" s="51">
        <v>0.0156</v>
      </c>
      <c r="S16" s="51">
        <v>0.0269</v>
      </c>
      <c r="T16" s="51">
        <v>0.0277</v>
      </c>
      <c r="U16" s="51">
        <v>0.0172</v>
      </c>
      <c r="V16" s="51">
        <v>0.0248</v>
      </c>
      <c r="W16" s="51">
        <v>0.0246</v>
      </c>
      <c r="X16" s="51">
        <v>0.0205</v>
      </c>
      <c r="Y16" s="51">
        <v>0.0237</v>
      </c>
      <c r="Z16" s="52" t="str">
        <f t="shared" ref="Z16:AO16" si="12">IF(J16="","",IF(J16&gt;($D16+$E16),(J16-$D16-$E16),IF(J16&lt;($D16+$F16),(J16-$D16-$F16),"√")))</f>
        <v>√</v>
      </c>
      <c r="AA16" s="52" t="str">
        <f t="shared" si="12"/>
        <v>√</v>
      </c>
      <c r="AB16" s="52" t="str">
        <f t="shared" si="12"/>
        <v>√</v>
      </c>
      <c r="AC16" s="52" t="str">
        <f t="shared" si="12"/>
        <v>√</v>
      </c>
      <c r="AD16" s="52" t="str">
        <f t="shared" si="12"/>
        <v>√</v>
      </c>
      <c r="AE16" s="52" t="str">
        <f t="shared" si="12"/>
        <v>√</v>
      </c>
      <c r="AF16" s="52" t="str">
        <f t="shared" si="12"/>
        <v>√</v>
      </c>
      <c r="AG16" s="52" t="str">
        <f t="shared" si="12"/>
        <v>√</v>
      </c>
      <c r="AH16" s="52" t="str">
        <f t="shared" si="12"/>
        <v>√</v>
      </c>
      <c r="AI16" s="52" t="str">
        <f t="shared" si="12"/>
        <v>√</v>
      </c>
      <c r="AJ16" s="52" t="str">
        <f t="shared" si="12"/>
        <v>√</v>
      </c>
      <c r="AK16" s="52" t="str">
        <f t="shared" si="12"/>
        <v>√</v>
      </c>
      <c r="AL16" s="52" t="str">
        <f t="shared" si="12"/>
        <v>√</v>
      </c>
      <c r="AM16" s="52" t="str">
        <f t="shared" si="12"/>
        <v>√</v>
      </c>
      <c r="AN16" s="52" t="str">
        <f t="shared" si="12"/>
        <v>√</v>
      </c>
      <c r="AO16" s="52" t="str">
        <f t="shared" si="12"/>
        <v>√</v>
      </c>
    </row>
    <row r="17" ht="15" customHeight="1" spans="1:41">
      <c r="A17" s="53"/>
      <c r="B17" s="54" t="s">
        <v>55</v>
      </c>
      <c r="C17" s="55"/>
      <c r="D17" s="50">
        <v>0.025</v>
      </c>
      <c r="E17" s="50">
        <v>0.01</v>
      </c>
      <c r="F17" s="50">
        <v>-0.01</v>
      </c>
      <c r="G17" s="50">
        <f t="shared" si="1"/>
        <v>0.035</v>
      </c>
      <c r="H17" s="50">
        <f t="shared" si="2"/>
        <v>0.015</v>
      </c>
      <c r="I17" s="50" t="s">
        <v>44</v>
      </c>
      <c r="J17" s="51">
        <v>0.0192</v>
      </c>
      <c r="K17" s="51">
        <v>0.0287</v>
      </c>
      <c r="L17" s="51">
        <v>0.0224</v>
      </c>
      <c r="M17" s="51">
        <v>0.0224</v>
      </c>
      <c r="N17" s="51">
        <v>0.0205</v>
      </c>
      <c r="O17" s="51">
        <v>0.0216</v>
      </c>
      <c r="P17" s="51">
        <v>0.0168</v>
      </c>
      <c r="Q17" s="51">
        <v>0.0196</v>
      </c>
      <c r="R17" s="51">
        <v>0.0153</v>
      </c>
      <c r="S17" s="51">
        <v>0.0191</v>
      </c>
      <c r="T17" s="51">
        <v>0.0222</v>
      </c>
      <c r="U17" s="51">
        <v>0.0182</v>
      </c>
      <c r="V17" s="51">
        <v>0.0256</v>
      </c>
      <c r="W17" s="51">
        <v>0.0291</v>
      </c>
      <c r="X17" s="51">
        <v>0.0216</v>
      </c>
      <c r="Y17" s="51">
        <v>0.0235</v>
      </c>
      <c r="Z17" s="52" t="str">
        <f t="shared" ref="Z17:AO17" si="13">IF(J17="","",IF(J17&gt;($D17+$E17),(J17-$D17-$E17),IF(J17&lt;($D17+$F17),(J17-$D17-$F17),"√")))</f>
        <v>√</v>
      </c>
      <c r="AA17" s="52" t="str">
        <f t="shared" si="13"/>
        <v>√</v>
      </c>
      <c r="AB17" s="52" t="str">
        <f t="shared" si="13"/>
        <v>√</v>
      </c>
      <c r="AC17" s="52" t="str">
        <f t="shared" si="13"/>
        <v>√</v>
      </c>
      <c r="AD17" s="52" t="str">
        <f t="shared" si="13"/>
        <v>√</v>
      </c>
      <c r="AE17" s="52" t="str">
        <f t="shared" si="13"/>
        <v>√</v>
      </c>
      <c r="AF17" s="52" t="str">
        <f t="shared" si="13"/>
        <v>√</v>
      </c>
      <c r="AG17" s="52" t="str">
        <f t="shared" si="13"/>
        <v>√</v>
      </c>
      <c r="AH17" s="52" t="str">
        <f t="shared" si="13"/>
        <v>√</v>
      </c>
      <c r="AI17" s="52" t="str">
        <f t="shared" si="13"/>
        <v>√</v>
      </c>
      <c r="AJ17" s="52" t="str">
        <f t="shared" si="13"/>
        <v>√</v>
      </c>
      <c r="AK17" s="52" t="str">
        <f t="shared" si="13"/>
        <v>√</v>
      </c>
      <c r="AL17" s="52" t="str">
        <f t="shared" si="13"/>
        <v>√</v>
      </c>
      <c r="AM17" s="52" t="str">
        <f t="shared" si="13"/>
        <v>√</v>
      </c>
      <c r="AN17" s="52" t="str">
        <f t="shared" si="13"/>
        <v>√</v>
      </c>
      <c r="AO17" s="52" t="str">
        <f t="shared" si="13"/>
        <v>√</v>
      </c>
    </row>
    <row r="18" ht="15" customHeight="1" spans="1:41">
      <c r="A18" s="53"/>
      <c r="B18" s="54" t="s">
        <v>56</v>
      </c>
      <c r="C18" s="55"/>
      <c r="D18" s="50">
        <v>0.025</v>
      </c>
      <c r="E18" s="50">
        <v>0.01</v>
      </c>
      <c r="F18" s="50">
        <v>-0.01</v>
      </c>
      <c r="G18" s="50">
        <f t="shared" si="1"/>
        <v>0.035</v>
      </c>
      <c r="H18" s="50">
        <f t="shared" si="2"/>
        <v>0.015</v>
      </c>
      <c r="I18" s="50" t="s">
        <v>44</v>
      </c>
      <c r="J18" s="51">
        <v>0.0292</v>
      </c>
      <c r="K18" s="51">
        <v>0.019</v>
      </c>
      <c r="L18" s="51">
        <v>0.0193</v>
      </c>
      <c r="M18" s="51">
        <v>0.0197</v>
      </c>
      <c r="N18" s="51">
        <v>0.023</v>
      </c>
      <c r="O18" s="51">
        <v>0.0186</v>
      </c>
      <c r="P18" s="51">
        <v>0.0176</v>
      </c>
      <c r="Q18" s="51">
        <v>0.0159</v>
      </c>
      <c r="R18" s="51">
        <v>0.0162</v>
      </c>
      <c r="S18" s="51">
        <v>0.0208</v>
      </c>
      <c r="T18" s="51">
        <v>0.015</v>
      </c>
      <c r="U18" s="51">
        <v>0.0271</v>
      </c>
      <c r="V18" s="51">
        <v>0.0166</v>
      </c>
      <c r="W18" s="51">
        <v>0.0202</v>
      </c>
      <c r="X18" s="51">
        <v>0.0304</v>
      </c>
      <c r="Y18" s="51">
        <v>0.015</v>
      </c>
      <c r="Z18" s="52" t="str">
        <f t="shared" ref="Z18:AO18" si="14">IF(J18="","",IF(J18&gt;($D18+$E18),(J18-$D18-$E18),IF(J18&lt;($D18+$F18),(J18-$D18-$F18),"√")))</f>
        <v>√</v>
      </c>
      <c r="AA18" s="52" t="str">
        <f t="shared" si="14"/>
        <v>√</v>
      </c>
      <c r="AB18" s="52" t="str">
        <f t="shared" si="14"/>
        <v>√</v>
      </c>
      <c r="AC18" s="52" t="str">
        <f t="shared" si="14"/>
        <v>√</v>
      </c>
      <c r="AD18" s="52" t="str">
        <f t="shared" si="14"/>
        <v>√</v>
      </c>
      <c r="AE18" s="52" t="str">
        <f t="shared" si="14"/>
        <v>√</v>
      </c>
      <c r="AF18" s="52" t="str">
        <f t="shared" si="14"/>
        <v>√</v>
      </c>
      <c r="AG18" s="52" t="str">
        <f t="shared" si="14"/>
        <v>√</v>
      </c>
      <c r="AH18" s="52" t="str">
        <f t="shared" si="14"/>
        <v>√</v>
      </c>
      <c r="AI18" s="52" t="str">
        <f t="shared" si="14"/>
        <v>√</v>
      </c>
      <c r="AJ18" s="52" t="str">
        <f t="shared" si="14"/>
        <v>√</v>
      </c>
      <c r="AK18" s="52" t="str">
        <f t="shared" si="14"/>
        <v>√</v>
      </c>
      <c r="AL18" s="52" t="str">
        <f t="shared" si="14"/>
        <v>√</v>
      </c>
      <c r="AM18" s="52" t="str">
        <f t="shared" si="14"/>
        <v>√</v>
      </c>
      <c r="AN18" s="52" t="str">
        <f t="shared" si="14"/>
        <v>√</v>
      </c>
      <c r="AO18" s="52" t="str">
        <f t="shared" si="14"/>
        <v>√</v>
      </c>
    </row>
    <row r="19" ht="15" customHeight="1" spans="1:41">
      <c r="A19" s="53"/>
      <c r="B19" s="54" t="s">
        <v>57</v>
      </c>
      <c r="C19" s="55"/>
      <c r="D19" s="50">
        <v>1.3</v>
      </c>
      <c r="E19" s="50">
        <v>0.03</v>
      </c>
      <c r="F19" s="50">
        <v>-0.03</v>
      </c>
      <c r="G19" s="50">
        <f t="shared" si="1"/>
        <v>1.33</v>
      </c>
      <c r="H19" s="50">
        <f t="shared" si="2"/>
        <v>1.27</v>
      </c>
      <c r="I19" s="50" t="s">
        <v>58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53"/>
      <c r="B20" s="54" t="s">
        <v>59</v>
      </c>
      <c r="C20" s="55" t="s">
        <v>60</v>
      </c>
      <c r="D20" s="50">
        <v>186.04</v>
      </c>
      <c r="E20" s="50">
        <v>1</v>
      </c>
      <c r="F20" s="50">
        <v>-1</v>
      </c>
      <c r="G20" s="50">
        <f t="shared" si="1"/>
        <v>187.04</v>
      </c>
      <c r="H20" s="50">
        <f t="shared" si="2"/>
        <v>185.04</v>
      </c>
      <c r="I20" s="50" t="s">
        <v>58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6">IF(J20="","",IF(J20&gt;($D20+$E20),(J20-$D20-$E20),IF(J20&lt;($D20+$F20),(J20-$D20-$F20),"√")))</f>
        <v/>
      </c>
      <c r="AA20" s="52" t="str">
        <f t="shared" si="16"/>
        <v/>
      </c>
      <c r="AB20" s="52" t="str">
        <f t="shared" si="16"/>
        <v/>
      </c>
      <c r="AC20" s="52" t="str">
        <f t="shared" si="16"/>
        <v/>
      </c>
      <c r="AD20" s="52" t="str">
        <f t="shared" si="16"/>
        <v/>
      </c>
      <c r="AE20" s="52" t="str">
        <f t="shared" si="16"/>
        <v/>
      </c>
      <c r="AF20" s="52" t="str">
        <f t="shared" si="16"/>
        <v/>
      </c>
      <c r="AG20" s="52" t="str">
        <f t="shared" si="16"/>
        <v/>
      </c>
      <c r="AH20" s="52" t="str">
        <f t="shared" si="16"/>
        <v/>
      </c>
      <c r="AI20" s="52" t="str">
        <f t="shared" si="16"/>
        <v/>
      </c>
      <c r="AJ20" s="52" t="str">
        <f t="shared" si="16"/>
        <v/>
      </c>
      <c r="AK20" s="52" t="str">
        <f t="shared" si="16"/>
        <v/>
      </c>
      <c r="AL20" s="52" t="str">
        <f t="shared" si="16"/>
        <v/>
      </c>
      <c r="AM20" s="52" t="str">
        <f t="shared" si="16"/>
        <v/>
      </c>
      <c r="AN20" s="52" t="str">
        <f t="shared" si="16"/>
        <v/>
      </c>
      <c r="AO20" s="52" t="str">
        <f t="shared" si="16"/>
        <v/>
      </c>
    </row>
    <row r="21" ht="15" customHeight="1" spans="1:41">
      <c r="A21" s="53"/>
      <c r="B21" s="49" t="s">
        <v>42</v>
      </c>
      <c r="C21" s="56" t="s">
        <v>61</v>
      </c>
      <c r="D21" s="50">
        <v>0.5</v>
      </c>
      <c r="E21" s="50">
        <v>0.03</v>
      </c>
      <c r="F21" s="50">
        <v>-0.03</v>
      </c>
      <c r="G21" s="50">
        <v>0.53</v>
      </c>
      <c r="H21" s="50">
        <v>0.47</v>
      </c>
      <c r="I21" s="50" t="s">
        <v>58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7">IF(J21="","",IF(J21&gt;($D21+$E21),(J21-$D21-$E21),IF(J21&lt;($D21+$F21),(J21-$D21-$F21),"√")))</f>
        <v/>
      </c>
      <c r="AA21" s="52" t="str">
        <f t="shared" si="17"/>
        <v/>
      </c>
      <c r="AB21" s="52" t="str">
        <f t="shared" si="17"/>
        <v/>
      </c>
      <c r="AC21" s="52" t="str">
        <f t="shared" si="17"/>
        <v/>
      </c>
      <c r="AD21" s="52" t="str">
        <f t="shared" si="17"/>
        <v/>
      </c>
      <c r="AE21" s="52" t="str">
        <f t="shared" si="17"/>
        <v/>
      </c>
      <c r="AF21" s="52" t="str">
        <f t="shared" si="17"/>
        <v/>
      </c>
      <c r="AG21" s="52" t="str">
        <f t="shared" si="17"/>
        <v/>
      </c>
      <c r="AH21" s="52" t="str">
        <f t="shared" si="17"/>
        <v/>
      </c>
      <c r="AI21" s="52" t="str">
        <f t="shared" si="17"/>
        <v/>
      </c>
      <c r="AJ21" s="52" t="str">
        <f t="shared" si="17"/>
        <v/>
      </c>
      <c r="AK21" s="52" t="str">
        <f t="shared" si="17"/>
        <v/>
      </c>
      <c r="AL21" s="52" t="str">
        <f t="shared" si="17"/>
        <v/>
      </c>
      <c r="AM21" s="52" t="str">
        <f t="shared" si="17"/>
        <v/>
      </c>
      <c r="AN21" s="52" t="str">
        <f t="shared" si="17"/>
        <v/>
      </c>
      <c r="AO21" s="52" t="str">
        <f t="shared" si="17"/>
        <v/>
      </c>
    </row>
    <row r="22" ht="15" customHeight="1" spans="1:41">
      <c r="A22" s="53"/>
      <c r="B22" s="54" t="s">
        <v>62</v>
      </c>
      <c r="C22" s="55"/>
      <c r="D22" s="50">
        <v>1</v>
      </c>
      <c r="E22" s="50">
        <v>0.03</v>
      </c>
      <c r="F22" s="50">
        <v>-0.03</v>
      </c>
      <c r="G22" s="50">
        <f t="shared" ref="G22:G87" si="18">D22+E22</f>
        <v>1.03</v>
      </c>
      <c r="H22" s="50">
        <f t="shared" ref="H22:H87" si="19">D22+F22</f>
        <v>0.97</v>
      </c>
      <c r="I22" s="50" t="s">
        <v>58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20">IF(J22="","",IF(J22&gt;($D22+$E22),(J22-$D22-$E22),IF(J22&lt;($D22+$F22),(J22-$D22-$F22),"√")))</f>
        <v/>
      </c>
      <c r="AA22" s="52" t="str">
        <f t="shared" si="20"/>
        <v/>
      </c>
      <c r="AB22" s="52" t="str">
        <f t="shared" si="20"/>
        <v/>
      </c>
      <c r="AC22" s="52" t="str">
        <f t="shared" si="20"/>
        <v/>
      </c>
      <c r="AD22" s="52" t="str">
        <f t="shared" si="20"/>
        <v/>
      </c>
      <c r="AE22" s="52" t="str">
        <f t="shared" si="20"/>
        <v/>
      </c>
      <c r="AF22" s="52" t="str">
        <f t="shared" si="20"/>
        <v/>
      </c>
      <c r="AG22" s="52" t="str">
        <f t="shared" si="20"/>
        <v/>
      </c>
      <c r="AH22" s="52" t="str">
        <f t="shared" si="20"/>
        <v/>
      </c>
      <c r="AI22" s="52" t="str">
        <f t="shared" si="20"/>
        <v/>
      </c>
      <c r="AJ22" s="52" t="str">
        <f t="shared" si="20"/>
        <v/>
      </c>
      <c r="AK22" s="52" t="str">
        <f t="shared" si="20"/>
        <v/>
      </c>
      <c r="AL22" s="52" t="str">
        <f t="shared" si="20"/>
        <v/>
      </c>
      <c r="AM22" s="52" t="str">
        <f t="shared" si="20"/>
        <v/>
      </c>
      <c r="AN22" s="52" t="str">
        <f t="shared" si="20"/>
        <v/>
      </c>
      <c r="AO22" s="52" t="str">
        <f t="shared" si="20"/>
        <v/>
      </c>
    </row>
    <row r="23" ht="15" customHeight="1" spans="1:41">
      <c r="A23" s="53"/>
      <c r="B23" s="54" t="s">
        <v>63</v>
      </c>
      <c r="C23" s="55"/>
      <c r="D23" s="50">
        <v>1.03</v>
      </c>
      <c r="E23" s="50">
        <v>0.03</v>
      </c>
      <c r="F23" s="50">
        <v>-0.03</v>
      </c>
      <c r="G23" s="50">
        <v>1.06</v>
      </c>
      <c r="H23" s="50">
        <v>1</v>
      </c>
      <c r="I23" s="50" t="s">
        <v>58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21">IF(J23="","",IF(J23&gt;($D23+$E23),(J23-$D23-$E23),IF(J23&lt;($D23+$F23),(J23-$D23-$F23),"√")))</f>
        <v/>
      </c>
      <c r="AA23" s="52" t="str">
        <f t="shared" si="21"/>
        <v/>
      </c>
      <c r="AB23" s="52" t="str">
        <f t="shared" si="21"/>
        <v/>
      </c>
      <c r="AC23" s="52" t="str">
        <f t="shared" si="21"/>
        <v/>
      </c>
      <c r="AD23" s="52" t="str">
        <f t="shared" si="21"/>
        <v/>
      </c>
      <c r="AE23" s="52" t="str">
        <f t="shared" si="21"/>
        <v/>
      </c>
      <c r="AF23" s="52" t="str">
        <f t="shared" si="21"/>
        <v/>
      </c>
      <c r="AG23" s="52" t="str">
        <f t="shared" si="21"/>
        <v/>
      </c>
      <c r="AH23" s="52" t="str">
        <f t="shared" si="21"/>
        <v/>
      </c>
      <c r="AI23" s="52" t="str">
        <f t="shared" si="21"/>
        <v/>
      </c>
      <c r="AJ23" s="52" t="str">
        <f t="shared" si="21"/>
        <v/>
      </c>
      <c r="AK23" s="52" t="str">
        <f t="shared" si="21"/>
        <v/>
      </c>
      <c r="AL23" s="52" t="str">
        <f t="shared" si="21"/>
        <v/>
      </c>
      <c r="AM23" s="52" t="str">
        <f t="shared" si="21"/>
        <v/>
      </c>
      <c r="AN23" s="52" t="str">
        <f t="shared" si="21"/>
        <v/>
      </c>
      <c r="AO23" s="52" t="str">
        <f t="shared" si="21"/>
        <v/>
      </c>
    </row>
    <row r="24" ht="15" customHeight="1" spans="1:41">
      <c r="A24" s="53"/>
      <c r="B24" s="54" t="s">
        <v>64</v>
      </c>
      <c r="C24" s="55"/>
      <c r="D24" s="50">
        <v>0.89</v>
      </c>
      <c r="E24" s="50">
        <v>0.03</v>
      </c>
      <c r="F24" s="50">
        <v>-0.03</v>
      </c>
      <c r="G24" s="50">
        <v>0.92</v>
      </c>
      <c r="H24" s="50">
        <v>0.86</v>
      </c>
      <c r="I24" s="50" t="s">
        <v>58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2">IF(J24="","",IF(J24&gt;($D24+$E24),(J24-$D24-$E24),IF(J24&lt;($D24+$F24),(J24-$D24-$F24),"√")))</f>
        <v/>
      </c>
      <c r="AA24" s="52" t="str">
        <f t="shared" si="22"/>
        <v/>
      </c>
      <c r="AB24" s="52" t="str">
        <f t="shared" si="22"/>
        <v/>
      </c>
      <c r="AC24" s="52" t="str">
        <f t="shared" si="22"/>
        <v/>
      </c>
      <c r="AD24" s="52" t="str">
        <f t="shared" si="22"/>
        <v/>
      </c>
      <c r="AE24" s="52" t="str">
        <f t="shared" si="22"/>
        <v/>
      </c>
      <c r="AF24" s="52" t="str">
        <f t="shared" si="22"/>
        <v/>
      </c>
      <c r="AG24" s="52" t="str">
        <f t="shared" si="22"/>
        <v/>
      </c>
      <c r="AH24" s="52" t="str">
        <f t="shared" si="22"/>
        <v/>
      </c>
      <c r="AI24" s="52" t="str">
        <f t="shared" si="22"/>
        <v/>
      </c>
      <c r="AJ24" s="52" t="str">
        <f t="shared" si="22"/>
        <v/>
      </c>
      <c r="AK24" s="52" t="str">
        <f t="shared" si="22"/>
        <v/>
      </c>
      <c r="AL24" s="52" t="str">
        <f t="shared" si="22"/>
        <v/>
      </c>
      <c r="AM24" s="52" t="str">
        <f t="shared" si="22"/>
        <v/>
      </c>
      <c r="AN24" s="52" t="str">
        <f t="shared" si="22"/>
        <v/>
      </c>
      <c r="AO24" s="52" t="str">
        <f t="shared" si="22"/>
        <v/>
      </c>
    </row>
    <row r="25" ht="15" customHeight="1" spans="1:41">
      <c r="A25" s="53"/>
      <c r="B25" s="54" t="s">
        <v>65</v>
      </c>
      <c r="C25" s="55"/>
      <c r="D25" s="50">
        <v>4.16</v>
      </c>
      <c r="E25" s="50">
        <v>0.05</v>
      </c>
      <c r="F25" s="50">
        <v>-0.05</v>
      </c>
      <c r="G25" s="50">
        <f t="shared" si="18"/>
        <v>4.21</v>
      </c>
      <c r="H25" s="50">
        <f t="shared" si="19"/>
        <v>4.11</v>
      </c>
      <c r="I25" s="50" t="s">
        <v>58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3">IF(J25="","",IF(J25&gt;($D25+$E25),(J25-$D25-$E25),IF(J25&lt;($D25+$F25),(J25-$D25-$F25),"√")))</f>
        <v/>
      </c>
      <c r="AA25" s="52" t="str">
        <f t="shared" si="23"/>
        <v/>
      </c>
      <c r="AB25" s="52" t="str">
        <f t="shared" si="23"/>
        <v/>
      </c>
      <c r="AC25" s="52" t="str">
        <f t="shared" si="23"/>
        <v/>
      </c>
      <c r="AD25" s="52" t="str">
        <f t="shared" si="23"/>
        <v/>
      </c>
      <c r="AE25" s="52" t="str">
        <f t="shared" si="23"/>
        <v/>
      </c>
      <c r="AF25" s="52" t="str">
        <f t="shared" si="23"/>
        <v/>
      </c>
      <c r="AG25" s="52" t="str">
        <f t="shared" si="23"/>
        <v/>
      </c>
      <c r="AH25" s="52" t="str">
        <f t="shared" si="23"/>
        <v/>
      </c>
      <c r="AI25" s="52" t="str">
        <f t="shared" si="23"/>
        <v/>
      </c>
      <c r="AJ25" s="52" t="str">
        <f t="shared" si="23"/>
        <v/>
      </c>
      <c r="AK25" s="52" t="str">
        <f t="shared" si="23"/>
        <v/>
      </c>
      <c r="AL25" s="52" t="str">
        <f t="shared" si="23"/>
        <v/>
      </c>
      <c r="AM25" s="52" t="str">
        <f t="shared" si="23"/>
        <v/>
      </c>
      <c r="AN25" s="52" t="str">
        <f t="shared" si="23"/>
        <v/>
      </c>
      <c r="AO25" s="52" t="str">
        <f t="shared" si="23"/>
        <v/>
      </c>
    </row>
    <row r="26" ht="15" customHeight="1" spans="1:41">
      <c r="A26" s="53"/>
      <c r="B26" s="54" t="s">
        <v>66</v>
      </c>
      <c r="C26" s="55"/>
      <c r="D26" s="50">
        <v>4.19</v>
      </c>
      <c r="E26" s="50">
        <v>0.05</v>
      </c>
      <c r="F26" s="50">
        <v>-0.05</v>
      </c>
      <c r="G26" s="50">
        <f t="shared" si="18"/>
        <v>4.24</v>
      </c>
      <c r="H26" s="50">
        <f t="shared" si="19"/>
        <v>4.14</v>
      </c>
      <c r="I26" s="50" t="s">
        <v>58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4">IF(J26="","",IF(J26&gt;($D26+$E26),(J26-$D26-$E26),IF(J26&lt;($D26+$F26),(J26-$D26-$F26),"√")))</f>
        <v/>
      </c>
      <c r="AA26" s="52" t="str">
        <f t="shared" si="24"/>
        <v/>
      </c>
      <c r="AB26" s="52" t="str">
        <f t="shared" si="24"/>
        <v/>
      </c>
      <c r="AC26" s="52" t="str">
        <f t="shared" si="24"/>
        <v/>
      </c>
      <c r="AD26" s="52" t="str">
        <f t="shared" si="24"/>
        <v/>
      </c>
      <c r="AE26" s="52" t="str">
        <f t="shared" si="24"/>
        <v/>
      </c>
      <c r="AF26" s="52" t="str">
        <f t="shared" si="24"/>
        <v/>
      </c>
      <c r="AG26" s="52" t="str">
        <f t="shared" si="24"/>
        <v/>
      </c>
      <c r="AH26" s="52" t="str">
        <f t="shared" si="24"/>
        <v/>
      </c>
      <c r="AI26" s="52" t="str">
        <f t="shared" si="24"/>
        <v/>
      </c>
      <c r="AJ26" s="52" t="str">
        <f t="shared" si="24"/>
        <v/>
      </c>
      <c r="AK26" s="52" t="str">
        <f t="shared" si="24"/>
        <v/>
      </c>
      <c r="AL26" s="52" t="str">
        <f t="shared" si="24"/>
        <v/>
      </c>
      <c r="AM26" s="52" t="str">
        <f t="shared" si="24"/>
        <v/>
      </c>
      <c r="AN26" s="52" t="str">
        <f t="shared" si="24"/>
        <v/>
      </c>
      <c r="AO26" s="52" t="str">
        <f t="shared" si="24"/>
        <v/>
      </c>
    </row>
    <row r="27" ht="15" customHeight="1" spans="1:41">
      <c r="A27" s="53"/>
      <c r="B27" s="54" t="s">
        <v>67</v>
      </c>
      <c r="C27" s="55"/>
      <c r="D27" s="50">
        <v>8.2</v>
      </c>
      <c r="E27" s="50">
        <v>0.05</v>
      </c>
      <c r="F27" s="50">
        <v>-0.05</v>
      </c>
      <c r="G27" s="50">
        <f t="shared" si="18"/>
        <v>8.25</v>
      </c>
      <c r="H27" s="50">
        <f t="shared" si="19"/>
        <v>8.15</v>
      </c>
      <c r="I27" s="50" t="s">
        <v>58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5">IF(J27="","",IF(J27&gt;($D27+$E27),(J27-$D27-$E27),IF(J27&lt;($D27+$F27),(J27-$D27-$F27),"√")))</f>
        <v/>
      </c>
      <c r="AA27" s="52" t="str">
        <f t="shared" si="25"/>
        <v/>
      </c>
      <c r="AB27" s="52" t="str">
        <f t="shared" si="25"/>
        <v/>
      </c>
      <c r="AC27" s="52" t="str">
        <f t="shared" si="25"/>
        <v/>
      </c>
      <c r="AD27" s="52" t="str">
        <f t="shared" si="25"/>
        <v/>
      </c>
      <c r="AE27" s="52" t="str">
        <f t="shared" si="25"/>
        <v/>
      </c>
      <c r="AF27" s="52" t="str">
        <f t="shared" si="25"/>
        <v/>
      </c>
      <c r="AG27" s="52" t="str">
        <f t="shared" si="25"/>
        <v/>
      </c>
      <c r="AH27" s="52" t="str">
        <f t="shared" si="25"/>
        <v/>
      </c>
      <c r="AI27" s="52" t="str">
        <f t="shared" si="25"/>
        <v/>
      </c>
      <c r="AJ27" s="52" t="str">
        <f t="shared" si="25"/>
        <v/>
      </c>
      <c r="AK27" s="52" t="str">
        <f t="shared" si="25"/>
        <v/>
      </c>
      <c r="AL27" s="52" t="str">
        <f t="shared" si="25"/>
        <v/>
      </c>
      <c r="AM27" s="52" t="str">
        <f t="shared" si="25"/>
        <v/>
      </c>
      <c r="AN27" s="52" t="str">
        <f t="shared" si="25"/>
        <v/>
      </c>
      <c r="AO27" s="52" t="str">
        <f t="shared" si="25"/>
        <v/>
      </c>
    </row>
    <row r="28" ht="15" customHeight="1" spans="1:41">
      <c r="A28" s="53"/>
      <c r="B28" s="54" t="s">
        <v>68</v>
      </c>
      <c r="C28" s="55"/>
      <c r="D28" s="50">
        <v>2.69</v>
      </c>
      <c r="E28" s="50">
        <v>0.03</v>
      </c>
      <c r="F28" s="50">
        <v>-0.03</v>
      </c>
      <c r="G28" s="50">
        <f t="shared" si="18"/>
        <v>2.72</v>
      </c>
      <c r="H28" s="50">
        <f t="shared" si="19"/>
        <v>2.66</v>
      </c>
      <c r="I28" s="50" t="s">
        <v>58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6">IF(J28="","",IF(J28&gt;($D28+$E28),(J28-$D28-$E28),IF(J28&lt;($D28+$F28),(J28-$D28-$F28),"√")))</f>
        <v/>
      </c>
      <c r="AA28" s="52" t="str">
        <f t="shared" si="26"/>
        <v/>
      </c>
      <c r="AB28" s="52" t="str">
        <f t="shared" si="26"/>
        <v/>
      </c>
      <c r="AC28" s="52" t="str">
        <f t="shared" si="26"/>
        <v/>
      </c>
      <c r="AD28" s="52" t="str">
        <f t="shared" si="26"/>
        <v/>
      </c>
      <c r="AE28" s="52" t="str">
        <f t="shared" si="26"/>
        <v/>
      </c>
      <c r="AF28" s="52" t="str">
        <f t="shared" si="26"/>
        <v/>
      </c>
      <c r="AG28" s="52" t="str">
        <f t="shared" si="26"/>
        <v/>
      </c>
      <c r="AH28" s="52" t="str">
        <f t="shared" si="26"/>
        <v/>
      </c>
      <c r="AI28" s="52" t="str">
        <f t="shared" si="26"/>
        <v/>
      </c>
      <c r="AJ28" s="52" t="str">
        <f t="shared" si="26"/>
        <v/>
      </c>
      <c r="AK28" s="52" t="str">
        <f t="shared" si="26"/>
        <v/>
      </c>
      <c r="AL28" s="52" t="str">
        <f t="shared" si="26"/>
        <v/>
      </c>
      <c r="AM28" s="52" t="str">
        <f t="shared" si="26"/>
        <v/>
      </c>
      <c r="AN28" s="52" t="str">
        <f t="shared" si="26"/>
        <v/>
      </c>
      <c r="AO28" s="52" t="str">
        <f t="shared" si="26"/>
        <v/>
      </c>
    </row>
    <row r="29" ht="15" customHeight="1" spans="1:41">
      <c r="A29" s="53"/>
      <c r="B29" s="54" t="s">
        <v>69</v>
      </c>
      <c r="C29" s="55"/>
      <c r="D29" s="50">
        <v>5.58</v>
      </c>
      <c r="E29" s="50">
        <v>0.03</v>
      </c>
      <c r="F29" s="50">
        <v>-0.03</v>
      </c>
      <c r="G29" s="50">
        <f t="shared" si="18"/>
        <v>5.61</v>
      </c>
      <c r="H29" s="50">
        <f t="shared" si="19"/>
        <v>5.55</v>
      </c>
      <c r="I29" s="50" t="s">
        <v>58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7">IF(J29="","",IF(J29&gt;($D29+$E29),(J29-$D29-$E29),IF(J29&lt;($D29+$F29),(J29-$D29-$F29),"√")))</f>
        <v/>
      </c>
      <c r="AA29" s="52" t="str">
        <f t="shared" si="27"/>
        <v/>
      </c>
      <c r="AB29" s="52" t="str">
        <f t="shared" si="27"/>
        <v/>
      </c>
      <c r="AC29" s="52" t="str">
        <f t="shared" si="27"/>
        <v/>
      </c>
      <c r="AD29" s="52" t="str">
        <f t="shared" si="27"/>
        <v/>
      </c>
      <c r="AE29" s="52" t="str">
        <f t="shared" si="27"/>
        <v/>
      </c>
      <c r="AF29" s="52" t="str">
        <f t="shared" si="27"/>
        <v/>
      </c>
      <c r="AG29" s="52" t="str">
        <f t="shared" si="27"/>
        <v/>
      </c>
      <c r="AH29" s="52" t="str">
        <f t="shared" si="27"/>
        <v/>
      </c>
      <c r="AI29" s="52" t="str">
        <f t="shared" si="27"/>
        <v/>
      </c>
      <c r="AJ29" s="52" t="str">
        <f t="shared" si="27"/>
        <v/>
      </c>
      <c r="AK29" s="52" t="str">
        <f t="shared" si="27"/>
        <v/>
      </c>
      <c r="AL29" s="52" t="str">
        <f t="shared" si="27"/>
        <v/>
      </c>
      <c r="AM29" s="52" t="str">
        <f t="shared" si="27"/>
        <v/>
      </c>
      <c r="AN29" s="52" t="str">
        <f t="shared" si="27"/>
        <v/>
      </c>
      <c r="AO29" s="52" t="str">
        <f t="shared" si="27"/>
        <v/>
      </c>
    </row>
    <row r="30" ht="15" customHeight="1" spans="1:41">
      <c r="A30" s="53"/>
      <c r="B30" s="54" t="s">
        <v>70</v>
      </c>
      <c r="C30" s="55"/>
      <c r="D30" s="50">
        <v>0.4</v>
      </c>
      <c r="E30" s="50">
        <v>0.03</v>
      </c>
      <c r="F30" s="50">
        <v>-0.03</v>
      </c>
      <c r="G30" s="50">
        <f t="shared" si="18"/>
        <v>0.43</v>
      </c>
      <c r="H30" s="50">
        <f t="shared" si="19"/>
        <v>0.37</v>
      </c>
      <c r="I30" s="50" t="s">
        <v>58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28">IF(J30="","",IF(J30&gt;($D30+$E30),(J30-$D30-$E30),IF(J30&lt;($D30+$F30),(J30-$D30-$F30),"√")))</f>
        <v/>
      </c>
      <c r="AA30" s="52" t="str">
        <f t="shared" si="28"/>
        <v/>
      </c>
      <c r="AB30" s="52" t="str">
        <f t="shared" si="28"/>
        <v/>
      </c>
      <c r="AC30" s="52" t="str">
        <f t="shared" si="28"/>
        <v/>
      </c>
      <c r="AD30" s="52" t="str">
        <f t="shared" si="28"/>
        <v/>
      </c>
      <c r="AE30" s="52" t="str">
        <f t="shared" si="28"/>
        <v/>
      </c>
      <c r="AF30" s="52" t="str">
        <f t="shared" si="28"/>
        <v/>
      </c>
      <c r="AG30" s="52" t="str">
        <f t="shared" si="28"/>
        <v/>
      </c>
      <c r="AH30" s="52" t="str">
        <f t="shared" si="28"/>
        <v/>
      </c>
      <c r="AI30" s="52" t="str">
        <f t="shared" si="28"/>
        <v/>
      </c>
      <c r="AJ30" s="52" t="str">
        <f t="shared" si="28"/>
        <v/>
      </c>
      <c r="AK30" s="52" t="str">
        <f t="shared" si="28"/>
        <v/>
      </c>
      <c r="AL30" s="52" t="str">
        <f t="shared" si="28"/>
        <v/>
      </c>
      <c r="AM30" s="52" t="str">
        <f t="shared" si="28"/>
        <v/>
      </c>
      <c r="AN30" s="52" t="str">
        <f t="shared" si="28"/>
        <v/>
      </c>
      <c r="AO30" s="52" t="str">
        <f t="shared" si="28"/>
        <v/>
      </c>
    </row>
    <row r="31" ht="15" customHeight="1" spans="1:41">
      <c r="A31" s="53"/>
      <c r="B31" s="54" t="s">
        <v>71</v>
      </c>
      <c r="C31" s="55"/>
      <c r="D31" s="50">
        <v>0.4</v>
      </c>
      <c r="E31" s="50">
        <v>0.03</v>
      </c>
      <c r="F31" s="50">
        <v>-0.03</v>
      </c>
      <c r="G31" s="50">
        <f t="shared" si="18"/>
        <v>0.43</v>
      </c>
      <c r="H31" s="50">
        <f t="shared" si="19"/>
        <v>0.37</v>
      </c>
      <c r="I31" s="50" t="s">
        <v>58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1" si="29">IF(J31="","",IF(J31&gt;($D31+$E31),(J31-$D31-$E31),IF(J31&lt;($D31+$F31),(J31-$D31-$F31),"√")))</f>
        <v/>
      </c>
      <c r="AA31" s="52" t="str">
        <f t="shared" si="29"/>
        <v/>
      </c>
      <c r="AB31" s="52" t="str">
        <f t="shared" si="29"/>
        <v/>
      </c>
      <c r="AC31" s="52" t="str">
        <f t="shared" si="29"/>
        <v/>
      </c>
      <c r="AD31" s="52" t="str">
        <f t="shared" si="29"/>
        <v/>
      </c>
      <c r="AE31" s="52" t="str">
        <f t="shared" si="29"/>
        <v/>
      </c>
      <c r="AF31" s="52" t="str">
        <f t="shared" si="29"/>
        <v/>
      </c>
      <c r="AG31" s="52" t="str">
        <f t="shared" si="29"/>
        <v/>
      </c>
      <c r="AH31" s="52" t="str">
        <f t="shared" si="29"/>
        <v/>
      </c>
      <c r="AI31" s="52" t="str">
        <f t="shared" si="29"/>
        <v/>
      </c>
      <c r="AJ31" s="52" t="str">
        <f t="shared" si="29"/>
        <v/>
      </c>
      <c r="AK31" s="52" t="str">
        <f t="shared" si="29"/>
        <v/>
      </c>
      <c r="AL31" s="52" t="str">
        <f t="shared" si="29"/>
        <v/>
      </c>
      <c r="AM31" s="52" t="str">
        <f t="shared" si="29"/>
        <v/>
      </c>
      <c r="AN31" s="52" t="str">
        <f t="shared" si="29"/>
        <v/>
      </c>
      <c r="AO31" s="52" t="str">
        <f t="shared" si="29"/>
        <v/>
      </c>
    </row>
    <row r="32" ht="15" customHeight="1" spans="1:41">
      <c r="A32" s="53"/>
      <c r="B32" s="54" t="s">
        <v>72</v>
      </c>
      <c r="C32" s="55" t="s">
        <v>73</v>
      </c>
      <c r="D32" s="50">
        <v>3.34</v>
      </c>
      <c r="E32" s="50">
        <v>0.03</v>
      </c>
      <c r="F32" s="50">
        <v>-0.03</v>
      </c>
      <c r="G32" s="50">
        <f t="shared" si="18"/>
        <v>3.37</v>
      </c>
      <c r="H32" s="50">
        <f t="shared" si="19"/>
        <v>3.31</v>
      </c>
      <c r="I32" s="50" t="s">
        <v>58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2" t="str">
        <f t="shared" ref="Z32:AO32" si="30">IF(J32="","",IF(J32&gt;($D32+$E32),(J32-$D32-$E32),IF(J32&lt;($D32+$F32),(J32-$D32-$F32),"√")))</f>
        <v/>
      </c>
      <c r="AA32" s="52" t="str">
        <f t="shared" si="30"/>
        <v/>
      </c>
      <c r="AB32" s="52" t="str">
        <f t="shared" si="30"/>
        <v/>
      </c>
      <c r="AC32" s="52" t="str">
        <f t="shared" si="30"/>
        <v/>
      </c>
      <c r="AD32" s="52" t="str">
        <f t="shared" si="30"/>
        <v/>
      </c>
      <c r="AE32" s="52" t="str">
        <f t="shared" si="30"/>
        <v/>
      </c>
      <c r="AF32" s="52" t="str">
        <f t="shared" si="30"/>
        <v/>
      </c>
      <c r="AG32" s="52" t="str">
        <f t="shared" si="30"/>
        <v/>
      </c>
      <c r="AH32" s="52" t="str">
        <f t="shared" si="30"/>
        <v/>
      </c>
      <c r="AI32" s="52" t="str">
        <f t="shared" si="30"/>
        <v/>
      </c>
      <c r="AJ32" s="52" t="str">
        <f t="shared" si="30"/>
        <v/>
      </c>
      <c r="AK32" s="52" t="str">
        <f t="shared" si="30"/>
        <v/>
      </c>
      <c r="AL32" s="52" t="str">
        <f t="shared" si="30"/>
        <v/>
      </c>
      <c r="AM32" s="52" t="str">
        <f t="shared" si="30"/>
        <v/>
      </c>
      <c r="AN32" s="52" t="str">
        <f t="shared" si="30"/>
        <v/>
      </c>
      <c r="AO32" s="52" t="str">
        <f t="shared" si="30"/>
        <v/>
      </c>
    </row>
    <row r="33" ht="15" customHeight="1" spans="1:41">
      <c r="A33" s="53"/>
      <c r="B33" s="54" t="s">
        <v>74</v>
      </c>
      <c r="C33" s="55" t="s">
        <v>75</v>
      </c>
      <c r="D33" s="50">
        <v>1.57</v>
      </c>
      <c r="E33" s="50">
        <v>0.03</v>
      </c>
      <c r="F33" s="50">
        <v>-0.03</v>
      </c>
      <c r="G33" s="50">
        <f t="shared" si="18"/>
        <v>1.6</v>
      </c>
      <c r="H33" s="50">
        <f t="shared" si="19"/>
        <v>1.54</v>
      </c>
      <c r="I33" s="50" t="s">
        <v>58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31">IF(J33="","",IF(J33&gt;($D33+$E33),(J33-$D33-$E33),IF(J33&lt;($D33+$F33),(J33-$D33-$F33),"√")))</f>
        <v/>
      </c>
      <c r="AA33" s="52" t="str">
        <f t="shared" si="31"/>
        <v/>
      </c>
      <c r="AB33" s="52" t="str">
        <f t="shared" si="31"/>
        <v/>
      </c>
      <c r="AC33" s="52" t="str">
        <f t="shared" si="31"/>
        <v/>
      </c>
      <c r="AD33" s="52" t="str">
        <f t="shared" si="31"/>
        <v/>
      </c>
      <c r="AE33" s="52" t="str">
        <f t="shared" si="31"/>
        <v/>
      </c>
      <c r="AF33" s="52" t="str">
        <f t="shared" si="31"/>
        <v/>
      </c>
      <c r="AG33" s="52" t="str">
        <f t="shared" si="31"/>
        <v/>
      </c>
      <c r="AH33" s="52" t="str">
        <f t="shared" si="31"/>
        <v/>
      </c>
      <c r="AI33" s="52" t="str">
        <f t="shared" si="31"/>
        <v/>
      </c>
      <c r="AJ33" s="52" t="str">
        <f t="shared" si="31"/>
        <v/>
      </c>
      <c r="AK33" s="52" t="str">
        <f t="shared" si="31"/>
        <v/>
      </c>
      <c r="AL33" s="52" t="str">
        <f t="shared" si="31"/>
        <v/>
      </c>
      <c r="AM33" s="52" t="str">
        <f t="shared" si="31"/>
        <v/>
      </c>
      <c r="AN33" s="52" t="str">
        <f t="shared" si="31"/>
        <v/>
      </c>
      <c r="AO33" s="52" t="str">
        <f t="shared" si="31"/>
        <v/>
      </c>
    </row>
    <row r="34" ht="15" customHeight="1" spans="1:41">
      <c r="A34" s="53"/>
      <c r="B34" s="54" t="s">
        <v>76</v>
      </c>
      <c r="C34" s="55"/>
      <c r="D34" s="50">
        <v>1.17</v>
      </c>
      <c r="E34" s="50">
        <v>0.03</v>
      </c>
      <c r="F34" s="50">
        <v>-0.03</v>
      </c>
      <c r="G34" s="50">
        <f t="shared" si="18"/>
        <v>1.2</v>
      </c>
      <c r="H34" s="50">
        <f t="shared" si="19"/>
        <v>1.14</v>
      </c>
      <c r="I34" s="50" t="s">
        <v>58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2">IF(J34="","",IF(J34&gt;($D34+$E34),(J34-$D34-$E34),IF(J34&lt;($D34+$F34),(J34-$D34-$F34),"√")))</f>
        <v/>
      </c>
      <c r="AA34" s="52" t="str">
        <f t="shared" si="32"/>
        <v/>
      </c>
      <c r="AB34" s="52" t="str">
        <f t="shared" si="32"/>
        <v/>
      </c>
      <c r="AC34" s="52" t="str">
        <f t="shared" si="32"/>
        <v/>
      </c>
      <c r="AD34" s="52" t="str">
        <f t="shared" si="32"/>
        <v/>
      </c>
      <c r="AE34" s="52" t="str">
        <f t="shared" si="32"/>
        <v/>
      </c>
      <c r="AF34" s="52" t="str">
        <f t="shared" si="32"/>
        <v/>
      </c>
      <c r="AG34" s="52" t="str">
        <f t="shared" si="32"/>
        <v/>
      </c>
      <c r="AH34" s="52" t="str">
        <f t="shared" si="32"/>
        <v/>
      </c>
      <c r="AI34" s="52" t="str">
        <f t="shared" si="32"/>
        <v/>
      </c>
      <c r="AJ34" s="52" t="str">
        <f t="shared" si="32"/>
        <v/>
      </c>
      <c r="AK34" s="52" t="str">
        <f t="shared" si="32"/>
        <v/>
      </c>
      <c r="AL34" s="52" t="str">
        <f t="shared" si="32"/>
        <v/>
      </c>
      <c r="AM34" s="52" t="str">
        <f t="shared" si="32"/>
        <v/>
      </c>
      <c r="AN34" s="52" t="str">
        <f t="shared" si="32"/>
        <v/>
      </c>
      <c r="AO34" s="52" t="str">
        <f t="shared" si="32"/>
        <v/>
      </c>
    </row>
    <row r="35" ht="15" customHeight="1" spans="1:41">
      <c r="A35" s="53"/>
      <c r="B35" s="54" t="s">
        <v>77</v>
      </c>
      <c r="C35" s="55"/>
      <c r="D35" s="50">
        <v>2.1</v>
      </c>
      <c r="E35" s="50">
        <v>0.03</v>
      </c>
      <c r="F35" s="50">
        <v>-0.03</v>
      </c>
      <c r="G35" s="50">
        <f t="shared" si="18"/>
        <v>2.13</v>
      </c>
      <c r="H35" s="50">
        <f t="shared" si="19"/>
        <v>2.07</v>
      </c>
      <c r="I35" s="50" t="s">
        <v>58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3">IF(J35="","",IF(J35&gt;($D35+$E35),(J35-$D35-$E35),IF(J35&lt;($D35+$F35),(J35-$D35-$F35),"√")))</f>
        <v/>
      </c>
      <c r="AA35" s="52" t="str">
        <f t="shared" si="33"/>
        <v/>
      </c>
      <c r="AB35" s="52" t="str">
        <f t="shared" si="33"/>
        <v/>
      </c>
      <c r="AC35" s="52" t="str">
        <f t="shared" si="33"/>
        <v/>
      </c>
      <c r="AD35" s="52" t="str">
        <f t="shared" si="33"/>
        <v/>
      </c>
      <c r="AE35" s="52" t="str">
        <f t="shared" si="33"/>
        <v/>
      </c>
      <c r="AF35" s="52" t="str">
        <f t="shared" si="33"/>
        <v/>
      </c>
      <c r="AG35" s="52" t="str">
        <f t="shared" si="33"/>
        <v/>
      </c>
      <c r="AH35" s="52" t="str">
        <f t="shared" si="33"/>
        <v/>
      </c>
      <c r="AI35" s="52" t="str">
        <f t="shared" si="33"/>
        <v/>
      </c>
      <c r="AJ35" s="52" t="str">
        <f t="shared" si="33"/>
        <v/>
      </c>
      <c r="AK35" s="52" t="str">
        <f t="shared" si="33"/>
        <v/>
      </c>
      <c r="AL35" s="52" t="str">
        <f t="shared" si="33"/>
        <v/>
      </c>
      <c r="AM35" s="52" t="str">
        <f t="shared" si="33"/>
        <v/>
      </c>
      <c r="AN35" s="52" t="str">
        <f t="shared" si="33"/>
        <v/>
      </c>
      <c r="AO35" s="52" t="str">
        <f t="shared" si="33"/>
        <v/>
      </c>
    </row>
    <row r="36" ht="15" customHeight="1" spans="1:41">
      <c r="A36" s="53"/>
      <c r="B36" s="54" t="s">
        <v>78</v>
      </c>
      <c r="C36" s="55" t="s">
        <v>79</v>
      </c>
      <c r="D36" s="50">
        <v>0</v>
      </c>
      <c r="E36" s="50">
        <v>0.05</v>
      </c>
      <c r="F36" s="50">
        <v>0</v>
      </c>
      <c r="G36" s="50">
        <f t="shared" si="18"/>
        <v>0.05</v>
      </c>
      <c r="H36" s="50">
        <f t="shared" si="19"/>
        <v>0</v>
      </c>
      <c r="I36" s="50" t="s">
        <v>58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4">IF(J36="","",IF(J36&gt;($D36+$E36),(J36-$D36-$E36),IF(J36&lt;($D36+$F36),(J36-$D36-$F36),"√")))</f>
        <v/>
      </c>
      <c r="AA36" s="52" t="str">
        <f t="shared" si="34"/>
        <v/>
      </c>
      <c r="AB36" s="52" t="str">
        <f t="shared" si="34"/>
        <v/>
      </c>
      <c r="AC36" s="52" t="str">
        <f t="shared" si="34"/>
        <v/>
      </c>
      <c r="AD36" s="52" t="str">
        <f t="shared" si="34"/>
        <v/>
      </c>
      <c r="AE36" s="52" t="str">
        <f t="shared" si="34"/>
        <v/>
      </c>
      <c r="AF36" s="52" t="str">
        <f t="shared" si="34"/>
        <v/>
      </c>
      <c r="AG36" s="52" t="str">
        <f t="shared" si="34"/>
        <v/>
      </c>
      <c r="AH36" s="52" t="str">
        <f t="shared" si="34"/>
        <v/>
      </c>
      <c r="AI36" s="52" t="str">
        <f t="shared" si="34"/>
        <v/>
      </c>
      <c r="AJ36" s="52" t="str">
        <f t="shared" si="34"/>
        <v/>
      </c>
      <c r="AK36" s="52" t="str">
        <f t="shared" si="34"/>
        <v/>
      </c>
      <c r="AL36" s="52" t="str">
        <f t="shared" si="34"/>
        <v/>
      </c>
      <c r="AM36" s="52" t="str">
        <f t="shared" si="34"/>
        <v/>
      </c>
      <c r="AN36" s="52" t="str">
        <f t="shared" si="34"/>
        <v/>
      </c>
      <c r="AO36" s="52" t="str">
        <f t="shared" si="34"/>
        <v/>
      </c>
    </row>
    <row r="37" ht="15" customHeight="1" spans="1:41">
      <c r="A37" s="53"/>
      <c r="B37" s="54">
        <v>1</v>
      </c>
      <c r="C37" s="55"/>
      <c r="D37" s="50"/>
      <c r="E37" s="50"/>
      <c r="F37" s="50"/>
      <c r="G37" s="50">
        <f t="shared" si="18"/>
        <v>0</v>
      </c>
      <c r="H37" s="50">
        <f t="shared" si="19"/>
        <v>0</v>
      </c>
      <c r="I37" s="50" t="s">
        <v>58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53"/>
      <c r="B38" s="54">
        <v>2</v>
      </c>
      <c r="C38" s="55"/>
      <c r="D38" s="50"/>
      <c r="E38" s="50"/>
      <c r="F38" s="50"/>
      <c r="G38" s="50">
        <f t="shared" si="18"/>
        <v>0</v>
      </c>
      <c r="H38" s="50">
        <f t="shared" si="19"/>
        <v>0</v>
      </c>
      <c r="I38" s="50" t="s">
        <v>58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53"/>
      <c r="B39" s="54">
        <v>3</v>
      </c>
      <c r="C39" s="55"/>
      <c r="D39" s="50"/>
      <c r="E39" s="50"/>
      <c r="F39" s="50"/>
      <c r="G39" s="50">
        <f t="shared" si="18"/>
        <v>0</v>
      </c>
      <c r="H39" s="50">
        <f t="shared" si="19"/>
        <v>0</v>
      </c>
      <c r="I39" s="50" t="s">
        <v>58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53"/>
      <c r="B40" s="54">
        <v>4</v>
      </c>
      <c r="C40" s="55"/>
      <c r="D40" s="50"/>
      <c r="E40" s="50"/>
      <c r="F40" s="50"/>
      <c r="G40" s="50">
        <f t="shared" si="18"/>
        <v>0</v>
      </c>
      <c r="H40" s="50">
        <f t="shared" si="19"/>
        <v>0</v>
      </c>
      <c r="I40" s="50" t="s">
        <v>58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53"/>
      <c r="B41" s="54">
        <v>5</v>
      </c>
      <c r="C41" s="55"/>
      <c r="D41" s="50"/>
      <c r="E41" s="50"/>
      <c r="F41" s="50"/>
      <c r="G41" s="50">
        <f t="shared" si="18"/>
        <v>0</v>
      </c>
      <c r="H41" s="50">
        <f t="shared" si="19"/>
        <v>0</v>
      </c>
      <c r="I41" s="50" t="s">
        <v>58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53"/>
      <c r="B42" s="54">
        <v>6</v>
      </c>
      <c r="C42" s="55"/>
      <c r="D42" s="50"/>
      <c r="E42" s="50"/>
      <c r="F42" s="50"/>
      <c r="G42" s="50">
        <f t="shared" si="18"/>
        <v>0</v>
      </c>
      <c r="H42" s="50">
        <f t="shared" si="19"/>
        <v>0</v>
      </c>
      <c r="I42" s="50" t="s">
        <v>58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53"/>
      <c r="B43" s="54" t="s">
        <v>80</v>
      </c>
      <c r="C43" s="55" t="s">
        <v>81</v>
      </c>
      <c r="D43" s="50">
        <v>0</v>
      </c>
      <c r="E43" s="50">
        <v>0.04</v>
      </c>
      <c r="F43" s="50">
        <v>0</v>
      </c>
      <c r="G43" s="50">
        <f t="shared" si="18"/>
        <v>0.04</v>
      </c>
      <c r="H43" s="50">
        <f t="shared" si="19"/>
        <v>0</v>
      </c>
      <c r="I43" s="50" t="s">
        <v>58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5">IF(J43="","",IF(J43&gt;($D43+$E43),(J43-$D43-$E43),IF(J43&lt;($D43+$F43),(J43-$D43-$F43),"√")))</f>
        <v/>
      </c>
      <c r="AA43" s="52" t="str">
        <f t="shared" si="35"/>
        <v/>
      </c>
      <c r="AB43" s="52" t="str">
        <f t="shared" si="35"/>
        <v/>
      </c>
      <c r="AC43" s="52" t="str">
        <f t="shared" si="35"/>
        <v/>
      </c>
      <c r="AD43" s="52" t="str">
        <f t="shared" si="35"/>
        <v/>
      </c>
      <c r="AE43" s="52" t="str">
        <f t="shared" si="35"/>
        <v/>
      </c>
      <c r="AF43" s="52" t="str">
        <f t="shared" si="35"/>
        <v/>
      </c>
      <c r="AG43" s="52" t="str">
        <f t="shared" si="35"/>
        <v/>
      </c>
      <c r="AH43" s="52" t="str">
        <f t="shared" si="35"/>
        <v/>
      </c>
      <c r="AI43" s="52" t="str">
        <f t="shared" si="35"/>
        <v/>
      </c>
      <c r="AJ43" s="52" t="str">
        <f t="shared" si="35"/>
        <v/>
      </c>
      <c r="AK43" s="52" t="str">
        <f t="shared" si="35"/>
        <v/>
      </c>
      <c r="AL43" s="52" t="str">
        <f t="shared" si="35"/>
        <v/>
      </c>
      <c r="AM43" s="52" t="str">
        <f t="shared" si="35"/>
        <v/>
      </c>
      <c r="AN43" s="52" t="str">
        <f t="shared" si="35"/>
        <v/>
      </c>
      <c r="AO43" s="52" t="str">
        <f t="shared" si="35"/>
        <v/>
      </c>
    </row>
    <row r="44" ht="15" customHeight="1" spans="1:41">
      <c r="A44" s="53"/>
      <c r="B44" s="54">
        <v>1</v>
      </c>
      <c r="C44" s="55"/>
      <c r="D44" s="50"/>
      <c r="E44" s="50"/>
      <c r="F44" s="50"/>
      <c r="G44" s="50">
        <f t="shared" si="18"/>
        <v>0</v>
      </c>
      <c r="H44" s="50">
        <f t="shared" si="19"/>
        <v>0</v>
      </c>
      <c r="I44" s="50" t="s">
        <v>58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53"/>
      <c r="B45" s="54">
        <v>2</v>
      </c>
      <c r="C45" s="55"/>
      <c r="D45" s="50"/>
      <c r="E45" s="50"/>
      <c r="F45" s="50"/>
      <c r="G45" s="50">
        <f t="shared" si="18"/>
        <v>0</v>
      </c>
      <c r="H45" s="50">
        <f t="shared" si="19"/>
        <v>0</v>
      </c>
      <c r="I45" s="50" t="s">
        <v>58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53"/>
      <c r="B46" s="54">
        <v>3</v>
      </c>
      <c r="C46" s="55"/>
      <c r="D46" s="50"/>
      <c r="E46" s="50"/>
      <c r="F46" s="50"/>
      <c r="G46" s="50">
        <f t="shared" si="18"/>
        <v>0</v>
      </c>
      <c r="H46" s="50">
        <f t="shared" si="19"/>
        <v>0</v>
      </c>
      <c r="I46" s="50" t="s">
        <v>58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53"/>
      <c r="B47" s="54">
        <v>4</v>
      </c>
      <c r="C47" s="55"/>
      <c r="D47" s="50"/>
      <c r="E47" s="50"/>
      <c r="F47" s="50"/>
      <c r="G47" s="50">
        <f t="shared" si="18"/>
        <v>0</v>
      </c>
      <c r="H47" s="50">
        <f t="shared" si="19"/>
        <v>0</v>
      </c>
      <c r="I47" s="50" t="s">
        <v>58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53"/>
      <c r="B48" s="54">
        <v>5</v>
      </c>
      <c r="C48" s="55"/>
      <c r="D48" s="50"/>
      <c r="E48" s="50"/>
      <c r="F48" s="50"/>
      <c r="G48" s="50">
        <f t="shared" si="18"/>
        <v>0</v>
      </c>
      <c r="H48" s="50">
        <f t="shared" si="19"/>
        <v>0</v>
      </c>
      <c r="I48" s="50" t="s">
        <v>58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53"/>
      <c r="B49" s="54">
        <v>6</v>
      </c>
      <c r="C49" s="55"/>
      <c r="D49" s="50"/>
      <c r="E49" s="50"/>
      <c r="F49" s="50"/>
      <c r="G49" s="50">
        <f t="shared" si="18"/>
        <v>0</v>
      </c>
      <c r="H49" s="50">
        <f t="shared" si="19"/>
        <v>0</v>
      </c>
      <c r="I49" s="50" t="s">
        <v>58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53"/>
      <c r="B50" s="54" t="s">
        <v>82</v>
      </c>
      <c r="C50" s="55" t="s">
        <v>83</v>
      </c>
      <c r="D50" s="50">
        <v>0</v>
      </c>
      <c r="E50" s="50">
        <v>0.03</v>
      </c>
      <c r="F50" s="50">
        <v>0</v>
      </c>
      <c r="G50" s="50">
        <f t="shared" si="18"/>
        <v>0.03</v>
      </c>
      <c r="H50" s="50">
        <f t="shared" si="19"/>
        <v>0</v>
      </c>
      <c r="I50" s="50" t="s">
        <v>58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6">IF(J50="","",IF(J50&gt;($D50+$E50),(J50-$D50-$E50),IF(J50&lt;($D50+$F50),(J50-$D50-$F50),"√")))</f>
        <v/>
      </c>
      <c r="AA50" s="52" t="str">
        <f t="shared" si="36"/>
        <v/>
      </c>
      <c r="AB50" s="52" t="str">
        <f t="shared" si="36"/>
        <v/>
      </c>
      <c r="AC50" s="52" t="str">
        <f t="shared" si="36"/>
        <v/>
      </c>
      <c r="AD50" s="52" t="str">
        <f t="shared" si="36"/>
        <v/>
      </c>
      <c r="AE50" s="52" t="str">
        <f t="shared" si="36"/>
        <v/>
      </c>
      <c r="AF50" s="52" t="str">
        <f t="shared" si="36"/>
        <v/>
      </c>
      <c r="AG50" s="52" t="str">
        <f t="shared" si="36"/>
        <v/>
      </c>
      <c r="AH50" s="52" t="str">
        <f t="shared" si="36"/>
        <v/>
      </c>
      <c r="AI50" s="52" t="str">
        <f t="shared" si="36"/>
        <v/>
      </c>
      <c r="AJ50" s="52" t="str">
        <f t="shared" si="36"/>
        <v/>
      </c>
      <c r="AK50" s="52" t="str">
        <f t="shared" si="36"/>
        <v/>
      </c>
      <c r="AL50" s="52" t="str">
        <f t="shared" si="36"/>
        <v/>
      </c>
      <c r="AM50" s="52" t="str">
        <f t="shared" si="36"/>
        <v/>
      </c>
      <c r="AN50" s="52" t="str">
        <f t="shared" si="36"/>
        <v/>
      </c>
      <c r="AO50" s="52" t="str">
        <f t="shared" si="36"/>
        <v/>
      </c>
    </row>
    <row r="51" ht="15" customHeight="1" spans="1:41">
      <c r="A51" s="53"/>
      <c r="B51" s="54">
        <v>1</v>
      </c>
      <c r="C51" s="55"/>
      <c r="D51" s="50"/>
      <c r="E51" s="50"/>
      <c r="F51" s="50"/>
      <c r="G51" s="50">
        <f t="shared" si="18"/>
        <v>0</v>
      </c>
      <c r="H51" s="50">
        <f t="shared" si="19"/>
        <v>0</v>
      </c>
      <c r="I51" s="50" t="s">
        <v>58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53"/>
      <c r="B52" s="54">
        <v>2</v>
      </c>
      <c r="C52" s="55"/>
      <c r="D52" s="50"/>
      <c r="E52" s="50"/>
      <c r="F52" s="50"/>
      <c r="G52" s="50">
        <f t="shared" si="18"/>
        <v>0</v>
      </c>
      <c r="H52" s="50">
        <f t="shared" si="19"/>
        <v>0</v>
      </c>
      <c r="I52" s="50" t="s">
        <v>58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53"/>
      <c r="B53" s="54">
        <v>3</v>
      </c>
      <c r="C53" s="55"/>
      <c r="D53" s="50"/>
      <c r="E53" s="50"/>
      <c r="F53" s="50"/>
      <c r="G53" s="50">
        <f t="shared" si="18"/>
        <v>0</v>
      </c>
      <c r="H53" s="50">
        <f t="shared" si="19"/>
        <v>0</v>
      </c>
      <c r="I53" s="50" t="s">
        <v>58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53"/>
      <c r="B54" s="54">
        <v>4</v>
      </c>
      <c r="C54" s="55"/>
      <c r="D54" s="50"/>
      <c r="E54" s="50"/>
      <c r="F54" s="50"/>
      <c r="G54" s="50">
        <f t="shared" si="18"/>
        <v>0</v>
      </c>
      <c r="H54" s="50">
        <f t="shared" si="19"/>
        <v>0</v>
      </c>
      <c r="I54" s="50" t="s">
        <v>58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53"/>
      <c r="B55" s="54" t="s">
        <v>84</v>
      </c>
      <c r="C55" s="55" t="s">
        <v>85</v>
      </c>
      <c r="D55" s="50">
        <v>0</v>
      </c>
      <c r="E55" s="50">
        <v>0.03</v>
      </c>
      <c r="F55" s="50">
        <v>0</v>
      </c>
      <c r="G55" s="50">
        <f t="shared" si="18"/>
        <v>0.03</v>
      </c>
      <c r="H55" s="50">
        <f t="shared" si="19"/>
        <v>0</v>
      </c>
      <c r="I55" s="50" t="s">
        <v>58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7">IF(J55="","",IF(J55&gt;($D55+$E55),(J55-$D55-$E55),IF(J55&lt;($D55+$F55),(J55-$D55-$F55),"√")))</f>
        <v/>
      </c>
      <c r="AA55" s="52" t="str">
        <f t="shared" si="37"/>
        <v/>
      </c>
      <c r="AB55" s="52" t="str">
        <f t="shared" si="37"/>
        <v/>
      </c>
      <c r="AC55" s="52" t="str">
        <f t="shared" si="37"/>
        <v/>
      </c>
      <c r="AD55" s="52" t="str">
        <f t="shared" si="37"/>
        <v/>
      </c>
      <c r="AE55" s="52" t="str">
        <f t="shared" si="37"/>
        <v/>
      </c>
      <c r="AF55" s="52" t="str">
        <f t="shared" si="37"/>
        <v/>
      </c>
      <c r="AG55" s="52" t="str">
        <f t="shared" si="37"/>
        <v/>
      </c>
      <c r="AH55" s="52" t="str">
        <f t="shared" si="37"/>
        <v/>
      </c>
      <c r="AI55" s="52" t="str">
        <f t="shared" si="37"/>
        <v/>
      </c>
      <c r="AJ55" s="52" t="str">
        <f t="shared" si="37"/>
        <v/>
      </c>
      <c r="AK55" s="52" t="str">
        <f t="shared" si="37"/>
        <v/>
      </c>
      <c r="AL55" s="52" t="str">
        <f t="shared" si="37"/>
        <v/>
      </c>
      <c r="AM55" s="52" t="str">
        <f t="shared" si="37"/>
        <v/>
      </c>
      <c r="AN55" s="52" t="str">
        <f t="shared" si="37"/>
        <v/>
      </c>
      <c r="AO55" s="52" t="str">
        <f t="shared" si="37"/>
        <v/>
      </c>
    </row>
    <row r="56" ht="15" customHeight="1" spans="1:41">
      <c r="A56" s="53"/>
      <c r="B56" s="54">
        <v>1</v>
      </c>
      <c r="C56" s="55"/>
      <c r="D56" s="50"/>
      <c r="E56" s="50"/>
      <c r="F56" s="50"/>
      <c r="G56" s="50">
        <f t="shared" si="18"/>
        <v>0</v>
      </c>
      <c r="H56" s="50">
        <f t="shared" si="19"/>
        <v>0</v>
      </c>
      <c r="I56" s="50" t="s">
        <v>58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53"/>
      <c r="B57" s="54">
        <v>2</v>
      </c>
      <c r="C57" s="55"/>
      <c r="D57" s="50"/>
      <c r="E57" s="50"/>
      <c r="F57" s="50"/>
      <c r="G57" s="50">
        <f t="shared" si="18"/>
        <v>0</v>
      </c>
      <c r="H57" s="50">
        <f t="shared" si="19"/>
        <v>0</v>
      </c>
      <c r="I57" s="50" t="s">
        <v>58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53"/>
      <c r="B58" s="54">
        <v>3</v>
      </c>
      <c r="C58" s="55"/>
      <c r="D58" s="50"/>
      <c r="E58" s="50"/>
      <c r="F58" s="50"/>
      <c r="G58" s="50">
        <f t="shared" si="18"/>
        <v>0</v>
      </c>
      <c r="H58" s="50">
        <f t="shared" si="19"/>
        <v>0</v>
      </c>
      <c r="I58" s="50" t="s">
        <v>58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53"/>
      <c r="B59" s="54">
        <v>4</v>
      </c>
      <c r="C59" s="55"/>
      <c r="D59" s="50"/>
      <c r="E59" s="50"/>
      <c r="F59" s="50"/>
      <c r="G59" s="50">
        <f t="shared" si="18"/>
        <v>0</v>
      </c>
      <c r="H59" s="50">
        <f t="shared" si="19"/>
        <v>0</v>
      </c>
      <c r="I59" s="50" t="s">
        <v>58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53"/>
      <c r="B60" s="54" t="s">
        <v>86</v>
      </c>
      <c r="C60" s="55" t="s">
        <v>85</v>
      </c>
      <c r="D60" s="50">
        <v>0</v>
      </c>
      <c r="E60" s="50">
        <v>0.03</v>
      </c>
      <c r="F60" s="50">
        <v>0</v>
      </c>
      <c r="G60" s="50">
        <f t="shared" si="18"/>
        <v>0.03</v>
      </c>
      <c r="H60" s="50">
        <f t="shared" si="19"/>
        <v>0</v>
      </c>
      <c r="I60" s="50" t="s">
        <v>58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8">IF(J60="","",IF(J60&gt;($D60+$E60),(J60-$D60-$E60),IF(J60&lt;($D60+$F60),(J60-$D60-$F60),"√")))</f>
        <v/>
      </c>
      <c r="AA60" s="52" t="str">
        <f t="shared" si="38"/>
        <v/>
      </c>
      <c r="AB60" s="52" t="str">
        <f t="shared" si="38"/>
        <v/>
      </c>
      <c r="AC60" s="52" t="str">
        <f t="shared" si="38"/>
        <v/>
      </c>
      <c r="AD60" s="52" t="str">
        <f t="shared" si="38"/>
        <v/>
      </c>
      <c r="AE60" s="52" t="str">
        <f t="shared" si="38"/>
        <v/>
      </c>
      <c r="AF60" s="52" t="str">
        <f t="shared" si="38"/>
        <v/>
      </c>
      <c r="AG60" s="52" t="str">
        <f t="shared" si="38"/>
        <v/>
      </c>
      <c r="AH60" s="52" t="str">
        <f t="shared" si="38"/>
        <v/>
      </c>
      <c r="AI60" s="52" t="str">
        <f t="shared" si="38"/>
        <v/>
      </c>
      <c r="AJ60" s="52" t="str">
        <f t="shared" si="38"/>
        <v/>
      </c>
      <c r="AK60" s="52" t="str">
        <f t="shared" si="38"/>
        <v/>
      </c>
      <c r="AL60" s="52" t="str">
        <f t="shared" si="38"/>
        <v/>
      </c>
      <c r="AM60" s="52" t="str">
        <f t="shared" si="38"/>
        <v/>
      </c>
      <c r="AN60" s="52" t="str">
        <f t="shared" si="38"/>
        <v/>
      </c>
      <c r="AO60" s="52" t="str">
        <f t="shared" si="38"/>
        <v/>
      </c>
    </row>
    <row r="61" ht="15" customHeight="1" spans="1:41">
      <c r="A61" s="53"/>
      <c r="B61" s="54">
        <v>1</v>
      </c>
      <c r="C61" s="55"/>
      <c r="D61" s="50"/>
      <c r="E61" s="50"/>
      <c r="F61" s="50"/>
      <c r="G61" s="50">
        <f t="shared" si="18"/>
        <v>0</v>
      </c>
      <c r="H61" s="50">
        <f t="shared" si="19"/>
        <v>0</v>
      </c>
      <c r="I61" s="50" t="s">
        <v>58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53"/>
      <c r="B62" s="54">
        <v>2</v>
      </c>
      <c r="C62" s="55"/>
      <c r="D62" s="50"/>
      <c r="E62" s="50"/>
      <c r="F62" s="50"/>
      <c r="G62" s="50">
        <f t="shared" si="18"/>
        <v>0</v>
      </c>
      <c r="H62" s="50">
        <f t="shared" si="19"/>
        <v>0</v>
      </c>
      <c r="I62" s="50" t="s">
        <v>58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53"/>
      <c r="B63" s="54">
        <v>3</v>
      </c>
      <c r="C63" s="55"/>
      <c r="D63" s="50"/>
      <c r="E63" s="50"/>
      <c r="F63" s="50"/>
      <c r="G63" s="50">
        <f t="shared" si="18"/>
        <v>0</v>
      </c>
      <c r="H63" s="50">
        <f t="shared" si="19"/>
        <v>0</v>
      </c>
      <c r="I63" s="50" t="s">
        <v>58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53"/>
      <c r="B64" s="54">
        <v>4</v>
      </c>
      <c r="C64" s="55"/>
      <c r="D64" s="50"/>
      <c r="E64" s="50"/>
      <c r="F64" s="50"/>
      <c r="G64" s="50">
        <f t="shared" si="18"/>
        <v>0</v>
      </c>
      <c r="H64" s="50">
        <f t="shared" si="19"/>
        <v>0</v>
      </c>
      <c r="I64" s="50" t="s">
        <v>58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53"/>
      <c r="B65" s="54" t="s">
        <v>87</v>
      </c>
      <c r="C65" s="55"/>
      <c r="D65" s="50">
        <v>0</v>
      </c>
      <c r="E65" s="50">
        <v>0.06</v>
      </c>
      <c r="F65" s="50">
        <v>0</v>
      </c>
      <c r="G65" s="50">
        <f t="shared" si="18"/>
        <v>0.06</v>
      </c>
      <c r="H65" s="50">
        <f t="shared" si="19"/>
        <v>0</v>
      </c>
      <c r="I65" s="50" t="s">
        <v>58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9">IF(J65="","",IF(J65&gt;($D65+$E65),(J65-$D65-$E65),IF(J65&lt;($D65+$F65),(J65-$D65-$F65),"√")))</f>
        <v/>
      </c>
      <c r="AA65" s="52" t="str">
        <f t="shared" si="39"/>
        <v/>
      </c>
      <c r="AB65" s="52" t="str">
        <f t="shared" si="39"/>
        <v/>
      </c>
      <c r="AC65" s="52" t="str">
        <f t="shared" si="39"/>
        <v/>
      </c>
      <c r="AD65" s="52" t="str">
        <f t="shared" si="39"/>
        <v/>
      </c>
      <c r="AE65" s="52" t="str">
        <f t="shared" si="39"/>
        <v/>
      </c>
      <c r="AF65" s="52" t="str">
        <f t="shared" si="39"/>
        <v/>
      </c>
      <c r="AG65" s="52" t="str">
        <f t="shared" si="39"/>
        <v/>
      </c>
      <c r="AH65" s="52" t="str">
        <f t="shared" si="39"/>
        <v/>
      </c>
      <c r="AI65" s="52" t="str">
        <f t="shared" si="39"/>
        <v/>
      </c>
      <c r="AJ65" s="52" t="str">
        <f t="shared" si="39"/>
        <v/>
      </c>
      <c r="AK65" s="52" t="str">
        <f t="shared" si="39"/>
        <v/>
      </c>
      <c r="AL65" s="52" t="str">
        <f t="shared" si="39"/>
        <v/>
      </c>
      <c r="AM65" s="52" t="str">
        <f t="shared" si="39"/>
        <v/>
      </c>
      <c r="AN65" s="52" t="str">
        <f t="shared" si="39"/>
        <v/>
      </c>
      <c r="AO65" s="52" t="str">
        <f t="shared" si="39"/>
        <v/>
      </c>
    </row>
    <row r="66" ht="15" customHeight="1" spans="1:41">
      <c r="A66" s="53"/>
      <c r="B66" s="54">
        <v>1</v>
      </c>
      <c r="C66" s="55"/>
      <c r="D66" s="50"/>
      <c r="E66" s="50"/>
      <c r="F66" s="50"/>
      <c r="G66" s="50">
        <f t="shared" si="18"/>
        <v>0</v>
      </c>
      <c r="H66" s="50">
        <f t="shared" si="19"/>
        <v>0</v>
      </c>
      <c r="I66" s="50" t="s">
        <v>58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53"/>
      <c r="B67" s="54">
        <v>2</v>
      </c>
      <c r="C67" s="55"/>
      <c r="D67" s="50"/>
      <c r="E67" s="50"/>
      <c r="F67" s="50"/>
      <c r="G67" s="50">
        <f t="shared" si="18"/>
        <v>0</v>
      </c>
      <c r="H67" s="50">
        <f t="shared" si="19"/>
        <v>0</v>
      </c>
      <c r="I67" s="50" t="s">
        <v>58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53"/>
      <c r="B68" s="54">
        <v>3</v>
      </c>
      <c r="C68" s="55"/>
      <c r="D68" s="50"/>
      <c r="E68" s="50"/>
      <c r="F68" s="50"/>
      <c r="G68" s="50">
        <f t="shared" si="18"/>
        <v>0</v>
      </c>
      <c r="H68" s="50">
        <f t="shared" si="19"/>
        <v>0</v>
      </c>
      <c r="I68" s="50" t="s">
        <v>58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53"/>
      <c r="B69" s="54">
        <v>4</v>
      </c>
      <c r="C69" s="55"/>
      <c r="D69" s="50"/>
      <c r="E69" s="50"/>
      <c r="F69" s="50"/>
      <c r="G69" s="50">
        <f t="shared" si="18"/>
        <v>0</v>
      </c>
      <c r="H69" s="50">
        <f t="shared" si="19"/>
        <v>0</v>
      </c>
      <c r="I69" s="50" t="s">
        <v>58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53"/>
      <c r="B70" s="54">
        <v>5</v>
      </c>
      <c r="C70" s="55"/>
      <c r="D70" s="50"/>
      <c r="E70" s="50"/>
      <c r="F70" s="50"/>
      <c r="G70" s="50">
        <f t="shared" si="18"/>
        <v>0</v>
      </c>
      <c r="H70" s="50">
        <f t="shared" si="19"/>
        <v>0</v>
      </c>
      <c r="I70" s="50" t="s">
        <v>58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53"/>
      <c r="B71" s="54">
        <v>6</v>
      </c>
      <c r="C71" s="55"/>
      <c r="D71" s="50"/>
      <c r="E71" s="50"/>
      <c r="F71" s="50"/>
      <c r="G71" s="50">
        <f t="shared" si="18"/>
        <v>0</v>
      </c>
      <c r="H71" s="50">
        <f t="shared" si="19"/>
        <v>0</v>
      </c>
      <c r="I71" s="50" t="s">
        <v>58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53"/>
      <c r="B72" s="54">
        <v>7</v>
      </c>
      <c r="C72" s="55"/>
      <c r="D72" s="50"/>
      <c r="E72" s="50"/>
      <c r="F72" s="50"/>
      <c r="G72" s="50">
        <f t="shared" si="18"/>
        <v>0</v>
      </c>
      <c r="H72" s="50">
        <f t="shared" si="19"/>
        <v>0</v>
      </c>
      <c r="I72" s="50" t="s">
        <v>58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53"/>
      <c r="B73" s="54">
        <v>8</v>
      </c>
      <c r="C73" s="55"/>
      <c r="D73" s="50"/>
      <c r="E73" s="50"/>
      <c r="F73" s="50"/>
      <c r="G73" s="50">
        <f t="shared" si="18"/>
        <v>0</v>
      </c>
      <c r="H73" s="50">
        <f t="shared" si="19"/>
        <v>0</v>
      </c>
      <c r="I73" s="50" t="s">
        <v>58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53"/>
      <c r="B74" s="54">
        <v>9</v>
      </c>
      <c r="C74" s="55"/>
      <c r="D74" s="50"/>
      <c r="E74" s="50"/>
      <c r="F74" s="50"/>
      <c r="G74" s="50">
        <f t="shared" si="18"/>
        <v>0</v>
      </c>
      <c r="H74" s="50">
        <f t="shared" si="19"/>
        <v>0</v>
      </c>
      <c r="I74" s="50" t="s">
        <v>58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53"/>
      <c r="B75" s="54">
        <v>10</v>
      </c>
      <c r="C75" s="55"/>
      <c r="D75" s="50"/>
      <c r="E75" s="50"/>
      <c r="F75" s="50"/>
      <c r="G75" s="50">
        <f t="shared" si="18"/>
        <v>0</v>
      </c>
      <c r="H75" s="50">
        <f t="shared" si="19"/>
        <v>0</v>
      </c>
      <c r="I75" s="50" t="s">
        <v>58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53"/>
      <c r="B76" s="54">
        <v>11</v>
      </c>
      <c r="C76" s="55"/>
      <c r="D76" s="50"/>
      <c r="E76" s="50"/>
      <c r="F76" s="50"/>
      <c r="G76" s="50">
        <f t="shared" si="18"/>
        <v>0</v>
      </c>
      <c r="H76" s="50">
        <f t="shared" si="19"/>
        <v>0</v>
      </c>
      <c r="I76" s="50" t="s">
        <v>58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53"/>
      <c r="B77" s="54" t="s">
        <v>88</v>
      </c>
      <c r="C77" s="55" t="s">
        <v>89</v>
      </c>
      <c r="D77" s="50">
        <v>0</v>
      </c>
      <c r="E77" s="50">
        <v>0.08</v>
      </c>
      <c r="F77" s="50">
        <v>0</v>
      </c>
      <c r="G77" s="50">
        <f t="shared" si="18"/>
        <v>0.08</v>
      </c>
      <c r="H77" s="50">
        <f t="shared" si="19"/>
        <v>0</v>
      </c>
      <c r="I77" s="50" t="s">
        <v>58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0">IF(J77="","",IF(J77&gt;($D77+$E77),(J77-$D77-$E77),IF(J77&lt;($D77+$F77),(J77-$D77-$F77),"√")))</f>
        <v/>
      </c>
      <c r="AA77" s="52" t="str">
        <f t="shared" si="40"/>
        <v/>
      </c>
      <c r="AB77" s="52" t="str">
        <f t="shared" si="40"/>
        <v/>
      </c>
      <c r="AC77" s="52" t="str">
        <f t="shared" si="40"/>
        <v/>
      </c>
      <c r="AD77" s="52" t="str">
        <f t="shared" si="40"/>
        <v/>
      </c>
      <c r="AE77" s="52" t="str">
        <f t="shared" si="40"/>
        <v/>
      </c>
      <c r="AF77" s="52" t="str">
        <f t="shared" si="40"/>
        <v/>
      </c>
      <c r="AG77" s="52" t="str">
        <f t="shared" si="40"/>
        <v/>
      </c>
      <c r="AH77" s="52" t="str">
        <f t="shared" si="40"/>
        <v/>
      </c>
      <c r="AI77" s="52" t="str">
        <f t="shared" si="40"/>
        <v/>
      </c>
      <c r="AJ77" s="52" t="str">
        <f t="shared" si="40"/>
        <v/>
      </c>
      <c r="AK77" s="52" t="str">
        <f t="shared" si="40"/>
        <v/>
      </c>
      <c r="AL77" s="52" t="str">
        <f t="shared" si="40"/>
        <v/>
      </c>
      <c r="AM77" s="52" t="str">
        <f t="shared" si="40"/>
        <v/>
      </c>
      <c r="AN77" s="52" t="str">
        <f t="shared" si="40"/>
        <v/>
      </c>
      <c r="AO77" s="52" t="str">
        <f t="shared" si="40"/>
        <v/>
      </c>
    </row>
    <row r="78" ht="15" customHeight="1" spans="1:41">
      <c r="A78" s="53"/>
      <c r="B78" s="54">
        <v>1</v>
      </c>
      <c r="C78" s="55"/>
      <c r="D78" s="50"/>
      <c r="E78" s="50"/>
      <c r="F78" s="50"/>
      <c r="G78" s="50">
        <f t="shared" si="18"/>
        <v>0</v>
      </c>
      <c r="H78" s="50">
        <f t="shared" si="19"/>
        <v>0</v>
      </c>
      <c r="I78" s="50" t="s">
        <v>58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53"/>
      <c r="B79" s="54">
        <v>2</v>
      </c>
      <c r="C79" s="55"/>
      <c r="D79" s="50"/>
      <c r="E79" s="50"/>
      <c r="F79" s="50"/>
      <c r="G79" s="50">
        <f t="shared" si="18"/>
        <v>0</v>
      </c>
      <c r="H79" s="50">
        <f t="shared" si="19"/>
        <v>0</v>
      </c>
      <c r="I79" s="50" t="s">
        <v>58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53"/>
      <c r="B80" s="54">
        <v>3</v>
      </c>
      <c r="C80" s="55"/>
      <c r="D80" s="50"/>
      <c r="E80" s="50"/>
      <c r="F80" s="50"/>
      <c r="G80" s="50">
        <f t="shared" si="18"/>
        <v>0</v>
      </c>
      <c r="H80" s="50">
        <f t="shared" si="19"/>
        <v>0</v>
      </c>
      <c r="I80" s="50" t="s">
        <v>58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53"/>
      <c r="B81" s="54">
        <v>4</v>
      </c>
      <c r="C81" s="55"/>
      <c r="D81" s="50"/>
      <c r="E81" s="50"/>
      <c r="F81" s="50"/>
      <c r="G81" s="50">
        <f t="shared" si="18"/>
        <v>0</v>
      </c>
      <c r="H81" s="50">
        <f t="shared" si="19"/>
        <v>0</v>
      </c>
      <c r="I81" s="50" t="s">
        <v>58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53"/>
      <c r="B82" s="54" t="s">
        <v>90</v>
      </c>
      <c r="C82" s="55" t="s">
        <v>91</v>
      </c>
      <c r="D82" s="50">
        <v>0</v>
      </c>
      <c r="E82" s="50">
        <v>0.08</v>
      </c>
      <c r="F82" s="50">
        <v>0</v>
      </c>
      <c r="G82" s="50">
        <f t="shared" si="18"/>
        <v>0.08</v>
      </c>
      <c r="H82" s="50">
        <f t="shared" si="19"/>
        <v>0</v>
      </c>
      <c r="I82" s="50" t="s">
        <v>58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1">IF(J82="","",IF(J82&gt;($D82+$E82),(J82-$D82-$E82),IF(J82&lt;($D82+$F82),(J82-$D82-$F82),"√")))</f>
        <v/>
      </c>
      <c r="AA82" s="52" t="str">
        <f t="shared" si="41"/>
        <v/>
      </c>
      <c r="AB82" s="52" t="str">
        <f t="shared" si="41"/>
        <v/>
      </c>
      <c r="AC82" s="52" t="str">
        <f t="shared" si="41"/>
        <v/>
      </c>
      <c r="AD82" s="52" t="str">
        <f t="shared" si="41"/>
        <v/>
      </c>
      <c r="AE82" s="52" t="str">
        <f t="shared" si="41"/>
        <v/>
      </c>
      <c r="AF82" s="52" t="str">
        <f t="shared" si="41"/>
        <v/>
      </c>
      <c r="AG82" s="52" t="str">
        <f t="shared" si="41"/>
        <v/>
      </c>
      <c r="AH82" s="52" t="str">
        <f t="shared" si="41"/>
        <v/>
      </c>
      <c r="AI82" s="52" t="str">
        <f t="shared" si="41"/>
        <v/>
      </c>
      <c r="AJ82" s="52" t="str">
        <f t="shared" si="41"/>
        <v/>
      </c>
      <c r="AK82" s="52" t="str">
        <f t="shared" si="41"/>
        <v/>
      </c>
      <c r="AL82" s="52" t="str">
        <f t="shared" si="41"/>
        <v/>
      </c>
      <c r="AM82" s="52" t="str">
        <f t="shared" si="41"/>
        <v/>
      </c>
      <c r="AN82" s="52" t="str">
        <f t="shared" si="41"/>
        <v/>
      </c>
      <c r="AO82" s="52" t="str">
        <f t="shared" si="41"/>
        <v/>
      </c>
    </row>
    <row r="83" ht="15" customHeight="1" spans="1:41">
      <c r="A83" s="53"/>
      <c r="B83" s="54">
        <v>1</v>
      </c>
      <c r="C83" s="55"/>
      <c r="D83" s="50"/>
      <c r="E83" s="50"/>
      <c r="F83" s="50"/>
      <c r="G83" s="50">
        <f t="shared" si="18"/>
        <v>0</v>
      </c>
      <c r="H83" s="50">
        <f t="shared" si="19"/>
        <v>0</v>
      </c>
      <c r="I83" s="50" t="s">
        <v>58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53"/>
      <c r="B84" s="54">
        <v>2</v>
      </c>
      <c r="C84" s="55"/>
      <c r="D84" s="50"/>
      <c r="E84" s="50"/>
      <c r="F84" s="50"/>
      <c r="G84" s="50">
        <f t="shared" si="18"/>
        <v>0</v>
      </c>
      <c r="H84" s="50">
        <f t="shared" si="19"/>
        <v>0</v>
      </c>
      <c r="I84" s="50" t="s">
        <v>58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53"/>
      <c r="B85" s="54">
        <v>3</v>
      </c>
      <c r="C85" s="55"/>
      <c r="D85" s="50"/>
      <c r="E85" s="50"/>
      <c r="F85" s="50"/>
      <c r="G85" s="50">
        <f t="shared" si="18"/>
        <v>0</v>
      </c>
      <c r="H85" s="50">
        <f t="shared" si="19"/>
        <v>0</v>
      </c>
      <c r="I85" s="50" t="s">
        <v>58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53"/>
      <c r="B86" s="54">
        <v>4</v>
      </c>
      <c r="C86" s="55"/>
      <c r="D86" s="50"/>
      <c r="E86" s="50"/>
      <c r="F86" s="50"/>
      <c r="G86" s="50">
        <f t="shared" si="18"/>
        <v>0</v>
      </c>
      <c r="H86" s="50">
        <f t="shared" si="19"/>
        <v>0</v>
      </c>
      <c r="I86" s="50" t="s">
        <v>58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53"/>
      <c r="B87" s="54" t="s">
        <v>92</v>
      </c>
      <c r="C87" s="55" t="s">
        <v>93</v>
      </c>
      <c r="D87" s="50">
        <v>0</v>
      </c>
      <c r="E87" s="50">
        <v>0.08</v>
      </c>
      <c r="F87" s="50">
        <v>0</v>
      </c>
      <c r="G87" s="50">
        <f t="shared" si="18"/>
        <v>0.08</v>
      </c>
      <c r="H87" s="50">
        <f t="shared" si="19"/>
        <v>0</v>
      </c>
      <c r="I87" s="50" t="s">
        <v>58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2">IF(J87="","",IF(J87&gt;($D87+$E87),(J87-$D87-$E87),IF(J87&lt;($D87+$F87),(J87-$D87-$F87),"√")))</f>
        <v/>
      </c>
      <c r="AA87" s="52" t="str">
        <f t="shared" si="42"/>
        <v/>
      </c>
      <c r="AB87" s="52" t="str">
        <f t="shared" si="42"/>
        <v/>
      </c>
      <c r="AC87" s="52" t="str">
        <f t="shared" si="42"/>
        <v/>
      </c>
      <c r="AD87" s="52" t="str">
        <f t="shared" si="42"/>
        <v/>
      </c>
      <c r="AE87" s="52" t="str">
        <f t="shared" si="42"/>
        <v/>
      </c>
      <c r="AF87" s="52" t="str">
        <f t="shared" si="42"/>
        <v/>
      </c>
      <c r="AG87" s="52" t="str">
        <f t="shared" si="42"/>
        <v/>
      </c>
      <c r="AH87" s="52" t="str">
        <f t="shared" si="42"/>
        <v/>
      </c>
      <c r="AI87" s="52" t="str">
        <f t="shared" si="42"/>
        <v/>
      </c>
      <c r="AJ87" s="52" t="str">
        <f t="shared" si="42"/>
        <v/>
      </c>
      <c r="AK87" s="52" t="str">
        <f t="shared" si="42"/>
        <v/>
      </c>
      <c r="AL87" s="52" t="str">
        <f t="shared" si="42"/>
        <v/>
      </c>
      <c r="AM87" s="52" t="str">
        <f t="shared" si="42"/>
        <v/>
      </c>
      <c r="AN87" s="52" t="str">
        <f t="shared" si="42"/>
        <v/>
      </c>
      <c r="AO87" s="52" t="str">
        <f t="shared" si="42"/>
        <v/>
      </c>
    </row>
    <row r="88" ht="15" customHeight="1" spans="1:41">
      <c r="A88" s="53"/>
      <c r="B88" s="54">
        <v>1</v>
      </c>
      <c r="C88" s="55"/>
      <c r="D88" s="50"/>
      <c r="E88" s="50"/>
      <c r="F88" s="50"/>
      <c r="G88" s="50">
        <f t="shared" ref="G88:G118" si="43">D88+E88</f>
        <v>0</v>
      </c>
      <c r="H88" s="50">
        <f t="shared" ref="H88:H118" si="44">D88+F88</f>
        <v>0</v>
      </c>
      <c r="I88" s="50" t="s">
        <v>58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53"/>
      <c r="B89" s="54">
        <v>2</v>
      </c>
      <c r="C89" s="55"/>
      <c r="D89" s="50"/>
      <c r="E89" s="50"/>
      <c r="F89" s="50"/>
      <c r="G89" s="50">
        <f t="shared" si="43"/>
        <v>0</v>
      </c>
      <c r="H89" s="50">
        <f t="shared" si="44"/>
        <v>0</v>
      </c>
      <c r="I89" s="50" t="s">
        <v>58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53"/>
      <c r="B90" s="54">
        <v>3</v>
      </c>
      <c r="C90" s="55"/>
      <c r="D90" s="50"/>
      <c r="E90" s="50"/>
      <c r="F90" s="50"/>
      <c r="G90" s="50">
        <f t="shared" si="43"/>
        <v>0</v>
      </c>
      <c r="H90" s="50">
        <f t="shared" si="44"/>
        <v>0</v>
      </c>
      <c r="I90" s="50" t="s">
        <v>58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53"/>
      <c r="B91" s="54">
        <v>4</v>
      </c>
      <c r="C91" s="55"/>
      <c r="D91" s="50"/>
      <c r="E91" s="50"/>
      <c r="F91" s="50"/>
      <c r="G91" s="50">
        <f t="shared" si="43"/>
        <v>0</v>
      </c>
      <c r="H91" s="50">
        <f t="shared" si="44"/>
        <v>0</v>
      </c>
      <c r="I91" s="50" t="s">
        <v>58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53"/>
      <c r="B92" s="54" t="s">
        <v>94</v>
      </c>
      <c r="C92" s="55" t="s">
        <v>95</v>
      </c>
      <c r="D92" s="50">
        <v>0</v>
      </c>
      <c r="E92" s="50">
        <v>0.08</v>
      </c>
      <c r="F92" s="50">
        <v>0</v>
      </c>
      <c r="G92" s="50">
        <f t="shared" si="43"/>
        <v>0.08</v>
      </c>
      <c r="H92" s="50">
        <f t="shared" si="44"/>
        <v>0</v>
      </c>
      <c r="I92" s="50" t="s">
        <v>58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5">IF(J92="","",IF(J92&gt;($D92+$E92),(J92-$D92-$E92),IF(J92&lt;($D92+$F92),(J92-$D92-$F92),"√")))</f>
        <v/>
      </c>
      <c r="AA92" s="52" t="str">
        <f t="shared" si="45"/>
        <v/>
      </c>
      <c r="AB92" s="52" t="str">
        <f t="shared" si="45"/>
        <v/>
      </c>
      <c r="AC92" s="52" t="str">
        <f t="shared" si="45"/>
        <v/>
      </c>
      <c r="AD92" s="52" t="str">
        <f t="shared" si="45"/>
        <v/>
      </c>
      <c r="AE92" s="52" t="str">
        <f t="shared" si="45"/>
        <v/>
      </c>
      <c r="AF92" s="52" t="str">
        <f t="shared" si="45"/>
        <v/>
      </c>
      <c r="AG92" s="52" t="str">
        <f t="shared" si="45"/>
        <v/>
      </c>
      <c r="AH92" s="52" t="str">
        <f t="shared" si="45"/>
        <v/>
      </c>
      <c r="AI92" s="52" t="str">
        <f t="shared" si="45"/>
        <v/>
      </c>
      <c r="AJ92" s="52" t="str">
        <f t="shared" si="45"/>
        <v/>
      </c>
      <c r="AK92" s="52" t="str">
        <f t="shared" si="45"/>
        <v/>
      </c>
      <c r="AL92" s="52" t="str">
        <f t="shared" si="45"/>
        <v/>
      </c>
      <c r="AM92" s="52" t="str">
        <f t="shared" si="45"/>
        <v/>
      </c>
      <c r="AN92" s="52" t="str">
        <f t="shared" si="45"/>
        <v/>
      </c>
      <c r="AO92" s="52" t="str">
        <f t="shared" si="45"/>
        <v/>
      </c>
    </row>
    <row r="93" ht="15" customHeight="1" spans="1:41">
      <c r="A93" s="53"/>
      <c r="B93" s="54">
        <v>1</v>
      </c>
      <c r="C93" s="55"/>
      <c r="D93" s="50"/>
      <c r="E93" s="50"/>
      <c r="F93" s="50"/>
      <c r="G93" s="50">
        <f t="shared" si="43"/>
        <v>0</v>
      </c>
      <c r="H93" s="50">
        <f t="shared" si="44"/>
        <v>0</v>
      </c>
      <c r="I93" s="50" t="s">
        <v>58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53"/>
      <c r="B94" s="54">
        <v>2</v>
      </c>
      <c r="C94" s="55"/>
      <c r="D94" s="50"/>
      <c r="E94" s="50"/>
      <c r="F94" s="50"/>
      <c r="G94" s="50">
        <f t="shared" si="43"/>
        <v>0</v>
      </c>
      <c r="H94" s="50">
        <f t="shared" si="44"/>
        <v>0</v>
      </c>
      <c r="I94" s="50" t="s">
        <v>58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53"/>
      <c r="B95" s="54">
        <v>3</v>
      </c>
      <c r="C95" s="55"/>
      <c r="D95" s="50"/>
      <c r="E95" s="50"/>
      <c r="F95" s="50"/>
      <c r="G95" s="50">
        <f t="shared" si="43"/>
        <v>0</v>
      </c>
      <c r="H95" s="50">
        <f t="shared" si="44"/>
        <v>0</v>
      </c>
      <c r="I95" s="50" t="s">
        <v>58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53"/>
      <c r="B96" s="54">
        <v>4</v>
      </c>
      <c r="C96" s="55"/>
      <c r="D96" s="50"/>
      <c r="E96" s="50"/>
      <c r="F96" s="50"/>
      <c r="G96" s="50">
        <f t="shared" si="43"/>
        <v>0</v>
      </c>
      <c r="H96" s="50">
        <f t="shared" si="44"/>
        <v>0</v>
      </c>
      <c r="I96" s="50" t="s">
        <v>58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53"/>
      <c r="B97" s="54" t="s">
        <v>96</v>
      </c>
      <c r="C97" s="55"/>
      <c r="D97" s="50">
        <v>0</v>
      </c>
      <c r="E97" s="50">
        <v>0.05</v>
      </c>
      <c r="F97" s="50">
        <v>0</v>
      </c>
      <c r="G97" s="50">
        <f t="shared" si="43"/>
        <v>0.05</v>
      </c>
      <c r="H97" s="50">
        <f t="shared" si="44"/>
        <v>0</v>
      </c>
      <c r="I97" s="50" t="s">
        <v>58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6">IF(J97="","",IF(J97&gt;($D97+$E97),(J97-$D97-$E97),IF(J97&lt;($D97+$F97),(J97-$D97-$F97),"√")))</f>
        <v/>
      </c>
      <c r="AA97" s="52" t="str">
        <f t="shared" si="46"/>
        <v/>
      </c>
      <c r="AB97" s="52" t="str">
        <f t="shared" si="46"/>
        <v/>
      </c>
      <c r="AC97" s="52" t="str">
        <f t="shared" si="46"/>
        <v/>
      </c>
      <c r="AD97" s="52" t="str">
        <f t="shared" si="46"/>
        <v/>
      </c>
      <c r="AE97" s="52" t="str">
        <f t="shared" si="46"/>
        <v/>
      </c>
      <c r="AF97" s="52" t="str">
        <f t="shared" si="46"/>
        <v/>
      </c>
      <c r="AG97" s="52" t="str">
        <f t="shared" si="46"/>
        <v/>
      </c>
      <c r="AH97" s="52" t="str">
        <f t="shared" si="46"/>
        <v/>
      </c>
      <c r="AI97" s="52" t="str">
        <f t="shared" si="46"/>
        <v/>
      </c>
      <c r="AJ97" s="52" t="str">
        <f t="shared" si="46"/>
        <v/>
      </c>
      <c r="AK97" s="52" t="str">
        <f t="shared" si="46"/>
        <v/>
      </c>
      <c r="AL97" s="52" t="str">
        <f t="shared" si="46"/>
        <v/>
      </c>
      <c r="AM97" s="52" t="str">
        <f t="shared" si="46"/>
        <v/>
      </c>
      <c r="AN97" s="52" t="str">
        <f t="shared" si="46"/>
        <v/>
      </c>
      <c r="AO97" s="52" t="str">
        <f t="shared" si="46"/>
        <v/>
      </c>
    </row>
    <row r="98" ht="15" customHeight="1" spans="1:41">
      <c r="A98" s="53"/>
      <c r="B98" s="54" t="s">
        <v>97</v>
      </c>
      <c r="C98" s="55"/>
      <c r="D98" s="50"/>
      <c r="E98" s="50"/>
      <c r="F98" s="50"/>
      <c r="G98" s="50">
        <f t="shared" si="43"/>
        <v>0</v>
      </c>
      <c r="H98" s="50">
        <f t="shared" si="44"/>
        <v>0</v>
      </c>
      <c r="I98" s="50" t="s">
        <v>58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53"/>
      <c r="B99" s="54" t="s">
        <v>98</v>
      </c>
      <c r="C99" s="55"/>
      <c r="D99" s="50"/>
      <c r="E99" s="50"/>
      <c r="F99" s="50"/>
      <c r="G99" s="50">
        <f t="shared" si="43"/>
        <v>0</v>
      </c>
      <c r="H99" s="50">
        <f t="shared" si="44"/>
        <v>0</v>
      </c>
      <c r="I99" s="50" t="s">
        <v>58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53"/>
      <c r="B100" s="54" t="s">
        <v>99</v>
      </c>
      <c r="C100" s="55"/>
      <c r="D100" s="50">
        <v>0</v>
      </c>
      <c r="E100" s="50">
        <v>0.04</v>
      </c>
      <c r="F100" s="50">
        <v>0</v>
      </c>
      <c r="G100" s="50">
        <f t="shared" si="43"/>
        <v>0.04</v>
      </c>
      <c r="H100" s="50">
        <f t="shared" si="44"/>
        <v>0</v>
      </c>
      <c r="I100" s="50" t="s">
        <v>58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7">IF(J100="","",IF(J100&gt;($D100+$E100),(J100-$D100-$E100),IF(J100&lt;($D100+$F100),(J100-$D100-$F100),"√")))</f>
        <v/>
      </c>
      <c r="AA100" s="52" t="str">
        <f t="shared" si="47"/>
        <v/>
      </c>
      <c r="AB100" s="52" t="str">
        <f t="shared" si="47"/>
        <v/>
      </c>
      <c r="AC100" s="52" t="str">
        <f t="shared" si="47"/>
        <v/>
      </c>
      <c r="AD100" s="52" t="str">
        <f t="shared" si="47"/>
        <v/>
      </c>
      <c r="AE100" s="52" t="str">
        <f t="shared" si="47"/>
        <v/>
      </c>
      <c r="AF100" s="52" t="str">
        <f t="shared" si="47"/>
        <v/>
      </c>
      <c r="AG100" s="52" t="str">
        <f t="shared" si="47"/>
        <v/>
      </c>
      <c r="AH100" s="52" t="str">
        <f t="shared" si="47"/>
        <v/>
      </c>
      <c r="AI100" s="52" t="str">
        <f t="shared" si="47"/>
        <v/>
      </c>
      <c r="AJ100" s="52" t="str">
        <f t="shared" si="47"/>
        <v/>
      </c>
      <c r="AK100" s="52" t="str">
        <f t="shared" si="47"/>
        <v/>
      </c>
      <c r="AL100" s="52" t="str">
        <f t="shared" si="47"/>
        <v/>
      </c>
      <c r="AM100" s="52" t="str">
        <f t="shared" si="47"/>
        <v/>
      </c>
      <c r="AN100" s="52" t="str">
        <f t="shared" si="47"/>
        <v/>
      </c>
      <c r="AO100" s="52" t="str">
        <f t="shared" si="47"/>
        <v/>
      </c>
    </row>
    <row r="101" ht="15" customHeight="1" spans="1:41">
      <c r="A101" s="53"/>
      <c r="B101" s="54">
        <v>1</v>
      </c>
      <c r="C101" s="55"/>
      <c r="D101" s="50"/>
      <c r="E101" s="50"/>
      <c r="F101" s="50"/>
      <c r="G101" s="50">
        <f t="shared" si="43"/>
        <v>0</v>
      </c>
      <c r="H101" s="50">
        <f t="shared" si="44"/>
        <v>0</v>
      </c>
      <c r="I101" s="50" t="s">
        <v>58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53"/>
      <c r="B102" s="54">
        <v>2</v>
      </c>
      <c r="C102" s="55"/>
      <c r="D102" s="50"/>
      <c r="E102" s="50"/>
      <c r="F102" s="50"/>
      <c r="G102" s="50">
        <f t="shared" si="43"/>
        <v>0</v>
      </c>
      <c r="H102" s="50">
        <f t="shared" si="44"/>
        <v>0</v>
      </c>
      <c r="I102" s="50" t="s">
        <v>58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" customHeight="1" spans="1:41">
      <c r="A103" s="53"/>
      <c r="B103" s="54">
        <v>3</v>
      </c>
      <c r="C103" s="55"/>
      <c r="D103" s="50"/>
      <c r="E103" s="50"/>
      <c r="F103" s="50"/>
      <c r="G103" s="50">
        <f t="shared" si="43"/>
        <v>0</v>
      </c>
      <c r="H103" s="50">
        <f t="shared" si="44"/>
        <v>0</v>
      </c>
      <c r="I103" s="50" t="s">
        <v>58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</row>
    <row r="104" ht="15" customHeight="1" spans="1:41">
      <c r="A104" s="53"/>
      <c r="B104" s="54" t="s">
        <v>100</v>
      </c>
      <c r="C104" s="55"/>
      <c r="D104" s="50">
        <v>0</v>
      </c>
      <c r="E104" s="50">
        <v>0.04</v>
      </c>
      <c r="F104" s="50">
        <v>0</v>
      </c>
      <c r="G104" s="50">
        <f t="shared" si="43"/>
        <v>0.04</v>
      </c>
      <c r="H104" s="50">
        <f t="shared" si="44"/>
        <v>0</v>
      </c>
      <c r="I104" s="50" t="s">
        <v>58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 t="str">
        <f t="shared" ref="Z104:AO104" si="48">IF(J104="","",IF(J104&gt;($D104+$E104),(J104-$D104-$E104),IF(J104&lt;($D104+$F104),(J104-$D104-$F104),"√")))</f>
        <v/>
      </c>
      <c r="AA104" s="52" t="str">
        <f t="shared" si="48"/>
        <v/>
      </c>
      <c r="AB104" s="52" t="str">
        <f t="shared" si="48"/>
        <v/>
      </c>
      <c r="AC104" s="52" t="str">
        <f t="shared" si="48"/>
        <v/>
      </c>
      <c r="AD104" s="52" t="str">
        <f t="shared" si="48"/>
        <v/>
      </c>
      <c r="AE104" s="52" t="str">
        <f t="shared" si="48"/>
        <v/>
      </c>
      <c r="AF104" s="52" t="str">
        <f t="shared" si="48"/>
        <v/>
      </c>
      <c r="AG104" s="52" t="str">
        <f t="shared" si="48"/>
        <v/>
      </c>
      <c r="AH104" s="52" t="str">
        <f t="shared" si="48"/>
        <v/>
      </c>
      <c r="AI104" s="52" t="str">
        <f t="shared" si="48"/>
        <v/>
      </c>
      <c r="AJ104" s="52" t="str">
        <f t="shared" si="48"/>
        <v/>
      </c>
      <c r="AK104" s="52" t="str">
        <f t="shared" si="48"/>
        <v/>
      </c>
      <c r="AL104" s="52" t="str">
        <f t="shared" si="48"/>
        <v/>
      </c>
      <c r="AM104" s="52" t="str">
        <f t="shared" si="48"/>
        <v/>
      </c>
      <c r="AN104" s="52" t="str">
        <f t="shared" si="48"/>
        <v/>
      </c>
      <c r="AO104" s="52" t="str">
        <f t="shared" si="48"/>
        <v/>
      </c>
    </row>
    <row r="105" ht="15" customHeight="1" spans="1:41">
      <c r="A105" s="53"/>
      <c r="B105" s="54">
        <v>1</v>
      </c>
      <c r="C105" s="55"/>
      <c r="D105" s="50"/>
      <c r="E105" s="50"/>
      <c r="F105" s="50"/>
      <c r="G105" s="50">
        <f t="shared" si="43"/>
        <v>0</v>
      </c>
      <c r="H105" s="50">
        <f t="shared" si="44"/>
        <v>0</v>
      </c>
      <c r="I105" s="50" t="s">
        <v>58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" customHeight="1" spans="1:41">
      <c r="A106" s="53"/>
      <c r="B106" s="54">
        <v>2</v>
      </c>
      <c r="C106" s="55"/>
      <c r="D106" s="50"/>
      <c r="E106" s="50"/>
      <c r="F106" s="50"/>
      <c r="G106" s="50">
        <f t="shared" si="43"/>
        <v>0</v>
      </c>
      <c r="H106" s="50">
        <f t="shared" si="44"/>
        <v>0</v>
      </c>
      <c r="I106" s="50" t="s">
        <v>58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" customHeight="1" spans="1:41">
      <c r="A107" s="53"/>
      <c r="B107" s="54" t="s">
        <v>101</v>
      </c>
      <c r="C107" s="55" t="s">
        <v>102</v>
      </c>
      <c r="D107" s="50">
        <v>0</v>
      </c>
      <c r="E107" s="50">
        <v>0.05</v>
      </c>
      <c r="F107" s="50">
        <v>0</v>
      </c>
      <c r="G107" s="50">
        <f t="shared" si="43"/>
        <v>0.05</v>
      </c>
      <c r="H107" s="50">
        <f t="shared" si="44"/>
        <v>0</v>
      </c>
      <c r="I107" s="50" t="s">
        <v>58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9">IF(J107="","",IF(J107&gt;($D107+$E107),(J107-$D107-$E107),IF(J107&lt;($D107+$F107),(J107-$D107-$F107),"√")))</f>
        <v/>
      </c>
      <c r="AA107" s="52" t="str">
        <f t="shared" si="49"/>
        <v/>
      </c>
      <c r="AB107" s="52" t="str">
        <f t="shared" si="49"/>
        <v/>
      </c>
      <c r="AC107" s="52" t="str">
        <f t="shared" si="49"/>
        <v/>
      </c>
      <c r="AD107" s="52" t="str">
        <f t="shared" si="49"/>
        <v/>
      </c>
      <c r="AE107" s="52" t="str">
        <f t="shared" si="49"/>
        <v/>
      </c>
      <c r="AF107" s="52" t="str">
        <f t="shared" si="49"/>
        <v/>
      </c>
      <c r="AG107" s="52" t="str">
        <f t="shared" si="49"/>
        <v/>
      </c>
      <c r="AH107" s="52" t="str">
        <f t="shared" si="49"/>
        <v/>
      </c>
      <c r="AI107" s="52" t="str">
        <f t="shared" si="49"/>
        <v/>
      </c>
      <c r="AJ107" s="52" t="str">
        <f t="shared" si="49"/>
        <v/>
      </c>
      <c r="AK107" s="52" t="str">
        <f t="shared" si="49"/>
        <v/>
      </c>
      <c r="AL107" s="52" t="str">
        <f t="shared" si="49"/>
        <v/>
      </c>
      <c r="AM107" s="52" t="str">
        <f t="shared" si="49"/>
        <v/>
      </c>
      <c r="AN107" s="52" t="str">
        <f t="shared" si="49"/>
        <v/>
      </c>
      <c r="AO107" s="52" t="str">
        <f t="shared" si="49"/>
        <v/>
      </c>
    </row>
    <row r="108" ht="15" customHeight="1" spans="1:41">
      <c r="A108" s="53"/>
      <c r="B108" s="54">
        <v>1</v>
      </c>
      <c r="C108" s="55"/>
      <c r="D108" s="50"/>
      <c r="E108" s="50"/>
      <c r="F108" s="50"/>
      <c r="G108" s="50">
        <f t="shared" si="43"/>
        <v>0</v>
      </c>
      <c r="H108" s="50">
        <f t="shared" si="44"/>
        <v>0</v>
      </c>
      <c r="I108" s="50" t="s">
        <v>58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" customHeight="1" spans="1:41">
      <c r="A109" s="53"/>
      <c r="B109" s="54">
        <v>2</v>
      </c>
      <c r="C109" s="55"/>
      <c r="D109" s="50"/>
      <c r="E109" s="50"/>
      <c r="F109" s="50"/>
      <c r="G109" s="50">
        <f t="shared" si="43"/>
        <v>0</v>
      </c>
      <c r="H109" s="50">
        <f t="shared" si="44"/>
        <v>0</v>
      </c>
      <c r="I109" s="50" t="s">
        <v>58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" customHeight="1" spans="1:41">
      <c r="A110" s="53"/>
      <c r="B110" s="54">
        <v>3</v>
      </c>
      <c r="C110" s="55"/>
      <c r="D110" s="50"/>
      <c r="E110" s="50"/>
      <c r="F110" s="50"/>
      <c r="G110" s="50">
        <f t="shared" si="43"/>
        <v>0</v>
      </c>
      <c r="H110" s="50">
        <f t="shared" si="44"/>
        <v>0</v>
      </c>
      <c r="I110" s="50" t="s">
        <v>58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" customHeight="1" spans="1:41">
      <c r="A111" s="53"/>
      <c r="B111" s="54">
        <v>4</v>
      </c>
      <c r="C111" s="55"/>
      <c r="D111" s="50"/>
      <c r="E111" s="50"/>
      <c r="F111" s="50"/>
      <c r="G111" s="50">
        <f t="shared" si="43"/>
        <v>0</v>
      </c>
      <c r="H111" s="50">
        <f t="shared" si="44"/>
        <v>0</v>
      </c>
      <c r="I111" s="50" t="s">
        <v>58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" customHeight="1" spans="1:41">
      <c r="A112" s="53"/>
      <c r="B112" s="54">
        <v>5</v>
      </c>
      <c r="C112" s="55"/>
      <c r="D112" s="50"/>
      <c r="E112" s="50"/>
      <c r="F112" s="50"/>
      <c r="G112" s="50">
        <f t="shared" si="43"/>
        <v>0</v>
      </c>
      <c r="H112" s="50">
        <f t="shared" si="44"/>
        <v>0</v>
      </c>
      <c r="I112" s="50" t="s">
        <v>58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" customHeight="1" spans="1:41">
      <c r="A113" s="53"/>
      <c r="B113" s="54" t="s">
        <v>103</v>
      </c>
      <c r="C113" s="55" t="s">
        <v>104</v>
      </c>
      <c r="D113" s="50">
        <v>0.915</v>
      </c>
      <c r="E113" s="50">
        <v>0.015</v>
      </c>
      <c r="F113" s="50">
        <v>-0.01</v>
      </c>
      <c r="G113" s="50">
        <f t="shared" si="43"/>
        <v>0.93</v>
      </c>
      <c r="H113" s="50">
        <f t="shared" si="44"/>
        <v>0.905</v>
      </c>
      <c r="I113" s="50" t="s">
        <v>105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50">IF(J113="","",IF(J113&gt;($D113+$E113),(J113-$D113-$E113),IF(J113&lt;($D113+$F113),(J113-$D113-$F113),"√")))</f>
        <v/>
      </c>
      <c r="AA113" s="52" t="str">
        <f t="shared" si="50"/>
        <v/>
      </c>
      <c r="AB113" s="52" t="str">
        <f t="shared" si="50"/>
        <v/>
      </c>
      <c r="AC113" s="52" t="str">
        <f t="shared" si="50"/>
        <v/>
      </c>
      <c r="AD113" s="52" t="str">
        <f t="shared" si="50"/>
        <v/>
      </c>
      <c r="AE113" s="52" t="str">
        <f t="shared" si="50"/>
        <v/>
      </c>
      <c r="AF113" s="52" t="str">
        <f t="shared" si="50"/>
        <v/>
      </c>
      <c r="AG113" s="52" t="str">
        <f t="shared" si="50"/>
        <v/>
      </c>
      <c r="AH113" s="52" t="str">
        <f t="shared" si="50"/>
        <v/>
      </c>
      <c r="AI113" s="52" t="str">
        <f t="shared" si="50"/>
        <v/>
      </c>
      <c r="AJ113" s="52" t="str">
        <f t="shared" si="50"/>
        <v/>
      </c>
      <c r="AK113" s="52" t="str">
        <f t="shared" si="50"/>
        <v/>
      </c>
      <c r="AL113" s="52" t="str">
        <f t="shared" si="50"/>
        <v/>
      </c>
      <c r="AM113" s="52" t="str">
        <f t="shared" si="50"/>
        <v/>
      </c>
      <c r="AN113" s="52" t="str">
        <f t="shared" si="50"/>
        <v/>
      </c>
      <c r="AO113" s="52" t="str">
        <f t="shared" si="50"/>
        <v/>
      </c>
    </row>
    <row r="114" ht="15" customHeight="1" spans="1:41">
      <c r="A114" s="53"/>
      <c r="B114" s="54" t="s">
        <v>106</v>
      </c>
      <c r="C114" s="55"/>
      <c r="D114" s="50">
        <v>0.65</v>
      </c>
      <c r="E114" s="50">
        <v>0.03</v>
      </c>
      <c r="F114" s="50">
        <v>-0.03</v>
      </c>
      <c r="G114" s="50">
        <f t="shared" si="43"/>
        <v>0.68</v>
      </c>
      <c r="H114" s="50">
        <f t="shared" si="44"/>
        <v>0.62</v>
      </c>
      <c r="I114" s="50" t="s">
        <v>107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51">IF(J114="","",IF(J114&gt;($D114+$E114),(J114-$D114-$E114),IF(J114&lt;($D114+$F114),(J114-$D114-$F114),"√")))</f>
        <v/>
      </c>
      <c r="AA114" s="52" t="str">
        <f t="shared" si="51"/>
        <v/>
      </c>
      <c r="AB114" s="52" t="str">
        <f t="shared" si="51"/>
        <v/>
      </c>
      <c r="AC114" s="52" t="str">
        <f t="shared" si="51"/>
        <v/>
      </c>
      <c r="AD114" s="52" t="str">
        <f t="shared" si="51"/>
        <v/>
      </c>
      <c r="AE114" s="52" t="str">
        <f t="shared" si="51"/>
        <v/>
      </c>
      <c r="AF114" s="52" t="str">
        <f t="shared" si="51"/>
        <v/>
      </c>
      <c r="AG114" s="52" t="str">
        <f t="shared" si="51"/>
        <v/>
      </c>
      <c r="AH114" s="52" t="str">
        <f t="shared" si="51"/>
        <v/>
      </c>
      <c r="AI114" s="52" t="str">
        <f t="shared" si="51"/>
        <v/>
      </c>
      <c r="AJ114" s="52" t="str">
        <f t="shared" si="51"/>
        <v/>
      </c>
      <c r="AK114" s="52" t="str">
        <f t="shared" si="51"/>
        <v/>
      </c>
      <c r="AL114" s="52" t="str">
        <f t="shared" si="51"/>
        <v/>
      </c>
      <c r="AM114" s="52" t="str">
        <f t="shared" si="51"/>
        <v/>
      </c>
      <c r="AN114" s="52" t="str">
        <f t="shared" si="51"/>
        <v/>
      </c>
      <c r="AO114" s="52" t="str">
        <f t="shared" si="51"/>
        <v/>
      </c>
    </row>
    <row r="115" ht="15" customHeight="1" spans="1:41">
      <c r="A115" s="53"/>
      <c r="B115" s="54" t="s">
        <v>108</v>
      </c>
      <c r="C115" s="55"/>
      <c r="D115" s="50">
        <v>0.65</v>
      </c>
      <c r="E115" s="50">
        <v>0.05</v>
      </c>
      <c r="F115" s="50">
        <v>-0.05</v>
      </c>
      <c r="G115" s="50">
        <f t="shared" si="43"/>
        <v>0.7</v>
      </c>
      <c r="H115" s="50">
        <f t="shared" si="44"/>
        <v>0.6</v>
      </c>
      <c r="I115" s="50" t="s">
        <v>107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2">IF(J115="","",IF(J115&gt;($D115+$E115),(J115-$D115-$E115),IF(J115&lt;($D115+$F115),(J115-$D115-$F115),"√")))</f>
        <v/>
      </c>
      <c r="AA115" s="52" t="str">
        <f t="shared" si="52"/>
        <v/>
      </c>
      <c r="AB115" s="52" t="str">
        <f t="shared" si="52"/>
        <v/>
      </c>
      <c r="AC115" s="52" t="str">
        <f t="shared" si="52"/>
        <v/>
      </c>
      <c r="AD115" s="52" t="str">
        <f t="shared" si="52"/>
        <v/>
      </c>
      <c r="AE115" s="52" t="str">
        <f t="shared" si="52"/>
        <v/>
      </c>
      <c r="AF115" s="52" t="str">
        <f t="shared" si="52"/>
        <v/>
      </c>
      <c r="AG115" s="52" t="str">
        <f t="shared" si="52"/>
        <v/>
      </c>
      <c r="AH115" s="52" t="str">
        <f t="shared" si="52"/>
        <v/>
      </c>
      <c r="AI115" s="52" t="str">
        <f t="shared" si="52"/>
        <v/>
      </c>
      <c r="AJ115" s="52" t="str">
        <f t="shared" si="52"/>
        <v/>
      </c>
      <c r="AK115" s="52" t="str">
        <f t="shared" si="52"/>
        <v/>
      </c>
      <c r="AL115" s="52" t="str">
        <f t="shared" si="52"/>
        <v/>
      </c>
      <c r="AM115" s="52" t="str">
        <f t="shared" si="52"/>
        <v/>
      </c>
      <c r="AN115" s="52" t="str">
        <f t="shared" si="52"/>
        <v/>
      </c>
      <c r="AO115" s="52" t="str">
        <f t="shared" si="52"/>
        <v/>
      </c>
    </row>
    <row r="116" ht="15" customHeight="1" spans="1:41">
      <c r="A116" s="53"/>
      <c r="B116" s="54" t="s">
        <v>109</v>
      </c>
      <c r="C116" s="55"/>
      <c r="D116" s="50">
        <v>0.65</v>
      </c>
      <c r="E116" s="50">
        <v>0.05</v>
      </c>
      <c r="F116" s="50">
        <v>-0.05</v>
      </c>
      <c r="G116" s="50">
        <f t="shared" si="43"/>
        <v>0.7</v>
      </c>
      <c r="H116" s="50">
        <f t="shared" si="44"/>
        <v>0.6</v>
      </c>
      <c r="I116" s="50" t="s">
        <v>107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3">IF(J116="","",IF(J116&gt;($D116+$E116),(J116-$D116-$E116),IF(J116&lt;($D116+$F116),(J116-$D116-$F116),"√")))</f>
        <v/>
      </c>
      <c r="AA116" s="52" t="str">
        <f t="shared" si="53"/>
        <v/>
      </c>
      <c r="AB116" s="52" t="str">
        <f t="shared" si="53"/>
        <v/>
      </c>
      <c r="AC116" s="52" t="str">
        <f t="shared" si="53"/>
        <v/>
      </c>
      <c r="AD116" s="52" t="str">
        <f t="shared" si="53"/>
        <v/>
      </c>
      <c r="AE116" s="52" t="str">
        <f t="shared" si="53"/>
        <v/>
      </c>
      <c r="AF116" s="52" t="str">
        <f t="shared" si="53"/>
        <v/>
      </c>
      <c r="AG116" s="52" t="str">
        <f t="shared" si="53"/>
        <v/>
      </c>
      <c r="AH116" s="52" t="str">
        <f t="shared" si="53"/>
        <v/>
      </c>
      <c r="AI116" s="52" t="str">
        <f t="shared" si="53"/>
        <v/>
      </c>
      <c r="AJ116" s="52" t="str">
        <f t="shared" si="53"/>
        <v/>
      </c>
      <c r="AK116" s="52" t="str">
        <f t="shared" si="53"/>
        <v/>
      </c>
      <c r="AL116" s="52" t="str">
        <f t="shared" si="53"/>
        <v/>
      </c>
      <c r="AM116" s="52" t="str">
        <f t="shared" si="53"/>
        <v/>
      </c>
      <c r="AN116" s="52" t="str">
        <f t="shared" si="53"/>
        <v/>
      </c>
      <c r="AO116" s="52" t="str">
        <f t="shared" si="53"/>
        <v/>
      </c>
    </row>
    <row r="117" ht="15" customHeight="1" spans="1:41">
      <c r="A117" s="53"/>
      <c r="B117" s="54" t="s">
        <v>110</v>
      </c>
      <c r="C117" s="55" t="s">
        <v>111</v>
      </c>
      <c r="D117" s="50">
        <v>0.4</v>
      </c>
      <c r="E117" s="50">
        <v>0.03</v>
      </c>
      <c r="F117" s="50">
        <v>-0.03</v>
      </c>
      <c r="G117" s="50">
        <f t="shared" si="43"/>
        <v>0.43</v>
      </c>
      <c r="H117" s="50">
        <f t="shared" si="44"/>
        <v>0.37</v>
      </c>
      <c r="I117" s="50" t="s">
        <v>107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4">IF(J117="","",IF(J117&gt;($D117+$E117),(J117-$D117-$E117),IF(J117&lt;($D117+$F117),(J117-$D117-$F117),"√")))</f>
        <v/>
      </c>
      <c r="AA117" s="52" t="str">
        <f t="shared" si="54"/>
        <v/>
      </c>
      <c r="AB117" s="52" t="str">
        <f t="shared" si="54"/>
        <v/>
      </c>
      <c r="AC117" s="52" t="str">
        <f t="shared" si="54"/>
        <v/>
      </c>
      <c r="AD117" s="52" t="str">
        <f t="shared" si="54"/>
        <v/>
      </c>
      <c r="AE117" s="52" t="str">
        <f t="shared" si="54"/>
        <v/>
      </c>
      <c r="AF117" s="52" t="str">
        <f t="shared" si="54"/>
        <v/>
      </c>
      <c r="AG117" s="52" t="str">
        <f t="shared" si="54"/>
        <v/>
      </c>
      <c r="AH117" s="52" t="str">
        <f t="shared" si="54"/>
        <v/>
      </c>
      <c r="AI117" s="52" t="str">
        <f t="shared" si="54"/>
        <v/>
      </c>
      <c r="AJ117" s="52" t="str">
        <f t="shared" si="54"/>
        <v/>
      </c>
      <c r="AK117" s="52" t="str">
        <f t="shared" si="54"/>
        <v/>
      </c>
      <c r="AL117" s="52" t="str">
        <f t="shared" si="54"/>
        <v/>
      </c>
      <c r="AM117" s="52" t="str">
        <f t="shared" si="54"/>
        <v/>
      </c>
      <c r="AN117" s="52" t="str">
        <f t="shared" si="54"/>
        <v/>
      </c>
      <c r="AO117" s="52" t="str">
        <f t="shared" si="54"/>
        <v/>
      </c>
    </row>
    <row r="118" ht="15" customHeight="1" spans="1:41">
      <c r="A118" s="53"/>
      <c r="B118" s="54" t="s">
        <v>112</v>
      </c>
      <c r="C118" s="55" t="s">
        <v>111</v>
      </c>
      <c r="D118" s="50">
        <v>0.4</v>
      </c>
      <c r="E118" s="50">
        <v>0.03</v>
      </c>
      <c r="F118" s="50">
        <v>-0.03</v>
      </c>
      <c r="G118" s="50">
        <f t="shared" si="43"/>
        <v>0.43</v>
      </c>
      <c r="H118" s="50">
        <f t="shared" si="44"/>
        <v>0.37</v>
      </c>
      <c r="I118" s="50" t="s">
        <v>107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5">IF(J118="","",IF(J118&gt;($D118+$E118),(J118-$D118-$E118),IF(J118&lt;($D118+$F118),(J118-$D118-$F118),"√")))</f>
        <v/>
      </c>
      <c r="AA118" s="52" t="str">
        <f t="shared" si="55"/>
        <v/>
      </c>
      <c r="AB118" s="52" t="str">
        <f t="shared" si="55"/>
        <v/>
      </c>
      <c r="AC118" s="52" t="str">
        <f t="shared" si="55"/>
        <v/>
      </c>
      <c r="AD118" s="52" t="str">
        <f t="shared" si="55"/>
        <v/>
      </c>
      <c r="AE118" s="52" t="str">
        <f t="shared" si="55"/>
        <v/>
      </c>
      <c r="AF118" s="52" t="str">
        <f t="shared" si="55"/>
        <v/>
      </c>
      <c r="AG118" s="52" t="str">
        <f t="shared" si="55"/>
        <v/>
      </c>
      <c r="AH118" s="52" t="str">
        <f t="shared" si="55"/>
        <v/>
      </c>
      <c r="AI118" s="52" t="str">
        <f t="shared" si="55"/>
        <v/>
      </c>
      <c r="AJ118" s="52" t="str">
        <f t="shared" si="55"/>
        <v/>
      </c>
      <c r="AK118" s="52" t="str">
        <f t="shared" si="55"/>
        <v/>
      </c>
      <c r="AL118" s="52" t="str">
        <f t="shared" si="55"/>
        <v/>
      </c>
      <c r="AM118" s="52" t="str">
        <f t="shared" si="55"/>
        <v/>
      </c>
      <c r="AN118" s="52" t="str">
        <f t="shared" si="55"/>
        <v/>
      </c>
      <c r="AO118" s="52" t="str">
        <f t="shared" si="55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Y9">
    <cfRule type="cellIs" dxfId="0" priority="6" operator="notBetween">
      <formula>$G9</formula>
      <formula>$H9</formula>
    </cfRule>
  </conditionalFormatting>
  <conditionalFormatting sqref="Y10">
    <cfRule type="cellIs" dxfId="0" priority="5" operator="notBetween">
      <formula>$G10</formula>
      <formula>$H10</formula>
    </cfRule>
  </conditionalFormatting>
  <conditionalFormatting sqref="Y11">
    <cfRule type="cellIs" dxfId="0" priority="82" operator="notBetween">
      <formula>$G11</formula>
      <formula>$H11</formula>
    </cfRule>
  </conditionalFormatting>
  <conditionalFormatting sqref="Y14">
    <cfRule type="cellIs" dxfId="0" priority="52" operator="notBetween">
      <formula>$G14</formula>
      <formula>$H14</formula>
    </cfRule>
  </conditionalFormatting>
  <conditionalFormatting sqref="Y15">
    <cfRule type="cellIs" dxfId="0" priority="4" operator="notBetween">
      <formula>$G15</formula>
      <formula>$H15</formula>
    </cfRule>
  </conditionalFormatting>
  <conditionalFormatting sqref="Y16">
    <cfRule type="cellIs" dxfId="0" priority="3" operator="notBetween">
      <formula>$G16</formula>
      <formula>$H16</formula>
    </cfRule>
  </conditionalFormatting>
  <conditionalFormatting sqref="Y17">
    <cfRule type="cellIs" dxfId="0" priority="2" operator="notBetween">
      <formula>$G17</formula>
      <formula>$H17</formula>
    </cfRule>
  </conditionalFormatting>
  <conditionalFormatting sqref="Y18">
    <cfRule type="cellIs" dxfId="0" priority="1" operator="notBetween">
      <formula>$G18</formula>
      <formula>$H18</formula>
    </cfRule>
  </conditionalFormatting>
  <conditionalFormatting sqref="J19">
    <cfRule type="cellIs" dxfId="0" priority="188" operator="notBetween">
      <formula>$G19</formula>
      <formula>$H19</formula>
    </cfRule>
  </conditionalFormatting>
  <conditionalFormatting sqref="Y19">
    <cfRule type="cellIs" dxfId="0" priority="22" operator="notBetween">
      <formula>$G19</formula>
      <formula>$H19</formula>
    </cfRule>
  </conditionalFormatting>
  <conditionalFormatting sqref="J82">
    <cfRule type="cellIs" dxfId="0" priority="192" operator="notBetween">
      <formula>$G82</formula>
      <formula>$H82</formula>
    </cfRule>
  </conditionalFormatting>
  <conditionalFormatting sqref="K82">
    <cfRule type="cellIs" dxfId="0" priority="156" operator="notBetween">
      <formula>$G82</formula>
      <formula>$H82</formula>
    </cfRule>
  </conditionalFormatting>
  <conditionalFormatting sqref="L82">
    <cfRule type="cellIs" dxfId="0" priority="155" operator="notBetween">
      <formula>$G82</formula>
      <formula>$H82</formula>
    </cfRule>
  </conditionalFormatting>
  <conditionalFormatting sqref="M82">
    <cfRule type="cellIs" dxfId="0" priority="154" operator="notBetween">
      <formula>$G82</formula>
      <formula>$H82</formula>
    </cfRule>
  </conditionalFormatting>
  <conditionalFormatting sqref="N82">
    <cfRule type="cellIs" dxfId="0" priority="153" operator="notBetween">
      <formula>$G82</formula>
      <formula>$H82</formula>
    </cfRule>
  </conditionalFormatting>
  <conditionalFormatting sqref="O82">
    <cfRule type="cellIs" dxfId="0" priority="152" operator="notBetween">
      <formula>$G82</formula>
      <formula>$H82</formula>
    </cfRule>
  </conditionalFormatting>
  <conditionalFormatting sqref="P82">
    <cfRule type="cellIs" dxfId="0" priority="151" operator="notBetween">
      <formula>$G82</formula>
      <formula>$H82</formula>
    </cfRule>
  </conditionalFormatting>
  <conditionalFormatting sqref="Q82">
    <cfRule type="cellIs" dxfId="0" priority="150" operator="notBetween">
      <formula>$G82</formula>
      <formula>$H82</formula>
    </cfRule>
  </conditionalFormatting>
  <conditionalFormatting sqref="R82">
    <cfRule type="cellIs" dxfId="0" priority="149" operator="notBetween">
      <formula>$G82</formula>
      <formula>$H82</formula>
    </cfRule>
  </conditionalFormatting>
  <conditionalFormatting sqref="S82">
    <cfRule type="cellIs" dxfId="0" priority="148" operator="notBetween">
      <formula>$G82</formula>
      <formula>$H82</formula>
    </cfRule>
  </conditionalFormatting>
  <conditionalFormatting sqref="T82">
    <cfRule type="cellIs" dxfId="0" priority="147" operator="notBetween">
      <formula>$G82</formula>
      <formula>$H82</formula>
    </cfRule>
  </conditionalFormatting>
  <conditionalFormatting sqref="U82">
    <cfRule type="cellIs" dxfId="0" priority="146" operator="notBetween">
      <formula>$G82</formula>
      <formula>$H82</formula>
    </cfRule>
  </conditionalFormatting>
  <conditionalFormatting sqref="V82">
    <cfRule type="cellIs" dxfId="0" priority="145" operator="notBetween">
      <formula>$G82</formula>
      <formula>$H82</formula>
    </cfRule>
  </conditionalFormatting>
  <conditionalFormatting sqref="W82">
    <cfRule type="cellIs" dxfId="0" priority="144" operator="notBetween">
      <formula>$G82</formula>
      <formula>$H82</formula>
    </cfRule>
  </conditionalFormatting>
  <conditionalFormatting sqref="X82">
    <cfRule type="cellIs" dxfId="0" priority="143" operator="notBetween">
      <formula>$G82</formula>
      <formula>$H82</formula>
    </cfRule>
  </conditionalFormatting>
  <conditionalFormatting sqref="Y82">
    <cfRule type="cellIs" dxfId="0" priority="142" operator="notBetween">
      <formula>$G82</formula>
      <formula>$H82</formula>
    </cfRule>
  </conditionalFormatting>
  <conditionalFormatting sqref="J104">
    <cfRule type="cellIs" dxfId="0" priority="189" operator="notBetween">
      <formula>$G104</formula>
      <formula>$H104</formula>
    </cfRule>
  </conditionalFormatting>
  <conditionalFormatting sqref="K104">
    <cfRule type="cellIs" dxfId="0" priority="111" operator="notBetween">
      <formula>$G104</formula>
      <formula>$H104</formula>
    </cfRule>
  </conditionalFormatting>
  <conditionalFormatting sqref="L104">
    <cfRule type="cellIs" dxfId="0" priority="110" operator="notBetween">
      <formula>$G104</formula>
      <formula>$H104</formula>
    </cfRule>
  </conditionalFormatting>
  <conditionalFormatting sqref="M104">
    <cfRule type="cellIs" dxfId="0" priority="109" operator="notBetween">
      <formula>$G104</formula>
      <formula>$H104</formula>
    </cfRule>
  </conditionalFormatting>
  <conditionalFormatting sqref="N104">
    <cfRule type="cellIs" dxfId="0" priority="108" operator="notBetween">
      <formula>$G104</formula>
      <formula>$H104</formula>
    </cfRule>
  </conditionalFormatting>
  <conditionalFormatting sqref="O104">
    <cfRule type="cellIs" dxfId="0" priority="107" operator="notBetween">
      <formula>$G104</formula>
      <formula>$H104</formula>
    </cfRule>
  </conditionalFormatting>
  <conditionalFormatting sqref="P104">
    <cfRule type="cellIs" dxfId="0" priority="106" operator="notBetween">
      <formula>$G104</formula>
      <formula>$H104</formula>
    </cfRule>
  </conditionalFormatting>
  <conditionalFormatting sqref="Q104">
    <cfRule type="cellIs" dxfId="0" priority="105" operator="notBetween">
      <formula>$G104</formula>
      <formula>$H104</formula>
    </cfRule>
  </conditionalFormatting>
  <conditionalFormatting sqref="R104">
    <cfRule type="cellIs" dxfId="0" priority="104" operator="notBetween">
      <formula>$G104</formula>
      <formula>$H104</formula>
    </cfRule>
  </conditionalFormatting>
  <conditionalFormatting sqref="S104">
    <cfRule type="cellIs" dxfId="0" priority="103" operator="notBetween">
      <formula>$G104</formula>
      <formula>$H104</formula>
    </cfRule>
  </conditionalFormatting>
  <conditionalFormatting sqref="T104">
    <cfRule type="cellIs" dxfId="0" priority="102" operator="notBetween">
      <formula>$G104</formula>
      <formula>$H104</formula>
    </cfRule>
  </conditionalFormatting>
  <conditionalFormatting sqref="U104">
    <cfRule type="cellIs" dxfId="0" priority="101" operator="notBetween">
      <formula>$G104</formula>
      <formula>$H104</formula>
    </cfRule>
  </conditionalFormatting>
  <conditionalFormatting sqref="V104">
    <cfRule type="cellIs" dxfId="0" priority="100" operator="notBetween">
      <formula>$G104</formula>
      <formula>$H104</formula>
    </cfRule>
  </conditionalFormatting>
  <conditionalFormatting sqref="W104">
    <cfRule type="cellIs" dxfId="0" priority="99" operator="notBetween">
      <formula>$G104</formula>
      <formula>$H104</formula>
    </cfRule>
  </conditionalFormatting>
  <conditionalFormatting sqref="X104">
    <cfRule type="cellIs" dxfId="0" priority="98" operator="notBetween">
      <formula>$G104</formula>
      <formula>$H104</formula>
    </cfRule>
  </conditionalFormatting>
  <conditionalFormatting sqref="Y104">
    <cfRule type="cellIs" dxfId="0" priority="97" operator="notBetween">
      <formula>$G104</formula>
      <formula>$H104</formula>
    </cfRule>
  </conditionalFormatting>
  <conditionalFormatting sqref="J107">
    <cfRule type="cellIs" dxfId="0" priority="190" operator="notBetween">
      <formula>$G107</formula>
      <formula>$H107</formula>
    </cfRule>
  </conditionalFormatting>
  <conditionalFormatting sqref="K107">
    <cfRule type="cellIs" dxfId="0" priority="126" operator="notBetween">
      <formula>$G107</formula>
      <formula>$H107</formula>
    </cfRule>
  </conditionalFormatting>
  <conditionalFormatting sqref="L107">
    <cfRule type="cellIs" dxfId="0" priority="125" operator="notBetween">
      <formula>$G107</formula>
      <formula>$H107</formula>
    </cfRule>
  </conditionalFormatting>
  <conditionalFormatting sqref="M107">
    <cfRule type="cellIs" dxfId="0" priority="124" operator="notBetween">
      <formula>$G107</formula>
      <formula>$H107</formula>
    </cfRule>
  </conditionalFormatting>
  <conditionalFormatting sqref="N107">
    <cfRule type="cellIs" dxfId="0" priority="123" operator="notBetween">
      <formula>$G107</formula>
      <formula>$H107</formula>
    </cfRule>
  </conditionalFormatting>
  <conditionalFormatting sqref="O107">
    <cfRule type="cellIs" dxfId="0" priority="122" operator="notBetween">
      <formula>$G107</formula>
      <formula>$H107</formula>
    </cfRule>
  </conditionalFormatting>
  <conditionalFormatting sqref="P107">
    <cfRule type="cellIs" dxfId="0" priority="121" operator="notBetween">
      <formula>$G107</formula>
      <formula>$H107</formula>
    </cfRule>
  </conditionalFormatting>
  <conditionalFormatting sqref="Q107">
    <cfRule type="cellIs" dxfId="0" priority="120" operator="notBetween">
      <formula>$G107</formula>
      <formula>$H107</formula>
    </cfRule>
  </conditionalFormatting>
  <conditionalFormatting sqref="R107">
    <cfRule type="cellIs" dxfId="0" priority="119" operator="notBetween">
      <formula>$G107</formula>
      <formula>$H107</formula>
    </cfRule>
  </conditionalFormatting>
  <conditionalFormatting sqref="S107">
    <cfRule type="cellIs" dxfId="0" priority="118" operator="notBetween">
      <formula>$G107</formula>
      <formula>$H107</formula>
    </cfRule>
  </conditionalFormatting>
  <conditionalFormatting sqref="T107">
    <cfRule type="cellIs" dxfId="0" priority="117" operator="notBetween">
      <formula>$G107</formula>
      <formula>$H107</formula>
    </cfRule>
  </conditionalFormatting>
  <conditionalFormatting sqref="U107">
    <cfRule type="cellIs" dxfId="0" priority="116" operator="notBetween">
      <formula>$G107</formula>
      <formula>$H107</formula>
    </cfRule>
  </conditionalFormatting>
  <conditionalFormatting sqref="V107">
    <cfRule type="cellIs" dxfId="0" priority="115" operator="notBetween">
      <formula>$G107</formula>
      <formula>$H107</formula>
    </cfRule>
  </conditionalFormatting>
  <conditionalFormatting sqref="W107">
    <cfRule type="cellIs" dxfId="0" priority="114" operator="notBetween">
      <formula>$G107</formula>
      <formula>$H107</formula>
    </cfRule>
  </conditionalFormatting>
  <conditionalFormatting sqref="X107">
    <cfRule type="cellIs" dxfId="0" priority="113" operator="notBetween">
      <formula>$G107</formula>
      <formula>$H107</formula>
    </cfRule>
  </conditionalFormatting>
  <conditionalFormatting sqref="Y107">
    <cfRule type="cellIs" dxfId="0" priority="112" operator="notBetween">
      <formula>$G107</formula>
      <formula>$H107</formula>
    </cfRule>
  </conditionalFormatting>
  <conditionalFormatting sqref="J113:J118">
    <cfRule type="cellIs" dxfId="0" priority="187" operator="notBetween">
      <formula>$G113</formula>
      <formula>$H113</formula>
    </cfRule>
  </conditionalFormatting>
  <conditionalFormatting sqref="K113:K118">
    <cfRule type="cellIs" dxfId="0" priority="21" operator="notBetween">
      <formula>$G113</formula>
      <formula>$H113</formula>
    </cfRule>
  </conditionalFormatting>
  <conditionalFormatting sqref="L10:L11">
    <cfRule type="cellIs" dxfId="0" priority="95" operator="notBetween">
      <formula>$G10</formula>
      <formula>$H10</formula>
    </cfRule>
  </conditionalFormatting>
  <conditionalFormatting sqref="L12:L13">
    <cfRule type="cellIs" dxfId="0" priority="80" operator="notBetween">
      <formula>$G12</formula>
      <formula>$H12</formula>
    </cfRule>
  </conditionalFormatting>
  <conditionalFormatting sqref="L14:L15">
    <cfRule type="cellIs" dxfId="0" priority="65" operator="notBetween">
      <formula>$G14</formula>
      <formula>$H14</formula>
    </cfRule>
  </conditionalFormatting>
  <conditionalFormatting sqref="L16:L17">
    <cfRule type="cellIs" dxfId="0" priority="50" operator="notBetween">
      <formula>$G16</formula>
      <formula>$H16</formula>
    </cfRule>
  </conditionalFormatting>
  <conditionalFormatting sqref="L18:L19">
    <cfRule type="cellIs" dxfId="0" priority="35" operator="notBetween">
      <formula>$G18</formula>
      <formula>$H18</formula>
    </cfRule>
  </conditionalFormatting>
  <conditionalFormatting sqref="L113:L118">
    <cfRule type="cellIs" dxfId="0" priority="20" operator="notBetween">
      <formula>$G113</formula>
      <formula>$H113</formula>
    </cfRule>
  </conditionalFormatting>
  <conditionalFormatting sqref="M10:M11">
    <cfRule type="cellIs" dxfId="0" priority="94" operator="notBetween">
      <formula>$G10</formula>
      <formula>$H10</formula>
    </cfRule>
  </conditionalFormatting>
  <conditionalFormatting sqref="M12:M13">
    <cfRule type="cellIs" dxfId="0" priority="79" operator="notBetween">
      <formula>$G12</formula>
      <formula>$H12</formula>
    </cfRule>
  </conditionalFormatting>
  <conditionalFormatting sqref="M14:M15">
    <cfRule type="cellIs" dxfId="0" priority="64" operator="notBetween">
      <formula>$G14</formula>
      <formula>$H14</formula>
    </cfRule>
  </conditionalFormatting>
  <conditionalFormatting sqref="M16:M17">
    <cfRule type="cellIs" dxfId="0" priority="49" operator="notBetween">
      <formula>$G16</formula>
      <formula>$H16</formula>
    </cfRule>
  </conditionalFormatting>
  <conditionalFormatting sqref="M18:M19">
    <cfRule type="cellIs" dxfId="0" priority="34" operator="notBetween">
      <formula>$G18</formula>
      <formula>$H18</formula>
    </cfRule>
  </conditionalFormatting>
  <conditionalFormatting sqref="M113:M118">
    <cfRule type="cellIs" dxfId="0" priority="19" operator="notBetween">
      <formula>$G113</formula>
      <formula>$H113</formula>
    </cfRule>
  </conditionalFormatting>
  <conditionalFormatting sqref="N10:N11">
    <cfRule type="cellIs" dxfId="0" priority="93" operator="notBetween">
      <formula>$G10</formula>
      <formula>$H10</formula>
    </cfRule>
  </conditionalFormatting>
  <conditionalFormatting sqref="N12:N13">
    <cfRule type="cellIs" dxfId="0" priority="78" operator="notBetween">
      <formula>$G12</formula>
      <formula>$H12</formula>
    </cfRule>
  </conditionalFormatting>
  <conditionalFormatting sqref="N14:N15">
    <cfRule type="cellIs" dxfId="0" priority="63" operator="notBetween">
      <formula>$G14</formula>
      <formula>$H14</formula>
    </cfRule>
  </conditionalFormatting>
  <conditionalFormatting sqref="N16:N17">
    <cfRule type="cellIs" dxfId="0" priority="48" operator="notBetween">
      <formula>$G16</formula>
      <formula>$H16</formula>
    </cfRule>
  </conditionalFormatting>
  <conditionalFormatting sqref="N18:N19">
    <cfRule type="cellIs" dxfId="0" priority="33" operator="notBetween">
      <formula>$G18</formula>
      <formula>$H18</formula>
    </cfRule>
  </conditionalFormatting>
  <conditionalFormatting sqref="N113:N118">
    <cfRule type="cellIs" dxfId="0" priority="18" operator="notBetween">
      <formula>$G113</formula>
      <formula>$H113</formula>
    </cfRule>
  </conditionalFormatting>
  <conditionalFormatting sqref="O10:O11">
    <cfRule type="cellIs" dxfId="0" priority="92" operator="notBetween">
      <formula>$G10</formula>
      <formula>$H10</formula>
    </cfRule>
  </conditionalFormatting>
  <conditionalFormatting sqref="O12:O13">
    <cfRule type="cellIs" dxfId="0" priority="77" operator="notBetween">
      <formula>$G12</formula>
      <formula>$H12</formula>
    </cfRule>
  </conditionalFormatting>
  <conditionalFormatting sqref="O14:O15">
    <cfRule type="cellIs" dxfId="0" priority="62" operator="notBetween">
      <formula>$G14</formula>
      <formula>$H14</formula>
    </cfRule>
  </conditionalFormatting>
  <conditionalFormatting sqref="O16:O17">
    <cfRule type="cellIs" dxfId="0" priority="47" operator="notBetween">
      <formula>$G16</formula>
      <formula>$H16</formula>
    </cfRule>
  </conditionalFormatting>
  <conditionalFormatting sqref="O18:O19">
    <cfRule type="cellIs" dxfId="0" priority="32" operator="notBetween">
      <formula>$G18</formula>
      <formula>$H18</formula>
    </cfRule>
  </conditionalFormatting>
  <conditionalFormatting sqref="O113:O118">
    <cfRule type="cellIs" dxfId="0" priority="17" operator="notBetween">
      <formula>$G113</formula>
      <formula>$H113</formula>
    </cfRule>
  </conditionalFormatting>
  <conditionalFormatting sqref="P10:P11">
    <cfRule type="cellIs" dxfId="0" priority="91" operator="notBetween">
      <formula>$G10</formula>
      <formula>$H10</formula>
    </cfRule>
  </conditionalFormatting>
  <conditionalFormatting sqref="P12:P13">
    <cfRule type="cellIs" dxfId="0" priority="76" operator="notBetween">
      <formula>$G12</formula>
      <formula>$H12</formula>
    </cfRule>
  </conditionalFormatting>
  <conditionalFormatting sqref="P14:P15">
    <cfRule type="cellIs" dxfId="0" priority="61" operator="notBetween">
      <formula>$G14</formula>
      <formula>$H14</formula>
    </cfRule>
  </conditionalFormatting>
  <conditionalFormatting sqref="P16:P17">
    <cfRule type="cellIs" dxfId="0" priority="46" operator="notBetween">
      <formula>$G16</formula>
      <formula>$H16</formula>
    </cfRule>
  </conditionalFormatting>
  <conditionalFormatting sqref="P18:P19">
    <cfRule type="cellIs" dxfId="0" priority="31" operator="notBetween">
      <formula>$G18</formula>
      <formula>$H18</formula>
    </cfRule>
  </conditionalFormatting>
  <conditionalFormatting sqref="P113:P118">
    <cfRule type="cellIs" dxfId="0" priority="16" operator="notBetween">
      <formula>$G113</formula>
      <formula>$H113</formula>
    </cfRule>
  </conditionalFormatting>
  <conditionalFormatting sqref="Q10:Q11">
    <cfRule type="cellIs" dxfId="0" priority="90" operator="notBetween">
      <formula>$G10</formula>
      <formula>$H10</formula>
    </cfRule>
  </conditionalFormatting>
  <conditionalFormatting sqref="Q12:Q13">
    <cfRule type="cellIs" dxfId="0" priority="75" operator="notBetween">
      <formula>$G12</formula>
      <formula>$H12</formula>
    </cfRule>
  </conditionalFormatting>
  <conditionalFormatting sqref="Q14:Q15">
    <cfRule type="cellIs" dxfId="0" priority="60" operator="notBetween">
      <formula>$G14</formula>
      <formula>$H14</formula>
    </cfRule>
  </conditionalFormatting>
  <conditionalFormatting sqref="Q16:Q17">
    <cfRule type="cellIs" dxfId="0" priority="45" operator="notBetween">
      <formula>$G16</formula>
      <formula>$H16</formula>
    </cfRule>
  </conditionalFormatting>
  <conditionalFormatting sqref="Q18:Q19">
    <cfRule type="cellIs" dxfId="0" priority="30" operator="notBetween">
      <formula>$G18</formula>
      <formula>$H18</formula>
    </cfRule>
  </conditionalFormatting>
  <conditionalFormatting sqref="Q113:Q118">
    <cfRule type="cellIs" dxfId="0" priority="15" operator="notBetween">
      <formula>$G113</formula>
      <formula>$H113</formula>
    </cfRule>
  </conditionalFormatting>
  <conditionalFormatting sqref="R10:R11">
    <cfRule type="cellIs" dxfId="0" priority="89" operator="notBetween">
      <formula>$G10</formula>
      <formula>$H10</formula>
    </cfRule>
  </conditionalFormatting>
  <conditionalFormatting sqref="R12:R13">
    <cfRule type="cellIs" dxfId="0" priority="74" operator="notBetween">
      <formula>$G12</formula>
      <formula>$H12</formula>
    </cfRule>
  </conditionalFormatting>
  <conditionalFormatting sqref="R14:R15">
    <cfRule type="cellIs" dxfId="0" priority="59" operator="notBetween">
      <formula>$G14</formula>
      <formula>$H14</formula>
    </cfRule>
  </conditionalFormatting>
  <conditionalFormatting sqref="R16:R17">
    <cfRule type="cellIs" dxfId="0" priority="44" operator="notBetween">
      <formula>$G16</formula>
      <formula>$H16</formula>
    </cfRule>
  </conditionalFormatting>
  <conditionalFormatting sqref="R18:R19">
    <cfRule type="cellIs" dxfId="0" priority="29" operator="notBetween">
      <formula>$G18</formula>
      <formula>$H18</formula>
    </cfRule>
  </conditionalFormatting>
  <conditionalFormatting sqref="R113:R118">
    <cfRule type="cellIs" dxfId="0" priority="14" operator="notBetween">
      <formula>$G113</formula>
      <formula>$H113</formula>
    </cfRule>
  </conditionalFormatting>
  <conditionalFormatting sqref="S10:S11">
    <cfRule type="cellIs" dxfId="0" priority="88" operator="notBetween">
      <formula>$G10</formula>
      <formula>$H10</formula>
    </cfRule>
  </conditionalFormatting>
  <conditionalFormatting sqref="S12:S13">
    <cfRule type="cellIs" dxfId="0" priority="73" operator="notBetween">
      <formula>$G12</formula>
      <formula>$H12</formula>
    </cfRule>
  </conditionalFormatting>
  <conditionalFormatting sqref="S14:S15">
    <cfRule type="cellIs" dxfId="0" priority="58" operator="notBetween">
      <formula>$G14</formula>
      <formula>$H14</formula>
    </cfRule>
  </conditionalFormatting>
  <conditionalFormatting sqref="S16:S17">
    <cfRule type="cellIs" dxfId="0" priority="43" operator="notBetween">
      <formula>$G16</formula>
      <formula>$H16</formula>
    </cfRule>
  </conditionalFormatting>
  <conditionalFormatting sqref="S18:S19">
    <cfRule type="cellIs" dxfId="0" priority="28" operator="notBetween">
      <formula>$G18</formula>
      <formula>$H18</formula>
    </cfRule>
  </conditionalFormatting>
  <conditionalFormatting sqref="S113:S118">
    <cfRule type="cellIs" dxfId="0" priority="13" operator="notBetween">
      <formula>$G113</formula>
      <formula>$H113</formula>
    </cfRule>
  </conditionalFormatting>
  <conditionalFormatting sqref="T10:T11">
    <cfRule type="cellIs" dxfId="0" priority="87" operator="notBetween">
      <formula>$G10</formula>
      <formula>$H10</formula>
    </cfRule>
  </conditionalFormatting>
  <conditionalFormatting sqref="T12:T13">
    <cfRule type="cellIs" dxfId="0" priority="72" operator="notBetween">
      <formula>$G12</formula>
      <formula>$H12</formula>
    </cfRule>
  </conditionalFormatting>
  <conditionalFormatting sqref="T14:T15">
    <cfRule type="cellIs" dxfId="0" priority="57" operator="notBetween">
      <formula>$G14</formula>
      <formula>$H14</formula>
    </cfRule>
  </conditionalFormatting>
  <conditionalFormatting sqref="T16:T17">
    <cfRule type="cellIs" dxfId="0" priority="42" operator="notBetween">
      <formula>$G16</formula>
      <formula>$H16</formula>
    </cfRule>
  </conditionalFormatting>
  <conditionalFormatting sqref="T18:T19">
    <cfRule type="cellIs" dxfId="0" priority="27" operator="notBetween">
      <formula>$G18</formula>
      <formula>$H18</formula>
    </cfRule>
  </conditionalFormatting>
  <conditionalFormatting sqref="T113:T118">
    <cfRule type="cellIs" dxfId="0" priority="12" operator="notBetween">
      <formula>$G113</formula>
      <formula>$H113</formula>
    </cfRule>
  </conditionalFormatting>
  <conditionalFormatting sqref="U10:U11">
    <cfRule type="cellIs" dxfId="0" priority="86" operator="notBetween">
      <formula>$G10</formula>
      <formula>$H10</formula>
    </cfRule>
  </conditionalFormatting>
  <conditionalFormatting sqref="U12:U13">
    <cfRule type="cellIs" dxfId="0" priority="71" operator="notBetween">
      <formula>$G12</formula>
      <formula>$H12</formula>
    </cfRule>
  </conditionalFormatting>
  <conditionalFormatting sqref="U14:U15">
    <cfRule type="cellIs" dxfId="0" priority="56" operator="notBetween">
      <formula>$G14</formula>
      <formula>$H14</formula>
    </cfRule>
  </conditionalFormatting>
  <conditionalFormatting sqref="U16:U17">
    <cfRule type="cellIs" dxfId="0" priority="41" operator="notBetween">
      <formula>$G16</formula>
      <formula>$H16</formula>
    </cfRule>
  </conditionalFormatting>
  <conditionalFormatting sqref="U18:U19">
    <cfRule type="cellIs" dxfId="0" priority="26" operator="notBetween">
      <formula>$G18</formula>
      <formula>$H18</formula>
    </cfRule>
  </conditionalFormatting>
  <conditionalFormatting sqref="U113:U118">
    <cfRule type="cellIs" dxfId="0" priority="11" operator="notBetween">
      <formula>$G113</formula>
      <formula>$H113</formula>
    </cfRule>
  </conditionalFormatting>
  <conditionalFormatting sqref="V10:V11">
    <cfRule type="cellIs" dxfId="0" priority="85" operator="notBetween">
      <formula>$G10</formula>
      <formula>$H10</formula>
    </cfRule>
  </conditionalFormatting>
  <conditionalFormatting sqref="V12:V13">
    <cfRule type="cellIs" dxfId="0" priority="70" operator="notBetween">
      <formula>$G12</formula>
      <formula>$H12</formula>
    </cfRule>
  </conditionalFormatting>
  <conditionalFormatting sqref="V14:V15">
    <cfRule type="cellIs" dxfId="0" priority="55" operator="notBetween">
      <formula>$G14</formula>
      <formula>$H14</formula>
    </cfRule>
  </conditionalFormatting>
  <conditionalFormatting sqref="V16:V17">
    <cfRule type="cellIs" dxfId="0" priority="40" operator="notBetween">
      <formula>$G16</formula>
      <formula>$H16</formula>
    </cfRule>
  </conditionalFormatting>
  <conditionalFormatting sqref="V18:V19">
    <cfRule type="cellIs" dxfId="0" priority="25" operator="notBetween">
      <formula>$G18</formula>
      <formula>$H18</formula>
    </cfRule>
  </conditionalFormatting>
  <conditionalFormatting sqref="V113:V118">
    <cfRule type="cellIs" dxfId="0" priority="10" operator="notBetween">
      <formula>$G113</formula>
      <formula>$H113</formula>
    </cfRule>
  </conditionalFormatting>
  <conditionalFormatting sqref="W10:W11">
    <cfRule type="cellIs" dxfId="0" priority="84" operator="notBetween">
      <formula>$G10</formula>
      <formula>$H10</formula>
    </cfRule>
  </conditionalFormatting>
  <conditionalFormatting sqref="W12:W13">
    <cfRule type="cellIs" dxfId="0" priority="69" operator="notBetween">
      <formula>$G12</formula>
      <formula>$H12</formula>
    </cfRule>
  </conditionalFormatting>
  <conditionalFormatting sqref="W14:W15">
    <cfRule type="cellIs" dxfId="0" priority="54" operator="notBetween">
      <formula>$G14</formula>
      <formula>$H14</formula>
    </cfRule>
  </conditionalFormatting>
  <conditionalFormatting sqref="W16:W17">
    <cfRule type="cellIs" dxfId="0" priority="39" operator="notBetween">
      <formula>$G16</formula>
      <formula>$H16</formula>
    </cfRule>
  </conditionalFormatting>
  <conditionalFormatting sqref="W18:W19">
    <cfRule type="cellIs" dxfId="0" priority="24" operator="notBetween">
      <formula>$G18</formula>
      <formula>$H18</formula>
    </cfRule>
  </conditionalFormatting>
  <conditionalFormatting sqref="W113:W118">
    <cfRule type="cellIs" dxfId="0" priority="9" operator="notBetween">
      <formula>$G113</formula>
      <formula>$H113</formula>
    </cfRule>
  </conditionalFormatting>
  <conditionalFormatting sqref="X10:X11">
    <cfRule type="cellIs" dxfId="0" priority="83" operator="notBetween">
      <formula>$G10</formula>
      <formula>$H10</formula>
    </cfRule>
  </conditionalFormatting>
  <conditionalFormatting sqref="X12:X13">
    <cfRule type="cellIs" dxfId="0" priority="68" operator="notBetween">
      <formula>$G12</formula>
      <formula>$H12</formula>
    </cfRule>
  </conditionalFormatting>
  <conditionalFormatting sqref="X14:X15">
    <cfRule type="cellIs" dxfId="0" priority="53" operator="notBetween">
      <formula>$G14</formula>
      <formula>$H14</formula>
    </cfRule>
  </conditionalFormatting>
  <conditionalFormatting sqref="X16:X17">
    <cfRule type="cellIs" dxfId="0" priority="38" operator="notBetween">
      <formula>$G16</formula>
      <formula>$H16</formula>
    </cfRule>
  </conditionalFormatting>
  <conditionalFormatting sqref="X18:X19">
    <cfRule type="cellIs" dxfId="0" priority="23" operator="notBetween">
      <formula>$G18</formula>
      <formula>$H18</formula>
    </cfRule>
  </conditionalFormatting>
  <conditionalFormatting sqref="X113:X118">
    <cfRule type="cellIs" dxfId="0" priority="8" operator="notBetween">
      <formula>$G113</formula>
      <formula>$H113</formula>
    </cfRule>
  </conditionalFormatting>
  <conditionalFormatting sqref="Y12:Y13">
    <cfRule type="cellIs" dxfId="0" priority="67" operator="notBetween">
      <formula>$G12</formula>
      <formula>$H12</formula>
    </cfRule>
  </conditionalFormatting>
  <conditionalFormatting sqref="Y113:Y118">
    <cfRule type="cellIs" dxfId="0" priority="7" operator="notBetween">
      <formula>$G113</formula>
      <formula>$H113</formula>
    </cfRule>
  </conditionalFormatting>
  <conditionalFormatting sqref="J7:K9 K20:K21 K25:K36 K43 K50 K77">
    <cfRule type="cellIs" dxfId="0" priority="186" operator="notBetween">
      <formula>$G7</formula>
      <formula>$H7</formula>
    </cfRule>
  </conditionalFormatting>
  <conditionalFormatting sqref="L7:L9 L20:L21 L25:L36 L43 L50 L77">
    <cfRule type="cellIs" dxfId="0" priority="185" operator="notBetween">
      <formula>$G7</formula>
      <formula>$H7</formula>
    </cfRule>
  </conditionalFormatting>
  <conditionalFormatting sqref="M7:M9 M20:M21 M25:M36 M43 M50 M77">
    <cfRule type="cellIs" dxfId="0" priority="184" operator="notBetween">
      <formula>$G7</formula>
      <formula>$H7</formula>
    </cfRule>
  </conditionalFormatting>
  <conditionalFormatting sqref="N7:N9 N20:N21 N25:N36 N43 N50 N77">
    <cfRule type="cellIs" dxfId="0" priority="183" operator="notBetween">
      <formula>$G7</formula>
      <formula>$H7</formula>
    </cfRule>
  </conditionalFormatting>
  <conditionalFormatting sqref="O7:O9 O20:O21 O25:O36 O43 O50 O77">
    <cfRule type="cellIs" dxfId="0" priority="182" operator="notBetween">
      <formula>$G7</formula>
      <formula>$H7</formula>
    </cfRule>
  </conditionalFormatting>
  <conditionalFormatting sqref="P7:P9 P20:P21 P25:P36 P43 P50 P77">
    <cfRule type="cellIs" dxfId="0" priority="181" operator="notBetween">
      <formula>$G7</formula>
      <formula>$H7</formula>
    </cfRule>
  </conditionalFormatting>
  <conditionalFormatting sqref="Q7:Q9 Q20:Q21 Q25:Q36 Q43 Q50 Q77">
    <cfRule type="cellIs" dxfId="0" priority="180" operator="notBetween">
      <formula>$G7</formula>
      <formula>$H7</formula>
    </cfRule>
  </conditionalFormatting>
  <conditionalFormatting sqref="R7:R9 R20:R21 R25:R36 R43 R50 R77">
    <cfRule type="cellIs" dxfId="0" priority="179" operator="notBetween">
      <formula>$G7</formula>
      <formula>$H7</formula>
    </cfRule>
  </conditionalFormatting>
  <conditionalFormatting sqref="S7:S9 S20:S21 S25:S36 S43 S50 S77">
    <cfRule type="cellIs" dxfId="0" priority="178" operator="notBetween">
      <formula>$G7</formula>
      <formula>$H7</formula>
    </cfRule>
  </conditionalFormatting>
  <conditionalFormatting sqref="T7:T9 T20:T21 T25:T36 T43 T50 T77">
    <cfRule type="cellIs" dxfId="0" priority="177" operator="notBetween">
      <formula>$G7</formula>
      <formula>$H7</formula>
    </cfRule>
  </conditionalFormatting>
  <conditionalFormatting sqref="U7:U9 U20:U21 U25:U36 U43 U50 U77">
    <cfRule type="cellIs" dxfId="0" priority="176" operator="notBetween">
      <formula>$G7</formula>
      <formula>$H7</formula>
    </cfRule>
  </conditionalFormatting>
  <conditionalFormatting sqref="V7:V9 V20:V21 V25:V36 V43 V50 V77">
    <cfRule type="cellIs" dxfId="0" priority="175" operator="notBetween">
      <formula>$G7</formula>
      <formula>$H7</formula>
    </cfRule>
  </conditionalFormatting>
  <conditionalFormatting sqref="W7:W9 W20:W21 W25:W36 W43 W50 W77">
    <cfRule type="cellIs" dxfId="0" priority="174" operator="notBetween">
      <formula>$G7</formula>
      <formula>$H7</formula>
    </cfRule>
  </conditionalFormatting>
  <conditionalFormatting sqref="X7:X9 X20:X21 X25:X36 X43 X50 X77">
    <cfRule type="cellIs" dxfId="0" priority="173" operator="notBetween">
      <formula>$G7</formula>
      <formula>$H7</formula>
    </cfRule>
  </conditionalFormatting>
  <conditionalFormatting sqref="Y7:Y8 Y20:Y21 Y25:Y36 Y43 Y50 Y77">
    <cfRule type="cellIs" dxfId="0" priority="172" operator="notBetween">
      <formula>$G7</formula>
      <formula>$H7</formula>
    </cfRule>
  </conditionalFormatting>
  <conditionalFormatting sqref="J10:K11">
    <cfRule type="cellIs" dxfId="0" priority="96" operator="notBetween">
      <formula>$G10</formula>
      <formula>$H10</formula>
    </cfRule>
  </conditionalFormatting>
  <conditionalFormatting sqref="J12:K13">
    <cfRule type="cellIs" dxfId="0" priority="81" operator="notBetween">
      <formula>$G12</formula>
      <formula>$H12</formula>
    </cfRule>
  </conditionalFormatting>
  <conditionalFormatting sqref="J14:K15">
    <cfRule type="cellIs" dxfId="0" priority="66" operator="notBetween">
      <formula>$G14</formula>
      <formula>$H14</formula>
    </cfRule>
  </conditionalFormatting>
  <conditionalFormatting sqref="J16:K17">
    <cfRule type="cellIs" dxfId="0" priority="51" operator="notBetween">
      <formula>$G16</formula>
      <formula>$H16</formula>
    </cfRule>
  </conditionalFormatting>
  <conditionalFormatting sqref="J18:K18 K19">
    <cfRule type="cellIs" dxfId="0" priority="36" operator="notBetween">
      <formula>$G18</formula>
      <formula>$H18</formula>
    </cfRule>
  </conditionalFormatting>
  <conditionalFormatting sqref="J20:J21 J25:J36 J43 J50 J77">
    <cfRule type="cellIs" dxfId="0" priority="194" operator="notBetween">
      <formula>$G20</formula>
      <formula>$H20</formula>
    </cfRule>
  </conditionalFormatting>
  <conditionalFormatting sqref="J22:J24 J55 J60 J65">
    <cfRule type="cellIs" dxfId="0" priority="193" operator="notBetween">
      <formula>$G22</formula>
      <formula>$H22</formula>
    </cfRule>
  </conditionalFormatting>
  <conditionalFormatting sqref="K22:K24 K55 K60 K65">
    <cfRule type="cellIs" dxfId="0" priority="171" operator="notBetween">
      <formula>$G22</formula>
      <formula>$H22</formula>
    </cfRule>
  </conditionalFormatting>
  <conditionalFormatting sqref="L22:L24 L55 L60 L65">
    <cfRule type="cellIs" dxfId="0" priority="170" operator="notBetween">
      <formula>$G22</formula>
      <formula>$H22</formula>
    </cfRule>
  </conditionalFormatting>
  <conditionalFormatting sqref="M22:M24 M55 M60 M65">
    <cfRule type="cellIs" dxfId="0" priority="169" operator="notBetween">
      <formula>$G22</formula>
      <formula>$H22</formula>
    </cfRule>
  </conditionalFormatting>
  <conditionalFormatting sqref="N22:N24 N55 N60 N65">
    <cfRule type="cellIs" dxfId="0" priority="168" operator="notBetween">
      <formula>$G22</formula>
      <formula>$H22</formula>
    </cfRule>
  </conditionalFormatting>
  <conditionalFormatting sqref="O22:O24 O55 O60 O65">
    <cfRule type="cellIs" dxfId="0" priority="167" operator="notBetween">
      <formula>$G22</formula>
      <formula>$H22</formula>
    </cfRule>
  </conditionalFormatting>
  <conditionalFormatting sqref="P22:P24 P55 P60 P65">
    <cfRule type="cellIs" dxfId="0" priority="166" operator="notBetween">
      <formula>$G22</formula>
      <formula>$H22</formula>
    </cfRule>
  </conditionalFormatting>
  <conditionalFormatting sqref="Q22:Q24 Q55 Q60 Q65">
    <cfRule type="cellIs" dxfId="0" priority="165" operator="notBetween">
      <formula>$G22</formula>
      <formula>$H22</formula>
    </cfRule>
  </conditionalFormatting>
  <conditionalFormatting sqref="R22:R24 R55 R60 R65">
    <cfRule type="cellIs" dxfId="0" priority="164" operator="notBetween">
      <formula>$G22</formula>
      <formula>$H22</formula>
    </cfRule>
  </conditionalFormatting>
  <conditionalFormatting sqref="S22:S24 S55 S60 S65">
    <cfRule type="cellIs" dxfId="0" priority="163" operator="notBetween">
      <formula>$G22</formula>
      <formula>$H22</formula>
    </cfRule>
  </conditionalFormatting>
  <conditionalFormatting sqref="T22:T24 T55 T60 T65">
    <cfRule type="cellIs" dxfId="0" priority="162" operator="notBetween">
      <formula>$G22</formula>
      <formula>$H22</formula>
    </cfRule>
  </conditionalFormatting>
  <conditionalFormatting sqref="U22:U24 U55 U60 U65">
    <cfRule type="cellIs" dxfId="0" priority="161" operator="notBetween">
      <formula>$G22</formula>
      <formula>$H22</formula>
    </cfRule>
  </conditionalFormatting>
  <conditionalFormatting sqref="V22:V24 V55 V60 V65">
    <cfRule type="cellIs" dxfId="0" priority="160" operator="notBetween">
      <formula>$G22</formula>
      <formula>$H22</formula>
    </cfRule>
  </conditionalFormatting>
  <conditionalFormatting sqref="W22:W24 W55 W60 W65">
    <cfRule type="cellIs" dxfId="0" priority="159" operator="notBetween">
      <formula>$G22</formula>
      <formula>$H22</formula>
    </cfRule>
  </conditionalFormatting>
  <conditionalFormatting sqref="X22:X24 X55 X60 X65">
    <cfRule type="cellIs" dxfId="0" priority="158" operator="notBetween">
      <formula>$G22</formula>
      <formula>$H22</formula>
    </cfRule>
  </conditionalFormatting>
  <conditionalFormatting sqref="Y22:Y24 Y55 Y60 Y65">
    <cfRule type="cellIs" dxfId="0" priority="157" operator="notBetween">
      <formula>$G22</formula>
      <formula>$H22</formula>
    </cfRule>
  </conditionalFormatting>
  <conditionalFormatting sqref="J87 J92 J97 J100">
    <cfRule type="cellIs" dxfId="0" priority="191" operator="notBetween">
      <formula>$G87</formula>
      <formula>$H87</formula>
    </cfRule>
  </conditionalFormatting>
  <conditionalFormatting sqref="K87 K92 K97 K100">
    <cfRule type="cellIs" dxfId="0" priority="141" operator="notBetween">
      <formula>$G87</formula>
      <formula>$H87</formula>
    </cfRule>
  </conditionalFormatting>
  <conditionalFormatting sqref="L87 L92 L97 L100">
    <cfRule type="cellIs" dxfId="0" priority="140" operator="notBetween">
      <formula>$G87</formula>
      <formula>$H87</formula>
    </cfRule>
  </conditionalFormatting>
  <conditionalFormatting sqref="M87 M92 M97 M100">
    <cfRule type="cellIs" dxfId="0" priority="139" operator="notBetween">
      <formula>$G87</formula>
      <formula>$H87</formula>
    </cfRule>
  </conditionalFormatting>
  <conditionalFormatting sqref="N87 N92 N97 N100">
    <cfRule type="cellIs" dxfId="0" priority="138" operator="notBetween">
      <formula>$G87</formula>
      <formula>$H87</formula>
    </cfRule>
  </conditionalFormatting>
  <conditionalFormatting sqref="O87 O92 O97 O100">
    <cfRule type="cellIs" dxfId="0" priority="137" operator="notBetween">
      <formula>$G87</formula>
      <formula>$H87</formula>
    </cfRule>
  </conditionalFormatting>
  <conditionalFormatting sqref="P87 P92 P97 P100">
    <cfRule type="cellIs" dxfId="0" priority="136" operator="notBetween">
      <formula>$G87</formula>
      <formula>$H87</formula>
    </cfRule>
  </conditionalFormatting>
  <conditionalFormatting sqref="Q87 Q92 Q97 Q100">
    <cfRule type="cellIs" dxfId="0" priority="135" operator="notBetween">
      <formula>$G87</formula>
      <formula>$H87</formula>
    </cfRule>
  </conditionalFormatting>
  <conditionalFormatting sqref="R87 R92 R97 R100">
    <cfRule type="cellIs" dxfId="0" priority="134" operator="notBetween">
      <formula>$G87</formula>
      <formula>$H87</formula>
    </cfRule>
  </conditionalFormatting>
  <conditionalFormatting sqref="S87 S92 S97 S100">
    <cfRule type="cellIs" dxfId="0" priority="133" operator="notBetween">
      <formula>$G87</formula>
      <formula>$H87</formula>
    </cfRule>
  </conditionalFormatting>
  <conditionalFormatting sqref="T87 T92 T97 T100">
    <cfRule type="cellIs" dxfId="0" priority="132" operator="notBetween">
      <formula>$G87</formula>
      <formula>$H87</formula>
    </cfRule>
  </conditionalFormatting>
  <conditionalFormatting sqref="U87 U92 U97 U100">
    <cfRule type="cellIs" dxfId="0" priority="131" operator="notBetween">
      <formula>$G87</formula>
      <formula>$H87</formula>
    </cfRule>
  </conditionalFormatting>
  <conditionalFormatting sqref="V87 V92 V97 V100">
    <cfRule type="cellIs" dxfId="0" priority="130" operator="notBetween">
      <formula>$G87</formula>
      <formula>$H87</formula>
    </cfRule>
  </conditionalFormatting>
  <conditionalFormatting sqref="W87 W92 W97 W100">
    <cfRule type="cellIs" dxfId="0" priority="129" operator="notBetween">
      <formula>$G87</formula>
      <formula>$H87</formula>
    </cfRule>
  </conditionalFormatting>
  <conditionalFormatting sqref="X87 X92 X97 X100">
    <cfRule type="cellIs" dxfId="0" priority="128" operator="notBetween">
      <formula>$G87</formula>
      <formula>$H87</formula>
    </cfRule>
  </conditionalFormatting>
  <conditionalFormatting sqref="Y87 Y92 Y97 Y100">
    <cfRule type="cellIs" dxfId="0" priority="127" operator="notBetween">
      <formula>$G87</formula>
      <formula>$H87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1-2</vt:lpstr>
      <vt:lpstr>3-4</vt:lpstr>
      <vt:lpstr>5-6</vt:lpstr>
      <vt:lpstr>7-8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2026-07-03T20:23:14Z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