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tabRatio="290"/>
  </bookViews>
  <sheets>
    <sheet name="806-63452" sheetId="8" r:id="rId1"/>
  </sheets>
  <definedNames>
    <definedName name="_xlnm.Print_Area" localSheetId="0">'806-63452'!$B$1:$AE$7</definedName>
    <definedName name="_xlnm.Print_Titles" localSheetId="0">'806-63452'!$1:$7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<sst xmlns="http://schemas.openxmlformats.org/spreadsheetml/2006/main" count="119" uniqueCount="80">
  <si>
    <t>安徽中耀智能科技有限公司首件尺寸报告</t>
  </si>
  <si>
    <t>料号</t>
  </si>
  <si>
    <t>806-63452</t>
  </si>
  <si>
    <t>工单号</t>
  </si>
  <si>
    <t>ww132-260701082</t>
  </si>
  <si>
    <t>工站</t>
  </si>
  <si>
    <t>烧结炉号</t>
  </si>
  <si>
    <t>量测机台号</t>
  </si>
  <si>
    <t>测量人员</t>
  </si>
  <si>
    <t>审核</t>
  </si>
  <si>
    <t>烧结</t>
  </si>
  <si>
    <t>DC03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</si>
  <si>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</si>
  <si>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</si>
  <si>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</si>
  <si>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</si>
  <si>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</si>
  <si>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</si>
  <si>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</si>
  <si>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</si>
  <si>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</si>
  <si>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</si>
  <si>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</si>
  <si>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</si>
  <si>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</si>
  <si>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</si>
  <si>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</si>
  <si>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</si>
  <si>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2026/7/3</t>
  </si>
  <si>
    <t>FAI24_1</t>
  </si>
  <si>
    <t>CK</t>
  </si>
  <si>
    <t>OMM</t>
  </si>
  <si>
    <t>FAI24_2</t>
  </si>
  <si>
    <t>FAI28_1</t>
  </si>
  <si>
    <t>FAI28_2</t>
  </si>
  <si>
    <t>FAI1</t>
  </si>
  <si>
    <t>CMM</t>
  </si>
  <si>
    <t>FAI37</t>
  </si>
  <si>
    <t>CM</t>
  </si>
  <si>
    <t>FAI54</t>
  </si>
  <si>
    <t>CT</t>
  </si>
  <si>
    <t>FAI55</t>
  </si>
  <si>
    <t>CU</t>
  </si>
  <si>
    <t>FAI25_1X</t>
  </si>
  <si>
    <t>FAI25_1Z</t>
  </si>
  <si>
    <t>FAI25_1</t>
  </si>
  <si>
    <t>CL</t>
  </si>
  <si>
    <t>FAI25_2X</t>
  </si>
  <si>
    <t>FAI25_2Z</t>
  </si>
  <si>
    <t>FAI25_2</t>
  </si>
  <si>
    <t>FAI29</t>
  </si>
  <si>
    <t>CJ</t>
  </si>
  <si>
    <t>FAI29_1</t>
  </si>
  <si>
    <t>FAI29_2</t>
  </si>
  <si>
    <t>FAI29_3</t>
  </si>
  <si>
    <t>FAI29_4</t>
  </si>
  <si>
    <t>FAI29_5</t>
  </si>
  <si>
    <t>FAI29_6</t>
  </si>
  <si>
    <t>FAI29_7</t>
  </si>
  <si>
    <t>FAI29_8</t>
  </si>
  <si>
    <t>FAI47</t>
  </si>
  <si>
    <t>CP</t>
  </si>
  <si>
    <t>FAI47_1</t>
  </si>
  <si>
    <t>FAI47_2</t>
  </si>
  <si>
    <t>FAI47_3</t>
  </si>
  <si>
    <t>FAI48</t>
  </si>
  <si>
    <t>CQ</t>
  </si>
  <si>
    <t>FAI48_1</t>
  </si>
  <si>
    <t>FAI48_2</t>
  </si>
  <si>
    <t>FAI48_3</t>
  </si>
  <si>
    <t>FAI49</t>
  </si>
  <si>
    <t>CR</t>
  </si>
  <si>
    <t>FAI49_1</t>
  </si>
  <si>
    <t>FAI49_2</t>
  </si>
  <si>
    <t>FAI49_3</t>
  </si>
  <si>
    <t>FAI50</t>
  </si>
  <si>
    <t>CS</t>
  </si>
  <si>
    <t>FAI50_1</t>
  </si>
  <si>
    <t>FAI50_2</t>
  </si>
  <si>
    <t>FAI50_3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</si>
</sst>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3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6" borderId="17" applyNumberFormat="0" applyAlignment="0" applyProtection="0">
      <alignment vertical="center"/>
    </xf>
    <xf numFmtId="0" fontId="21" fillId="7" borderId="18" applyNumberFormat="0" applyAlignment="0" applyProtection="0">
      <alignment vertical="center"/>
    </xf>
    <xf numFmtId="0" fontId="22" fillId="7" borderId="17" applyNumberFormat="0" applyAlignment="0" applyProtection="0">
      <alignment vertical="center"/>
    </xf>
    <xf numFmtId="0" fontId="23" fillId="8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2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2" borderId="11" xfId="60" applyFont="1" applyFill="1" applyBorder="1" applyAlignment="1" applyProtection="1">
      <alignment horizontal="center" vertical="center"/>
      <protection locked="0"/>
    </xf>
    <xf numFmtId="0" fontId="6" fillId="3" borderId="1" xfId="60" applyFont="1" applyFill="1" applyBorder="1" applyAlignment="1">
      <alignment horizontal="center" vertical="center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6" fillId="2" borderId="2" xfId="60" applyFont="1" applyFill="1" applyBorder="1" applyAlignment="1" applyProtection="1">
      <alignment horizontal="center" vertical="center"/>
      <protection locked="0"/>
    </xf>
    <xf numFmtId="0" fontId="6" fillId="2" borderId="3" xfId="60" applyFont="1" applyFill="1" applyBorder="1" applyAlignment="1" applyProtection="1">
      <alignment horizontal="center" vertical="center"/>
      <protection locked="0"/>
    </xf>
    <xf numFmtId="0" fontId="6" fillId="2" borderId="4" xfId="60" applyFont="1" applyFill="1" applyBorder="1" applyAlignment="1" applyProtection="1">
      <alignment horizontal="center" vertical="center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3" borderId="1" xfId="60" applyFont="1" applyFill="1" applyBorder="1" applyAlignment="1">
      <alignment horizontal="center" vertical="center"/>
    </xf>
    <xf numFmtId="49" fontId="7" fillId="0" borderId="12" xfId="60" applyNumberFormat="1" applyFont="1" applyBorder="1" applyAlignment="1" applyProtection="1">
      <alignment horizontal="center" vertical="center" wrapText="1"/>
      <protection locked="0"/>
    </xf>
    <xf numFmtId="0" fontId="9" fillId="0" borderId="7" xfId="53" applyFont="1" applyFill="1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9" fillId="2" borderId="1" xfId="61" applyNumberFormat="1" applyFont="1" applyFill="1" applyBorder="1" applyAlignment="1">
      <alignment horizontal="center" vertical="center"/>
    </xf>
    <xf numFmtId="0" fontId="11" fillId="3" borderId="1" xfId="60" applyFont="1" applyFill="1" applyBorder="1" applyAlignment="1">
      <alignment horizontal="center" vertical="center"/>
    </xf>
    <xf numFmtId="0" fontId="9" fillId="4" borderId="7" xfId="53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47"/>
  <sheetViews>
    <sheetView tabSelected="1" topLeftCell="K1" workbookViewId="0">
      <selection activeCell="J8" sqref="J8:S9"/>
    </sheetView>
  </sheetViews>
  <sheetFormatPr defaultColWidth="9" defaultRowHeight="14.25"/>
  <cols>
    <col min="1" max="41" width="9.27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 t="s">
        <v>4</v>
      </c>
      <c r="M2" s="10"/>
      <c r="N2" s="10"/>
      <c r="O2" s="10"/>
      <c r="P2" s="10"/>
      <c r="Q2" s="10"/>
      <c r="R2" s="10"/>
      <c r="S2" s="11" t="s">
        <v>5</v>
      </c>
      <c r="T2" s="12"/>
      <c r="U2" s="12"/>
      <c r="V2" s="12"/>
      <c r="W2" s="12"/>
      <c r="X2" s="13"/>
      <c r="Y2" s="14" t="s">
        <v>6</v>
      </c>
      <c r="Z2" s="15"/>
      <c r="AA2" s="15"/>
      <c r="AB2" s="15"/>
      <c r="AC2" s="15"/>
      <c r="AD2" s="16"/>
      <c r="AE2" s="14" t="s">
        <v>7</v>
      </c>
      <c r="AF2" s="15"/>
      <c r="AG2" s="15"/>
      <c r="AH2" s="15"/>
      <c r="AI2" s="16"/>
      <c r="AJ2" s="17" t="s">
        <v>8</v>
      </c>
      <c r="AK2" s="18"/>
      <c r="AL2" s="18"/>
      <c r="AM2" s="19"/>
      <c r="AN2" s="17" t="s">
        <v>9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10</v>
      </c>
      <c r="T3" s="27"/>
      <c r="U3" s="27"/>
      <c r="V3" s="27"/>
      <c r="W3" s="27"/>
      <c r="X3" s="28"/>
      <c r="Y3" s="14" t="s">
        <v>11</v>
      </c>
      <c r="Z3" s="15"/>
      <c r="AA3" s="15"/>
      <c r="AB3" s="15"/>
      <c r="AC3" s="15"/>
      <c r="AD3" s="16"/>
      <c r="AE3" s="29" t="s">
        <v>12</v>
      </c>
      <c r="AF3" s="30"/>
      <c r="AG3" s="30"/>
      <c r="AH3" s="30"/>
      <c r="AI3" s="31"/>
      <c r="AJ3" s="29" t="s">
        <v>13</v>
      </c>
      <c r="AK3" s="30"/>
      <c r="AL3" s="30"/>
      <c r="AM3" s="31"/>
      <c r="AN3" s="29" t="s">
        <v>14</v>
      </c>
      <c r="AO3" s="31"/>
    </row>
    <row r="4" customHeight="1" spans="1:41">
      <c r="A4" s="32" t="s">
        <v>15</v>
      </c>
      <c r="B4" s="32" t="s">
        <v>16</v>
      </c>
      <c r="C4" s="33" t="s">
        <v>17</v>
      </c>
      <c r="D4" s="34" t="s">
        <v>18</v>
      </c>
      <c r="E4" s="35" t="s">
        <v>19</v>
      </c>
      <c r="F4" s="36" t="s">
        <v>20</v>
      </c>
      <c r="G4" s="36" t="s">
        <v>21</v>
      </c>
      <c r="H4" s="36" t="s">
        <v>22</v>
      </c>
      <c r="I4" s="37" t="s">
        <v>23</v>
      </c>
      <c r="J4" s="38" t="s">
        <v>24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25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45" t="s">
        <v>26</v>
      </c>
      <c r="K5" s="45"/>
      <c r="L5" s="45"/>
      <c r="M5" s="45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6" t="s">
        <v>27</v>
      </c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13.5" customHeight="1" spans="1:41">
      <c r="A6" s="42"/>
      <c r="B6" s="43"/>
      <c r="C6" s="44"/>
      <c r="D6" s="34"/>
      <c r="E6" s="35"/>
      <c r="F6" s="36"/>
      <c r="G6" s="36"/>
      <c r="H6" s="36"/>
      <c r="I6" s="34"/>
      <c r="J6" s="47"/>
      <c r="K6" s="47"/>
      <c r="L6" s="47"/>
      <c r="M6" s="47"/>
      <c r="N6" s="38"/>
      <c r="O6" s="38"/>
      <c r="P6" s="48"/>
      <c r="Q6" s="49"/>
      <c r="R6" s="50"/>
      <c r="S6" s="38"/>
      <c r="T6" s="38"/>
      <c r="U6" s="38"/>
      <c r="V6" s="38"/>
      <c r="W6" s="38"/>
      <c r="X6" s="38"/>
      <c r="Y6" s="38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customHeight="1" spans="1:41">
      <c r="A7" s="42"/>
      <c r="B7" s="43"/>
      <c r="C7" s="51"/>
      <c r="D7" s="34"/>
      <c r="E7" s="35"/>
      <c r="F7" s="36"/>
      <c r="G7" s="36"/>
      <c r="H7" s="36"/>
      <c r="I7" s="34"/>
      <c r="J7" s="47">
        <v>1</v>
      </c>
      <c r="K7" s="47">
        <v>2</v>
      </c>
      <c r="L7" s="47">
        <v>3</v>
      </c>
      <c r="M7" s="47">
        <v>4</v>
      </c>
      <c r="N7" s="47">
        <v>5</v>
      </c>
      <c r="O7" s="47">
        <v>6</v>
      </c>
      <c r="P7" s="47">
        <v>7</v>
      </c>
      <c r="Q7" s="47">
        <v>8</v>
      </c>
      <c r="R7" s="47">
        <v>9</v>
      </c>
      <c r="S7" s="47">
        <v>10</v>
      </c>
      <c r="T7" s="47">
        <v>11</v>
      </c>
      <c r="U7" s="47">
        <v>12</v>
      </c>
      <c r="V7" s="47">
        <v>13</v>
      </c>
      <c r="W7" s="38">
        <v>14</v>
      </c>
      <c r="X7" s="47">
        <v>15</v>
      </c>
      <c r="Y7" s="47">
        <v>16</v>
      </c>
      <c r="Z7" s="52">
        <f t="shared" ref="Z7:AO7" si="0">J7</f>
        <v>1</v>
      </c>
      <c r="AA7" s="52">
        <f t="shared" si="0"/>
        <v>2</v>
      </c>
      <c r="AB7" s="52">
        <f t="shared" si="0"/>
        <v>3</v>
      </c>
      <c r="AC7" s="52">
        <f t="shared" si="0"/>
        <v>4</v>
      </c>
      <c r="AD7" s="52">
        <f t="shared" si="0"/>
        <v>5</v>
      </c>
      <c r="AE7" s="52">
        <f t="shared" si="0"/>
        <v>6</v>
      </c>
      <c r="AF7" s="52">
        <f t="shared" si="0"/>
        <v>7</v>
      </c>
      <c r="AG7" s="52">
        <f t="shared" si="0"/>
        <v>8</v>
      </c>
      <c r="AH7" s="52">
        <f t="shared" si="0"/>
        <v>9</v>
      </c>
      <c r="AI7" s="52">
        <f t="shared" si="0"/>
        <v>10</v>
      </c>
      <c r="AJ7" s="52">
        <f t="shared" si="0"/>
        <v>11</v>
      </c>
      <c r="AK7" s="52">
        <f t="shared" si="0"/>
        <v>12</v>
      </c>
      <c r="AL7" s="52">
        <f t="shared" si="0"/>
        <v>13</v>
      </c>
      <c r="AM7" s="52">
        <f t="shared" si="0"/>
        <v>14</v>
      </c>
      <c r="AN7" s="52">
        <f t="shared" si="0"/>
        <v>15</v>
      </c>
      <c r="AO7" s="52">
        <f t="shared" si="0"/>
        <v>16</v>
      </c>
    </row>
    <row r="8" ht="15" customHeight="1" spans="1:41">
      <c r="A8" s="53" t="s">
        <v>28</v>
      </c>
      <c r="B8" s="54" t="s">
        <v>29</v>
      </c>
      <c r="C8" s="54" t="s">
        <v>30</v>
      </c>
      <c r="D8" s="55">
        <v>1.32</v>
      </c>
      <c r="E8" s="55">
        <v>0.03</v>
      </c>
      <c r="F8" s="55">
        <v>-0.03</v>
      </c>
      <c r="G8" s="55">
        <f t="shared" ref="G8:G13" si="1">D8+E8</f>
        <v>1.35</v>
      </c>
      <c r="H8" s="55">
        <f t="shared" ref="H8:H13" si="2">D8+F8</f>
        <v>1.29</v>
      </c>
      <c r="I8" s="55" t="s">
        <v>31</v>
      </c>
      <c r="J8" s="56">
        <v>1.295</v>
      </c>
      <c r="K8" s="56">
        <v>1.2939</v>
      </c>
      <c r="L8" s="56">
        <v>1.3006</v>
      </c>
      <c r="M8" s="56">
        <v>1.2993</v>
      </c>
      <c r="N8" s="56">
        <v>1.2935</v>
      </c>
      <c r="O8" s="56">
        <v>1.2948</v>
      </c>
      <c r="P8" s="56">
        <v>1.3062</v>
      </c>
      <c r="Q8" s="56">
        <v>1.2939</v>
      </c>
      <c r="R8" s="56">
        <v>1.3079</v>
      </c>
      <c r="S8" s="56">
        <v>1.2935</v>
      </c>
      <c r="T8" s="56"/>
      <c r="U8" s="56"/>
      <c r="V8" s="56"/>
      <c r="W8" s="56"/>
      <c r="X8" s="56"/>
      <c r="Y8" s="56"/>
      <c r="Z8" s="57" t="str">
        <f t="shared" ref="Z8:AO8" si="3">IF(J8="","",IF(J8&gt;($D8+$E8),(J8-$D8-$E8),IF(J8&lt;($D8+$F8),(J8-$D8-$F8),"√")))</f>
        <v>√</v>
      </c>
      <c r="AA8" s="57" t="str">
        <f t="shared" si="3"/>
        <v>√</v>
      </c>
      <c r="AB8" s="57" t="str">
        <f t="shared" si="3"/>
        <v>√</v>
      </c>
      <c r="AC8" s="57" t="str">
        <f t="shared" si="3"/>
        <v>√</v>
      </c>
      <c r="AD8" s="57" t="str">
        <f t="shared" si="3"/>
        <v>√</v>
      </c>
      <c r="AE8" s="57" t="str">
        <f t="shared" si="3"/>
        <v>√</v>
      </c>
      <c r="AF8" s="57" t="str">
        <f t="shared" si="3"/>
        <v>√</v>
      </c>
      <c r="AG8" s="57" t="str">
        <f t="shared" si="3"/>
        <v>√</v>
      </c>
      <c r="AH8" s="57" t="str">
        <f t="shared" si="3"/>
        <v>√</v>
      </c>
      <c r="AI8" s="57" t="str">
        <f t="shared" si="3"/>
        <v>√</v>
      </c>
      <c r="AJ8" s="57" t="str">
        <f t="shared" si="3"/>
        <v/>
      </c>
      <c r="AK8" s="57" t="str">
        <f t="shared" si="3"/>
        <v/>
      </c>
      <c r="AL8" s="57" t="str">
        <f t="shared" si="3"/>
        <v/>
      </c>
      <c r="AM8" s="57" t="str">
        <f t="shared" si="3"/>
        <v/>
      </c>
      <c r="AN8" s="57" t="str">
        <f t="shared" si="3"/>
        <v/>
      </c>
      <c r="AO8" s="57" t="str">
        <f t="shared" si="3"/>
        <v/>
      </c>
    </row>
    <row r="9" ht="15" customHeight="1" spans="1:41">
      <c r="A9" s="53"/>
      <c r="B9" s="54" t="s">
        <v>32</v>
      </c>
      <c r="C9" s="54" t="s">
        <v>30</v>
      </c>
      <c r="D9" s="55">
        <v>1.32</v>
      </c>
      <c r="E9" s="55">
        <v>0.03</v>
      </c>
      <c r="F9" s="55">
        <v>-0.03</v>
      </c>
      <c r="G9" s="55">
        <f t="shared" si="1"/>
        <v>1.35</v>
      </c>
      <c r="H9" s="55">
        <f t="shared" si="2"/>
        <v>1.29</v>
      </c>
      <c r="I9" s="55" t="s">
        <v>31</v>
      </c>
      <c r="J9" s="56">
        <v>1.2993</v>
      </c>
      <c r="K9" s="56">
        <v>1.2962</v>
      </c>
      <c r="L9" s="56">
        <v>1.3032</v>
      </c>
      <c r="M9" s="56">
        <v>1.3027</v>
      </c>
      <c r="N9" s="56">
        <v>1.2923</v>
      </c>
      <c r="O9" s="56">
        <v>1.2957</v>
      </c>
      <c r="P9" s="56">
        <v>1.2943</v>
      </c>
      <c r="Q9" s="56">
        <v>1.2926</v>
      </c>
      <c r="R9" s="56">
        <v>1.3336</v>
      </c>
      <c r="S9" s="56">
        <v>1.2958</v>
      </c>
      <c r="T9" s="56"/>
      <c r="U9" s="56"/>
      <c r="V9" s="56"/>
      <c r="W9" s="56"/>
      <c r="X9" s="56"/>
      <c r="Y9" s="56"/>
      <c r="Z9" s="57" t="str">
        <f t="shared" ref="Z9:AO9" si="4">IF(J9="","",IF(J9&gt;($D9+$E9),(J9-$D9-$E9),IF(J9&lt;($D9+$F9),(J9-$D9-$F9),"√")))</f>
        <v>√</v>
      </c>
      <c r="AA9" s="57" t="str">
        <f t="shared" si="4"/>
        <v>√</v>
      </c>
      <c r="AB9" s="57" t="str">
        <f t="shared" si="4"/>
        <v>√</v>
      </c>
      <c r="AC9" s="57" t="str">
        <f t="shared" si="4"/>
        <v>√</v>
      </c>
      <c r="AD9" s="57" t="str">
        <f t="shared" si="4"/>
        <v>√</v>
      </c>
      <c r="AE9" s="57" t="str">
        <f t="shared" si="4"/>
        <v>√</v>
      </c>
      <c r="AF9" s="57" t="str">
        <f t="shared" si="4"/>
        <v>√</v>
      </c>
      <c r="AG9" s="57" t="str">
        <f t="shared" si="4"/>
        <v>√</v>
      </c>
      <c r="AH9" s="57" t="str">
        <f t="shared" si="4"/>
        <v>√</v>
      </c>
      <c r="AI9" s="57" t="str">
        <f t="shared" si="4"/>
        <v>√</v>
      </c>
      <c r="AJ9" s="57" t="str">
        <f t="shared" si="4"/>
        <v/>
      </c>
      <c r="AK9" s="57" t="str">
        <f t="shared" si="4"/>
        <v/>
      </c>
      <c r="AL9" s="57" t="str">
        <f t="shared" si="4"/>
        <v/>
      </c>
      <c r="AM9" s="57" t="str">
        <f t="shared" si="4"/>
        <v/>
      </c>
      <c r="AN9" s="57" t="str">
        <f t="shared" si="4"/>
        <v/>
      </c>
      <c r="AO9" s="57" t="str">
        <f t="shared" si="4"/>
        <v/>
      </c>
    </row>
    <row r="10" ht="15" customHeight="1" spans="1:41">
      <c r="A10" s="53"/>
      <c r="B10" s="54" t="s">
        <v>33</v>
      </c>
      <c r="C10" s="54"/>
      <c r="D10" s="55">
        <v>2.14</v>
      </c>
      <c r="E10" s="55">
        <v>0.05</v>
      </c>
      <c r="F10" s="55">
        <v>-0.05</v>
      </c>
      <c r="G10" s="55">
        <f t="shared" si="1"/>
        <v>2.19</v>
      </c>
      <c r="H10" s="55">
        <f t="shared" si="2"/>
        <v>2.09</v>
      </c>
      <c r="I10" s="55" t="s">
        <v>31</v>
      </c>
      <c r="J10" s="56">
        <v>2.1596</v>
      </c>
      <c r="K10" s="56">
        <v>2.1616</v>
      </c>
      <c r="L10" s="56">
        <v>2.1612</v>
      </c>
      <c r="M10" s="56">
        <v>2.1601</v>
      </c>
      <c r="N10" s="56">
        <v>2.1599</v>
      </c>
      <c r="O10" s="56">
        <v>2.1596</v>
      </c>
      <c r="P10" s="56">
        <v>2.1598</v>
      </c>
      <c r="Q10" s="56">
        <v>2.1613</v>
      </c>
      <c r="R10" s="56">
        <v>2.1589</v>
      </c>
      <c r="S10" s="56">
        <v>2.156</v>
      </c>
      <c r="T10" s="56"/>
      <c r="U10" s="56"/>
      <c r="V10" s="56"/>
      <c r="W10" s="56"/>
      <c r="X10" s="56"/>
      <c r="Y10" s="56"/>
      <c r="Z10" s="57" t="str">
        <f t="shared" ref="Z10:AO10" si="5">IF(J10="","",IF(J10&gt;($D10+$E10),(J10-$D10-$E10),IF(J10&lt;($D10+$F10),(J10-$D10-$F10),"√")))</f>
        <v>√</v>
      </c>
      <c r="AA10" s="57" t="str">
        <f t="shared" si="5"/>
        <v>√</v>
      </c>
      <c r="AB10" s="57" t="str">
        <f t="shared" si="5"/>
        <v>√</v>
      </c>
      <c r="AC10" s="57" t="str">
        <f t="shared" si="5"/>
        <v>√</v>
      </c>
      <c r="AD10" s="57" t="str">
        <f t="shared" si="5"/>
        <v>√</v>
      </c>
      <c r="AE10" s="57" t="str">
        <f t="shared" si="5"/>
        <v>√</v>
      </c>
      <c r="AF10" s="57" t="str">
        <f t="shared" si="5"/>
        <v>√</v>
      </c>
      <c r="AG10" s="57" t="str">
        <f t="shared" si="5"/>
        <v>√</v>
      </c>
      <c r="AH10" s="57" t="str">
        <f t="shared" si="5"/>
        <v>√</v>
      </c>
      <c r="AI10" s="57" t="str">
        <f t="shared" si="5"/>
        <v>√</v>
      </c>
      <c r="AJ10" s="57" t="str">
        <f t="shared" si="5"/>
        <v/>
      </c>
      <c r="AK10" s="57" t="str">
        <f t="shared" si="5"/>
        <v/>
      </c>
      <c r="AL10" s="57" t="str">
        <f t="shared" si="5"/>
        <v/>
      </c>
      <c r="AM10" s="57" t="str">
        <f t="shared" si="5"/>
        <v/>
      </c>
      <c r="AN10" s="57" t="str">
        <f t="shared" si="5"/>
        <v/>
      </c>
      <c r="AO10" s="57" t="str">
        <f t="shared" si="5"/>
        <v/>
      </c>
    </row>
    <row r="11" ht="15" customHeight="1" spans="1:41">
      <c r="A11" s="53"/>
      <c r="B11" s="54" t="s">
        <v>34</v>
      </c>
      <c r="C11" s="54"/>
      <c r="D11" s="55">
        <v>2.14</v>
      </c>
      <c r="E11" s="55">
        <v>0.05</v>
      </c>
      <c r="F11" s="55">
        <v>-0.05</v>
      </c>
      <c r="G11" s="55">
        <f t="shared" si="1"/>
        <v>2.19</v>
      </c>
      <c r="H11" s="55">
        <f t="shared" si="2"/>
        <v>2.09</v>
      </c>
      <c r="I11" s="55" t="s">
        <v>31</v>
      </c>
      <c r="J11" s="56">
        <v>2.1667</v>
      </c>
      <c r="K11" s="56">
        <v>2.1692</v>
      </c>
      <c r="L11" s="56">
        <v>2.1705</v>
      </c>
      <c r="M11" s="56">
        <v>2.1698</v>
      </c>
      <c r="N11" s="56">
        <v>2.1688</v>
      </c>
      <c r="O11" s="56">
        <v>2.1674</v>
      </c>
      <c r="P11" s="56">
        <v>2.1685</v>
      </c>
      <c r="Q11" s="56">
        <v>2.1679</v>
      </c>
      <c r="R11" s="56">
        <v>2.1691</v>
      </c>
      <c r="S11" s="56">
        <v>2.168</v>
      </c>
      <c r="T11" s="56"/>
      <c r="U11" s="56"/>
      <c r="V11" s="56"/>
      <c r="W11" s="56"/>
      <c r="X11" s="56"/>
      <c r="Y11" s="56"/>
      <c r="Z11" s="57" t="str">
        <f t="shared" ref="Z11:AO11" si="6">IF(J11="","",IF(J11&gt;($D11+$E11),(J11-$D11-$E11),IF(J11&lt;($D11+$F11),(J11-$D11-$F11),"√")))</f>
        <v>√</v>
      </c>
      <c r="AA11" s="57" t="str">
        <f t="shared" si="6"/>
        <v>√</v>
      </c>
      <c r="AB11" s="57" t="str">
        <f t="shared" si="6"/>
        <v>√</v>
      </c>
      <c r="AC11" s="57" t="str">
        <f t="shared" si="6"/>
        <v>√</v>
      </c>
      <c r="AD11" s="57" t="str">
        <f t="shared" si="6"/>
        <v>√</v>
      </c>
      <c r="AE11" s="57" t="str">
        <f t="shared" si="6"/>
        <v>√</v>
      </c>
      <c r="AF11" s="57" t="str">
        <f t="shared" si="6"/>
        <v>√</v>
      </c>
      <c r="AG11" s="57" t="str">
        <f t="shared" si="6"/>
        <v>√</v>
      </c>
      <c r="AH11" s="57" t="str">
        <f t="shared" si="6"/>
        <v>√</v>
      </c>
      <c r="AI11" s="57" t="str">
        <f t="shared" si="6"/>
        <v>√</v>
      </c>
      <c r="AJ11" s="57" t="str">
        <f t="shared" si="6"/>
        <v/>
      </c>
      <c r="AK11" s="57" t="str">
        <f t="shared" si="6"/>
        <v/>
      </c>
      <c r="AL11" s="57" t="str">
        <f t="shared" si="6"/>
        <v/>
      </c>
      <c r="AM11" s="57" t="str">
        <f t="shared" si="6"/>
        <v/>
      </c>
      <c r="AN11" s="57" t="str">
        <f t="shared" si="6"/>
        <v/>
      </c>
      <c r="AO11" s="57" t="str">
        <f t="shared" si="6"/>
        <v/>
      </c>
    </row>
    <row r="12" ht="15" customHeight="1" spans="1:41">
      <c r="A12" s="53"/>
      <c r="B12" s="54" t="s">
        <v>35</v>
      </c>
      <c r="C12" s="54"/>
      <c r="D12" s="55">
        <v>5.39</v>
      </c>
      <c r="E12" s="55">
        <v>0.015</v>
      </c>
      <c r="F12" s="55">
        <v>-0.015</v>
      </c>
      <c r="G12" s="55">
        <f t="shared" si="1"/>
        <v>5.405</v>
      </c>
      <c r="H12" s="55">
        <f t="shared" si="2"/>
        <v>5.375</v>
      </c>
      <c r="I12" s="55" t="s">
        <v>36</v>
      </c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7" t="str">
        <f t="shared" ref="Z12:AO12" si="7">IF(J12="","",IF(J12&gt;($D12+$E12),(J12-$D12-$E12),IF(J12&lt;($D12+$F12),(J12-$D12-$F12),"√")))</f>
        <v/>
      </c>
      <c r="AA12" s="57" t="str">
        <f t="shared" si="7"/>
        <v/>
      </c>
      <c r="AB12" s="57" t="str">
        <f t="shared" si="7"/>
        <v/>
      </c>
      <c r="AC12" s="57" t="str">
        <f t="shared" si="7"/>
        <v/>
      </c>
      <c r="AD12" s="57" t="str">
        <f t="shared" si="7"/>
        <v/>
      </c>
      <c r="AE12" s="57" t="str">
        <f t="shared" si="7"/>
        <v/>
      </c>
      <c r="AF12" s="57" t="str">
        <f t="shared" si="7"/>
        <v/>
      </c>
      <c r="AG12" s="57" t="str">
        <f t="shared" si="7"/>
        <v/>
      </c>
      <c r="AH12" s="57" t="str">
        <f t="shared" si="7"/>
        <v/>
      </c>
      <c r="AI12" s="57" t="str">
        <f t="shared" si="7"/>
        <v/>
      </c>
      <c r="AJ12" s="57" t="str">
        <f t="shared" si="7"/>
        <v/>
      </c>
      <c r="AK12" s="57" t="str">
        <f t="shared" si="7"/>
        <v/>
      </c>
      <c r="AL12" s="57" t="str">
        <f t="shared" si="7"/>
        <v/>
      </c>
      <c r="AM12" s="57" t="str">
        <f t="shared" si="7"/>
        <v/>
      </c>
      <c r="AN12" s="57" t="str">
        <f t="shared" si="7"/>
        <v/>
      </c>
      <c r="AO12" s="57" t="str">
        <f t="shared" si="7"/>
        <v/>
      </c>
    </row>
    <row r="13" customFormat="1" ht="15" customHeight="1" spans="1:41">
      <c r="A13" s="53"/>
      <c r="B13" s="58" t="s">
        <v>37</v>
      </c>
      <c r="C13" s="58" t="s">
        <v>38</v>
      </c>
      <c r="D13" s="55">
        <v>0.61</v>
      </c>
      <c r="E13" s="55">
        <v>0.02</v>
      </c>
      <c r="F13" s="55">
        <v>-0.02</v>
      </c>
      <c r="G13" s="55">
        <f t="shared" si="1"/>
        <v>0.63</v>
      </c>
      <c r="H13" s="55">
        <f t="shared" si="2"/>
        <v>0.59</v>
      </c>
      <c r="I13" s="55" t="s">
        <v>36</v>
      </c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7" t="str">
        <f t="shared" ref="Z13:AO13" si="8">IF(J13="","",IF(J13&gt;($D13+$E13),(J13-$D13-$E13),IF(J13&lt;($D13+$F13),(J13-$D13-$F13),"√")))</f>
        <v/>
      </c>
      <c r="AA13" s="57" t="str">
        <f t="shared" si="8"/>
        <v/>
      </c>
      <c r="AB13" s="57" t="str">
        <f t="shared" si="8"/>
        <v/>
      </c>
      <c r="AC13" s="57" t="str">
        <f t="shared" si="8"/>
        <v/>
      </c>
      <c r="AD13" s="57" t="str">
        <f t="shared" si="8"/>
        <v/>
      </c>
      <c r="AE13" s="57" t="str">
        <f t="shared" si="8"/>
        <v/>
      </c>
      <c r="AF13" s="57" t="str">
        <f t="shared" si="8"/>
        <v/>
      </c>
      <c r="AG13" s="57" t="str">
        <f t="shared" si="8"/>
        <v/>
      </c>
      <c r="AH13" s="57" t="str">
        <f t="shared" si="8"/>
        <v/>
      </c>
      <c r="AI13" s="57" t="str">
        <f t="shared" si="8"/>
        <v/>
      </c>
      <c r="AJ13" s="57" t="str">
        <f t="shared" si="8"/>
        <v/>
      </c>
      <c r="AK13" s="57" t="str">
        <f t="shared" si="8"/>
        <v/>
      </c>
      <c r="AL13" s="57" t="str">
        <f t="shared" si="8"/>
        <v/>
      </c>
      <c r="AM13" s="57" t="str">
        <f t="shared" si="8"/>
        <v/>
      </c>
      <c r="AN13" s="57" t="str">
        <f t="shared" si="8"/>
        <v/>
      </c>
      <c r="AO13" s="57" t="str">
        <f t="shared" si="8"/>
        <v/>
      </c>
    </row>
    <row r="14" customFormat="1" ht="15" customHeight="1" spans="1:41">
      <c r="A14" s="53"/>
      <c r="B14" s="58" t="s">
        <v>39</v>
      </c>
      <c r="C14" s="58" t="s">
        <v>40</v>
      </c>
      <c r="D14" s="55">
        <v>0</v>
      </c>
      <c r="E14" s="55">
        <v>0.025</v>
      </c>
      <c r="F14" s="55">
        <v>-0.025</v>
      </c>
      <c r="G14" s="55">
        <f t="shared" ref="G14:G21" si="9">D14+E14</f>
        <v>0.025</v>
      </c>
      <c r="H14" s="55">
        <f t="shared" ref="H14:H21" si="10">D14+F14</f>
        <v>-0.025</v>
      </c>
      <c r="I14" s="55" t="s">
        <v>36</v>
      </c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7" t="str">
        <f t="shared" ref="Z14:AO14" si="11">IF(J14="","",IF(J14&gt;($D14+$E14),(J14-$D14-$E14),IF(J14&lt;($D14+$F14),(J14-$D14-$F14),"√")))</f>
        <v/>
      </c>
      <c r="AA14" s="57" t="str">
        <f t="shared" si="11"/>
        <v/>
      </c>
      <c r="AB14" s="57" t="str">
        <f t="shared" si="11"/>
        <v/>
      </c>
      <c r="AC14" s="57" t="str">
        <f t="shared" si="11"/>
        <v/>
      </c>
      <c r="AD14" s="57" t="str">
        <f t="shared" si="11"/>
        <v/>
      </c>
      <c r="AE14" s="57" t="str">
        <f t="shared" si="11"/>
        <v/>
      </c>
      <c r="AF14" s="57" t="str">
        <f t="shared" si="11"/>
        <v/>
      </c>
      <c r="AG14" s="57" t="str">
        <f t="shared" si="11"/>
        <v/>
      </c>
      <c r="AH14" s="57" t="str">
        <f t="shared" si="11"/>
        <v/>
      </c>
      <c r="AI14" s="57" t="str">
        <f t="shared" si="11"/>
        <v/>
      </c>
      <c r="AJ14" s="57" t="str">
        <f t="shared" si="11"/>
        <v/>
      </c>
      <c r="AK14" s="57" t="str">
        <f t="shared" si="11"/>
        <v/>
      </c>
      <c r="AL14" s="57" t="str">
        <f t="shared" si="11"/>
        <v/>
      </c>
      <c r="AM14" s="57" t="str">
        <f t="shared" si="11"/>
        <v/>
      </c>
      <c r="AN14" s="57" t="str">
        <f t="shared" si="11"/>
        <v/>
      </c>
      <c r="AO14" s="57" t="str">
        <f t="shared" si="11"/>
        <v/>
      </c>
    </row>
    <row r="15" customFormat="1" ht="15" customHeight="1" spans="1:41">
      <c r="A15" s="53"/>
      <c r="B15" s="58" t="s">
        <v>41</v>
      </c>
      <c r="C15" s="58" t="s">
        <v>42</v>
      </c>
      <c r="D15" s="55">
        <v>3.31</v>
      </c>
      <c r="E15" s="55">
        <v>0.03</v>
      </c>
      <c r="F15" s="55">
        <v>-0.03</v>
      </c>
      <c r="G15" s="55">
        <f t="shared" si="9"/>
        <v>3.34</v>
      </c>
      <c r="H15" s="55">
        <f t="shared" si="10"/>
        <v>3.28</v>
      </c>
      <c r="I15" s="55" t="s">
        <v>36</v>
      </c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7" t="str">
        <f t="shared" ref="Z15:AO15" si="12">IF(J15="","",IF(J15&gt;($D15+$E15),(J15-$D15-$E15),IF(J15&lt;($D15+$F15),(J15-$D15-$F15),"√")))</f>
        <v/>
      </c>
      <c r="AA15" s="57" t="str">
        <f t="shared" si="12"/>
        <v/>
      </c>
      <c r="AB15" s="57" t="str">
        <f t="shared" si="12"/>
        <v/>
      </c>
      <c r="AC15" s="57" t="str">
        <f t="shared" si="12"/>
        <v/>
      </c>
      <c r="AD15" s="57" t="str">
        <f t="shared" si="12"/>
        <v/>
      </c>
      <c r="AE15" s="57" t="str">
        <f t="shared" si="12"/>
        <v/>
      </c>
      <c r="AF15" s="57" t="str">
        <f t="shared" si="12"/>
        <v/>
      </c>
      <c r="AG15" s="57" t="str">
        <f t="shared" si="12"/>
        <v/>
      </c>
      <c r="AH15" s="57" t="str">
        <f t="shared" si="12"/>
        <v/>
      </c>
      <c r="AI15" s="57" t="str">
        <f t="shared" si="12"/>
        <v/>
      </c>
      <c r="AJ15" s="57" t="str">
        <f t="shared" si="12"/>
        <v/>
      </c>
      <c r="AK15" s="57" t="str">
        <f t="shared" si="12"/>
        <v/>
      </c>
      <c r="AL15" s="57" t="str">
        <f t="shared" si="12"/>
        <v/>
      </c>
      <c r="AM15" s="57" t="str">
        <f t="shared" si="12"/>
        <v/>
      </c>
      <c r="AN15" s="57" t="str">
        <f t="shared" si="12"/>
        <v/>
      </c>
      <c r="AO15" s="57" t="str">
        <f t="shared" si="12"/>
        <v/>
      </c>
    </row>
    <row r="16" customFormat="1" ht="15" customHeight="1" spans="1:41">
      <c r="A16" s="53"/>
      <c r="B16" s="58" t="s">
        <v>43</v>
      </c>
      <c r="C16" s="58"/>
      <c r="D16" s="55"/>
      <c r="E16" s="55"/>
      <c r="F16" s="55"/>
      <c r="G16" s="55">
        <f t="shared" si="9"/>
        <v>0</v>
      </c>
      <c r="H16" s="55">
        <f t="shared" si="10"/>
        <v>0</v>
      </c>
      <c r="I16" s="55" t="s">
        <v>36</v>
      </c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</row>
    <row r="17" customFormat="1" ht="15" customHeight="1" spans="1:41">
      <c r="A17" s="53"/>
      <c r="B17" s="58" t="s">
        <v>44</v>
      </c>
      <c r="C17" s="58"/>
      <c r="D17" s="55"/>
      <c r="E17" s="55"/>
      <c r="F17" s="55"/>
      <c r="G17" s="55">
        <f t="shared" si="9"/>
        <v>0</v>
      </c>
      <c r="H17" s="55">
        <f t="shared" si="10"/>
        <v>0</v>
      </c>
      <c r="I17" s="55" t="s">
        <v>36</v>
      </c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</row>
    <row r="18" customFormat="1" ht="15" customHeight="1" spans="1:41">
      <c r="A18" s="53"/>
      <c r="B18" s="58" t="s">
        <v>45</v>
      </c>
      <c r="C18" s="58" t="s">
        <v>46</v>
      </c>
      <c r="D18" s="55">
        <v>0</v>
      </c>
      <c r="E18" s="55">
        <v>0.08</v>
      </c>
      <c r="F18" s="55">
        <v>0</v>
      </c>
      <c r="G18" s="55">
        <f t="shared" si="9"/>
        <v>0.08</v>
      </c>
      <c r="H18" s="55">
        <f t="shared" si="10"/>
        <v>0</v>
      </c>
      <c r="I18" s="55" t="s">
        <v>36</v>
      </c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7" t="str">
        <f t="shared" ref="Z18:AO18" si="13">IF(J18="","",IF(J18&gt;($D18+$E18),(J18-$D18-$E18),IF(J18&lt;($D18+$F18),(J18-$D18-$F18),"√")))</f>
        <v/>
      </c>
      <c r="AA18" s="57" t="str">
        <f t="shared" si="13"/>
        <v/>
      </c>
      <c r="AB18" s="57" t="str">
        <f t="shared" si="13"/>
        <v/>
      </c>
      <c r="AC18" s="57" t="str">
        <f t="shared" si="13"/>
        <v/>
      </c>
      <c r="AD18" s="57" t="str">
        <f t="shared" si="13"/>
        <v/>
      </c>
      <c r="AE18" s="57" t="str">
        <f t="shared" si="13"/>
        <v/>
      </c>
      <c r="AF18" s="57" t="str">
        <f t="shared" si="13"/>
        <v/>
      </c>
      <c r="AG18" s="57" t="str">
        <f t="shared" si="13"/>
        <v/>
      </c>
      <c r="AH18" s="57" t="str">
        <f t="shared" si="13"/>
        <v/>
      </c>
      <c r="AI18" s="57" t="str">
        <f t="shared" si="13"/>
        <v/>
      </c>
      <c r="AJ18" s="57" t="str">
        <f t="shared" si="13"/>
        <v/>
      </c>
      <c r="AK18" s="57" t="str">
        <f t="shared" si="13"/>
        <v/>
      </c>
      <c r="AL18" s="57" t="str">
        <f t="shared" si="13"/>
        <v/>
      </c>
      <c r="AM18" s="57" t="str">
        <f t="shared" si="13"/>
        <v/>
      </c>
      <c r="AN18" s="57" t="str">
        <f t="shared" si="13"/>
        <v/>
      </c>
      <c r="AO18" s="57" t="str">
        <f t="shared" si="13"/>
        <v/>
      </c>
    </row>
    <row r="19" customFormat="1" ht="15" customHeight="1" spans="1:41">
      <c r="A19" s="53"/>
      <c r="B19" s="58" t="s">
        <v>47</v>
      </c>
      <c r="C19" s="58"/>
      <c r="D19" s="55"/>
      <c r="E19" s="55"/>
      <c r="F19" s="55"/>
      <c r="G19" s="55">
        <f t="shared" si="9"/>
        <v>0</v>
      </c>
      <c r="H19" s="55">
        <f t="shared" si="10"/>
        <v>0</v>
      </c>
      <c r="I19" s="55" t="s">
        <v>36</v>
      </c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</row>
    <row r="20" customFormat="1" ht="15" customHeight="1" spans="1:41">
      <c r="A20" s="53"/>
      <c r="B20" s="58" t="s">
        <v>48</v>
      </c>
      <c r="C20" s="58"/>
      <c r="D20" s="55"/>
      <c r="E20" s="55"/>
      <c r="F20" s="55"/>
      <c r="G20" s="55">
        <f t="shared" si="9"/>
        <v>0</v>
      </c>
      <c r="H20" s="55">
        <f t="shared" si="10"/>
        <v>0</v>
      </c>
      <c r="I20" s="55" t="s">
        <v>36</v>
      </c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</row>
    <row r="21" customFormat="1" ht="15" customHeight="1" spans="1:41">
      <c r="A21" s="53"/>
      <c r="B21" s="58" t="s">
        <v>49</v>
      </c>
      <c r="C21" s="58" t="s">
        <v>46</v>
      </c>
      <c r="D21" s="55">
        <v>0</v>
      </c>
      <c r="E21" s="55">
        <v>0.08</v>
      </c>
      <c r="F21" s="55">
        <v>0</v>
      </c>
      <c r="G21" s="55">
        <f t="shared" si="9"/>
        <v>0.08</v>
      </c>
      <c r="H21" s="55">
        <f t="shared" si="10"/>
        <v>0</v>
      </c>
      <c r="I21" s="55" t="s">
        <v>36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7" t="str">
        <f t="shared" ref="Z21:AO21" si="14">IF(J21="","",IF(J21&gt;($D21+$E21),(J21-$D21-$E21),IF(J21&lt;($D21+$F21),(J21-$D21-$F21),"√")))</f>
        <v/>
      </c>
      <c r="AA21" s="57" t="str">
        <f t="shared" si="14"/>
        <v/>
      </c>
      <c r="AB21" s="57" t="str">
        <f t="shared" si="14"/>
        <v/>
      </c>
      <c r="AC21" s="57" t="str">
        <f t="shared" si="14"/>
        <v/>
      </c>
      <c r="AD21" s="57" t="str">
        <f t="shared" si="14"/>
        <v/>
      </c>
      <c r="AE21" s="57" t="str">
        <f t="shared" si="14"/>
        <v/>
      </c>
      <c r="AF21" s="57" t="str">
        <f t="shared" si="14"/>
        <v/>
      </c>
      <c r="AG21" s="57" t="str">
        <f t="shared" si="14"/>
        <v/>
      </c>
      <c r="AH21" s="57" t="str">
        <f t="shared" si="14"/>
        <v/>
      </c>
      <c r="AI21" s="57" t="str">
        <f t="shared" si="14"/>
        <v/>
      </c>
      <c r="AJ21" s="57" t="str">
        <f t="shared" si="14"/>
        <v/>
      </c>
      <c r="AK21" s="57" t="str">
        <f t="shared" si="14"/>
        <v/>
      </c>
      <c r="AL21" s="57" t="str">
        <f t="shared" si="14"/>
        <v/>
      </c>
      <c r="AM21" s="57" t="str">
        <f t="shared" si="14"/>
        <v/>
      </c>
      <c r="AN21" s="57" t="str">
        <f t="shared" si="14"/>
        <v/>
      </c>
      <c r="AO21" s="57" t="str">
        <f t="shared" si="14"/>
        <v/>
      </c>
    </row>
    <row r="22" customFormat="1" ht="15" customHeight="1" spans="1:41">
      <c r="A22" s="53"/>
      <c r="B22" s="58" t="s">
        <v>50</v>
      </c>
      <c r="C22" s="58" t="s">
        <v>51</v>
      </c>
      <c r="D22" s="55">
        <v>0</v>
      </c>
      <c r="E22" s="55">
        <v>0.03</v>
      </c>
      <c r="F22" s="55">
        <v>0</v>
      </c>
      <c r="G22" s="55">
        <f t="shared" ref="G22:G30" si="15">D22+E22</f>
        <v>0.03</v>
      </c>
      <c r="H22" s="55">
        <f t="shared" ref="H22:H30" si="16">D22+F22</f>
        <v>0</v>
      </c>
      <c r="I22" s="55" t="s">
        <v>36</v>
      </c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7" t="str">
        <f t="shared" ref="Z22:AO22" si="17">IF(J22="","",IF(J22&gt;($D22+$E22),(J22-$D22-$E22),IF(J22&lt;($D22+$F22),(J22-$D22-$F22),"√")))</f>
        <v/>
      </c>
      <c r="AA22" s="57" t="str">
        <f t="shared" si="17"/>
        <v/>
      </c>
      <c r="AB22" s="57" t="str">
        <f t="shared" si="17"/>
        <v/>
      </c>
      <c r="AC22" s="57" t="str">
        <f t="shared" si="17"/>
        <v/>
      </c>
      <c r="AD22" s="57" t="str">
        <f t="shared" si="17"/>
        <v/>
      </c>
      <c r="AE22" s="57" t="str">
        <f t="shared" si="17"/>
        <v/>
      </c>
      <c r="AF22" s="57" t="str">
        <f t="shared" si="17"/>
        <v/>
      </c>
      <c r="AG22" s="57" t="str">
        <f t="shared" si="17"/>
        <v/>
      </c>
      <c r="AH22" s="57" t="str">
        <f t="shared" si="17"/>
        <v/>
      </c>
      <c r="AI22" s="57" t="str">
        <f t="shared" si="17"/>
        <v/>
      </c>
      <c r="AJ22" s="57" t="str">
        <f t="shared" si="17"/>
        <v/>
      </c>
      <c r="AK22" s="57" t="str">
        <f t="shared" si="17"/>
        <v/>
      </c>
      <c r="AL22" s="57" t="str">
        <f t="shared" si="17"/>
        <v/>
      </c>
      <c r="AM22" s="57" t="str">
        <f t="shared" si="17"/>
        <v/>
      </c>
      <c r="AN22" s="57" t="str">
        <f t="shared" si="17"/>
        <v/>
      </c>
      <c r="AO22" s="57" t="str">
        <f t="shared" si="17"/>
        <v/>
      </c>
    </row>
    <row r="23" customFormat="1" ht="15" customHeight="1" spans="1:41">
      <c r="A23" s="53"/>
      <c r="B23" s="58" t="s">
        <v>52</v>
      </c>
      <c r="C23" s="58"/>
      <c r="D23" s="55"/>
      <c r="E23" s="55"/>
      <c r="F23" s="55"/>
      <c r="G23" s="55">
        <f t="shared" si="15"/>
        <v>0</v>
      </c>
      <c r="H23" s="55">
        <f t="shared" si="16"/>
        <v>0</v>
      </c>
      <c r="I23" s="55" t="s">
        <v>36</v>
      </c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</row>
    <row r="24" customFormat="1" ht="15" customHeight="1" spans="1:41">
      <c r="A24" s="53"/>
      <c r="B24" s="58" t="s">
        <v>53</v>
      </c>
      <c r="C24" s="58"/>
      <c r="D24" s="55"/>
      <c r="E24" s="55"/>
      <c r="F24" s="55"/>
      <c r="G24" s="55">
        <f t="shared" si="15"/>
        <v>0</v>
      </c>
      <c r="H24" s="55">
        <f t="shared" si="16"/>
        <v>0</v>
      </c>
      <c r="I24" s="55" t="s">
        <v>36</v>
      </c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</row>
    <row r="25" customFormat="1" ht="15" customHeight="1" spans="1:41">
      <c r="A25" s="53"/>
      <c r="B25" s="58" t="s">
        <v>54</v>
      </c>
      <c r="C25" s="58"/>
      <c r="D25" s="55"/>
      <c r="E25" s="55"/>
      <c r="F25" s="55"/>
      <c r="G25" s="55">
        <f t="shared" si="15"/>
        <v>0</v>
      </c>
      <c r="H25" s="55">
        <f t="shared" si="16"/>
        <v>0</v>
      </c>
      <c r="I25" s="55" t="s">
        <v>36</v>
      </c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</row>
    <row r="26" customFormat="1" ht="15" customHeight="1" spans="1:41">
      <c r="A26" s="53"/>
      <c r="B26" s="58" t="s">
        <v>55</v>
      </c>
      <c r="C26" s="58"/>
      <c r="D26" s="55"/>
      <c r="E26" s="55"/>
      <c r="F26" s="55"/>
      <c r="G26" s="55">
        <f t="shared" si="15"/>
        <v>0</v>
      </c>
      <c r="H26" s="55">
        <f t="shared" si="16"/>
        <v>0</v>
      </c>
      <c r="I26" s="55" t="s">
        <v>36</v>
      </c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</row>
    <row r="27" customFormat="1" ht="15" customHeight="1" spans="1:41">
      <c r="A27" s="53"/>
      <c r="B27" s="58" t="s">
        <v>56</v>
      </c>
      <c r="C27" s="58"/>
      <c r="D27" s="55"/>
      <c r="E27" s="55"/>
      <c r="F27" s="55"/>
      <c r="G27" s="55">
        <f t="shared" si="15"/>
        <v>0</v>
      </c>
      <c r="H27" s="55">
        <f t="shared" si="16"/>
        <v>0</v>
      </c>
      <c r="I27" s="55" t="s">
        <v>36</v>
      </c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</row>
    <row r="28" customFormat="1" ht="15" customHeight="1" spans="1:41">
      <c r="A28" s="53"/>
      <c r="B28" s="58" t="s">
        <v>57</v>
      </c>
      <c r="C28" s="58"/>
      <c r="D28" s="55"/>
      <c r="E28" s="55"/>
      <c r="F28" s="55"/>
      <c r="G28" s="55">
        <f t="shared" si="15"/>
        <v>0</v>
      </c>
      <c r="H28" s="55">
        <f t="shared" si="16"/>
        <v>0</v>
      </c>
      <c r="I28" s="55" t="s">
        <v>36</v>
      </c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</row>
    <row r="29" customFormat="1" ht="15" customHeight="1" spans="1:41">
      <c r="A29" s="53"/>
      <c r="B29" s="58" t="s">
        <v>58</v>
      </c>
      <c r="C29" s="58"/>
      <c r="D29" s="55"/>
      <c r="E29" s="55"/>
      <c r="F29" s="55"/>
      <c r="G29" s="55">
        <f t="shared" si="15"/>
        <v>0</v>
      </c>
      <c r="H29" s="55">
        <f t="shared" si="16"/>
        <v>0</v>
      </c>
      <c r="I29" s="55" t="s">
        <v>36</v>
      </c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</row>
    <row r="30" customFormat="1" ht="15" customHeight="1" spans="1:41">
      <c r="A30" s="53"/>
      <c r="B30" s="58" t="s">
        <v>59</v>
      </c>
      <c r="C30" s="58"/>
      <c r="D30" s="55"/>
      <c r="E30" s="55"/>
      <c r="F30" s="55"/>
      <c r="G30" s="55">
        <f t="shared" si="15"/>
        <v>0</v>
      </c>
      <c r="H30" s="55">
        <f t="shared" si="16"/>
        <v>0</v>
      </c>
      <c r="I30" s="55" t="s">
        <v>36</v>
      </c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</row>
    <row r="31" customFormat="1" ht="15" customHeight="1" spans="1:41">
      <c r="A31" s="53"/>
      <c r="B31" s="58" t="s">
        <v>60</v>
      </c>
      <c r="C31" s="58" t="s">
        <v>61</v>
      </c>
      <c r="D31" s="55">
        <v>0</v>
      </c>
      <c r="E31" s="55">
        <v>0.06</v>
      </c>
      <c r="F31" s="55">
        <v>0</v>
      </c>
      <c r="G31" s="55">
        <f t="shared" ref="G31:G34" si="18">D31+E31</f>
        <v>0.06</v>
      </c>
      <c r="H31" s="55">
        <f t="shared" ref="H31:H34" si="19">D31+F31</f>
        <v>0</v>
      </c>
      <c r="I31" s="55" t="s">
        <v>36</v>
      </c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7" t="str">
        <f t="shared" ref="Z31:AO31" si="20">IF(J31="","",IF(J31&gt;($D31+$E31),(J31-$D31-$E31),IF(J31&lt;($D31+$F31),(J31-$D31-$F31),"√")))</f>
        <v/>
      </c>
      <c r="AA31" s="57" t="str">
        <f t="shared" si="20"/>
        <v/>
      </c>
      <c r="AB31" s="57" t="str">
        <f t="shared" si="20"/>
        <v/>
      </c>
      <c r="AC31" s="57" t="str">
        <f t="shared" si="20"/>
        <v/>
      </c>
      <c r="AD31" s="57" t="str">
        <f t="shared" si="20"/>
        <v/>
      </c>
      <c r="AE31" s="57" t="str">
        <f t="shared" si="20"/>
        <v/>
      </c>
      <c r="AF31" s="57" t="str">
        <f t="shared" si="20"/>
        <v/>
      </c>
      <c r="AG31" s="57" t="str">
        <f t="shared" si="20"/>
        <v/>
      </c>
      <c r="AH31" s="57" t="str">
        <f t="shared" si="20"/>
        <v/>
      </c>
      <c r="AI31" s="57" t="str">
        <f t="shared" si="20"/>
        <v/>
      </c>
      <c r="AJ31" s="57" t="str">
        <f t="shared" si="20"/>
        <v/>
      </c>
      <c r="AK31" s="57" t="str">
        <f t="shared" si="20"/>
        <v/>
      </c>
      <c r="AL31" s="57" t="str">
        <f t="shared" si="20"/>
        <v/>
      </c>
      <c r="AM31" s="57" t="str">
        <f t="shared" si="20"/>
        <v/>
      </c>
      <c r="AN31" s="57" t="str">
        <f t="shared" si="20"/>
        <v/>
      </c>
      <c r="AO31" s="57" t="str">
        <f t="shared" si="20"/>
        <v/>
      </c>
    </row>
    <row r="32" customFormat="1" ht="15" customHeight="1" spans="1:41">
      <c r="A32" s="53"/>
      <c r="B32" s="58" t="s">
        <v>62</v>
      </c>
      <c r="C32" s="58"/>
      <c r="D32" s="55"/>
      <c r="E32" s="55"/>
      <c r="F32" s="55"/>
      <c r="G32" s="55">
        <f t="shared" si="18"/>
        <v>0</v>
      </c>
      <c r="H32" s="55">
        <f t="shared" si="19"/>
        <v>0</v>
      </c>
      <c r="I32" s="55" t="s">
        <v>36</v>
      </c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</row>
    <row r="33" customFormat="1" ht="15" customHeight="1" spans="1:41">
      <c r="A33" s="53"/>
      <c r="B33" s="58" t="s">
        <v>63</v>
      </c>
      <c r="C33" s="58"/>
      <c r="D33" s="55"/>
      <c r="E33" s="55"/>
      <c r="F33" s="55"/>
      <c r="G33" s="55">
        <f t="shared" si="18"/>
        <v>0</v>
      </c>
      <c r="H33" s="55">
        <f t="shared" si="19"/>
        <v>0</v>
      </c>
      <c r="I33" s="55" t="s">
        <v>36</v>
      </c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</row>
    <row r="34" customFormat="1" ht="15" customHeight="1" spans="1:41">
      <c r="A34" s="53"/>
      <c r="B34" s="58" t="s">
        <v>64</v>
      </c>
      <c r="C34" s="58"/>
      <c r="D34" s="55"/>
      <c r="E34" s="55"/>
      <c r="F34" s="55"/>
      <c r="G34" s="55">
        <f t="shared" si="18"/>
        <v>0</v>
      </c>
      <c r="H34" s="55">
        <f t="shared" si="19"/>
        <v>0</v>
      </c>
      <c r="I34" s="55" t="s">
        <v>36</v>
      </c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</row>
    <row r="35" customFormat="1" ht="15" customHeight="1" spans="1:41">
      <c r="A35" s="53"/>
      <c r="B35" s="58" t="s">
        <v>65</v>
      </c>
      <c r="C35" s="58" t="s">
        <v>66</v>
      </c>
      <c r="D35" s="55">
        <v>0</v>
      </c>
      <c r="E35" s="55">
        <v>0.06</v>
      </c>
      <c r="F35" s="55">
        <v>0</v>
      </c>
      <c r="G35" s="55">
        <f t="shared" ref="G35:G38" si="21">D35+E35</f>
        <v>0.06</v>
      </c>
      <c r="H35" s="55">
        <f t="shared" ref="H35:H38" si="22">D35+F35</f>
        <v>0</v>
      </c>
      <c r="I35" s="55" t="s">
        <v>36</v>
      </c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7" t="str">
        <f t="shared" ref="Z35:AO35" si="23">IF(J35="","",IF(J35&gt;($D35+$E35),(J35-$D35-$E35),IF(J35&lt;($D35+$F35),(J35-$D35-$F35),"√")))</f>
        <v/>
      </c>
      <c r="AA35" s="57" t="str">
        <f t="shared" si="23"/>
        <v/>
      </c>
      <c r="AB35" s="57" t="str">
        <f t="shared" si="23"/>
        <v/>
      </c>
      <c r="AC35" s="57" t="str">
        <f t="shared" si="23"/>
        <v/>
      </c>
      <c r="AD35" s="57" t="str">
        <f t="shared" si="23"/>
        <v/>
      </c>
      <c r="AE35" s="57" t="str">
        <f t="shared" si="23"/>
        <v/>
      </c>
      <c r="AF35" s="57" t="str">
        <f t="shared" si="23"/>
        <v/>
      </c>
      <c r="AG35" s="57" t="str">
        <f t="shared" si="23"/>
        <v/>
      </c>
      <c r="AH35" s="57" t="str">
        <f t="shared" si="23"/>
        <v/>
      </c>
      <c r="AI35" s="57" t="str">
        <f t="shared" si="23"/>
        <v/>
      </c>
      <c r="AJ35" s="57" t="str">
        <f t="shared" si="23"/>
        <v/>
      </c>
      <c r="AK35" s="57" t="str">
        <f t="shared" si="23"/>
        <v/>
      </c>
      <c r="AL35" s="57" t="str">
        <f t="shared" si="23"/>
        <v/>
      </c>
      <c r="AM35" s="57" t="str">
        <f t="shared" si="23"/>
        <v/>
      </c>
      <c r="AN35" s="57" t="str">
        <f t="shared" si="23"/>
        <v/>
      </c>
      <c r="AO35" s="57" t="str">
        <f t="shared" si="23"/>
        <v/>
      </c>
    </row>
    <row r="36" customFormat="1" ht="15" customHeight="1" spans="1:41">
      <c r="A36" s="53"/>
      <c r="B36" s="58" t="s">
        <v>67</v>
      </c>
      <c r="C36" s="58"/>
      <c r="D36" s="55"/>
      <c r="E36" s="55"/>
      <c r="F36" s="55"/>
      <c r="G36" s="55">
        <f t="shared" si="21"/>
        <v>0</v>
      </c>
      <c r="H36" s="55">
        <f t="shared" si="22"/>
        <v>0</v>
      </c>
      <c r="I36" s="55" t="s">
        <v>36</v>
      </c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57"/>
      <c r="AN36" s="57"/>
      <c r="AO36" s="57"/>
    </row>
    <row r="37" customFormat="1" ht="15" customHeight="1" spans="1:41">
      <c r="A37" s="53"/>
      <c r="B37" s="58" t="s">
        <v>68</v>
      </c>
      <c r="C37" s="58"/>
      <c r="D37" s="55"/>
      <c r="E37" s="55"/>
      <c r="F37" s="55"/>
      <c r="G37" s="55">
        <f t="shared" si="21"/>
        <v>0</v>
      </c>
      <c r="H37" s="55">
        <f t="shared" si="22"/>
        <v>0</v>
      </c>
      <c r="I37" s="55" t="s">
        <v>36</v>
      </c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57"/>
      <c r="AN37" s="57"/>
      <c r="AO37" s="57"/>
    </row>
    <row r="38" customFormat="1" ht="15" customHeight="1" spans="1:41">
      <c r="A38" s="53"/>
      <c r="B38" s="58" t="s">
        <v>69</v>
      </c>
      <c r="C38" s="58"/>
      <c r="D38" s="55"/>
      <c r="E38" s="55"/>
      <c r="F38" s="55"/>
      <c r="G38" s="55">
        <f t="shared" si="21"/>
        <v>0</v>
      </c>
      <c r="H38" s="55">
        <f t="shared" si="22"/>
        <v>0</v>
      </c>
      <c r="I38" s="55" t="s">
        <v>36</v>
      </c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</row>
    <row r="39" customFormat="1" ht="15" customHeight="1" spans="1:41">
      <c r="A39" s="53"/>
      <c r="B39" s="58" t="s">
        <v>70</v>
      </c>
      <c r="C39" s="58" t="s">
        <v>71</v>
      </c>
      <c r="D39" s="55">
        <v>0</v>
      </c>
      <c r="E39" s="55">
        <v>0.06</v>
      </c>
      <c r="F39" s="55">
        <v>0</v>
      </c>
      <c r="G39" s="55">
        <f t="shared" ref="G39:G42" si="24">D39+E39</f>
        <v>0.06</v>
      </c>
      <c r="H39" s="55">
        <f t="shared" ref="H39:H42" si="25">D39+F39</f>
        <v>0</v>
      </c>
      <c r="I39" s="55" t="s">
        <v>36</v>
      </c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7" t="str">
        <f t="shared" ref="Z39:AO39" si="26">IF(J39="","",IF(J39&gt;($D39+$E39),(J39-$D39-$E39),IF(J39&lt;($D39+$F39),(J39-$D39-$F39),"√")))</f>
        <v/>
      </c>
      <c r="AA39" s="57" t="str">
        <f t="shared" si="26"/>
        <v/>
      </c>
      <c r="AB39" s="57" t="str">
        <f t="shared" si="26"/>
        <v/>
      </c>
      <c r="AC39" s="57" t="str">
        <f t="shared" si="26"/>
        <v/>
      </c>
      <c r="AD39" s="57" t="str">
        <f t="shared" si="26"/>
        <v/>
      </c>
      <c r="AE39" s="57" t="str">
        <f t="shared" si="26"/>
        <v/>
      </c>
      <c r="AF39" s="57" t="str">
        <f t="shared" si="26"/>
        <v/>
      </c>
      <c r="AG39" s="57" t="str">
        <f t="shared" si="26"/>
        <v/>
      </c>
      <c r="AH39" s="57" t="str">
        <f t="shared" si="26"/>
        <v/>
      </c>
      <c r="AI39" s="57" t="str">
        <f t="shared" si="26"/>
        <v/>
      </c>
      <c r="AJ39" s="57" t="str">
        <f t="shared" si="26"/>
        <v/>
      </c>
      <c r="AK39" s="57" t="str">
        <f t="shared" si="26"/>
        <v/>
      </c>
      <c r="AL39" s="57" t="str">
        <f t="shared" si="26"/>
        <v/>
      </c>
      <c r="AM39" s="57" t="str">
        <f t="shared" si="26"/>
        <v/>
      </c>
      <c r="AN39" s="57" t="str">
        <f t="shared" si="26"/>
        <v/>
      </c>
      <c r="AO39" s="57" t="str">
        <f t="shared" si="26"/>
        <v/>
      </c>
    </row>
    <row r="40" customFormat="1" ht="15" customHeight="1" spans="1:41">
      <c r="A40" s="53"/>
      <c r="B40" s="58" t="s">
        <v>72</v>
      </c>
      <c r="C40" s="58"/>
      <c r="D40" s="55"/>
      <c r="E40" s="55"/>
      <c r="F40" s="55"/>
      <c r="G40" s="55">
        <f t="shared" si="24"/>
        <v>0</v>
      </c>
      <c r="H40" s="55">
        <f t="shared" si="25"/>
        <v>0</v>
      </c>
      <c r="I40" s="55" t="s">
        <v>36</v>
      </c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</row>
    <row r="41" customFormat="1" ht="15" customHeight="1" spans="1:41">
      <c r="A41" s="53"/>
      <c r="B41" s="58" t="s">
        <v>73</v>
      </c>
      <c r="C41" s="58"/>
      <c r="D41" s="55"/>
      <c r="E41" s="55"/>
      <c r="F41" s="55"/>
      <c r="G41" s="55">
        <f t="shared" si="24"/>
        <v>0</v>
      </c>
      <c r="H41" s="55">
        <f t="shared" si="25"/>
        <v>0</v>
      </c>
      <c r="I41" s="55" t="s">
        <v>36</v>
      </c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</row>
    <row r="42" customFormat="1" ht="15" customHeight="1" spans="1:41">
      <c r="A42" s="53"/>
      <c r="B42" s="58" t="s">
        <v>74</v>
      </c>
      <c r="C42" s="58"/>
      <c r="D42" s="55"/>
      <c r="E42" s="55"/>
      <c r="F42" s="55"/>
      <c r="G42" s="55">
        <f t="shared" si="24"/>
        <v>0</v>
      </c>
      <c r="H42" s="55">
        <f t="shared" si="25"/>
        <v>0</v>
      </c>
      <c r="I42" s="55" t="s">
        <v>36</v>
      </c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7"/>
      <c r="AA42" s="57"/>
      <c r="AB42" s="57"/>
      <c r="AC42" s="57"/>
      <c r="AD42" s="57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</row>
    <row r="43" customFormat="1" ht="15" customHeight="1" spans="1:41">
      <c r="A43" s="53"/>
      <c r="B43" s="58" t="s">
        <v>75</v>
      </c>
      <c r="C43" s="58" t="s">
        <v>76</v>
      </c>
      <c r="D43" s="55">
        <v>0</v>
      </c>
      <c r="E43" s="55">
        <v>0.06</v>
      </c>
      <c r="F43" s="55">
        <v>0</v>
      </c>
      <c r="G43" s="55">
        <f t="shared" ref="G43:G46" si="27">D43+E43</f>
        <v>0.06</v>
      </c>
      <c r="H43" s="55">
        <f t="shared" ref="H43:H46" si="28">D43+F43</f>
        <v>0</v>
      </c>
      <c r="I43" s="55" t="s">
        <v>36</v>
      </c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7" t="str">
        <f t="shared" ref="Z43:AO43" si="29">IF(J43="","",IF(J43&gt;($D43+$E43),(J43-$D43-$E43),IF(J43&lt;($D43+$F43),(J43-$D43-$F43),"√")))</f>
        <v/>
      </c>
      <c r="AA43" s="57" t="str">
        <f t="shared" si="29"/>
        <v/>
      </c>
      <c r="AB43" s="57" t="str">
        <f t="shared" si="29"/>
        <v/>
      </c>
      <c r="AC43" s="57" t="str">
        <f t="shared" si="29"/>
        <v/>
      </c>
      <c r="AD43" s="57" t="str">
        <f t="shared" si="29"/>
        <v/>
      </c>
      <c r="AE43" s="57" t="str">
        <f t="shared" si="29"/>
        <v/>
      </c>
      <c r="AF43" s="57" t="str">
        <f t="shared" si="29"/>
        <v/>
      </c>
      <c r="AG43" s="57" t="str">
        <f t="shared" si="29"/>
        <v/>
      </c>
      <c r="AH43" s="57" t="str">
        <f t="shared" si="29"/>
        <v/>
      </c>
      <c r="AI43" s="57" t="str">
        <f t="shared" si="29"/>
        <v/>
      </c>
      <c r="AJ43" s="57" t="str">
        <f t="shared" si="29"/>
        <v/>
      </c>
      <c r="AK43" s="57" t="str">
        <f t="shared" si="29"/>
        <v/>
      </c>
      <c r="AL43" s="57" t="str">
        <f t="shared" si="29"/>
        <v/>
      </c>
      <c r="AM43" s="57" t="str">
        <f t="shared" si="29"/>
        <v/>
      </c>
      <c r="AN43" s="57" t="str">
        <f t="shared" si="29"/>
        <v/>
      </c>
      <c r="AO43" s="57" t="str">
        <f t="shared" si="29"/>
        <v/>
      </c>
    </row>
    <row r="44" customFormat="1" ht="15" customHeight="1" spans="1:41">
      <c r="A44" s="53"/>
      <c r="B44" s="58" t="s">
        <v>77</v>
      </c>
      <c r="C44" s="58"/>
      <c r="D44" s="55"/>
      <c r="E44" s="55"/>
      <c r="F44" s="55"/>
      <c r="G44" s="55">
        <f t="shared" si="27"/>
        <v>0</v>
      </c>
      <c r="H44" s="55">
        <f t="shared" si="28"/>
        <v>0</v>
      </c>
      <c r="I44" s="55" t="s">
        <v>36</v>
      </c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57"/>
      <c r="AN44" s="57"/>
      <c r="AO44" s="57"/>
    </row>
    <row r="45" customFormat="1" ht="15" customHeight="1" spans="1:41">
      <c r="A45" s="53"/>
      <c r="B45" s="58" t="s">
        <v>78</v>
      </c>
      <c r="C45" s="58"/>
      <c r="D45" s="55"/>
      <c r="E45" s="55"/>
      <c r="F45" s="55"/>
      <c r="G45" s="55">
        <f t="shared" si="27"/>
        <v>0</v>
      </c>
      <c r="H45" s="55">
        <f t="shared" si="28"/>
        <v>0</v>
      </c>
      <c r="I45" s="55" t="s">
        <v>36</v>
      </c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57"/>
      <c r="AN45" s="57"/>
      <c r="AO45" s="57"/>
    </row>
    <row r="46" customFormat="1" ht="15" customHeight="1" spans="1:41">
      <c r="A46" s="53"/>
      <c r="B46" s="58" t="s">
        <v>79</v>
      </c>
      <c r="C46" s="58"/>
      <c r="D46" s="55"/>
      <c r="E46" s="55"/>
      <c r="F46" s="55"/>
      <c r="G46" s="55">
        <f t="shared" si="27"/>
        <v>0</v>
      </c>
      <c r="H46" s="55">
        <f t="shared" si="28"/>
        <v>0</v>
      </c>
      <c r="I46" s="55" t="s">
        <v>36</v>
      </c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57"/>
      <c r="AK46" s="57"/>
      <c r="AL46" s="57"/>
      <c r="AM46" s="57"/>
      <c r="AN46" s="57"/>
      <c r="AO46" s="57"/>
    </row>
    <row r="47" s="1" customFormat="1" spans="1:41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1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47:AO47"/>
    <mergeCell ref="A2:A3"/>
    <mergeCell ref="A4:A7"/>
    <mergeCell ref="A8:A46"/>
    <mergeCell ref="B4:B7"/>
    <mergeCell ref="C4:C7"/>
    <mergeCell ref="D4:D7"/>
    <mergeCell ref="E4:E7"/>
    <mergeCell ref="F4:F7"/>
    <mergeCell ref="G4:G7"/>
    <mergeCell ref="H4:H7"/>
    <mergeCell ref="I4:I7"/>
    <mergeCell ref="H2:K3"/>
    <mergeCell ref="L2:R3"/>
    <mergeCell ref="B2:G3"/>
  </mergeCells>
  <conditionalFormatting sqref="J13:Y13">
    <cfRule type="cellIs" dxfId="0" priority="20" operator="notBetween">
      <formula>$G13</formula>
      <formula>$H13</formula>
    </cfRule>
  </conditionalFormatting>
  <conditionalFormatting sqref="J14:Y14">
    <cfRule type="cellIs" dxfId="0" priority="16" operator="notBetween">
      <formula>$G14</formula>
      <formula>$H14</formula>
    </cfRule>
  </conditionalFormatting>
  <conditionalFormatting sqref="J15:Y15">
    <cfRule type="cellIs" dxfId="0" priority="15" operator="notBetween">
      <formula>$G15</formula>
      <formula>$H15</formula>
    </cfRule>
  </conditionalFormatting>
  <conditionalFormatting sqref="J21:Y21">
    <cfRule type="cellIs" dxfId="0" priority="13" operator="notBetween">
      <formula>$G21</formula>
      <formula>$H21</formula>
    </cfRule>
  </conditionalFormatting>
  <conditionalFormatting sqref="J39:Y39">
    <cfRule type="cellIs" dxfId="0" priority="18" operator="notBetween">
      <formula>$G39</formula>
      <formula>$H39</formula>
    </cfRule>
  </conditionalFormatting>
  <conditionalFormatting sqref="J43:Y43">
    <cfRule type="cellIs" dxfId="0" priority="17" operator="notBetween">
      <formula>$G43</formula>
      <formula>$H43</formula>
    </cfRule>
  </conditionalFormatting>
  <conditionalFormatting sqref="J8:Y12">
    <cfRule type="cellIs" dxfId="0" priority="28" operator="notBetween">
      <formula>$G8</formula>
      <formula>$H8</formula>
    </cfRule>
  </conditionalFormatting>
  <conditionalFormatting sqref="J18:Y18 J22:Y22">
    <cfRule type="cellIs" dxfId="0" priority="21" operator="notBetween">
      <formula>$G18</formula>
      <formula>$H18</formula>
    </cfRule>
  </conditionalFormatting>
  <conditionalFormatting sqref="J31:Y31 J35:Y35">
    <cfRule type="cellIs" dxfId="0" priority="19" operator="notBetween">
      <formula>$G31</formula>
      <formula>$H31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ignoredErrors>
    <ignoredError sqref="Z8:AO12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806-63452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2026-07-03T23:49:01Z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