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<sst xmlns="http://schemas.openxmlformats.org/spreadsheetml/2006/main" count="191" uniqueCount="78">
  <si>
    <t>安徽中耀智能科技有限公司首件尺寸报告</t>
  </si>
  <si>
    <t>料号</t>
  </si>
  <si>
    <t>X806-64562</t>
  </si>
  <si>
    <t>工单号</t>
  </si>
  <si>
    <t>WW132-260630069</t>
  </si>
  <si>
    <t>工站</t>
  </si>
  <si>
    <t>炉号</t>
  </si>
  <si>
    <t>测量机台号</t>
  </si>
  <si>
    <t>测量人员</t>
  </si>
  <si>
    <t>审核</t>
  </si>
  <si>
    <t>烧结</t>
  </si>
  <si>
    <t>DV10</t>
  </si>
  <si>
    <t>CMM6#/OMM5#</t>
  </si>
  <si>
    <t>蒋金潘/禹欣</t>
  </si>
  <si>
    <t>陈跃进</t>
  </si>
  <si>
    <t>日期</t>
  </si>
  <si>
    <t>尺寸编号</t>
  </si>
  <si>
    <t>PSC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</si>
  <si>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</si>
  <si>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</si>
  <si>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</si>
  <si>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</si>
  <si>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</si>
  <si>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</si>
  <si>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</si>
  <si>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</si>
  <si>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</si>
  <si>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</si>
  <si>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复测2</t>
  </si>
  <si>
    <t>FAI12_1</t>
  </si>
  <si>
    <t>OMM</t>
  </si>
  <si>
    <t>FAI12_2</t>
  </si>
  <si>
    <t>FAI15_1</t>
  </si>
  <si>
    <t>AD</t>
  </si>
  <si>
    <t>FAI15_2</t>
  </si>
  <si>
    <t>FAI30</t>
  </si>
  <si>
    <t>FAI5_1</t>
  </si>
  <si>
    <t>CMM</t>
  </si>
  <si>
    <t>FAI5_2</t>
  </si>
  <si>
    <t>FAI6</t>
  </si>
  <si>
    <t>FAI17</t>
  </si>
  <si>
    <t>Q</t>
  </si>
  <si>
    <t>FAI22_1</t>
  </si>
  <si>
    <t>FAI22_2</t>
  </si>
  <si>
    <t>FAI35_1</t>
  </si>
  <si>
    <t>FAI35_2</t>
  </si>
  <si>
    <t>FAI42_1</t>
  </si>
  <si>
    <t>FAI42_2</t>
  </si>
  <si>
    <t>FAI47</t>
  </si>
  <si>
    <t>AF</t>
  </si>
  <si>
    <t>FAI48</t>
  </si>
  <si>
    <t>AG</t>
  </si>
  <si>
    <t>FAI45</t>
  </si>
  <si>
    <t>FAI3_1X</t>
  </si>
  <si>
    <t>FAI3_1Z</t>
  </si>
  <si>
    <t>FAI3_1</t>
  </si>
  <si>
    <t>AB</t>
  </si>
  <si>
    <t>FAI3_2X</t>
  </si>
  <si>
    <t>FAI3_2Z</t>
  </si>
  <si>
    <t>FAI3_2</t>
  </si>
  <si>
    <t>FAI11_1X</t>
  </si>
  <si>
    <t>FAI11_1Z</t>
  </si>
  <si>
    <t>FAI11_1</t>
  </si>
  <si>
    <t>J</t>
  </si>
  <si>
    <t>FAI11_2X</t>
  </si>
  <si>
    <t>FAI11_2Z</t>
  </si>
  <si>
    <t>FAI11_2</t>
  </si>
  <si>
    <t>FAI23</t>
  </si>
  <si>
    <t>W</t>
  </si>
  <si>
    <t>FAI24</t>
  </si>
  <si>
    <t>X</t>
  </si>
  <si>
    <t>FAI25</t>
  </si>
  <si>
    <t>Y</t>
  </si>
  <si>
    <t>FAI36_1</t>
  </si>
  <si>
    <t>AC</t>
  </si>
  <si>
    <t>FAI36_2</t>
  </si>
  <si>
    <t>FAI43</t>
  </si>
  <si>
    <t>FAI44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</si>
</sst>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7" fontId="13" fillId="2" borderId="1" xfId="6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  <cellStyle name="一般 2 2" xfId="8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258445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8"/>
  <sheetViews>
    <sheetView tabSelected="1" topLeftCell="M1" workbookViewId="0">
      <selection activeCell="X10" sqref="X10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6" t="s">
        <v>7</v>
      </c>
      <c r="AF2" s="16"/>
      <c r="AG2" s="16"/>
      <c r="AH2" s="16"/>
      <c r="AI2" s="16"/>
      <c r="AJ2" s="16"/>
      <c r="AK2" s="17" t="s">
        <v>8</v>
      </c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4"/>
      <c r="K3" s="25"/>
      <c r="L3" s="9"/>
      <c r="M3" s="9"/>
      <c r="N3" s="9"/>
      <c r="O3" s="9"/>
      <c r="P3" s="9"/>
      <c r="Q3" s="9"/>
      <c r="R3" s="9"/>
      <c r="S3" s="26" t="s">
        <v>10</v>
      </c>
      <c r="T3" s="27"/>
      <c r="U3" s="27"/>
      <c r="V3" s="27"/>
      <c r="W3" s="27"/>
      <c r="X3" s="28"/>
      <c r="Y3" s="29" t="s">
        <v>11</v>
      </c>
      <c r="Z3" s="30"/>
      <c r="AA3" s="30"/>
      <c r="AB3" s="30"/>
      <c r="AC3" s="30"/>
      <c r="AD3" s="31"/>
      <c r="AE3" s="32" t="s">
        <v>12</v>
      </c>
      <c r="AF3" s="32"/>
      <c r="AG3" s="32"/>
      <c r="AH3" s="32"/>
      <c r="AI3" s="32"/>
      <c r="AJ3" s="32"/>
      <c r="AK3" s="33" t="s">
        <v>13</v>
      </c>
      <c r="AL3" s="34"/>
      <c r="AM3" s="35"/>
      <c r="AN3" s="33" t="s">
        <v>14</v>
      </c>
      <c r="AO3" s="35"/>
    </row>
    <row r="4" customHeight="1" spans="1:41">
      <c r="A4" s="36" t="s">
        <v>15</v>
      </c>
      <c r="B4" s="36" t="s">
        <v>16</v>
      </c>
      <c r="C4" s="37" t="s">
        <v>17</v>
      </c>
      <c r="D4" s="38" t="s">
        <v>18</v>
      </c>
      <c r="E4" s="39" t="s">
        <v>19</v>
      </c>
      <c r="F4" s="40" t="s">
        <v>20</v>
      </c>
      <c r="G4" s="40" t="s">
        <v>21</v>
      </c>
      <c r="H4" s="40" t="s">
        <v>22</v>
      </c>
      <c r="I4" s="41" t="s">
        <v>23</v>
      </c>
      <c r="J4" s="42" t="s">
        <v>24</v>
      </c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3" t="s">
        <v>25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</row>
    <row r="5" ht="13.5" customHeight="1" spans="1:41">
      <c r="A5" s="46"/>
      <c r="B5" s="47"/>
      <c r="C5" s="48"/>
      <c r="D5" s="38"/>
      <c r="E5" s="39"/>
      <c r="F5" s="40"/>
      <c r="G5" s="40"/>
      <c r="H5" s="40"/>
      <c r="I5" s="38"/>
      <c r="J5" s="42" t="s">
        <v>26</v>
      </c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9" t="s">
        <v>27</v>
      </c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</row>
    <row r="6" customHeight="1" spans="1:41">
      <c r="A6" s="46"/>
      <c r="B6" s="47"/>
      <c r="C6" s="50"/>
      <c r="D6" s="38"/>
      <c r="E6" s="39"/>
      <c r="F6" s="40"/>
      <c r="G6" s="40"/>
      <c r="H6" s="40"/>
      <c r="I6" s="38"/>
      <c r="J6" s="51">
        <v>1</v>
      </c>
      <c r="K6" s="51">
        <v>2</v>
      </c>
      <c r="L6" s="51">
        <v>3</v>
      </c>
      <c r="M6" s="51">
        <v>4</v>
      </c>
      <c r="N6" s="51">
        <v>5</v>
      </c>
      <c r="O6" s="51">
        <v>6</v>
      </c>
      <c r="P6" s="51">
        <v>7</v>
      </c>
      <c r="Q6" s="51">
        <v>8</v>
      </c>
      <c r="R6" s="51">
        <v>9</v>
      </c>
      <c r="S6" s="51">
        <v>10</v>
      </c>
      <c r="T6" s="51">
        <v>11</v>
      </c>
      <c r="U6" s="51">
        <v>12</v>
      </c>
      <c r="V6" s="51">
        <v>13</v>
      </c>
      <c r="W6" s="52" t="s">
        <v>28</v>
      </c>
      <c r="X6" s="51">
        <v>15</v>
      </c>
      <c r="Y6" s="51">
        <v>16</v>
      </c>
      <c r="Z6" s="53">
        <f t="shared" ref="Z6:AO6" si="0">J6</f>
        <v>1</v>
      </c>
      <c r="AA6" s="53">
        <f t="shared" si="0"/>
        <v>2</v>
      </c>
      <c r="AB6" s="53">
        <f t="shared" si="0"/>
        <v>3</v>
      </c>
      <c r="AC6" s="53">
        <f t="shared" si="0"/>
        <v>4</v>
      </c>
      <c r="AD6" s="53">
        <f t="shared" si="0"/>
        <v>5</v>
      </c>
      <c r="AE6" s="53">
        <f t="shared" si="0"/>
        <v>6</v>
      </c>
      <c r="AF6" s="53">
        <f t="shared" si="0"/>
        <v>7</v>
      </c>
      <c r="AG6" s="53">
        <f t="shared" si="0"/>
        <v>8</v>
      </c>
      <c r="AH6" s="53">
        <f t="shared" si="0"/>
        <v>9</v>
      </c>
      <c r="AI6" s="53">
        <f t="shared" si="0"/>
        <v>10</v>
      </c>
      <c r="AJ6" s="53">
        <f t="shared" si="0"/>
        <v>11</v>
      </c>
      <c r="AK6" s="53">
        <f t="shared" si="0"/>
        <v>12</v>
      </c>
      <c r="AL6" s="53">
        <f t="shared" si="0"/>
        <v>13</v>
      </c>
      <c r="AM6" s="53" t="str">
        <f t="shared" si="0"/>
        <v>复测2</v>
      </c>
      <c r="AN6" s="53">
        <f t="shared" si="0"/>
        <v>15</v>
      </c>
      <c r="AO6" s="53">
        <f t="shared" si="0"/>
        <v>16</v>
      </c>
    </row>
    <row r="7" ht="15" customHeight="1" spans="1:41">
      <c r="A7" s="54">
        <v>46206</v>
      </c>
      <c r="B7" s="55" t="s">
        <v>29</v>
      </c>
      <c r="C7" s="56"/>
      <c r="D7" s="57">
        <v>0.82</v>
      </c>
      <c r="E7" s="57">
        <v>0.06</v>
      </c>
      <c r="F7" s="57">
        <v>-0.06</v>
      </c>
      <c r="G7" s="58">
        <f t="shared" ref="G7:G15" si="1">D7+E7</f>
        <v>0.88</v>
      </c>
      <c r="H7" s="58">
        <f t="shared" ref="H7:H15" si="2">D7+F7</f>
        <v>0.76</v>
      </c>
      <c r="I7" s="57" t="s">
        <v>30</v>
      </c>
      <c r="J7" s="59">
        <v>0.814</v>
      </c>
      <c r="K7" s="59">
        <v>0.7987</v>
      </c>
      <c r="L7" s="59">
        <v>0.8315</v>
      </c>
      <c r="M7" s="59">
        <v>0.81</v>
      </c>
      <c r="N7" s="59">
        <v>0.8147</v>
      </c>
      <c r="O7" s="59">
        <v>0.8139</v>
      </c>
      <c r="P7" s="59">
        <v>0.8133</v>
      </c>
      <c r="Q7" s="59">
        <v>0.8271</v>
      </c>
      <c r="R7" s="59">
        <v>0.8342</v>
      </c>
      <c r="S7" s="59">
        <v>0.8365</v>
      </c>
      <c r="T7" s="59">
        <v>0.8327</v>
      </c>
      <c r="U7" s="59">
        <v>0.8172</v>
      </c>
      <c r="V7" s="59"/>
      <c r="W7" s="59">
        <v>0.7974</v>
      </c>
      <c r="X7" s="59"/>
      <c r="Y7" s="59"/>
      <c r="Z7" s="60" t="str">
        <f>IF(J7="","",IF(J7&gt;($D7+$E7),(J7-$D7-$E7),IF(J7&lt;($D7+$F7),(J7-$D7-$F7),"√")))</f>
        <v>√</v>
      </c>
      <c r="AA7" s="60" t="str">
        <f>IF(K7="","",IF(K7&gt;($D7+$E7),(K7-$D7-$E7),IF(K7&lt;($D7+$F7),(K7-$D7-$F7),"√")))</f>
        <v>√</v>
      </c>
      <c r="AB7" s="60" t="str">
        <f t="shared" ref="AB7:AO7" si="3">IF(L7="","",IF(L7&gt;($D7+$E7),(L7-$D7-$E7),IF(L7&lt;($D7+$F7),(L7-$D7-$F7),"√")))</f>
        <v>√</v>
      </c>
      <c r="AC7" s="60" t="str">
        <f t="shared" si="3"/>
        <v>√</v>
      </c>
      <c r="AD7" s="60" t="str">
        <f t="shared" si="3"/>
        <v>√</v>
      </c>
      <c r="AE7" s="60" t="str">
        <f t="shared" si="3"/>
        <v>√</v>
      </c>
      <c r="AF7" s="60" t="str">
        <f t="shared" si="3"/>
        <v>√</v>
      </c>
      <c r="AG7" s="60" t="str">
        <f t="shared" si="3"/>
        <v>√</v>
      </c>
      <c r="AH7" s="60" t="str">
        <f t="shared" si="3"/>
        <v>√</v>
      </c>
      <c r="AI7" s="60" t="str">
        <f t="shared" si="3"/>
        <v>√</v>
      </c>
      <c r="AJ7" s="60" t="str">
        <f t="shared" si="3"/>
        <v>√</v>
      </c>
      <c r="AK7" s="60" t="str">
        <f t="shared" si="3"/>
        <v>√</v>
      </c>
      <c r="AL7" s="60" t="str">
        <f t="shared" si="3"/>
        <v/>
      </c>
      <c r="AM7" s="60" t="str">
        <f t="shared" si="3"/>
        <v>√</v>
      </c>
      <c r="AN7" s="60" t="str">
        <f t="shared" si="3"/>
        <v/>
      </c>
      <c r="AO7" s="60" t="str">
        <f t="shared" si="3"/>
        <v/>
      </c>
    </row>
    <row r="8" ht="15" customHeight="1" spans="1:41">
      <c r="A8" s="54"/>
      <c r="B8" s="55" t="s">
        <v>31</v>
      </c>
      <c r="C8" s="56"/>
      <c r="D8" s="57">
        <v>0.82</v>
      </c>
      <c r="E8" s="57">
        <v>0.06</v>
      </c>
      <c r="F8" s="57">
        <v>-0.06</v>
      </c>
      <c r="G8" s="58">
        <f t="shared" si="1"/>
        <v>0.88</v>
      </c>
      <c r="H8" s="58">
        <f t="shared" si="2"/>
        <v>0.76</v>
      </c>
      <c r="I8" s="57" t="s">
        <v>30</v>
      </c>
      <c r="J8" s="59">
        <v>0.8121</v>
      </c>
      <c r="K8" s="59">
        <v>0.796</v>
      </c>
      <c r="L8" s="59">
        <v>0.826</v>
      </c>
      <c r="M8" s="59">
        <v>0.809</v>
      </c>
      <c r="N8" s="59">
        <v>0.8125</v>
      </c>
      <c r="O8" s="59">
        <v>0.813</v>
      </c>
      <c r="P8" s="59">
        <v>0.8132</v>
      </c>
      <c r="Q8" s="59">
        <v>0.8319</v>
      </c>
      <c r="R8" s="59">
        <v>0.8191</v>
      </c>
      <c r="S8" s="59">
        <v>0.8235</v>
      </c>
      <c r="T8" s="59">
        <v>0.8299</v>
      </c>
      <c r="U8" s="59">
        <v>0.8286</v>
      </c>
      <c r="V8" s="59"/>
      <c r="W8" s="59">
        <v>0.782</v>
      </c>
      <c r="X8" s="59"/>
      <c r="Y8" s="59"/>
      <c r="Z8" s="60" t="str">
        <f t="shared" ref="Z8:AO8" si="4">IF(J8="","",IF(J8&gt;($D8+$E8),(J8-$D8-$E8),IF(J8&lt;($D8+$F8),(J8-$D8-$F8),"√")))</f>
        <v>√</v>
      </c>
      <c r="AA8" s="60" t="str">
        <f t="shared" si="4"/>
        <v>√</v>
      </c>
      <c r="AB8" s="60" t="str">
        <f t="shared" si="4"/>
        <v>√</v>
      </c>
      <c r="AC8" s="60" t="str">
        <f t="shared" si="4"/>
        <v>√</v>
      </c>
      <c r="AD8" s="60" t="str">
        <f t="shared" si="4"/>
        <v>√</v>
      </c>
      <c r="AE8" s="60" t="str">
        <f t="shared" si="4"/>
        <v>√</v>
      </c>
      <c r="AF8" s="60" t="str">
        <f t="shared" si="4"/>
        <v>√</v>
      </c>
      <c r="AG8" s="60" t="str">
        <f t="shared" si="4"/>
        <v>√</v>
      </c>
      <c r="AH8" s="60" t="str">
        <f t="shared" si="4"/>
        <v>√</v>
      </c>
      <c r="AI8" s="60" t="str">
        <f t="shared" si="4"/>
        <v>√</v>
      </c>
      <c r="AJ8" s="60" t="str">
        <f t="shared" si="4"/>
        <v>√</v>
      </c>
      <c r="AK8" s="60" t="str">
        <f t="shared" si="4"/>
        <v>√</v>
      </c>
      <c r="AL8" s="60" t="str">
        <f t="shared" si="4"/>
        <v/>
      </c>
      <c r="AM8" s="60" t="str">
        <f t="shared" si="4"/>
        <v>√</v>
      </c>
      <c r="AN8" s="60" t="str">
        <f t="shared" si="4"/>
        <v/>
      </c>
      <c r="AO8" s="60" t="str">
        <f t="shared" si="4"/>
        <v/>
      </c>
    </row>
    <row r="9" ht="15" customHeight="1" spans="1:41">
      <c r="A9" s="54"/>
      <c r="B9" s="55" t="s">
        <v>32</v>
      </c>
      <c r="C9" s="56" t="s">
        <v>33</v>
      </c>
      <c r="D9" s="57">
        <v>2.1</v>
      </c>
      <c r="E9" s="57">
        <v>0.03</v>
      </c>
      <c r="F9" s="57">
        <v>-0.03</v>
      </c>
      <c r="G9" s="58">
        <f t="shared" si="1"/>
        <v>2.13</v>
      </c>
      <c r="H9" s="58">
        <f t="shared" si="2"/>
        <v>2.07</v>
      </c>
      <c r="I9" s="57" t="s">
        <v>30</v>
      </c>
      <c r="J9" s="59">
        <v>2.08</v>
      </c>
      <c r="K9" s="59">
        <v>2.0925</v>
      </c>
      <c r="L9" s="59">
        <v>2.0896</v>
      </c>
      <c r="M9" s="59">
        <v>2.0939</v>
      </c>
      <c r="N9" s="59">
        <v>2.0933</v>
      </c>
      <c r="O9" s="59">
        <v>2.0925</v>
      </c>
      <c r="P9" s="59">
        <v>2.0935</v>
      </c>
      <c r="Q9" s="59">
        <v>2.0913</v>
      </c>
      <c r="R9" s="59">
        <v>2.0959</v>
      </c>
      <c r="S9" s="59">
        <v>2.0961</v>
      </c>
      <c r="T9" s="59">
        <v>2.1212</v>
      </c>
      <c r="U9" s="59">
        <v>2.0971</v>
      </c>
      <c r="V9" s="59"/>
      <c r="W9" s="59">
        <v>2.0912</v>
      </c>
      <c r="X9" s="59"/>
      <c r="Y9" s="59"/>
      <c r="Z9" s="60" t="str">
        <f t="shared" ref="Z9:AO9" si="5">IF(J9="","",IF(J9&gt;($D9+$E9),(J9-$D9-$E9),IF(J9&lt;($D9+$F9),(J9-$D9-$F9),"√")))</f>
        <v>√</v>
      </c>
      <c r="AA9" s="60" t="str">
        <f t="shared" si="5"/>
        <v>√</v>
      </c>
      <c r="AB9" s="60" t="str">
        <f t="shared" si="5"/>
        <v>√</v>
      </c>
      <c r="AC9" s="60" t="str">
        <f t="shared" si="5"/>
        <v>√</v>
      </c>
      <c r="AD9" s="60" t="str">
        <f t="shared" si="5"/>
        <v>√</v>
      </c>
      <c r="AE9" s="60" t="str">
        <f t="shared" si="5"/>
        <v>√</v>
      </c>
      <c r="AF9" s="60" t="str">
        <f t="shared" si="5"/>
        <v>√</v>
      </c>
      <c r="AG9" s="60" t="str">
        <f t="shared" si="5"/>
        <v>√</v>
      </c>
      <c r="AH9" s="60" t="str">
        <f t="shared" si="5"/>
        <v>√</v>
      </c>
      <c r="AI9" s="60" t="str">
        <f t="shared" si="5"/>
        <v>√</v>
      </c>
      <c r="AJ9" s="60" t="str">
        <f t="shared" si="5"/>
        <v>√</v>
      </c>
      <c r="AK9" s="60" t="str">
        <f t="shared" si="5"/>
        <v>√</v>
      </c>
      <c r="AL9" s="60" t="str">
        <f t="shared" si="5"/>
        <v/>
      </c>
      <c r="AM9" s="60" t="str">
        <f t="shared" si="5"/>
        <v>√</v>
      </c>
      <c r="AN9" s="60" t="str">
        <f t="shared" si="5"/>
        <v/>
      </c>
      <c r="AO9" s="60" t="str">
        <f t="shared" si="5"/>
        <v/>
      </c>
    </row>
    <row r="10" ht="15" customHeight="1" spans="1:41">
      <c r="A10" s="54"/>
      <c r="B10" s="55" t="s">
        <v>34</v>
      </c>
      <c r="C10" s="56" t="s">
        <v>33</v>
      </c>
      <c r="D10" s="57">
        <v>2.1</v>
      </c>
      <c r="E10" s="57">
        <v>0.03</v>
      </c>
      <c r="F10" s="57">
        <v>-0.03</v>
      </c>
      <c r="G10" s="58">
        <f t="shared" si="1"/>
        <v>2.13</v>
      </c>
      <c r="H10" s="58">
        <f t="shared" si="2"/>
        <v>2.07</v>
      </c>
      <c r="I10" s="57" t="s">
        <v>30</v>
      </c>
      <c r="J10" s="59">
        <v>2.0987</v>
      </c>
      <c r="K10" s="59">
        <v>2.0955</v>
      </c>
      <c r="L10" s="59">
        <v>2.099</v>
      </c>
      <c r="M10" s="59">
        <v>2.0974</v>
      </c>
      <c r="N10" s="59">
        <v>2.0988</v>
      </c>
      <c r="O10" s="59">
        <v>2.0959</v>
      </c>
      <c r="P10" s="59">
        <v>2.0933</v>
      </c>
      <c r="Q10" s="59">
        <v>2.0923</v>
      </c>
      <c r="R10" s="59">
        <v>2.0952</v>
      </c>
      <c r="S10" s="59">
        <v>2.1001</v>
      </c>
      <c r="T10" s="59">
        <v>2.0989</v>
      </c>
      <c r="U10" s="59">
        <v>2.1017</v>
      </c>
      <c r="V10" s="59"/>
      <c r="W10" s="59">
        <v>2.0943</v>
      </c>
      <c r="X10" s="59"/>
      <c r="Y10" s="59"/>
      <c r="Z10" s="60" t="str">
        <f t="shared" ref="Z10:AO10" si="6">IF(J10="","",IF(J10&gt;($D10+$E10),(J10-$D10-$E10),IF(J10&lt;($D10+$F10),(J10-$D10-$F10),"√")))</f>
        <v>√</v>
      </c>
      <c r="AA10" s="60" t="str">
        <f t="shared" si="6"/>
        <v>√</v>
      </c>
      <c r="AB10" s="60" t="str">
        <f t="shared" si="6"/>
        <v>√</v>
      </c>
      <c r="AC10" s="60" t="str">
        <f t="shared" si="6"/>
        <v>√</v>
      </c>
      <c r="AD10" s="60" t="str">
        <f t="shared" si="6"/>
        <v>√</v>
      </c>
      <c r="AE10" s="60" t="str">
        <f t="shared" si="6"/>
        <v>√</v>
      </c>
      <c r="AF10" s="60" t="str">
        <f t="shared" si="6"/>
        <v>√</v>
      </c>
      <c r="AG10" s="60" t="str">
        <f t="shared" si="6"/>
        <v>√</v>
      </c>
      <c r="AH10" s="60" t="str">
        <f t="shared" si="6"/>
        <v>√</v>
      </c>
      <c r="AI10" s="60" t="str">
        <f t="shared" si="6"/>
        <v>√</v>
      </c>
      <c r="AJ10" s="60" t="str">
        <f t="shared" si="6"/>
        <v>√</v>
      </c>
      <c r="AK10" s="60" t="str">
        <f t="shared" si="6"/>
        <v>√</v>
      </c>
      <c r="AL10" s="60" t="str">
        <f t="shared" si="6"/>
        <v/>
      </c>
      <c r="AM10" s="60" t="str">
        <f t="shared" si="6"/>
        <v>√</v>
      </c>
      <c r="AN10" s="60" t="str">
        <f t="shared" si="6"/>
        <v/>
      </c>
      <c r="AO10" s="60" t="str">
        <f t="shared" si="6"/>
        <v/>
      </c>
    </row>
    <row r="11" ht="15" customHeight="1" spans="1:41">
      <c r="A11" s="54"/>
      <c r="B11" s="55" t="s">
        <v>35</v>
      </c>
      <c r="C11" s="56"/>
      <c r="D11" s="57">
        <v>0.42</v>
      </c>
      <c r="E11" s="57">
        <v>0.07</v>
      </c>
      <c r="F11" s="57">
        <v>-0.07</v>
      </c>
      <c r="G11" s="58">
        <f t="shared" si="1"/>
        <v>0.49</v>
      </c>
      <c r="H11" s="58">
        <f t="shared" si="2"/>
        <v>0.35</v>
      </c>
      <c r="I11" s="57" t="s">
        <v>30</v>
      </c>
      <c r="J11" s="59">
        <v>0.3442</v>
      </c>
      <c r="K11" s="59">
        <v>0.3367</v>
      </c>
      <c r="L11" s="59">
        <v>0.3505</v>
      </c>
      <c r="M11" s="59">
        <v>0.3378</v>
      </c>
      <c r="N11" s="59">
        <v>0.3444</v>
      </c>
      <c r="O11" s="59">
        <v>0.3474</v>
      </c>
      <c r="P11" s="59">
        <v>0.3535</v>
      </c>
      <c r="Q11" s="59">
        <v>0.357</v>
      </c>
      <c r="R11" s="59">
        <v>0.357</v>
      </c>
      <c r="S11" s="59">
        <v>0.3554</v>
      </c>
      <c r="T11" s="59">
        <v>0.3537</v>
      </c>
      <c r="U11" s="59">
        <v>0.3443</v>
      </c>
      <c r="V11" s="59"/>
      <c r="W11" s="59">
        <v>0.3352</v>
      </c>
      <c r="X11" s="61"/>
      <c r="Y11" s="59"/>
      <c r="Z11" s="60">
        <f t="shared" ref="Z11:AO11" si="7">IF(J11="","",IF(J11&gt;($D11+$E11),(J11-$D11-$E11),IF(J11&lt;($D11+$F11),(J11-$D11-$F11),"√")))</f>
        <v>-0.00579999999999997</v>
      </c>
      <c r="AA11" s="60">
        <f t="shared" si="7"/>
        <v>-0.0133</v>
      </c>
      <c r="AB11" s="60" t="str">
        <f t="shared" si="7"/>
        <v>√</v>
      </c>
      <c r="AC11" s="60">
        <f t="shared" si="7"/>
        <v>-0.0122</v>
      </c>
      <c r="AD11" s="60">
        <f t="shared" si="7"/>
        <v>-0.00559999999999999</v>
      </c>
      <c r="AE11" s="60">
        <f t="shared" si="7"/>
        <v>-0.00259999999999999</v>
      </c>
      <c r="AF11" s="60" t="str">
        <f t="shared" si="7"/>
        <v>√</v>
      </c>
      <c r="AG11" s="60" t="str">
        <f t="shared" si="7"/>
        <v>√</v>
      </c>
      <c r="AH11" s="60" t="str">
        <f t="shared" si="7"/>
        <v>√</v>
      </c>
      <c r="AI11" s="60" t="str">
        <f t="shared" si="7"/>
        <v>√</v>
      </c>
      <c r="AJ11" s="60" t="str">
        <f t="shared" si="7"/>
        <v>√</v>
      </c>
      <c r="AK11" s="60">
        <f t="shared" si="7"/>
        <v>-0.00569999999999998</v>
      </c>
      <c r="AL11" s="60" t="str">
        <f t="shared" si="7"/>
        <v/>
      </c>
      <c r="AM11" s="60">
        <f t="shared" si="7"/>
        <v>-0.0148</v>
      </c>
      <c r="AN11" s="60" t="str">
        <f t="shared" si="7"/>
        <v/>
      </c>
      <c r="AO11" s="60" t="str">
        <f t="shared" si="7"/>
        <v/>
      </c>
    </row>
    <row r="12" ht="15" customHeight="1" spans="1:41">
      <c r="A12" s="54"/>
      <c r="B12" s="55" t="s">
        <v>36</v>
      </c>
      <c r="C12" s="56"/>
      <c r="D12" s="57">
        <v>1.6</v>
      </c>
      <c r="E12" s="57">
        <v>0.06</v>
      </c>
      <c r="F12" s="57">
        <v>-0.06</v>
      </c>
      <c r="G12" s="58">
        <f t="shared" si="1"/>
        <v>1.66</v>
      </c>
      <c r="H12" s="58">
        <f t="shared" si="2"/>
        <v>1.54</v>
      </c>
      <c r="I12" s="57" t="s">
        <v>37</v>
      </c>
      <c r="J12" s="59">
        <v>1.6064</v>
      </c>
      <c r="K12" s="59">
        <v>1.6195</v>
      </c>
      <c r="L12" s="59">
        <v>1.6115</v>
      </c>
      <c r="M12" s="59">
        <v>1.6122</v>
      </c>
      <c r="N12" s="59">
        <v>1.6079</v>
      </c>
      <c r="O12" s="59">
        <v>1.6119</v>
      </c>
      <c r="P12" s="59">
        <v>1.6093</v>
      </c>
      <c r="Q12" s="59">
        <v>1.611</v>
      </c>
      <c r="R12" s="59">
        <v>1.5978</v>
      </c>
      <c r="S12" s="59">
        <v>1.6311</v>
      </c>
      <c r="T12" s="59">
        <v>1.6092</v>
      </c>
      <c r="U12" s="59">
        <v>1.6149</v>
      </c>
      <c r="V12" s="59">
        <v>1.6291</v>
      </c>
      <c r="W12" s="59"/>
      <c r="X12" s="59"/>
      <c r="Y12" s="59"/>
      <c r="Z12" s="60" t="str">
        <f t="shared" ref="Z12:AO14" si="8">IF(J12="","",IF(J12&gt;($D12+$E12),(J12-$D12-$E12),IF(J12&lt;($D12+$F12),(J12-$D12-$F12),"√")))</f>
        <v>√</v>
      </c>
      <c r="AA12" s="60" t="str">
        <f t="shared" si="8"/>
        <v>√</v>
      </c>
      <c r="AB12" s="60" t="str">
        <f t="shared" si="8"/>
        <v>√</v>
      </c>
      <c r="AC12" s="60" t="str">
        <f t="shared" si="8"/>
        <v>√</v>
      </c>
      <c r="AD12" s="60" t="str">
        <f t="shared" si="8"/>
        <v>√</v>
      </c>
      <c r="AE12" s="60" t="str">
        <f t="shared" si="8"/>
        <v>√</v>
      </c>
      <c r="AF12" s="60" t="str">
        <f t="shared" si="8"/>
        <v>√</v>
      </c>
      <c r="AG12" s="60" t="str">
        <f t="shared" si="8"/>
        <v>√</v>
      </c>
      <c r="AH12" s="60" t="str">
        <f t="shared" si="8"/>
        <v>√</v>
      </c>
      <c r="AI12" s="60" t="str">
        <f t="shared" si="8"/>
        <v>√</v>
      </c>
      <c r="AJ12" s="60" t="str">
        <f t="shared" si="8"/>
        <v>√</v>
      </c>
      <c r="AK12" s="60" t="str">
        <f t="shared" si="8"/>
        <v>√</v>
      </c>
      <c r="AL12" s="60" t="str">
        <f t="shared" si="8"/>
        <v>√</v>
      </c>
      <c r="AM12" s="60" t="str">
        <f t="shared" si="8"/>
        <v/>
      </c>
      <c r="AN12" s="60" t="str">
        <f t="shared" si="8"/>
        <v/>
      </c>
      <c r="AO12" s="60" t="str">
        <f t="shared" si="8"/>
        <v/>
      </c>
    </row>
    <row r="13" ht="15" customHeight="1" spans="1:41">
      <c r="A13" s="54"/>
      <c r="B13" s="55" t="s">
        <v>38</v>
      </c>
      <c r="C13" s="56"/>
      <c r="D13" s="57">
        <v>1.6</v>
      </c>
      <c r="E13" s="57">
        <v>0.06</v>
      </c>
      <c r="F13" s="57">
        <v>-0.06</v>
      </c>
      <c r="G13" s="58">
        <f t="shared" si="1"/>
        <v>1.66</v>
      </c>
      <c r="H13" s="58">
        <f t="shared" si="2"/>
        <v>1.54</v>
      </c>
      <c r="I13" s="57" t="s">
        <v>37</v>
      </c>
      <c r="J13" s="59">
        <v>1.6031</v>
      </c>
      <c r="K13" s="59">
        <v>1.6133</v>
      </c>
      <c r="L13" s="59">
        <v>1.6098</v>
      </c>
      <c r="M13" s="59">
        <v>1.6209</v>
      </c>
      <c r="N13" s="59">
        <v>1.6072</v>
      </c>
      <c r="O13" s="59">
        <v>1.6088</v>
      </c>
      <c r="P13" s="59">
        <v>1.6048</v>
      </c>
      <c r="Q13" s="59">
        <v>1.6055</v>
      </c>
      <c r="R13" s="59">
        <v>1.6038</v>
      </c>
      <c r="S13" s="59">
        <v>1.6175</v>
      </c>
      <c r="T13" s="59">
        <v>1.6108</v>
      </c>
      <c r="U13" s="59">
        <v>1.6124</v>
      </c>
      <c r="V13" s="59">
        <v>1.614</v>
      </c>
      <c r="W13" s="59"/>
      <c r="X13" s="59"/>
      <c r="Y13" s="59"/>
      <c r="Z13" s="60" t="str">
        <f t="shared" si="8"/>
        <v>√</v>
      </c>
      <c r="AA13" s="60" t="str">
        <f t="shared" si="8"/>
        <v>√</v>
      </c>
      <c r="AB13" s="60" t="str">
        <f t="shared" si="8"/>
        <v>√</v>
      </c>
      <c r="AC13" s="60" t="str">
        <f t="shared" si="8"/>
        <v>√</v>
      </c>
      <c r="AD13" s="60" t="str">
        <f t="shared" si="8"/>
        <v>√</v>
      </c>
      <c r="AE13" s="60" t="str">
        <f t="shared" si="8"/>
        <v>√</v>
      </c>
      <c r="AF13" s="60" t="str">
        <f t="shared" si="8"/>
        <v>√</v>
      </c>
      <c r="AG13" s="60" t="str">
        <f t="shared" si="8"/>
        <v>√</v>
      </c>
      <c r="AH13" s="60" t="str">
        <f t="shared" si="8"/>
        <v>√</v>
      </c>
      <c r="AI13" s="60" t="str">
        <f t="shared" si="8"/>
        <v>√</v>
      </c>
      <c r="AJ13" s="60" t="str">
        <f t="shared" si="8"/>
        <v>√</v>
      </c>
      <c r="AK13" s="60" t="str">
        <f t="shared" si="8"/>
        <v>√</v>
      </c>
      <c r="AL13" s="60" t="str">
        <f t="shared" si="8"/>
        <v>√</v>
      </c>
      <c r="AM13" s="60" t="str">
        <f t="shared" si="8"/>
        <v/>
      </c>
      <c r="AN13" s="60" t="str">
        <f t="shared" si="8"/>
        <v/>
      </c>
      <c r="AO13" s="60" t="str">
        <f t="shared" si="8"/>
        <v/>
      </c>
    </row>
    <row r="14" ht="15" customHeight="1" spans="1:41">
      <c r="A14" s="54"/>
      <c r="B14" s="55" t="s">
        <v>39</v>
      </c>
      <c r="C14" s="56"/>
      <c r="D14" s="57">
        <v>1.59</v>
      </c>
      <c r="E14" s="57">
        <v>0.06</v>
      </c>
      <c r="F14" s="57">
        <v>-0.06</v>
      </c>
      <c r="G14" s="58">
        <f t="shared" si="1"/>
        <v>1.65</v>
      </c>
      <c r="H14" s="58">
        <f t="shared" si="2"/>
        <v>1.53</v>
      </c>
      <c r="I14" s="57" t="s">
        <v>37</v>
      </c>
      <c r="J14" s="59">
        <v>1.5766</v>
      </c>
      <c r="K14" s="59">
        <v>1.5775</v>
      </c>
      <c r="L14" s="59">
        <v>1.5656</v>
      </c>
      <c r="M14" s="59">
        <v>1.572</v>
      </c>
      <c r="N14" s="59">
        <v>1.5754</v>
      </c>
      <c r="O14" s="59">
        <v>1.5766</v>
      </c>
      <c r="P14" s="59">
        <v>1.5737</v>
      </c>
      <c r="Q14" s="59">
        <v>1.5692</v>
      </c>
      <c r="R14" s="59">
        <v>1.5726</v>
      </c>
      <c r="S14" s="59">
        <v>1.5711</v>
      </c>
      <c r="T14" s="59">
        <v>1.5747</v>
      </c>
      <c r="U14" s="59">
        <v>1.5736</v>
      </c>
      <c r="V14" s="59">
        <v>1.5691</v>
      </c>
      <c r="W14" s="59"/>
      <c r="X14" s="59"/>
      <c r="Y14" s="59"/>
      <c r="Z14" s="60" t="str">
        <f t="shared" si="8"/>
        <v>√</v>
      </c>
      <c r="AA14" s="60" t="str">
        <f t="shared" si="8"/>
        <v>√</v>
      </c>
      <c r="AB14" s="60" t="str">
        <f t="shared" si="8"/>
        <v>√</v>
      </c>
      <c r="AC14" s="60" t="str">
        <f t="shared" si="8"/>
        <v>√</v>
      </c>
      <c r="AD14" s="60" t="str">
        <f t="shared" si="8"/>
        <v>√</v>
      </c>
      <c r="AE14" s="60" t="str">
        <f t="shared" si="8"/>
        <v>√</v>
      </c>
      <c r="AF14" s="60" t="str">
        <f t="shared" si="8"/>
        <v>√</v>
      </c>
      <c r="AG14" s="60" t="str">
        <f t="shared" si="8"/>
        <v>√</v>
      </c>
      <c r="AH14" s="60" t="str">
        <f t="shared" si="8"/>
        <v>√</v>
      </c>
      <c r="AI14" s="60" t="str">
        <f t="shared" si="8"/>
        <v>√</v>
      </c>
      <c r="AJ14" s="60" t="str">
        <f t="shared" si="8"/>
        <v>√</v>
      </c>
      <c r="AK14" s="60" t="str">
        <f t="shared" si="8"/>
        <v>√</v>
      </c>
      <c r="AL14" s="60" t="str">
        <f t="shared" si="8"/>
        <v>√</v>
      </c>
      <c r="AM14" s="60" t="str">
        <f t="shared" si="8"/>
        <v/>
      </c>
      <c r="AN14" s="60" t="str">
        <f t="shared" si="8"/>
        <v/>
      </c>
      <c r="AO14" s="60" t="str">
        <f t="shared" si="8"/>
        <v/>
      </c>
    </row>
    <row r="15" ht="15" customHeight="1" spans="1:41">
      <c r="A15" s="54"/>
      <c r="B15" s="55" t="s">
        <v>40</v>
      </c>
      <c r="C15" s="56" t="s">
        <v>41</v>
      </c>
      <c r="D15" s="57">
        <v>5.39</v>
      </c>
      <c r="E15" s="57">
        <v>0.025</v>
      </c>
      <c r="F15" s="57">
        <v>-0.025</v>
      </c>
      <c r="G15" s="58">
        <f t="shared" si="1"/>
        <v>5.415</v>
      </c>
      <c r="H15" s="58">
        <f t="shared" si="2"/>
        <v>5.365</v>
      </c>
      <c r="I15" s="57" t="s">
        <v>37</v>
      </c>
      <c r="J15" s="59">
        <v>5.3911</v>
      </c>
      <c r="K15" s="59">
        <v>5.3873</v>
      </c>
      <c r="L15" s="59">
        <v>5.3748</v>
      </c>
      <c r="M15" s="59">
        <v>5.3876</v>
      </c>
      <c r="N15" s="59">
        <v>5.374</v>
      </c>
      <c r="O15" s="59">
        <v>5.3802</v>
      </c>
      <c r="P15" s="59">
        <v>5.3906</v>
      </c>
      <c r="Q15" s="59">
        <v>5.3917</v>
      </c>
      <c r="R15" s="59">
        <v>5.3835</v>
      </c>
      <c r="S15" s="59">
        <v>5.3908</v>
      </c>
      <c r="T15" s="59">
        <v>5.3864</v>
      </c>
      <c r="U15" s="59">
        <v>5.3951</v>
      </c>
      <c r="V15" s="59">
        <v>5.3909</v>
      </c>
      <c r="W15" s="59"/>
      <c r="X15" s="59"/>
      <c r="Y15" s="59"/>
      <c r="Z15" s="60" t="str">
        <f t="shared" ref="Z15:AO15" si="9">IF(J15="","",IF(J15&gt;($D15+$E15),(J15-$D15-$E15),IF(J15&lt;($D15+$F15),(J15-$D15-$F15),"√")))</f>
        <v>√</v>
      </c>
      <c r="AA15" s="60" t="str">
        <f t="shared" si="9"/>
        <v>√</v>
      </c>
      <c r="AB15" s="60" t="str">
        <f t="shared" si="9"/>
        <v>√</v>
      </c>
      <c r="AC15" s="60" t="str">
        <f t="shared" si="9"/>
        <v>√</v>
      </c>
      <c r="AD15" s="60" t="str">
        <f t="shared" si="9"/>
        <v>√</v>
      </c>
      <c r="AE15" s="60" t="str">
        <f t="shared" si="9"/>
        <v>√</v>
      </c>
      <c r="AF15" s="60" t="str">
        <f t="shared" si="9"/>
        <v>√</v>
      </c>
      <c r="AG15" s="60" t="str">
        <f t="shared" si="9"/>
        <v>√</v>
      </c>
      <c r="AH15" s="60" t="str">
        <f t="shared" si="9"/>
        <v>√</v>
      </c>
      <c r="AI15" s="60" t="str">
        <f t="shared" si="9"/>
        <v>√</v>
      </c>
      <c r="AJ15" s="60" t="str">
        <f t="shared" si="9"/>
        <v>√</v>
      </c>
      <c r="AK15" s="60" t="str">
        <f t="shared" si="9"/>
        <v>√</v>
      </c>
      <c r="AL15" s="60" t="str">
        <f t="shared" si="9"/>
        <v>√</v>
      </c>
      <c r="AM15" s="60" t="str">
        <f t="shared" si="9"/>
        <v/>
      </c>
      <c r="AN15" s="60" t="str">
        <f t="shared" si="9"/>
        <v/>
      </c>
      <c r="AO15" s="60" t="str">
        <f t="shared" si="9"/>
        <v/>
      </c>
    </row>
    <row r="16" ht="15" customHeight="1" spans="1:41">
      <c r="A16" s="54"/>
      <c r="B16" s="55" t="s">
        <v>42</v>
      </c>
      <c r="C16" s="56"/>
      <c r="D16" s="57">
        <v>1.09</v>
      </c>
      <c r="E16" s="57">
        <v>0.03</v>
      </c>
      <c r="F16" s="57">
        <v>-0.03</v>
      </c>
      <c r="G16" s="58">
        <f t="shared" ref="G16:G24" si="10">D16+E16</f>
        <v>1.12</v>
      </c>
      <c r="H16" s="58">
        <f t="shared" ref="H16:H24" si="11">D16+F16</f>
        <v>1.06</v>
      </c>
      <c r="I16" s="57" t="s">
        <v>37</v>
      </c>
      <c r="J16" s="59">
        <v>1.0869</v>
      </c>
      <c r="K16" s="59">
        <v>1.0965</v>
      </c>
      <c r="L16" s="59">
        <v>1.0998</v>
      </c>
      <c r="M16" s="59">
        <v>1.092</v>
      </c>
      <c r="N16" s="59">
        <v>1.0907</v>
      </c>
      <c r="O16" s="59">
        <v>1.0893</v>
      </c>
      <c r="P16" s="59">
        <v>1.0828</v>
      </c>
      <c r="Q16" s="59">
        <v>1.081</v>
      </c>
      <c r="R16" s="59">
        <v>1.0938</v>
      </c>
      <c r="S16" s="59">
        <v>1.0958</v>
      </c>
      <c r="T16" s="59">
        <v>1.1058</v>
      </c>
      <c r="U16" s="59">
        <v>1.1035</v>
      </c>
      <c r="V16" s="59">
        <v>1.0962</v>
      </c>
      <c r="W16" s="59"/>
      <c r="X16" s="59"/>
      <c r="Y16" s="59"/>
      <c r="Z16" s="60" t="str">
        <f t="shared" ref="Z16:AO16" si="12">IF(J16="","",IF(J16&gt;($D16+$E16),(J16-$D16-$E16),IF(J16&lt;($D16+$F16),(J16-$D16-$F16),"√")))</f>
        <v>√</v>
      </c>
      <c r="AA16" s="60" t="str">
        <f t="shared" si="12"/>
        <v>√</v>
      </c>
      <c r="AB16" s="60" t="str">
        <f t="shared" si="12"/>
        <v>√</v>
      </c>
      <c r="AC16" s="60" t="str">
        <f t="shared" si="12"/>
        <v>√</v>
      </c>
      <c r="AD16" s="60" t="str">
        <f t="shared" si="12"/>
        <v>√</v>
      </c>
      <c r="AE16" s="60" t="str">
        <f t="shared" si="12"/>
        <v>√</v>
      </c>
      <c r="AF16" s="60" t="str">
        <f t="shared" si="12"/>
        <v>√</v>
      </c>
      <c r="AG16" s="60" t="str">
        <f t="shared" si="12"/>
        <v>√</v>
      </c>
      <c r="AH16" s="60" t="str">
        <f t="shared" si="12"/>
        <v>√</v>
      </c>
      <c r="AI16" s="60" t="str">
        <f t="shared" si="12"/>
        <v>√</v>
      </c>
      <c r="AJ16" s="60" t="str">
        <f t="shared" si="12"/>
        <v>√</v>
      </c>
      <c r="AK16" s="60" t="str">
        <f t="shared" si="12"/>
        <v>√</v>
      </c>
      <c r="AL16" s="60" t="str">
        <f t="shared" si="12"/>
        <v>√</v>
      </c>
      <c r="AM16" s="60" t="str">
        <f t="shared" si="12"/>
        <v/>
      </c>
      <c r="AN16" s="60" t="str">
        <f t="shared" si="12"/>
        <v/>
      </c>
      <c r="AO16" s="60" t="str">
        <f t="shared" si="12"/>
        <v/>
      </c>
    </row>
    <row r="17" ht="15" customHeight="1" spans="1:41">
      <c r="A17" s="54"/>
      <c r="B17" s="55" t="s">
        <v>43</v>
      </c>
      <c r="C17" s="56"/>
      <c r="D17" s="57">
        <v>1.09</v>
      </c>
      <c r="E17" s="57">
        <v>0.03</v>
      </c>
      <c r="F17" s="57">
        <v>-0.03</v>
      </c>
      <c r="G17" s="58">
        <f t="shared" si="10"/>
        <v>1.12</v>
      </c>
      <c r="H17" s="58">
        <f t="shared" si="11"/>
        <v>1.06</v>
      </c>
      <c r="I17" s="57" t="s">
        <v>37</v>
      </c>
      <c r="J17" s="59">
        <v>1.0883</v>
      </c>
      <c r="K17" s="59">
        <v>1.0956</v>
      </c>
      <c r="L17" s="59">
        <v>1.1014</v>
      </c>
      <c r="M17" s="59">
        <v>1.0945</v>
      </c>
      <c r="N17" s="59">
        <v>1.0872</v>
      </c>
      <c r="O17" s="59">
        <v>1.0872</v>
      </c>
      <c r="P17" s="59">
        <v>1.082</v>
      </c>
      <c r="Q17" s="59">
        <v>1.0837</v>
      </c>
      <c r="R17" s="59">
        <v>1.0956</v>
      </c>
      <c r="S17" s="59">
        <v>1.0943</v>
      </c>
      <c r="T17" s="59">
        <v>1.1047</v>
      </c>
      <c r="U17" s="59">
        <v>1.1025</v>
      </c>
      <c r="V17" s="59">
        <v>1.0945</v>
      </c>
      <c r="W17" s="59"/>
      <c r="X17" s="59"/>
      <c r="Y17" s="59"/>
      <c r="Z17" s="60" t="str">
        <f t="shared" ref="Z17:AO17" si="13">IF(J17="","",IF(J17&gt;($D17+$E17),(J17-$D17-$E17),IF(J17&lt;($D17+$F17),(J17-$D17-$F17),"√")))</f>
        <v>√</v>
      </c>
      <c r="AA17" s="60" t="str">
        <f t="shared" si="13"/>
        <v>√</v>
      </c>
      <c r="AB17" s="60" t="str">
        <f t="shared" si="13"/>
        <v>√</v>
      </c>
      <c r="AC17" s="60" t="str">
        <f t="shared" si="13"/>
        <v>√</v>
      </c>
      <c r="AD17" s="60" t="str">
        <f t="shared" si="13"/>
        <v>√</v>
      </c>
      <c r="AE17" s="60" t="str">
        <f t="shared" si="13"/>
        <v>√</v>
      </c>
      <c r="AF17" s="60" t="str">
        <f t="shared" si="13"/>
        <v>√</v>
      </c>
      <c r="AG17" s="60" t="str">
        <f t="shared" si="13"/>
        <v>√</v>
      </c>
      <c r="AH17" s="60" t="str">
        <f t="shared" si="13"/>
        <v>√</v>
      </c>
      <c r="AI17" s="60" t="str">
        <f t="shared" si="13"/>
        <v>√</v>
      </c>
      <c r="AJ17" s="60" t="str">
        <f t="shared" si="13"/>
        <v>√</v>
      </c>
      <c r="AK17" s="60" t="str">
        <f t="shared" si="13"/>
        <v>√</v>
      </c>
      <c r="AL17" s="60" t="str">
        <f t="shared" si="13"/>
        <v>√</v>
      </c>
      <c r="AM17" s="60" t="str">
        <f t="shared" si="13"/>
        <v/>
      </c>
      <c r="AN17" s="60" t="str">
        <f t="shared" si="13"/>
        <v/>
      </c>
      <c r="AO17" s="60" t="str">
        <f t="shared" si="13"/>
        <v/>
      </c>
    </row>
    <row r="18" ht="15" customHeight="1" spans="1:41">
      <c r="A18" s="54"/>
      <c r="B18" s="55" t="s">
        <v>44</v>
      </c>
      <c r="C18" s="56"/>
      <c r="D18" s="57">
        <v>0.69</v>
      </c>
      <c r="E18" s="57">
        <v>0.03</v>
      </c>
      <c r="F18" s="57">
        <v>-0.03</v>
      </c>
      <c r="G18" s="58">
        <f t="shared" si="10"/>
        <v>0.72</v>
      </c>
      <c r="H18" s="58">
        <f t="shared" si="11"/>
        <v>0.66</v>
      </c>
      <c r="I18" s="57" t="s">
        <v>37</v>
      </c>
      <c r="J18" s="59">
        <v>0.6873</v>
      </c>
      <c r="K18" s="59">
        <v>0.6852</v>
      </c>
      <c r="L18" s="59">
        <v>0.6805</v>
      </c>
      <c r="M18" s="59">
        <v>0.6831</v>
      </c>
      <c r="N18" s="59">
        <v>0.6822</v>
      </c>
      <c r="O18" s="59">
        <v>0.6827</v>
      </c>
      <c r="P18" s="59">
        <v>0.6838</v>
      </c>
      <c r="Q18" s="59">
        <v>0.684</v>
      </c>
      <c r="R18" s="59">
        <v>0.688</v>
      </c>
      <c r="S18" s="59">
        <v>0.6823</v>
      </c>
      <c r="T18" s="59">
        <v>0.6833</v>
      </c>
      <c r="U18" s="59">
        <v>0.6853</v>
      </c>
      <c r="V18" s="59">
        <v>0.6825</v>
      </c>
      <c r="W18" s="59"/>
      <c r="X18" s="59"/>
      <c r="Y18" s="59"/>
      <c r="Z18" s="60" t="str">
        <f t="shared" ref="Z18:AO18" si="14">IF(J18="","",IF(J18&gt;($D18+$E18),(J18-$D18-$E18),IF(J18&lt;($D18+$F18),(J18-$D18-$F18),"√")))</f>
        <v>√</v>
      </c>
      <c r="AA18" s="60" t="str">
        <f t="shared" si="14"/>
        <v>√</v>
      </c>
      <c r="AB18" s="60" t="str">
        <f t="shared" si="14"/>
        <v>√</v>
      </c>
      <c r="AC18" s="60" t="str">
        <f t="shared" si="14"/>
        <v>√</v>
      </c>
      <c r="AD18" s="60" t="str">
        <f t="shared" si="14"/>
        <v>√</v>
      </c>
      <c r="AE18" s="60" t="str">
        <f t="shared" si="14"/>
        <v>√</v>
      </c>
      <c r="AF18" s="60" t="str">
        <f t="shared" si="14"/>
        <v>√</v>
      </c>
      <c r="AG18" s="60" t="str">
        <f t="shared" si="14"/>
        <v>√</v>
      </c>
      <c r="AH18" s="60" t="str">
        <f t="shared" si="14"/>
        <v>√</v>
      </c>
      <c r="AI18" s="60" t="str">
        <f t="shared" si="14"/>
        <v>√</v>
      </c>
      <c r="AJ18" s="60" t="str">
        <f t="shared" si="14"/>
        <v>√</v>
      </c>
      <c r="AK18" s="60" t="str">
        <f t="shared" si="14"/>
        <v>√</v>
      </c>
      <c r="AL18" s="60" t="str">
        <f t="shared" si="14"/>
        <v>√</v>
      </c>
      <c r="AM18" s="60" t="str">
        <f t="shared" si="14"/>
        <v/>
      </c>
      <c r="AN18" s="60" t="str">
        <f t="shared" si="14"/>
        <v/>
      </c>
      <c r="AO18" s="60" t="str">
        <f t="shared" si="14"/>
        <v/>
      </c>
    </row>
    <row r="19" ht="15" customHeight="1" spans="1:41">
      <c r="A19" s="54"/>
      <c r="B19" s="55" t="s">
        <v>45</v>
      </c>
      <c r="C19" s="56"/>
      <c r="D19" s="57">
        <v>0.69</v>
      </c>
      <c r="E19" s="57">
        <v>0.03</v>
      </c>
      <c r="F19" s="57">
        <v>-0.03</v>
      </c>
      <c r="G19" s="58">
        <f t="shared" si="10"/>
        <v>0.72</v>
      </c>
      <c r="H19" s="58">
        <f t="shared" si="11"/>
        <v>0.66</v>
      </c>
      <c r="I19" s="57" t="s">
        <v>37</v>
      </c>
      <c r="J19" s="59">
        <v>0.686</v>
      </c>
      <c r="K19" s="59">
        <v>0.6836</v>
      </c>
      <c r="L19" s="59">
        <v>0.6821</v>
      </c>
      <c r="M19" s="59">
        <v>0.6829</v>
      </c>
      <c r="N19" s="59">
        <v>0.6813</v>
      </c>
      <c r="O19" s="59">
        <v>0.683</v>
      </c>
      <c r="P19" s="59">
        <v>0.6825</v>
      </c>
      <c r="Q19" s="59">
        <v>0.6816</v>
      </c>
      <c r="R19" s="59">
        <v>0.6892</v>
      </c>
      <c r="S19" s="59">
        <v>0.683</v>
      </c>
      <c r="T19" s="59">
        <v>0.6841</v>
      </c>
      <c r="U19" s="59">
        <v>0.6836</v>
      </c>
      <c r="V19" s="59">
        <v>0.6827</v>
      </c>
      <c r="W19" s="59"/>
      <c r="X19" s="59"/>
      <c r="Y19" s="59"/>
      <c r="Z19" s="60" t="str">
        <f t="shared" ref="Z19:AO19" si="15">IF(J19="","",IF(J19&gt;($D19+$E19),(J19-$D19-$E19),IF(J19&lt;($D19+$F19),(J19-$D19-$F19),"√")))</f>
        <v>√</v>
      </c>
      <c r="AA19" s="60" t="str">
        <f t="shared" si="15"/>
        <v>√</v>
      </c>
      <c r="AB19" s="60" t="str">
        <f t="shared" si="15"/>
        <v>√</v>
      </c>
      <c r="AC19" s="60" t="str">
        <f t="shared" si="15"/>
        <v>√</v>
      </c>
      <c r="AD19" s="60" t="str">
        <f t="shared" si="15"/>
        <v>√</v>
      </c>
      <c r="AE19" s="60" t="str">
        <f t="shared" si="15"/>
        <v>√</v>
      </c>
      <c r="AF19" s="60" t="str">
        <f t="shared" si="15"/>
        <v>√</v>
      </c>
      <c r="AG19" s="60" t="str">
        <f t="shared" si="15"/>
        <v>√</v>
      </c>
      <c r="AH19" s="60" t="str">
        <f t="shared" si="15"/>
        <v>√</v>
      </c>
      <c r="AI19" s="60" t="str">
        <f t="shared" si="15"/>
        <v>√</v>
      </c>
      <c r="AJ19" s="60" t="str">
        <f t="shared" si="15"/>
        <v>√</v>
      </c>
      <c r="AK19" s="60" t="str">
        <f t="shared" si="15"/>
        <v>√</v>
      </c>
      <c r="AL19" s="60" t="str">
        <f t="shared" si="15"/>
        <v>√</v>
      </c>
      <c r="AM19" s="60" t="str">
        <f t="shared" si="15"/>
        <v/>
      </c>
      <c r="AN19" s="60" t="str">
        <f t="shared" si="15"/>
        <v/>
      </c>
      <c r="AO19" s="60" t="str">
        <f t="shared" si="15"/>
        <v/>
      </c>
    </row>
    <row r="20" ht="15" customHeight="1" spans="1:41">
      <c r="A20" s="54"/>
      <c r="B20" s="55" t="s">
        <v>46</v>
      </c>
      <c r="C20" s="56"/>
      <c r="D20" s="57">
        <v>0.965</v>
      </c>
      <c r="E20" s="57">
        <v>0.01</v>
      </c>
      <c r="F20" s="57">
        <v>-0.01</v>
      </c>
      <c r="G20" s="58">
        <f t="shared" si="10"/>
        <v>0.975</v>
      </c>
      <c r="H20" s="58">
        <f t="shared" si="11"/>
        <v>0.955</v>
      </c>
      <c r="I20" s="57" t="s">
        <v>37</v>
      </c>
      <c r="J20" s="59">
        <v>0.9694</v>
      </c>
      <c r="K20" s="59">
        <v>0.9646</v>
      </c>
      <c r="L20" s="59">
        <v>0.9627</v>
      </c>
      <c r="M20" s="59">
        <v>0.9652</v>
      </c>
      <c r="N20" s="59">
        <v>0.9623</v>
      </c>
      <c r="O20" s="59">
        <v>0.9655</v>
      </c>
      <c r="P20" s="59">
        <v>0.9702</v>
      </c>
      <c r="Q20" s="59">
        <v>0.9679</v>
      </c>
      <c r="R20" s="59">
        <v>0.9632</v>
      </c>
      <c r="S20" s="59">
        <v>0.9663</v>
      </c>
      <c r="T20" s="59">
        <v>0.9644</v>
      </c>
      <c r="U20" s="59">
        <v>0.9678</v>
      </c>
      <c r="V20" s="59">
        <v>0.9665</v>
      </c>
      <c r="W20" s="59"/>
      <c r="X20" s="59"/>
      <c r="Y20" s="59"/>
      <c r="Z20" s="60" t="str">
        <f t="shared" ref="Z20:AO20" si="16">IF(J20="","",IF(J20&gt;($D20+$E20),(J20-$D20-$E20),IF(J20&lt;($D20+$F20),(J20-$D20-$F20),"√")))</f>
        <v>√</v>
      </c>
      <c r="AA20" s="60" t="str">
        <f t="shared" si="16"/>
        <v>√</v>
      </c>
      <c r="AB20" s="60" t="str">
        <f t="shared" si="16"/>
        <v>√</v>
      </c>
      <c r="AC20" s="60" t="str">
        <f t="shared" si="16"/>
        <v>√</v>
      </c>
      <c r="AD20" s="60" t="str">
        <f t="shared" si="16"/>
        <v>√</v>
      </c>
      <c r="AE20" s="60" t="str">
        <f t="shared" si="16"/>
        <v>√</v>
      </c>
      <c r="AF20" s="60" t="str">
        <f t="shared" si="16"/>
        <v>√</v>
      </c>
      <c r="AG20" s="60" t="str">
        <f t="shared" si="16"/>
        <v>√</v>
      </c>
      <c r="AH20" s="60" t="str">
        <f t="shared" si="16"/>
        <v>√</v>
      </c>
      <c r="AI20" s="60" t="str">
        <f t="shared" si="16"/>
        <v>√</v>
      </c>
      <c r="AJ20" s="60" t="str">
        <f t="shared" si="16"/>
        <v>√</v>
      </c>
      <c r="AK20" s="60" t="str">
        <f t="shared" si="16"/>
        <v>√</v>
      </c>
      <c r="AL20" s="60" t="str">
        <f t="shared" si="16"/>
        <v>√</v>
      </c>
      <c r="AM20" s="60" t="str">
        <f t="shared" si="16"/>
        <v/>
      </c>
      <c r="AN20" s="60" t="str">
        <f t="shared" si="16"/>
        <v/>
      </c>
      <c r="AO20" s="60" t="str">
        <f t="shared" si="16"/>
        <v/>
      </c>
    </row>
    <row r="21" ht="15" customHeight="1" spans="1:41">
      <c r="A21" s="54"/>
      <c r="B21" s="55" t="s">
        <v>47</v>
      </c>
      <c r="C21" s="56"/>
      <c r="D21" s="57">
        <v>0.965</v>
      </c>
      <c r="E21" s="57">
        <v>0.01</v>
      </c>
      <c r="F21" s="57">
        <v>-0.01</v>
      </c>
      <c r="G21" s="58">
        <f t="shared" si="10"/>
        <v>0.975</v>
      </c>
      <c r="H21" s="58">
        <f t="shared" si="11"/>
        <v>0.955</v>
      </c>
      <c r="I21" s="57" t="s">
        <v>37</v>
      </c>
      <c r="J21" s="59">
        <v>0.9638</v>
      </c>
      <c r="K21" s="59">
        <v>0.965</v>
      </c>
      <c r="L21" s="59">
        <v>0.9607</v>
      </c>
      <c r="M21" s="59">
        <v>0.9654</v>
      </c>
      <c r="N21" s="59">
        <v>0.9612</v>
      </c>
      <c r="O21" s="59">
        <v>0.9648</v>
      </c>
      <c r="P21" s="59">
        <v>0.9643</v>
      </c>
      <c r="Q21" s="59">
        <v>0.9674</v>
      </c>
      <c r="R21" s="59">
        <v>0.9638</v>
      </c>
      <c r="S21" s="59">
        <v>0.9641</v>
      </c>
      <c r="T21" s="59">
        <v>0.9665</v>
      </c>
      <c r="U21" s="59">
        <v>0.9657</v>
      </c>
      <c r="V21" s="59">
        <v>0.9642</v>
      </c>
      <c r="W21" s="59"/>
      <c r="X21" s="59"/>
      <c r="Y21" s="59"/>
      <c r="Z21" s="60" t="str">
        <f t="shared" ref="Z21:AO21" si="17">IF(J21="","",IF(J21&gt;($D21+$E21),(J21-$D21-$E21),IF(J21&lt;($D21+$F21),(J21-$D21-$F21),"√")))</f>
        <v>√</v>
      </c>
      <c r="AA21" s="60" t="str">
        <f t="shared" si="17"/>
        <v>√</v>
      </c>
      <c r="AB21" s="60" t="str">
        <f t="shared" si="17"/>
        <v>√</v>
      </c>
      <c r="AC21" s="60" t="str">
        <f t="shared" si="17"/>
        <v>√</v>
      </c>
      <c r="AD21" s="60" t="str">
        <f t="shared" si="17"/>
        <v>√</v>
      </c>
      <c r="AE21" s="60" t="str">
        <f t="shared" si="17"/>
        <v>√</v>
      </c>
      <c r="AF21" s="60" t="str">
        <f t="shared" si="17"/>
        <v>√</v>
      </c>
      <c r="AG21" s="60" t="str">
        <f t="shared" si="17"/>
        <v>√</v>
      </c>
      <c r="AH21" s="60" t="str">
        <f t="shared" si="17"/>
        <v>√</v>
      </c>
      <c r="AI21" s="60" t="str">
        <f t="shared" si="17"/>
        <v>√</v>
      </c>
      <c r="AJ21" s="60" t="str">
        <f t="shared" si="17"/>
        <v>√</v>
      </c>
      <c r="AK21" s="60" t="str">
        <f t="shared" si="17"/>
        <v>√</v>
      </c>
      <c r="AL21" s="60" t="str">
        <f t="shared" si="17"/>
        <v>√</v>
      </c>
      <c r="AM21" s="60" t="str">
        <f t="shared" si="17"/>
        <v/>
      </c>
      <c r="AN21" s="60" t="str">
        <f t="shared" si="17"/>
        <v/>
      </c>
      <c r="AO21" s="60" t="str">
        <f t="shared" si="17"/>
        <v/>
      </c>
    </row>
    <row r="22" ht="15" customHeight="1" spans="1:41">
      <c r="A22" s="54"/>
      <c r="B22" s="55" t="s">
        <v>48</v>
      </c>
      <c r="C22" s="56" t="s">
        <v>49</v>
      </c>
      <c r="D22" s="57">
        <v>0.945</v>
      </c>
      <c r="E22" s="57">
        <v>0.015</v>
      </c>
      <c r="F22" s="57">
        <v>-0.015</v>
      </c>
      <c r="G22" s="58">
        <f t="shared" si="10"/>
        <v>0.96</v>
      </c>
      <c r="H22" s="58">
        <f t="shared" si="11"/>
        <v>0.93</v>
      </c>
      <c r="I22" s="57" t="s">
        <v>37</v>
      </c>
      <c r="J22" s="59">
        <v>0.9519</v>
      </c>
      <c r="K22" s="59">
        <v>0.9519</v>
      </c>
      <c r="L22" s="59">
        <v>0.9522</v>
      </c>
      <c r="M22" s="59">
        <v>0.949</v>
      </c>
      <c r="N22" s="59">
        <v>0.9522</v>
      </c>
      <c r="O22" s="59">
        <v>0.954</v>
      </c>
      <c r="P22" s="59">
        <v>0.9494</v>
      </c>
      <c r="Q22" s="59">
        <v>0.9505</v>
      </c>
      <c r="R22" s="59">
        <v>0.9537</v>
      </c>
      <c r="S22" s="59">
        <v>0.9518</v>
      </c>
      <c r="T22" s="59">
        <v>0.9533</v>
      </c>
      <c r="U22" s="59">
        <v>0.9561</v>
      </c>
      <c r="V22" s="59">
        <v>0.952</v>
      </c>
      <c r="W22" s="59"/>
      <c r="X22" s="59"/>
      <c r="Y22" s="59"/>
      <c r="Z22" s="60" t="str">
        <f t="shared" ref="Z22:AO22" si="18">IF(J22="","",IF(J22&gt;($D22+$E22),(J22-$D22-$E22),IF(J22&lt;($D22+$F22),(J22-$D22-$F22),"√")))</f>
        <v>√</v>
      </c>
      <c r="AA22" s="60" t="str">
        <f t="shared" si="18"/>
        <v>√</v>
      </c>
      <c r="AB22" s="60" t="str">
        <f t="shared" si="18"/>
        <v>√</v>
      </c>
      <c r="AC22" s="60" t="str">
        <f t="shared" si="18"/>
        <v>√</v>
      </c>
      <c r="AD22" s="60" t="str">
        <f t="shared" si="18"/>
        <v>√</v>
      </c>
      <c r="AE22" s="60" t="str">
        <f t="shared" si="18"/>
        <v>√</v>
      </c>
      <c r="AF22" s="60" t="str">
        <f t="shared" si="18"/>
        <v>√</v>
      </c>
      <c r="AG22" s="60" t="str">
        <f t="shared" si="18"/>
        <v>√</v>
      </c>
      <c r="AH22" s="60" t="str">
        <f t="shared" si="18"/>
        <v>√</v>
      </c>
      <c r="AI22" s="60" t="str">
        <f t="shared" si="18"/>
        <v>√</v>
      </c>
      <c r="AJ22" s="60" t="str">
        <f t="shared" si="18"/>
        <v>√</v>
      </c>
      <c r="AK22" s="60" t="str">
        <f t="shared" si="18"/>
        <v>√</v>
      </c>
      <c r="AL22" s="60" t="str">
        <f t="shared" si="18"/>
        <v>√</v>
      </c>
      <c r="AM22" s="60" t="str">
        <f t="shared" si="18"/>
        <v/>
      </c>
      <c r="AN22" s="60" t="str">
        <f t="shared" si="18"/>
        <v/>
      </c>
      <c r="AO22" s="60" t="str">
        <f t="shared" si="18"/>
        <v/>
      </c>
    </row>
    <row r="23" ht="15" customHeight="1" spans="1:41">
      <c r="A23" s="54"/>
      <c r="B23" s="55" t="s">
        <v>50</v>
      </c>
      <c r="C23" s="56" t="s">
        <v>51</v>
      </c>
      <c r="D23" s="57">
        <v>0.945</v>
      </c>
      <c r="E23" s="57">
        <v>0.015</v>
      </c>
      <c r="F23" s="57">
        <v>-0.015</v>
      </c>
      <c r="G23" s="58">
        <f t="shared" si="10"/>
        <v>0.96</v>
      </c>
      <c r="H23" s="58">
        <f t="shared" si="11"/>
        <v>0.93</v>
      </c>
      <c r="I23" s="57" t="s">
        <v>37</v>
      </c>
      <c r="J23" s="59">
        <v>0.9465</v>
      </c>
      <c r="K23" s="59">
        <v>0.955</v>
      </c>
      <c r="L23" s="59">
        <v>0.952</v>
      </c>
      <c r="M23" s="59">
        <v>0.9516</v>
      </c>
      <c r="N23" s="59">
        <v>0.9528</v>
      </c>
      <c r="O23" s="59">
        <v>0.954</v>
      </c>
      <c r="P23" s="59">
        <v>0.9523</v>
      </c>
      <c r="Q23" s="59">
        <v>0.9522</v>
      </c>
      <c r="R23" s="59">
        <v>0.9489</v>
      </c>
      <c r="S23" s="59">
        <v>0.9564</v>
      </c>
      <c r="T23" s="59">
        <v>0.9528</v>
      </c>
      <c r="U23" s="59">
        <v>0.9562</v>
      </c>
      <c r="V23" s="59">
        <v>0.9566</v>
      </c>
      <c r="W23" s="59"/>
      <c r="X23" s="59"/>
      <c r="Y23" s="59"/>
      <c r="Z23" s="60" t="str">
        <f t="shared" ref="Z23:AO23" si="19">IF(J23="","",IF(J23&gt;($D23+$E23),(J23-$D23-$E23),IF(J23&lt;($D23+$F23),(J23-$D23-$F23),"√")))</f>
        <v>√</v>
      </c>
      <c r="AA23" s="60" t="str">
        <f t="shared" si="19"/>
        <v>√</v>
      </c>
      <c r="AB23" s="60" t="str">
        <f t="shared" si="19"/>
        <v>√</v>
      </c>
      <c r="AC23" s="60" t="str">
        <f t="shared" si="19"/>
        <v>√</v>
      </c>
      <c r="AD23" s="60" t="str">
        <f t="shared" si="19"/>
        <v>√</v>
      </c>
      <c r="AE23" s="60" t="str">
        <f t="shared" si="19"/>
        <v>√</v>
      </c>
      <c r="AF23" s="60" t="str">
        <f t="shared" si="19"/>
        <v>√</v>
      </c>
      <c r="AG23" s="60" t="str">
        <f t="shared" si="19"/>
        <v>√</v>
      </c>
      <c r="AH23" s="60" t="str">
        <f t="shared" si="19"/>
        <v>√</v>
      </c>
      <c r="AI23" s="60" t="str">
        <f t="shared" si="19"/>
        <v>√</v>
      </c>
      <c r="AJ23" s="60" t="str">
        <f t="shared" si="19"/>
        <v>√</v>
      </c>
      <c r="AK23" s="60" t="str">
        <f t="shared" si="19"/>
        <v>√</v>
      </c>
      <c r="AL23" s="60" t="str">
        <f t="shared" si="19"/>
        <v>√</v>
      </c>
      <c r="AM23" s="60" t="str">
        <f t="shared" si="19"/>
        <v/>
      </c>
      <c r="AN23" s="60" t="str">
        <f t="shared" si="19"/>
        <v/>
      </c>
      <c r="AO23" s="60" t="str">
        <f t="shared" si="19"/>
        <v/>
      </c>
    </row>
    <row r="24" ht="15" customHeight="1" spans="1:41">
      <c r="A24" s="54"/>
      <c r="B24" s="55" t="s">
        <v>52</v>
      </c>
      <c r="C24" s="56"/>
      <c r="D24" s="57">
        <v>1.811</v>
      </c>
      <c r="E24" s="57">
        <v>0.01</v>
      </c>
      <c r="F24" s="57">
        <v>-0.01</v>
      </c>
      <c r="G24" s="58">
        <f t="shared" si="10"/>
        <v>1.821</v>
      </c>
      <c r="H24" s="58">
        <f t="shared" si="11"/>
        <v>1.801</v>
      </c>
      <c r="I24" s="57" t="s">
        <v>37</v>
      </c>
      <c r="J24" s="59">
        <v>1.806</v>
      </c>
      <c r="K24" s="59">
        <v>1.8101</v>
      </c>
      <c r="L24" s="59">
        <v>1.8025</v>
      </c>
      <c r="M24" s="59">
        <v>1.807</v>
      </c>
      <c r="N24" s="59">
        <v>1.8035</v>
      </c>
      <c r="O24" s="59">
        <v>1.8056</v>
      </c>
      <c r="P24" s="59">
        <v>1.8089</v>
      </c>
      <c r="Q24" s="59">
        <v>1.8048</v>
      </c>
      <c r="R24" s="59">
        <v>1.8063</v>
      </c>
      <c r="S24" s="59">
        <v>1.8086</v>
      </c>
      <c r="T24" s="59">
        <v>1.8072</v>
      </c>
      <c r="U24" s="59">
        <v>1.8108</v>
      </c>
      <c r="V24" s="59">
        <v>1.8086</v>
      </c>
      <c r="W24" s="59"/>
      <c r="X24" s="59"/>
      <c r="Y24" s="59"/>
      <c r="Z24" s="60" t="str">
        <f t="shared" ref="Z24:AO24" si="20">IF(J24="","",IF(J24&gt;($D24+$E24),(J24-$D24-$E24),IF(J24&lt;($D24+$F24),(J24-$D24-$F24),"√")))</f>
        <v>√</v>
      </c>
      <c r="AA24" s="60" t="str">
        <f t="shared" si="20"/>
        <v>√</v>
      </c>
      <c r="AB24" s="60" t="str">
        <f t="shared" si="20"/>
        <v>√</v>
      </c>
      <c r="AC24" s="60" t="str">
        <f t="shared" si="20"/>
        <v>√</v>
      </c>
      <c r="AD24" s="60" t="str">
        <f t="shared" si="20"/>
        <v>√</v>
      </c>
      <c r="AE24" s="60" t="str">
        <f t="shared" si="20"/>
        <v>√</v>
      </c>
      <c r="AF24" s="60" t="str">
        <f t="shared" si="20"/>
        <v>√</v>
      </c>
      <c r="AG24" s="60" t="str">
        <f t="shared" si="20"/>
        <v>√</v>
      </c>
      <c r="AH24" s="60" t="str">
        <f t="shared" si="20"/>
        <v>√</v>
      </c>
      <c r="AI24" s="60" t="str">
        <f t="shared" si="20"/>
        <v>√</v>
      </c>
      <c r="AJ24" s="60" t="str">
        <f t="shared" si="20"/>
        <v>√</v>
      </c>
      <c r="AK24" s="60" t="str">
        <f t="shared" si="20"/>
        <v>√</v>
      </c>
      <c r="AL24" s="60" t="str">
        <f t="shared" si="20"/>
        <v>√</v>
      </c>
      <c r="AM24" s="60" t="str">
        <f t="shared" si="20"/>
        <v/>
      </c>
      <c r="AN24" s="60" t="str">
        <f t="shared" si="20"/>
        <v/>
      </c>
      <c r="AO24" s="60" t="str">
        <f t="shared" si="20"/>
        <v/>
      </c>
    </row>
    <row r="25" ht="15" customHeight="1" spans="1:41">
      <c r="A25" s="54"/>
      <c r="B25" s="55" t="s">
        <v>53</v>
      </c>
      <c r="C25" s="56"/>
      <c r="D25" s="57"/>
      <c r="E25" s="57"/>
      <c r="F25" s="57"/>
      <c r="G25" s="58"/>
      <c r="H25" s="58"/>
      <c r="I25" s="57" t="s">
        <v>37</v>
      </c>
      <c r="J25" s="59">
        <v>0.0095</v>
      </c>
      <c r="K25" s="59">
        <v>0.0017</v>
      </c>
      <c r="L25" s="59">
        <v>-0.015</v>
      </c>
      <c r="M25" s="59">
        <v>-0.0055</v>
      </c>
      <c r="N25" s="59">
        <v>-0.0074</v>
      </c>
      <c r="O25" s="59">
        <v>-0.0042</v>
      </c>
      <c r="P25" s="59">
        <v>0.005</v>
      </c>
      <c r="Q25" s="59">
        <v>0.0168</v>
      </c>
      <c r="R25" s="59">
        <v>-0.0054</v>
      </c>
      <c r="S25" s="59">
        <v>0.0011</v>
      </c>
      <c r="T25" s="59">
        <v>-0.0018</v>
      </c>
      <c r="U25" s="59">
        <v>-0.0017</v>
      </c>
      <c r="V25" s="59">
        <v>0.0012</v>
      </c>
      <c r="W25" s="59"/>
      <c r="X25" s="59"/>
      <c r="Y25" s="59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ht="15" customHeight="1" spans="1:41">
      <c r="A26" s="54"/>
      <c r="B26" s="55" t="s">
        <v>54</v>
      </c>
      <c r="C26" s="56"/>
      <c r="D26" s="57"/>
      <c r="E26" s="57"/>
      <c r="F26" s="57"/>
      <c r="G26" s="58"/>
      <c r="H26" s="58"/>
      <c r="I26" s="57" t="s">
        <v>37</v>
      </c>
      <c r="J26" s="59">
        <v>-0.024</v>
      </c>
      <c r="K26" s="59">
        <v>-0.0067</v>
      </c>
      <c r="L26" s="59">
        <v>-0.011</v>
      </c>
      <c r="M26" s="59">
        <v>-0.0085</v>
      </c>
      <c r="N26" s="59">
        <v>-0.0075</v>
      </c>
      <c r="O26" s="59">
        <v>-0.0082</v>
      </c>
      <c r="P26" s="59">
        <v>0.0058</v>
      </c>
      <c r="Q26" s="59">
        <v>-0.0076</v>
      </c>
      <c r="R26" s="59">
        <v>-0.0089</v>
      </c>
      <c r="S26" s="59">
        <v>-0.0044</v>
      </c>
      <c r="T26" s="59">
        <v>0.0067</v>
      </c>
      <c r="U26" s="59">
        <v>-0.0071</v>
      </c>
      <c r="V26" s="59">
        <v>-0.0044</v>
      </c>
      <c r="W26" s="59"/>
      <c r="X26" s="59"/>
      <c r="Y26" s="59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ht="15" customHeight="1" spans="1:41">
      <c r="A27" s="54"/>
      <c r="B27" s="55" t="s">
        <v>55</v>
      </c>
      <c r="C27" s="56" t="s">
        <v>56</v>
      </c>
      <c r="D27" s="57">
        <v>0</v>
      </c>
      <c r="E27" s="57">
        <v>0.1</v>
      </c>
      <c r="F27" s="57">
        <v>0</v>
      </c>
      <c r="G27" s="58">
        <f>D27+E27</f>
        <v>0.1</v>
      </c>
      <c r="H27" s="58">
        <f>D27+F27</f>
        <v>0</v>
      </c>
      <c r="I27" s="57" t="s">
        <v>37</v>
      </c>
      <c r="J27" s="59">
        <v>0.0516</v>
      </c>
      <c r="K27" s="59">
        <v>0.0138</v>
      </c>
      <c r="L27" s="59">
        <v>0.0371</v>
      </c>
      <c r="M27" s="59">
        <v>0.0202</v>
      </c>
      <c r="N27" s="59">
        <v>0.0211</v>
      </c>
      <c r="O27" s="59">
        <v>0.0183</v>
      </c>
      <c r="P27" s="59">
        <v>0.0152</v>
      </c>
      <c r="Q27" s="59">
        <v>0.0368</v>
      </c>
      <c r="R27" s="59">
        <v>0.0208</v>
      </c>
      <c r="S27" s="59">
        <v>0.009</v>
      </c>
      <c r="T27" s="59">
        <v>0.0139</v>
      </c>
      <c r="U27" s="59">
        <v>0.0146</v>
      </c>
      <c r="V27" s="59">
        <v>0.009</v>
      </c>
      <c r="W27" s="59"/>
      <c r="X27" s="59"/>
      <c r="Y27" s="59"/>
      <c r="Z27" s="60" t="str">
        <f t="shared" ref="Z27:AO27" si="21">IF(J27="","",IF(J27&gt;($D27+$E27),(J27-$D27-$E27),IF(J27&lt;($D27+$F27),(J27-$D27-$F27),"√")))</f>
        <v>√</v>
      </c>
      <c r="AA27" s="60" t="str">
        <f t="shared" si="21"/>
        <v>√</v>
      </c>
      <c r="AB27" s="60" t="str">
        <f t="shared" si="21"/>
        <v>√</v>
      </c>
      <c r="AC27" s="60" t="str">
        <f t="shared" si="21"/>
        <v>√</v>
      </c>
      <c r="AD27" s="60" t="str">
        <f t="shared" si="21"/>
        <v>√</v>
      </c>
      <c r="AE27" s="60" t="str">
        <f t="shared" si="21"/>
        <v>√</v>
      </c>
      <c r="AF27" s="60" t="str">
        <f t="shared" si="21"/>
        <v>√</v>
      </c>
      <c r="AG27" s="60" t="str">
        <f t="shared" si="21"/>
        <v>√</v>
      </c>
      <c r="AH27" s="60" t="str">
        <f t="shared" si="21"/>
        <v>√</v>
      </c>
      <c r="AI27" s="60" t="str">
        <f t="shared" si="21"/>
        <v>√</v>
      </c>
      <c r="AJ27" s="60" t="str">
        <f t="shared" si="21"/>
        <v>√</v>
      </c>
      <c r="AK27" s="60" t="str">
        <f t="shared" si="21"/>
        <v>√</v>
      </c>
      <c r="AL27" s="60" t="str">
        <f t="shared" si="21"/>
        <v>√</v>
      </c>
      <c r="AM27" s="60" t="str">
        <f t="shared" si="21"/>
        <v/>
      </c>
      <c r="AN27" s="60" t="str">
        <f t="shared" si="21"/>
        <v/>
      </c>
      <c r="AO27" s="60" t="str">
        <f t="shared" si="21"/>
        <v/>
      </c>
    </row>
    <row r="28" ht="15" customHeight="1" spans="1:41">
      <c r="A28" s="54"/>
      <c r="B28" s="55" t="s">
        <v>57</v>
      </c>
      <c r="C28" s="56"/>
      <c r="D28" s="57"/>
      <c r="E28" s="57"/>
      <c r="F28" s="57"/>
      <c r="G28" s="58"/>
      <c r="H28" s="58"/>
      <c r="I28" s="57" t="s">
        <v>37</v>
      </c>
      <c r="J28" s="59">
        <v>0.0025</v>
      </c>
      <c r="K28" s="59">
        <v>-0.0034</v>
      </c>
      <c r="L28" s="59">
        <v>-0.0156</v>
      </c>
      <c r="M28" s="59">
        <v>-0.017</v>
      </c>
      <c r="N28" s="59">
        <v>-0.0073</v>
      </c>
      <c r="O28" s="59">
        <v>-0.0068</v>
      </c>
      <c r="P28" s="59">
        <v>-0.0026</v>
      </c>
      <c r="Q28" s="59">
        <v>0.0056</v>
      </c>
      <c r="R28" s="59">
        <v>-0.0106</v>
      </c>
      <c r="S28" s="59">
        <v>-0.0061</v>
      </c>
      <c r="T28" s="59">
        <v>-0.0063</v>
      </c>
      <c r="U28" s="59">
        <v>-0.0085</v>
      </c>
      <c r="V28" s="59">
        <v>-0.006</v>
      </c>
      <c r="W28" s="59"/>
      <c r="X28" s="59"/>
      <c r="Y28" s="59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ht="15" customHeight="1" spans="1:41">
      <c r="A29" s="54"/>
      <c r="B29" s="55" t="s">
        <v>58</v>
      </c>
      <c r="C29" s="56"/>
      <c r="D29" s="57"/>
      <c r="E29" s="57"/>
      <c r="F29" s="57"/>
      <c r="G29" s="58"/>
      <c r="H29" s="58"/>
      <c r="I29" s="57" t="s">
        <v>37</v>
      </c>
      <c r="J29" s="59">
        <v>-0.0243</v>
      </c>
      <c r="K29" s="59">
        <v>-0.008</v>
      </c>
      <c r="L29" s="59">
        <v>-0.0097</v>
      </c>
      <c r="M29" s="59">
        <v>-0.005</v>
      </c>
      <c r="N29" s="59">
        <v>-0.0065</v>
      </c>
      <c r="O29" s="59">
        <v>-0.0068</v>
      </c>
      <c r="P29" s="59">
        <v>0.0064</v>
      </c>
      <c r="Q29" s="59">
        <v>-0.0066</v>
      </c>
      <c r="R29" s="59">
        <v>-0.0094</v>
      </c>
      <c r="S29" s="59">
        <v>-0.0048</v>
      </c>
      <c r="T29" s="59">
        <v>0.0027</v>
      </c>
      <c r="U29" s="59">
        <v>-0.008</v>
      </c>
      <c r="V29" s="59">
        <v>-0.0047</v>
      </c>
      <c r="W29" s="59"/>
      <c r="X29" s="59"/>
      <c r="Y29" s="59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ht="15" customHeight="1" spans="1:41">
      <c r="A30" s="54"/>
      <c r="B30" s="55" t="s">
        <v>59</v>
      </c>
      <c r="C30" s="56" t="s">
        <v>56</v>
      </c>
      <c r="D30" s="57">
        <v>0</v>
      </c>
      <c r="E30" s="57">
        <v>0.1</v>
      </c>
      <c r="F30" s="57">
        <v>0</v>
      </c>
      <c r="G30" s="58">
        <f>D30+E30</f>
        <v>0.1</v>
      </c>
      <c r="H30" s="58">
        <f>D30+F30</f>
        <v>0</v>
      </c>
      <c r="I30" s="57" t="s">
        <v>37</v>
      </c>
      <c r="J30" s="59">
        <v>0.0489</v>
      </c>
      <c r="K30" s="59">
        <v>0.0174</v>
      </c>
      <c r="L30" s="59">
        <v>0.0368</v>
      </c>
      <c r="M30" s="59">
        <v>0.0355</v>
      </c>
      <c r="N30" s="59">
        <v>0.0196</v>
      </c>
      <c r="O30" s="59">
        <v>0.0192</v>
      </c>
      <c r="P30" s="59">
        <v>0.0138</v>
      </c>
      <c r="Q30" s="59">
        <v>0.0173</v>
      </c>
      <c r="R30" s="59">
        <v>0.0284</v>
      </c>
      <c r="S30" s="59">
        <v>0.0156</v>
      </c>
      <c r="T30" s="59">
        <v>0.0137</v>
      </c>
      <c r="U30" s="59">
        <v>0.0234</v>
      </c>
      <c r="V30" s="59">
        <v>0.0153</v>
      </c>
      <c r="W30" s="59"/>
      <c r="X30" s="59"/>
      <c r="Y30" s="59"/>
      <c r="Z30" s="60" t="str">
        <f t="shared" ref="Z30:AO30" si="22">IF(J30="","",IF(J30&gt;($D30+$E30),(J30-$D30-$E30),IF(J30&lt;($D30+$F30),(J30-$D30-$F30),"√")))</f>
        <v>√</v>
      </c>
      <c r="AA30" s="60" t="str">
        <f t="shared" si="22"/>
        <v>√</v>
      </c>
      <c r="AB30" s="60" t="str">
        <f t="shared" si="22"/>
        <v>√</v>
      </c>
      <c r="AC30" s="60" t="str">
        <f t="shared" si="22"/>
        <v>√</v>
      </c>
      <c r="AD30" s="60" t="str">
        <f t="shared" si="22"/>
        <v>√</v>
      </c>
      <c r="AE30" s="60" t="str">
        <f t="shared" si="22"/>
        <v>√</v>
      </c>
      <c r="AF30" s="60" t="str">
        <f t="shared" si="22"/>
        <v>√</v>
      </c>
      <c r="AG30" s="60" t="str">
        <f t="shared" si="22"/>
        <v>√</v>
      </c>
      <c r="AH30" s="60" t="str">
        <f t="shared" si="22"/>
        <v>√</v>
      </c>
      <c r="AI30" s="60" t="str">
        <f t="shared" si="22"/>
        <v>√</v>
      </c>
      <c r="AJ30" s="60" t="str">
        <f t="shared" si="22"/>
        <v>√</v>
      </c>
      <c r="AK30" s="60" t="str">
        <f t="shared" si="22"/>
        <v>√</v>
      </c>
      <c r="AL30" s="60" t="str">
        <f t="shared" si="22"/>
        <v>√</v>
      </c>
      <c r="AM30" s="60" t="str">
        <f t="shared" si="22"/>
        <v/>
      </c>
      <c r="AN30" s="60" t="str">
        <f t="shared" si="22"/>
        <v/>
      </c>
      <c r="AO30" s="60" t="str">
        <f t="shared" si="22"/>
        <v/>
      </c>
    </row>
    <row r="31" ht="15" customHeight="1" spans="1:41">
      <c r="A31" s="54"/>
      <c r="B31" s="55" t="s">
        <v>60</v>
      </c>
      <c r="C31" s="56"/>
      <c r="D31" s="57"/>
      <c r="E31" s="57"/>
      <c r="F31" s="57"/>
      <c r="G31" s="58"/>
      <c r="H31" s="58"/>
      <c r="I31" s="57" t="s">
        <v>37</v>
      </c>
      <c r="J31" s="59">
        <v>0.0033</v>
      </c>
      <c r="K31" s="59">
        <v>-0.0035</v>
      </c>
      <c r="L31" s="59">
        <v>-0.0075</v>
      </c>
      <c r="M31" s="59">
        <v>-0.004</v>
      </c>
      <c r="N31" s="59">
        <v>-0.0078</v>
      </c>
      <c r="O31" s="59">
        <v>-0.0058</v>
      </c>
      <c r="P31" s="59">
        <v>-0.0007</v>
      </c>
      <c r="Q31" s="59">
        <v>0.0027</v>
      </c>
      <c r="R31" s="59">
        <v>-0.0042</v>
      </c>
      <c r="S31" s="59">
        <v>0.0013</v>
      </c>
      <c r="T31" s="59">
        <v>-0.0052</v>
      </c>
      <c r="U31" s="59">
        <v>-0.0006</v>
      </c>
      <c r="V31" s="59">
        <v>0.0016</v>
      </c>
      <c r="W31" s="59"/>
      <c r="X31" s="59"/>
      <c r="Y31" s="59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ht="15" customHeight="1" spans="1:41">
      <c r="A32" s="54"/>
      <c r="B32" s="55" t="s">
        <v>61</v>
      </c>
      <c r="C32" s="56"/>
      <c r="D32" s="57"/>
      <c r="E32" s="57"/>
      <c r="F32" s="57"/>
      <c r="G32" s="58"/>
      <c r="H32" s="58"/>
      <c r="I32" s="57" t="s">
        <v>37</v>
      </c>
      <c r="J32" s="59">
        <v>-0.0085</v>
      </c>
      <c r="K32" s="59">
        <v>-0.0046</v>
      </c>
      <c r="L32" s="59">
        <v>-0.0084</v>
      </c>
      <c r="M32" s="59">
        <v>-0.0013</v>
      </c>
      <c r="N32" s="59">
        <v>-0.0038</v>
      </c>
      <c r="O32" s="59">
        <v>-0.0046</v>
      </c>
      <c r="P32" s="59">
        <v>-0.0014</v>
      </c>
      <c r="Q32" s="59">
        <v>-0.0037</v>
      </c>
      <c r="R32" s="59">
        <v>-0.0086</v>
      </c>
      <c r="S32" s="59">
        <v>-0.0052</v>
      </c>
      <c r="T32" s="59">
        <v>-0.0061</v>
      </c>
      <c r="U32" s="59">
        <v>-0.0089</v>
      </c>
      <c r="V32" s="59">
        <v>-0.0044</v>
      </c>
      <c r="W32" s="59"/>
      <c r="X32" s="59"/>
      <c r="Y32" s="59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ht="15" customHeight="1" spans="1:41">
      <c r="A33" s="54"/>
      <c r="B33" s="55" t="s">
        <v>62</v>
      </c>
      <c r="C33" s="56" t="s">
        <v>63</v>
      </c>
      <c r="D33" s="57">
        <v>0</v>
      </c>
      <c r="E33" s="57">
        <v>0.05</v>
      </c>
      <c r="F33" s="57">
        <v>0</v>
      </c>
      <c r="G33" s="58">
        <f t="shared" ref="G33:G37" si="23">D33+E33</f>
        <v>0.05</v>
      </c>
      <c r="H33" s="58">
        <f t="shared" ref="H33:H37" si="24">D33+F33</f>
        <v>0</v>
      </c>
      <c r="I33" s="57" t="s">
        <v>37</v>
      </c>
      <c r="J33" s="59">
        <v>0.0182</v>
      </c>
      <c r="K33" s="59">
        <v>0.0116</v>
      </c>
      <c r="L33" s="59">
        <v>0.0225</v>
      </c>
      <c r="M33" s="59">
        <v>0.0084</v>
      </c>
      <c r="N33" s="59">
        <v>0.0174</v>
      </c>
      <c r="O33" s="59">
        <v>0.0149</v>
      </c>
      <c r="P33" s="59">
        <v>0.0032</v>
      </c>
      <c r="Q33" s="59">
        <v>0.0093</v>
      </c>
      <c r="R33" s="59">
        <v>0.0191</v>
      </c>
      <c r="S33" s="59">
        <v>0.0107</v>
      </c>
      <c r="T33" s="59">
        <v>0.016</v>
      </c>
      <c r="U33" s="59">
        <v>0.0179</v>
      </c>
      <c r="V33" s="59">
        <v>0.0093</v>
      </c>
      <c r="W33" s="59"/>
      <c r="X33" s="59"/>
      <c r="Y33" s="59"/>
      <c r="Z33" s="60" t="str">
        <f t="shared" ref="Z33:AO33" si="25">IF(J33="","",IF(J33&gt;($D33+$E33),(J33-$D33-$E33),IF(J33&lt;($D33+$F33),(J33-$D33-$F33),"√")))</f>
        <v>√</v>
      </c>
      <c r="AA33" s="60" t="str">
        <f t="shared" si="25"/>
        <v>√</v>
      </c>
      <c r="AB33" s="60" t="str">
        <f t="shared" si="25"/>
        <v>√</v>
      </c>
      <c r="AC33" s="60" t="str">
        <f t="shared" si="25"/>
        <v>√</v>
      </c>
      <c r="AD33" s="60" t="str">
        <f t="shared" si="25"/>
        <v>√</v>
      </c>
      <c r="AE33" s="60" t="str">
        <f t="shared" si="25"/>
        <v>√</v>
      </c>
      <c r="AF33" s="60" t="str">
        <f t="shared" si="25"/>
        <v>√</v>
      </c>
      <c r="AG33" s="60" t="str">
        <f t="shared" si="25"/>
        <v>√</v>
      </c>
      <c r="AH33" s="60" t="str">
        <f t="shared" si="25"/>
        <v>√</v>
      </c>
      <c r="AI33" s="60" t="str">
        <f t="shared" si="25"/>
        <v>√</v>
      </c>
      <c r="AJ33" s="60" t="str">
        <f t="shared" si="25"/>
        <v>√</v>
      </c>
      <c r="AK33" s="60" t="str">
        <f t="shared" si="25"/>
        <v>√</v>
      </c>
      <c r="AL33" s="60" t="str">
        <f t="shared" si="25"/>
        <v>√</v>
      </c>
      <c r="AM33" s="60" t="str">
        <f t="shared" si="25"/>
        <v/>
      </c>
      <c r="AN33" s="60" t="str">
        <f t="shared" si="25"/>
        <v/>
      </c>
      <c r="AO33" s="60" t="str">
        <f t="shared" si="25"/>
        <v/>
      </c>
    </row>
    <row r="34" ht="15" customHeight="1" spans="1:41">
      <c r="A34" s="54"/>
      <c r="B34" s="55" t="s">
        <v>64</v>
      </c>
      <c r="C34" s="56"/>
      <c r="D34" s="57"/>
      <c r="E34" s="57"/>
      <c r="F34" s="57"/>
      <c r="G34" s="58"/>
      <c r="H34" s="58"/>
      <c r="I34" s="57" t="s">
        <v>37</v>
      </c>
      <c r="J34" s="59">
        <v>-0.0018</v>
      </c>
      <c r="K34" s="59">
        <v>-0.0045</v>
      </c>
      <c r="L34" s="59">
        <v>-0.016</v>
      </c>
      <c r="M34" s="59">
        <v>-0.008</v>
      </c>
      <c r="N34" s="59">
        <v>-0.0153</v>
      </c>
      <c r="O34" s="59">
        <v>-0.0113</v>
      </c>
      <c r="P34" s="59">
        <v>-0.0028</v>
      </c>
      <c r="Q34" s="59">
        <v>-0.0034</v>
      </c>
      <c r="R34" s="59">
        <v>-0.009</v>
      </c>
      <c r="S34" s="59">
        <v>-0.0012</v>
      </c>
      <c r="T34" s="59">
        <v>-0.0089</v>
      </c>
      <c r="U34" s="59">
        <v>-0.0009</v>
      </c>
      <c r="V34" s="59">
        <v>-0.0009</v>
      </c>
      <c r="W34" s="59"/>
      <c r="X34" s="59"/>
      <c r="Y34" s="59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ht="15" customHeight="1" spans="1:41">
      <c r="A35" s="54"/>
      <c r="B35" s="55" t="s">
        <v>65</v>
      </c>
      <c r="C35" s="56"/>
      <c r="D35" s="57"/>
      <c r="E35" s="57"/>
      <c r="F35" s="57"/>
      <c r="G35" s="58"/>
      <c r="H35" s="58"/>
      <c r="I35" s="57" t="s">
        <v>37</v>
      </c>
      <c r="J35" s="59">
        <v>-0.0087</v>
      </c>
      <c r="K35" s="59">
        <v>-0.0057</v>
      </c>
      <c r="L35" s="59">
        <v>-0.0089</v>
      </c>
      <c r="M35" s="59">
        <v>-0.0014</v>
      </c>
      <c r="N35" s="59">
        <v>-0.0049</v>
      </c>
      <c r="O35" s="59">
        <v>-0.0046</v>
      </c>
      <c r="P35" s="59">
        <v>-0.0017</v>
      </c>
      <c r="Q35" s="59">
        <v>-0.0012</v>
      </c>
      <c r="R35" s="59">
        <v>-0.0099</v>
      </c>
      <c r="S35" s="59">
        <v>-0.0075</v>
      </c>
      <c r="T35" s="59">
        <v>-0.0057</v>
      </c>
      <c r="U35" s="59">
        <v>-0.0111</v>
      </c>
      <c r="V35" s="59">
        <v>-0.0067</v>
      </c>
      <c r="W35" s="59"/>
      <c r="X35" s="59"/>
      <c r="Y35" s="59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ht="15" customHeight="1" spans="1:41">
      <c r="A36" s="54"/>
      <c r="B36" s="55" t="s">
        <v>66</v>
      </c>
      <c r="C36" s="56" t="s">
        <v>63</v>
      </c>
      <c r="D36" s="57">
        <v>0</v>
      </c>
      <c r="E36" s="57">
        <v>0.05</v>
      </c>
      <c r="F36" s="57">
        <v>0</v>
      </c>
      <c r="G36" s="58">
        <f t="shared" si="23"/>
        <v>0.05</v>
      </c>
      <c r="H36" s="58">
        <f t="shared" si="24"/>
        <v>0</v>
      </c>
      <c r="I36" s="57" t="s">
        <v>37</v>
      </c>
      <c r="J36" s="59">
        <v>0.0178</v>
      </c>
      <c r="K36" s="59">
        <v>0.0144</v>
      </c>
      <c r="L36" s="59">
        <v>0.0366</v>
      </c>
      <c r="M36" s="59">
        <v>0.0162</v>
      </c>
      <c r="N36" s="59">
        <v>0.0321</v>
      </c>
      <c r="O36" s="59">
        <v>0.0244</v>
      </c>
      <c r="P36" s="59">
        <v>0.0067</v>
      </c>
      <c r="Q36" s="59">
        <v>0.0072</v>
      </c>
      <c r="R36" s="59">
        <v>0.0267</v>
      </c>
      <c r="S36" s="59">
        <v>0.0152</v>
      </c>
      <c r="T36" s="59">
        <v>0.0213</v>
      </c>
      <c r="U36" s="59">
        <v>0.0223</v>
      </c>
      <c r="V36" s="59">
        <v>0.0136</v>
      </c>
      <c r="W36" s="59"/>
      <c r="X36" s="59"/>
      <c r="Y36" s="59"/>
      <c r="Z36" s="60" t="str">
        <f t="shared" ref="Z36:AO36" si="26">IF(J36="","",IF(J36&gt;($D36+$E36),(J36-$D36-$E36),IF(J36&lt;($D36+$F36),(J36-$D36-$F36),"√")))</f>
        <v>√</v>
      </c>
      <c r="AA36" s="60" t="str">
        <f t="shared" si="26"/>
        <v>√</v>
      </c>
      <c r="AB36" s="60" t="str">
        <f t="shared" si="26"/>
        <v>√</v>
      </c>
      <c r="AC36" s="60" t="str">
        <f t="shared" si="26"/>
        <v>√</v>
      </c>
      <c r="AD36" s="60" t="str">
        <f t="shared" si="26"/>
        <v>√</v>
      </c>
      <c r="AE36" s="60" t="str">
        <f t="shared" si="26"/>
        <v>√</v>
      </c>
      <c r="AF36" s="60" t="str">
        <f t="shared" si="26"/>
        <v>√</v>
      </c>
      <c r="AG36" s="60" t="str">
        <f t="shared" si="26"/>
        <v>√</v>
      </c>
      <c r="AH36" s="60" t="str">
        <f t="shared" si="26"/>
        <v>√</v>
      </c>
      <c r="AI36" s="60" t="str">
        <f t="shared" si="26"/>
        <v>√</v>
      </c>
      <c r="AJ36" s="60" t="str">
        <f t="shared" si="26"/>
        <v>√</v>
      </c>
      <c r="AK36" s="60" t="str">
        <f t="shared" si="26"/>
        <v>√</v>
      </c>
      <c r="AL36" s="60" t="str">
        <f t="shared" si="26"/>
        <v>√</v>
      </c>
      <c r="AM36" s="60" t="str">
        <f t="shared" si="26"/>
        <v/>
      </c>
      <c r="AN36" s="60" t="str">
        <f t="shared" si="26"/>
        <v/>
      </c>
      <c r="AO36" s="60" t="str">
        <f t="shared" si="26"/>
        <v/>
      </c>
    </row>
    <row r="37" ht="15" customHeight="1" spans="1:41">
      <c r="A37" s="54"/>
      <c r="B37" s="55" t="s">
        <v>67</v>
      </c>
      <c r="C37" s="56" t="s">
        <v>68</v>
      </c>
      <c r="D37" s="57">
        <v>0</v>
      </c>
      <c r="E37" s="57">
        <v>0.03</v>
      </c>
      <c r="F37" s="57">
        <v>0</v>
      </c>
      <c r="G37" s="58">
        <f t="shared" si="23"/>
        <v>0.03</v>
      </c>
      <c r="H37" s="58">
        <f t="shared" si="24"/>
        <v>0</v>
      </c>
      <c r="I37" s="57" t="s">
        <v>37</v>
      </c>
      <c r="J37" s="59">
        <v>0.0224</v>
      </c>
      <c r="K37" s="59">
        <v>0.0141</v>
      </c>
      <c r="L37" s="59">
        <v>0.0215</v>
      </c>
      <c r="M37" s="59">
        <v>0.0261</v>
      </c>
      <c r="N37" s="59">
        <v>0.0142</v>
      </c>
      <c r="O37" s="59">
        <v>0.0144</v>
      </c>
      <c r="P37" s="59">
        <v>0.015</v>
      </c>
      <c r="Q37" s="59">
        <v>0.023</v>
      </c>
      <c r="R37" s="59">
        <v>0.0199</v>
      </c>
      <c r="S37" s="59">
        <v>0.0352</v>
      </c>
      <c r="T37" s="59">
        <v>0.0105</v>
      </c>
      <c r="U37" s="59">
        <v>0.0157</v>
      </c>
      <c r="V37" s="59">
        <v>0.0342</v>
      </c>
      <c r="W37" s="59"/>
      <c r="X37" s="59"/>
      <c r="Y37" s="59"/>
      <c r="Z37" s="60" t="str">
        <f t="shared" ref="Z37:AO37" si="27">IF(J37="","",IF(J37&gt;($D37+$E37),(J37-$D37-$E37),IF(J37&lt;($D37+$F37),(J37-$D37-$F37),"√")))</f>
        <v>√</v>
      </c>
      <c r="AA37" s="60" t="str">
        <f t="shared" si="27"/>
        <v>√</v>
      </c>
      <c r="AB37" s="60" t="str">
        <f t="shared" si="27"/>
        <v>√</v>
      </c>
      <c r="AC37" s="60" t="str">
        <f t="shared" si="27"/>
        <v>√</v>
      </c>
      <c r="AD37" s="60" t="str">
        <f t="shared" si="27"/>
        <v>√</v>
      </c>
      <c r="AE37" s="60" t="str">
        <f t="shared" si="27"/>
        <v>√</v>
      </c>
      <c r="AF37" s="60" t="str">
        <f t="shared" si="27"/>
        <v>√</v>
      </c>
      <c r="AG37" s="60" t="str">
        <f t="shared" si="27"/>
        <v>√</v>
      </c>
      <c r="AH37" s="60" t="str">
        <f t="shared" si="27"/>
        <v>√</v>
      </c>
      <c r="AI37" s="60">
        <f t="shared" si="27"/>
        <v>0.0052</v>
      </c>
      <c r="AJ37" s="60" t="str">
        <f t="shared" si="27"/>
        <v>√</v>
      </c>
      <c r="AK37" s="60" t="str">
        <f t="shared" si="27"/>
        <v>√</v>
      </c>
      <c r="AL37" s="60">
        <f t="shared" si="27"/>
        <v>0.0042</v>
      </c>
      <c r="AM37" s="60" t="str">
        <f t="shared" si="27"/>
        <v/>
      </c>
      <c r="AN37" s="60" t="str">
        <f t="shared" si="27"/>
        <v/>
      </c>
      <c r="AO37" s="60" t="str">
        <f t="shared" si="27"/>
        <v/>
      </c>
    </row>
    <row r="38" ht="15" customHeight="1" spans="1:41">
      <c r="A38" s="54"/>
      <c r="B38" s="55">
        <v>1</v>
      </c>
      <c r="C38" s="56"/>
      <c r="D38" s="57"/>
      <c r="E38" s="57"/>
      <c r="F38" s="57"/>
      <c r="G38" s="58"/>
      <c r="H38" s="58"/>
      <c r="I38" s="57" t="s">
        <v>37</v>
      </c>
      <c r="J38" s="59">
        <v>-0.012</v>
      </c>
      <c r="K38" s="59">
        <v>-0.008</v>
      </c>
      <c r="L38" s="59">
        <v>-0.0122</v>
      </c>
      <c r="M38" s="59">
        <v>-0.012</v>
      </c>
      <c r="N38" s="59">
        <v>-0.0074</v>
      </c>
      <c r="O38" s="59">
        <v>-0.0082</v>
      </c>
      <c r="P38" s="59">
        <v>-0.0085</v>
      </c>
      <c r="Q38" s="59">
        <v>-0.0126</v>
      </c>
      <c r="R38" s="59">
        <v>-0.0101</v>
      </c>
      <c r="S38" s="59">
        <v>-0.0199</v>
      </c>
      <c r="T38" s="59">
        <v>-0.006</v>
      </c>
      <c r="U38" s="59">
        <v>-0.0089</v>
      </c>
      <c r="V38" s="59">
        <v>-0.0193</v>
      </c>
      <c r="W38" s="59"/>
      <c r="X38" s="59"/>
      <c r="Y38" s="59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ht="15" customHeight="1" spans="1:41">
      <c r="A39" s="54"/>
      <c r="B39" s="55">
        <v>2</v>
      </c>
      <c r="C39" s="56"/>
      <c r="D39" s="57"/>
      <c r="E39" s="57"/>
      <c r="F39" s="57"/>
      <c r="G39" s="58"/>
      <c r="H39" s="58"/>
      <c r="I39" s="57" t="s">
        <v>37</v>
      </c>
      <c r="J39" s="59">
        <v>-0.0021</v>
      </c>
      <c r="K39" s="59">
        <v>0.0021</v>
      </c>
      <c r="L39" s="59">
        <v>-0.0006</v>
      </c>
      <c r="M39" s="59">
        <v>-0.0014</v>
      </c>
      <c r="N39" s="59">
        <v>-0.0013</v>
      </c>
      <c r="O39" s="59">
        <v>0.0001</v>
      </c>
      <c r="P39" s="59">
        <v>0.0008</v>
      </c>
      <c r="Q39" s="59">
        <v>0.0012</v>
      </c>
      <c r="R39" s="59">
        <v>-0.0001</v>
      </c>
      <c r="S39" s="59">
        <v>0.0024</v>
      </c>
      <c r="T39" s="59">
        <v>-0.0001</v>
      </c>
      <c r="U39" s="59">
        <v>-0.0013</v>
      </c>
      <c r="V39" s="59">
        <v>0.0015</v>
      </c>
      <c r="W39" s="59"/>
      <c r="X39" s="59"/>
      <c r="Y39" s="59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ht="15" customHeight="1" spans="1:41">
      <c r="A40" s="54"/>
      <c r="B40" s="55">
        <v>3</v>
      </c>
      <c r="C40" s="56"/>
      <c r="D40" s="57"/>
      <c r="E40" s="57"/>
      <c r="F40" s="57"/>
      <c r="G40" s="58"/>
      <c r="H40" s="58"/>
      <c r="I40" s="57" t="s">
        <v>37</v>
      </c>
      <c r="J40" s="59">
        <v>-0.0023</v>
      </c>
      <c r="K40" s="59">
        <v>-0.0035</v>
      </c>
      <c r="L40" s="59">
        <v>-0.0038</v>
      </c>
      <c r="M40" s="59">
        <v>-0.0043</v>
      </c>
      <c r="N40" s="59">
        <v>-0.0026</v>
      </c>
      <c r="O40" s="59">
        <v>-0.0024</v>
      </c>
      <c r="P40" s="59">
        <v>-0.0038</v>
      </c>
      <c r="Q40" s="59">
        <v>-0.0059</v>
      </c>
      <c r="R40" s="59">
        <v>-0.0032</v>
      </c>
      <c r="S40" s="59">
        <v>-0.0067</v>
      </c>
      <c r="T40" s="59">
        <v>-0.0018</v>
      </c>
      <c r="U40" s="59">
        <v>-0.0017</v>
      </c>
      <c r="V40" s="59">
        <v>-0.0064</v>
      </c>
      <c r="W40" s="59"/>
      <c r="X40" s="59"/>
      <c r="Y40" s="59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</row>
    <row r="41" ht="15" customHeight="1" spans="1:41">
      <c r="A41" s="54"/>
      <c r="B41" s="55">
        <v>4</v>
      </c>
      <c r="C41" s="56"/>
      <c r="D41" s="57"/>
      <c r="E41" s="57"/>
      <c r="F41" s="57"/>
      <c r="G41" s="58"/>
      <c r="H41" s="58"/>
      <c r="I41" s="57" t="s">
        <v>37</v>
      </c>
      <c r="J41" s="59">
        <v>0.0105</v>
      </c>
      <c r="K41" s="59">
        <v>0.0039</v>
      </c>
      <c r="L41" s="59">
        <v>0.0093</v>
      </c>
      <c r="M41" s="59">
        <v>0.0092</v>
      </c>
      <c r="N41" s="59">
        <v>0.0068</v>
      </c>
      <c r="O41" s="59">
        <v>0.0062</v>
      </c>
      <c r="P41" s="59">
        <v>0.0064</v>
      </c>
      <c r="Q41" s="59">
        <v>0.0104</v>
      </c>
      <c r="R41" s="59">
        <v>0.0057</v>
      </c>
      <c r="S41" s="59">
        <v>0.0153</v>
      </c>
      <c r="T41" s="59">
        <v>0.004</v>
      </c>
      <c r="U41" s="59">
        <v>0.0058</v>
      </c>
      <c r="V41" s="59">
        <v>0.015</v>
      </c>
      <c r="W41" s="59"/>
      <c r="X41" s="59"/>
      <c r="Y41" s="59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</row>
    <row r="42" ht="15" customHeight="1" spans="1:41">
      <c r="A42" s="54"/>
      <c r="B42" s="55">
        <v>5</v>
      </c>
      <c r="C42" s="56"/>
      <c r="D42" s="57"/>
      <c r="E42" s="57"/>
      <c r="F42" s="57"/>
      <c r="G42" s="58"/>
      <c r="H42" s="58"/>
      <c r="I42" s="57" t="s">
        <v>37</v>
      </c>
      <c r="J42" s="59">
        <v>0.006</v>
      </c>
      <c r="K42" s="59">
        <v>0.0051</v>
      </c>
      <c r="L42" s="59">
        <v>0.0078</v>
      </c>
      <c r="M42" s="59">
        <v>0.007</v>
      </c>
      <c r="N42" s="59">
        <v>0.0047</v>
      </c>
      <c r="O42" s="59">
        <v>0.0042</v>
      </c>
      <c r="P42" s="59">
        <v>0.0065</v>
      </c>
      <c r="Q42" s="59">
        <v>0.0079</v>
      </c>
      <c r="R42" s="59">
        <v>0.0072</v>
      </c>
      <c r="S42" s="59">
        <v>0.0132</v>
      </c>
      <c r="T42" s="59">
        <v>0.0037</v>
      </c>
      <c r="U42" s="59">
        <v>0.0068</v>
      </c>
      <c r="V42" s="59">
        <v>0.0135</v>
      </c>
      <c r="W42" s="59"/>
      <c r="X42" s="59"/>
      <c r="Y42" s="59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</row>
    <row r="43" ht="15" customHeight="1" spans="1:41">
      <c r="A43" s="54"/>
      <c r="B43" s="55">
        <v>6</v>
      </c>
      <c r="C43" s="56"/>
      <c r="D43" s="57"/>
      <c r="E43" s="57"/>
      <c r="F43" s="57"/>
      <c r="G43" s="58"/>
      <c r="H43" s="58"/>
      <c r="I43" s="57" t="s">
        <v>37</v>
      </c>
      <c r="J43" s="59">
        <v>0.0067</v>
      </c>
      <c r="K43" s="59">
        <v>0.0062</v>
      </c>
      <c r="L43" s="59">
        <v>0.0071</v>
      </c>
      <c r="M43" s="59">
        <v>0.0108</v>
      </c>
      <c r="N43" s="59">
        <v>0.0043</v>
      </c>
      <c r="O43" s="59">
        <v>0.0047</v>
      </c>
      <c r="P43" s="59">
        <v>0.004</v>
      </c>
      <c r="Q43" s="59">
        <v>0.0069</v>
      </c>
      <c r="R43" s="59">
        <v>0.0061</v>
      </c>
      <c r="S43" s="59">
        <v>0.0054</v>
      </c>
      <c r="T43" s="59">
        <v>0.0045</v>
      </c>
      <c r="U43" s="59">
        <v>0.0048</v>
      </c>
      <c r="V43" s="59">
        <v>0.0049</v>
      </c>
      <c r="W43" s="59"/>
      <c r="X43" s="59"/>
      <c r="Y43" s="59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</row>
    <row r="44" ht="15" customHeight="1" spans="1:41">
      <c r="A44" s="54"/>
      <c r="B44" s="55">
        <v>7</v>
      </c>
      <c r="C44" s="56"/>
      <c r="D44" s="57"/>
      <c r="E44" s="57"/>
      <c r="F44" s="57"/>
      <c r="G44" s="58"/>
      <c r="H44" s="58"/>
      <c r="I44" s="57" t="s">
        <v>37</v>
      </c>
      <c r="J44" s="59">
        <v>0.0095</v>
      </c>
      <c r="K44" s="59">
        <v>0.005</v>
      </c>
      <c r="L44" s="59">
        <v>0.0078</v>
      </c>
      <c r="M44" s="59">
        <v>0.011</v>
      </c>
      <c r="N44" s="59">
        <v>0.0064</v>
      </c>
      <c r="O44" s="59">
        <v>0.006</v>
      </c>
      <c r="P44" s="59">
        <v>0.0034</v>
      </c>
      <c r="Q44" s="59">
        <v>0.0082</v>
      </c>
      <c r="R44" s="59">
        <v>0.0081</v>
      </c>
      <c r="S44" s="59">
        <v>0.0068</v>
      </c>
      <c r="T44" s="59">
        <v>0.0045</v>
      </c>
      <c r="U44" s="59">
        <v>0.0048</v>
      </c>
      <c r="V44" s="59">
        <v>0.0074</v>
      </c>
      <c r="W44" s="59"/>
      <c r="X44" s="59"/>
      <c r="Y44" s="59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</row>
    <row r="45" ht="15" customHeight="1" spans="1:41">
      <c r="A45" s="54"/>
      <c r="B45" s="55">
        <v>8</v>
      </c>
      <c r="C45" s="56"/>
      <c r="D45" s="57"/>
      <c r="E45" s="57"/>
      <c r="F45" s="57"/>
      <c r="G45" s="58"/>
      <c r="H45" s="58"/>
      <c r="I45" s="57" t="s">
        <v>37</v>
      </c>
      <c r="J45" s="59">
        <v>-0.0002</v>
      </c>
      <c r="K45" s="59">
        <v>-0.0012</v>
      </c>
      <c r="L45" s="59">
        <v>-0.0003</v>
      </c>
      <c r="M45" s="59">
        <v>0.0002</v>
      </c>
      <c r="N45" s="59">
        <v>-0.0006</v>
      </c>
      <c r="O45" s="59">
        <v>-0.0006</v>
      </c>
      <c r="P45" s="59">
        <v>-0.0013</v>
      </c>
      <c r="Q45" s="59">
        <v>-0.003</v>
      </c>
      <c r="R45" s="59">
        <v>0.0007</v>
      </c>
      <c r="S45" s="59">
        <v>-0.0027</v>
      </c>
      <c r="T45" s="59">
        <v>-0.0004</v>
      </c>
      <c r="U45" s="59">
        <v>0.0018</v>
      </c>
      <c r="V45" s="59">
        <v>-0.0023</v>
      </c>
      <c r="W45" s="59"/>
      <c r="X45" s="59"/>
      <c r="Y45" s="59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</row>
    <row r="46" ht="15" customHeight="1" spans="1:41">
      <c r="A46" s="54"/>
      <c r="B46" s="55">
        <v>9</v>
      </c>
      <c r="C46" s="56"/>
      <c r="D46" s="57"/>
      <c r="E46" s="57"/>
      <c r="F46" s="57"/>
      <c r="G46" s="58"/>
      <c r="H46" s="58"/>
      <c r="I46" s="57" t="s">
        <v>37</v>
      </c>
      <c r="J46" s="59">
        <v>-0.0045</v>
      </c>
      <c r="K46" s="59">
        <v>-0.0019</v>
      </c>
      <c r="L46" s="59">
        <v>-0.0041</v>
      </c>
      <c r="M46" s="59">
        <v>-0.0053</v>
      </c>
      <c r="N46" s="59">
        <v>-0.0028</v>
      </c>
      <c r="O46" s="59">
        <v>-0.0018</v>
      </c>
      <c r="P46" s="59">
        <v>-0.0022</v>
      </c>
      <c r="Q46" s="59">
        <v>-0.0024</v>
      </c>
      <c r="R46" s="59">
        <v>-0.0027</v>
      </c>
      <c r="S46" s="59">
        <v>-0.0019</v>
      </c>
      <c r="T46" s="59">
        <v>-0.0028</v>
      </c>
      <c r="U46" s="59">
        <v>-0.0039</v>
      </c>
      <c r="V46" s="59">
        <v>-0.0027</v>
      </c>
      <c r="W46" s="59"/>
      <c r="X46" s="59"/>
      <c r="Y46" s="59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</row>
    <row r="47" ht="15" customHeight="1" spans="1:41">
      <c r="A47" s="54"/>
      <c r="B47" s="55">
        <v>10</v>
      </c>
      <c r="C47" s="56"/>
      <c r="D47" s="57"/>
      <c r="E47" s="57"/>
      <c r="F47" s="57"/>
      <c r="G47" s="58"/>
      <c r="H47" s="58"/>
      <c r="I47" s="57" t="s">
        <v>37</v>
      </c>
      <c r="J47" s="59">
        <v>-0.0116</v>
      </c>
      <c r="K47" s="59">
        <v>-0.0077</v>
      </c>
      <c r="L47" s="59">
        <v>-0.0111</v>
      </c>
      <c r="M47" s="59">
        <v>-0.0152</v>
      </c>
      <c r="N47" s="59">
        <v>-0.0074</v>
      </c>
      <c r="O47" s="59">
        <v>-0.0083</v>
      </c>
      <c r="P47" s="59">
        <v>-0.0054</v>
      </c>
      <c r="Q47" s="59">
        <v>-0.0106</v>
      </c>
      <c r="R47" s="59">
        <v>-0.0118</v>
      </c>
      <c r="S47" s="59">
        <v>-0.0119</v>
      </c>
      <c r="T47" s="59">
        <v>-0.0056</v>
      </c>
      <c r="U47" s="59">
        <v>-0.0081</v>
      </c>
      <c r="V47" s="59">
        <v>-0.0116</v>
      </c>
      <c r="W47" s="59"/>
      <c r="X47" s="59"/>
      <c r="Y47" s="59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</row>
    <row r="48" ht="15" customHeight="1" spans="1:41">
      <c r="A48" s="54"/>
      <c r="B48" s="55" t="s">
        <v>69</v>
      </c>
      <c r="C48" s="56" t="s">
        <v>70</v>
      </c>
      <c r="D48" s="57">
        <v>0</v>
      </c>
      <c r="E48" s="57">
        <v>0.06</v>
      </c>
      <c r="F48" s="57">
        <v>0</v>
      </c>
      <c r="G48" s="58">
        <v>0.06</v>
      </c>
      <c r="H48" s="58">
        <f>D48+F48</f>
        <v>0</v>
      </c>
      <c r="I48" s="57" t="s">
        <v>37</v>
      </c>
      <c r="J48" s="59">
        <v>0.0333</v>
      </c>
      <c r="K48" s="59">
        <v>0.021</v>
      </c>
      <c r="L48" s="59">
        <v>0.0401</v>
      </c>
      <c r="M48" s="59">
        <v>0.0329</v>
      </c>
      <c r="N48" s="59">
        <v>0.0264</v>
      </c>
      <c r="O48" s="59">
        <v>0.0282</v>
      </c>
      <c r="P48" s="59">
        <v>0.0283</v>
      </c>
      <c r="Q48" s="59">
        <v>0.0357</v>
      </c>
      <c r="R48" s="59">
        <v>0.0242</v>
      </c>
      <c r="S48" s="59">
        <v>0.0402</v>
      </c>
      <c r="T48" s="59">
        <v>0.0255</v>
      </c>
      <c r="U48" s="59">
        <v>0.0219</v>
      </c>
      <c r="V48" s="59">
        <v>0.0404</v>
      </c>
      <c r="W48" s="59"/>
      <c r="X48" s="59"/>
      <c r="Y48" s="59"/>
      <c r="Z48" s="60" t="str">
        <f t="shared" ref="Z48:AO48" si="28">IF(J48="","",IF(J48&gt;($D48+$E48),(J48-$D48-$E48),IF(J48&lt;($D48+$F48),(J48-$D48-$F48),"√")))</f>
        <v>√</v>
      </c>
      <c r="AA48" s="60" t="str">
        <f t="shared" si="28"/>
        <v>√</v>
      </c>
      <c r="AB48" s="60" t="str">
        <f t="shared" si="28"/>
        <v>√</v>
      </c>
      <c r="AC48" s="60" t="str">
        <f t="shared" si="28"/>
        <v>√</v>
      </c>
      <c r="AD48" s="60" t="str">
        <f t="shared" si="28"/>
        <v>√</v>
      </c>
      <c r="AE48" s="60" t="str">
        <f t="shared" si="28"/>
        <v>√</v>
      </c>
      <c r="AF48" s="60" t="str">
        <f t="shared" si="28"/>
        <v>√</v>
      </c>
      <c r="AG48" s="60" t="str">
        <f t="shared" si="28"/>
        <v>√</v>
      </c>
      <c r="AH48" s="60" t="str">
        <f t="shared" si="28"/>
        <v>√</v>
      </c>
      <c r="AI48" s="60" t="str">
        <f t="shared" si="28"/>
        <v>√</v>
      </c>
      <c r="AJ48" s="60" t="str">
        <f t="shared" si="28"/>
        <v>√</v>
      </c>
      <c r="AK48" s="60" t="str">
        <f t="shared" si="28"/>
        <v>√</v>
      </c>
      <c r="AL48" s="60" t="str">
        <f t="shared" si="28"/>
        <v>√</v>
      </c>
      <c r="AM48" s="60" t="str">
        <f t="shared" si="28"/>
        <v/>
      </c>
      <c r="AN48" s="60" t="str">
        <f t="shared" si="28"/>
        <v/>
      </c>
      <c r="AO48" s="60" t="str">
        <f t="shared" si="28"/>
        <v/>
      </c>
    </row>
    <row r="49" ht="15" customHeight="1" spans="1:41">
      <c r="A49" s="54"/>
      <c r="B49" s="55">
        <v>1</v>
      </c>
      <c r="C49" s="56"/>
      <c r="D49" s="57"/>
      <c r="E49" s="57"/>
      <c r="F49" s="57"/>
      <c r="G49" s="58"/>
      <c r="H49" s="58"/>
      <c r="I49" s="57" t="s">
        <v>37</v>
      </c>
      <c r="J49" s="59">
        <v>0.0043</v>
      </c>
      <c r="K49" s="59">
        <v>0.0066</v>
      </c>
      <c r="L49" s="59">
        <v>0.0042</v>
      </c>
      <c r="M49" s="59">
        <v>0.0033</v>
      </c>
      <c r="N49" s="59">
        <v>-0.0013</v>
      </c>
      <c r="O49" s="59">
        <v>-0.0003</v>
      </c>
      <c r="P49" s="59">
        <v>-0.0005</v>
      </c>
      <c r="Q49" s="59">
        <v>0.0032</v>
      </c>
      <c r="R49" s="59">
        <v>0.0037</v>
      </c>
      <c r="S49" s="59">
        <v>0.014</v>
      </c>
      <c r="T49" s="59">
        <v>-0.0025</v>
      </c>
      <c r="U49" s="59">
        <v>0.0028</v>
      </c>
      <c r="V49" s="59">
        <v>0.0133</v>
      </c>
      <c r="W49" s="59"/>
      <c r="X49" s="59"/>
      <c r="Y49" s="59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</row>
    <row r="50" ht="15" customHeight="1" spans="1:41">
      <c r="A50" s="54"/>
      <c r="B50" s="55">
        <v>2</v>
      </c>
      <c r="C50" s="56"/>
      <c r="D50" s="57"/>
      <c r="E50" s="57"/>
      <c r="F50" s="57"/>
      <c r="G50" s="58"/>
      <c r="H50" s="58"/>
      <c r="I50" s="57" t="s">
        <v>37</v>
      </c>
      <c r="J50" s="59">
        <v>0.0041</v>
      </c>
      <c r="K50" s="59">
        <v>0.001</v>
      </c>
      <c r="L50" s="59">
        <v>-0.0056</v>
      </c>
      <c r="M50" s="59">
        <v>-0.0023</v>
      </c>
      <c r="N50" s="59">
        <v>-0.0025</v>
      </c>
      <c r="O50" s="59">
        <v>-0.0037</v>
      </c>
      <c r="P50" s="59">
        <v>-0.0076</v>
      </c>
      <c r="Q50" s="59">
        <v>-0.0047</v>
      </c>
      <c r="R50" s="59">
        <v>-0.0001</v>
      </c>
      <c r="S50" s="59">
        <v>0.0073</v>
      </c>
      <c r="T50" s="59">
        <v>-0.008</v>
      </c>
      <c r="U50" s="59">
        <v>-0.0016</v>
      </c>
      <c r="V50" s="59">
        <v>0.0065</v>
      </c>
      <c r="W50" s="59"/>
      <c r="X50" s="59"/>
      <c r="Y50" s="59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</row>
    <row r="51" ht="15" customHeight="1" spans="1:41">
      <c r="A51" s="54"/>
      <c r="B51" s="55">
        <v>3</v>
      </c>
      <c r="C51" s="56"/>
      <c r="D51" s="57"/>
      <c r="E51" s="57"/>
      <c r="F51" s="57"/>
      <c r="G51" s="58"/>
      <c r="H51" s="58"/>
      <c r="I51" s="57" t="s">
        <v>37</v>
      </c>
      <c r="J51" s="59">
        <v>0.0001</v>
      </c>
      <c r="K51" s="59">
        <v>0.0047</v>
      </c>
      <c r="L51" s="59">
        <v>0.0038</v>
      </c>
      <c r="M51" s="59">
        <v>0.0021</v>
      </c>
      <c r="N51" s="59">
        <v>0.0046</v>
      </c>
      <c r="O51" s="59">
        <v>0.0002</v>
      </c>
      <c r="P51" s="59">
        <v>-0.0052</v>
      </c>
      <c r="Q51" s="59">
        <v>-0.0053</v>
      </c>
      <c r="R51" s="59">
        <v>0.0043</v>
      </c>
      <c r="S51" s="59">
        <v>0.0072</v>
      </c>
      <c r="T51" s="59">
        <v>-0.0013</v>
      </c>
      <c r="U51" s="59">
        <v>0.0001</v>
      </c>
      <c r="V51" s="59">
        <v>0.0063</v>
      </c>
      <c r="W51" s="59"/>
      <c r="X51" s="59"/>
      <c r="Y51" s="59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</row>
    <row r="52" ht="15" customHeight="1" spans="1:41">
      <c r="A52" s="54"/>
      <c r="B52" s="55">
        <v>4</v>
      </c>
      <c r="C52" s="56"/>
      <c r="D52" s="57"/>
      <c r="E52" s="57"/>
      <c r="F52" s="57"/>
      <c r="G52" s="58"/>
      <c r="H52" s="58"/>
      <c r="I52" s="57" t="s">
        <v>37</v>
      </c>
      <c r="J52" s="59">
        <v>-0.0013</v>
      </c>
      <c r="K52" s="59">
        <v>0.0039</v>
      </c>
      <c r="L52" s="59">
        <v>0.0006</v>
      </c>
      <c r="M52" s="59">
        <v>0.0018</v>
      </c>
      <c r="N52" s="59">
        <v>0.0039</v>
      </c>
      <c r="O52" s="59">
        <v>-0.0008</v>
      </c>
      <c r="P52" s="59">
        <v>-0.0069</v>
      </c>
      <c r="Q52" s="59">
        <v>-0.0081</v>
      </c>
      <c r="R52" s="59">
        <v>0.0023</v>
      </c>
      <c r="S52" s="59">
        <v>0.0011</v>
      </c>
      <c r="T52" s="59">
        <v>-0.0023</v>
      </c>
      <c r="U52" s="59">
        <v>-0.0021</v>
      </c>
      <c r="V52" s="59">
        <v>0.0002</v>
      </c>
      <c r="W52" s="59"/>
      <c r="X52" s="59"/>
      <c r="Y52" s="59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</row>
    <row r="53" ht="15" customHeight="1" spans="1:41">
      <c r="A53" s="54"/>
      <c r="B53" s="55">
        <v>5</v>
      </c>
      <c r="C53" s="56"/>
      <c r="D53" s="57"/>
      <c r="E53" s="57"/>
      <c r="F53" s="57"/>
      <c r="G53" s="58"/>
      <c r="H53" s="58"/>
      <c r="I53" s="57" t="s">
        <v>37</v>
      </c>
      <c r="J53" s="59">
        <v>-0.0016</v>
      </c>
      <c r="K53" s="59">
        <v>0.0022</v>
      </c>
      <c r="L53" s="59">
        <v>-0.001</v>
      </c>
      <c r="M53" s="59">
        <v>-0.0001</v>
      </c>
      <c r="N53" s="59">
        <v>0.002</v>
      </c>
      <c r="O53" s="59">
        <v>-0.0005</v>
      </c>
      <c r="P53" s="59">
        <v>-0.0082</v>
      </c>
      <c r="Q53" s="59">
        <v>-0.0101</v>
      </c>
      <c r="R53" s="59">
        <v>0.0032</v>
      </c>
      <c r="S53" s="59">
        <v>-0.0029</v>
      </c>
      <c r="T53" s="59">
        <v>-0.0031</v>
      </c>
      <c r="U53" s="59">
        <v>-0.002</v>
      </c>
      <c r="V53" s="59">
        <v>-0.0036</v>
      </c>
      <c r="W53" s="59"/>
      <c r="X53" s="59"/>
      <c r="Y53" s="59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</row>
    <row r="54" ht="15" customHeight="1" spans="1:41">
      <c r="A54" s="54"/>
      <c r="B54" s="55">
        <v>6</v>
      </c>
      <c r="C54" s="56"/>
      <c r="D54" s="57"/>
      <c r="E54" s="57"/>
      <c r="F54" s="57"/>
      <c r="G54" s="58"/>
      <c r="H54" s="58"/>
      <c r="I54" s="57" t="s">
        <v>37</v>
      </c>
      <c r="J54" s="59">
        <v>-0.0052</v>
      </c>
      <c r="K54" s="59">
        <v>0.0012</v>
      </c>
      <c r="L54" s="59">
        <v>-0.0002</v>
      </c>
      <c r="M54" s="59">
        <v>-0.0051</v>
      </c>
      <c r="N54" s="59">
        <v>0.0054</v>
      </c>
      <c r="O54" s="59">
        <v>-0.0007</v>
      </c>
      <c r="P54" s="59">
        <v>-0.0098</v>
      </c>
      <c r="Q54" s="59">
        <v>-0.012</v>
      </c>
      <c r="R54" s="59">
        <v>0.0029</v>
      </c>
      <c r="S54" s="59">
        <v>-0.0087</v>
      </c>
      <c r="T54" s="59">
        <v>-0.0031</v>
      </c>
      <c r="U54" s="59">
        <v>-0.0036</v>
      </c>
      <c r="V54" s="59">
        <v>-0.0093</v>
      </c>
      <c r="W54" s="59"/>
      <c r="X54" s="59"/>
      <c r="Y54" s="59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</row>
    <row r="55" ht="15" customHeight="1" spans="1:41">
      <c r="A55" s="54"/>
      <c r="B55" s="55">
        <v>7</v>
      </c>
      <c r="C55" s="56"/>
      <c r="D55" s="57"/>
      <c r="E55" s="57"/>
      <c r="F55" s="57"/>
      <c r="G55" s="58"/>
      <c r="H55" s="58"/>
      <c r="I55" s="57" t="s">
        <v>37</v>
      </c>
      <c r="J55" s="59">
        <v>-0.0167</v>
      </c>
      <c r="K55" s="59">
        <v>-0.0068</v>
      </c>
      <c r="L55" s="59">
        <v>-0.02</v>
      </c>
      <c r="M55" s="59">
        <v>-0.0165</v>
      </c>
      <c r="N55" s="59">
        <v>-0.0123</v>
      </c>
      <c r="O55" s="59">
        <v>-0.0141</v>
      </c>
      <c r="P55" s="59">
        <v>-0.0129</v>
      </c>
      <c r="Q55" s="59">
        <v>-0.0176</v>
      </c>
      <c r="R55" s="59">
        <v>-0.0121</v>
      </c>
      <c r="S55" s="59">
        <v>-0.0201</v>
      </c>
      <c r="T55" s="59">
        <v>-0.0126</v>
      </c>
      <c r="U55" s="59">
        <v>-0.011</v>
      </c>
      <c r="V55" s="59">
        <v>-0.0202</v>
      </c>
      <c r="W55" s="59"/>
      <c r="X55" s="59"/>
      <c r="Y55" s="59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</row>
    <row r="56" ht="15" customHeight="1" spans="1:41">
      <c r="A56" s="54"/>
      <c r="B56" s="55">
        <v>8</v>
      </c>
      <c r="C56" s="56"/>
      <c r="D56" s="57"/>
      <c r="E56" s="57"/>
      <c r="F56" s="57"/>
      <c r="G56" s="58"/>
      <c r="H56" s="58"/>
      <c r="I56" s="57" t="s">
        <v>37</v>
      </c>
      <c r="J56" s="59">
        <v>-0.0129</v>
      </c>
      <c r="K56" s="59">
        <v>-0.0061</v>
      </c>
      <c r="L56" s="59">
        <v>-0.0148</v>
      </c>
      <c r="M56" s="59">
        <v>-0.0138</v>
      </c>
      <c r="N56" s="59">
        <v>-0.0061</v>
      </c>
      <c r="O56" s="59">
        <v>-0.0094</v>
      </c>
      <c r="P56" s="59">
        <v>-0.0141</v>
      </c>
      <c r="Q56" s="59">
        <v>-0.0179</v>
      </c>
      <c r="R56" s="59">
        <v>-0.0066</v>
      </c>
      <c r="S56" s="59">
        <v>-0.0196</v>
      </c>
      <c r="T56" s="59">
        <v>-0.0109</v>
      </c>
      <c r="U56" s="59">
        <v>-0.0091</v>
      </c>
      <c r="V56" s="59">
        <v>-0.02</v>
      </c>
      <c r="W56" s="59"/>
      <c r="X56" s="59"/>
      <c r="Y56" s="59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</row>
    <row r="57" ht="15" customHeight="1" spans="1:41">
      <c r="A57" s="54"/>
      <c r="B57" s="55">
        <v>9</v>
      </c>
      <c r="C57" s="56"/>
      <c r="D57" s="57"/>
      <c r="E57" s="57"/>
      <c r="F57" s="57"/>
      <c r="G57" s="58"/>
      <c r="H57" s="58"/>
      <c r="I57" s="57" t="s">
        <v>37</v>
      </c>
      <c r="J57" s="59">
        <v>-0.0123</v>
      </c>
      <c r="K57" s="59">
        <v>-0.0069</v>
      </c>
      <c r="L57" s="59">
        <v>-0.0155</v>
      </c>
      <c r="M57" s="59">
        <v>-0.0143</v>
      </c>
      <c r="N57" s="59">
        <v>-0.0085</v>
      </c>
      <c r="O57" s="59">
        <v>-0.0103</v>
      </c>
      <c r="P57" s="59">
        <v>-0.0132</v>
      </c>
      <c r="Q57" s="59">
        <v>-0.0161</v>
      </c>
      <c r="R57" s="59">
        <v>-0.0093</v>
      </c>
      <c r="S57" s="59">
        <v>-0.0198</v>
      </c>
      <c r="T57" s="59">
        <v>-0.0128</v>
      </c>
      <c r="U57" s="59">
        <v>-0.0109</v>
      </c>
      <c r="V57" s="59">
        <v>-0.0201</v>
      </c>
      <c r="W57" s="59"/>
      <c r="X57" s="59"/>
      <c r="Y57" s="59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</row>
    <row r="58" ht="15" customHeight="1" spans="1:41">
      <c r="A58" s="54"/>
      <c r="B58" s="55">
        <v>10</v>
      </c>
      <c r="C58" s="56"/>
      <c r="D58" s="57"/>
      <c r="E58" s="57"/>
      <c r="F58" s="57"/>
      <c r="G58" s="58"/>
      <c r="H58" s="58"/>
      <c r="I58" s="57" t="s">
        <v>37</v>
      </c>
      <c r="J58" s="59">
        <v>-0.0112</v>
      </c>
      <c r="K58" s="59">
        <v>-0.006</v>
      </c>
      <c r="L58" s="59">
        <v>-0.0146</v>
      </c>
      <c r="M58" s="59">
        <v>-0.012</v>
      </c>
      <c r="N58" s="59">
        <v>-0.0082</v>
      </c>
      <c r="O58" s="59">
        <v>-0.0072</v>
      </c>
      <c r="P58" s="59">
        <v>-0.0121</v>
      </c>
      <c r="Q58" s="59">
        <v>-0.015</v>
      </c>
      <c r="R58" s="59">
        <v>-0.0088</v>
      </c>
      <c r="S58" s="59">
        <v>-0.0191</v>
      </c>
      <c r="T58" s="59">
        <v>-0.0115</v>
      </c>
      <c r="U58" s="59">
        <v>-0.01</v>
      </c>
      <c r="V58" s="59">
        <v>-0.0193</v>
      </c>
      <c r="W58" s="59"/>
      <c r="X58" s="59"/>
      <c r="Y58" s="59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</row>
    <row r="59" ht="15" customHeight="1" spans="1:41">
      <c r="A59" s="54"/>
      <c r="B59" s="55">
        <v>11</v>
      </c>
      <c r="C59" s="56"/>
      <c r="D59" s="57"/>
      <c r="E59" s="57"/>
      <c r="F59" s="57"/>
      <c r="G59" s="58"/>
      <c r="H59" s="58"/>
      <c r="I59" s="57" t="s">
        <v>37</v>
      </c>
      <c r="J59" s="59">
        <v>-0.0049</v>
      </c>
      <c r="K59" s="59">
        <v>-0.004</v>
      </c>
      <c r="L59" s="59">
        <v>-0.0093</v>
      </c>
      <c r="M59" s="59">
        <v>-0.0088</v>
      </c>
      <c r="N59" s="59">
        <v>-0.0082</v>
      </c>
      <c r="O59" s="59">
        <v>-0.0085</v>
      </c>
      <c r="P59" s="59">
        <v>-0.0117</v>
      </c>
      <c r="Q59" s="59">
        <v>-0.0125</v>
      </c>
      <c r="R59" s="59">
        <v>-0.0082</v>
      </c>
      <c r="S59" s="59">
        <v>-0.0156</v>
      </c>
      <c r="T59" s="59">
        <v>-0.0105</v>
      </c>
      <c r="U59" s="59">
        <v>-0.0075</v>
      </c>
      <c r="V59" s="59">
        <v>-0.0159</v>
      </c>
      <c r="W59" s="59"/>
      <c r="X59" s="59"/>
      <c r="Y59" s="59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</row>
    <row r="60" ht="15" customHeight="1" spans="1:41">
      <c r="A60" s="54"/>
      <c r="B60" s="55">
        <v>12</v>
      </c>
      <c r="C60" s="56"/>
      <c r="D60" s="57"/>
      <c r="E60" s="57"/>
      <c r="F60" s="57"/>
      <c r="G60" s="58"/>
      <c r="H60" s="58"/>
      <c r="I60" s="57" t="s">
        <v>37</v>
      </c>
      <c r="J60" s="59">
        <v>-0.0033</v>
      </c>
      <c r="K60" s="59">
        <v>0.0001</v>
      </c>
      <c r="L60" s="59">
        <v>0.0046</v>
      </c>
      <c r="M60" s="59">
        <v>-0.002</v>
      </c>
      <c r="N60" s="59">
        <v>0.004</v>
      </c>
      <c r="O60" s="59">
        <v>-0.0004</v>
      </c>
      <c r="P60" s="59">
        <v>-0.0071</v>
      </c>
      <c r="Q60" s="59">
        <v>-0.0068</v>
      </c>
      <c r="R60" s="59">
        <v>0.0034</v>
      </c>
      <c r="S60" s="59">
        <v>0.0001</v>
      </c>
      <c r="T60" s="59">
        <v>-0.0039</v>
      </c>
      <c r="U60" s="59">
        <v>-0.0064</v>
      </c>
      <c r="V60" s="59">
        <v>-0.0001</v>
      </c>
      <c r="W60" s="59"/>
      <c r="X60" s="59"/>
      <c r="Y60" s="59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</row>
    <row r="61" ht="15" customHeight="1" spans="1:41">
      <c r="A61" s="54"/>
      <c r="B61" s="55">
        <v>13</v>
      </c>
      <c r="C61" s="56"/>
      <c r="D61" s="57"/>
      <c r="E61" s="57"/>
      <c r="F61" s="57"/>
      <c r="G61" s="58"/>
      <c r="H61" s="58"/>
      <c r="I61" s="57" t="s">
        <v>37</v>
      </c>
      <c r="J61" s="59">
        <v>0.0001</v>
      </c>
      <c r="K61" s="59">
        <v>0.0011</v>
      </c>
      <c r="L61" s="59">
        <v>-0.0053</v>
      </c>
      <c r="M61" s="59">
        <v>0.0006</v>
      </c>
      <c r="N61" s="59">
        <v>-0.0044</v>
      </c>
      <c r="O61" s="59">
        <v>-0.004</v>
      </c>
      <c r="P61" s="59">
        <v>-0.0037</v>
      </c>
      <c r="Q61" s="59">
        <v>-0.0002</v>
      </c>
      <c r="R61" s="59">
        <v>-0.0007</v>
      </c>
      <c r="S61" s="59">
        <v>0.0048</v>
      </c>
      <c r="T61" s="59">
        <v>-0.0062</v>
      </c>
      <c r="U61" s="59">
        <v>-0.0012</v>
      </c>
      <c r="V61" s="59">
        <v>0.0046</v>
      </c>
      <c r="W61" s="59"/>
      <c r="X61" s="59"/>
      <c r="Y61" s="59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</row>
    <row r="62" ht="15" customHeight="1" spans="1:41">
      <c r="A62" s="54"/>
      <c r="B62" s="55">
        <v>14</v>
      </c>
      <c r="C62" s="56"/>
      <c r="D62" s="57"/>
      <c r="E62" s="57"/>
      <c r="F62" s="57"/>
      <c r="G62" s="58"/>
      <c r="H62" s="58"/>
      <c r="I62" s="57" t="s">
        <v>37</v>
      </c>
      <c r="J62" s="59">
        <v>0.002</v>
      </c>
      <c r="K62" s="59">
        <v>0.0027</v>
      </c>
      <c r="L62" s="59">
        <v>-0.0025</v>
      </c>
      <c r="M62" s="59">
        <v>0.0019</v>
      </c>
      <c r="N62" s="59">
        <v>-0.0015</v>
      </c>
      <c r="O62" s="59">
        <v>-0.0019</v>
      </c>
      <c r="P62" s="59">
        <v>-0.0033</v>
      </c>
      <c r="Q62" s="59">
        <v>0.0021</v>
      </c>
      <c r="R62" s="59">
        <v>-0.0004</v>
      </c>
      <c r="S62" s="59">
        <v>0.0082</v>
      </c>
      <c r="T62" s="59">
        <v>-0.0067</v>
      </c>
      <c r="U62" s="59">
        <v>-0.0018</v>
      </c>
      <c r="V62" s="59">
        <v>0.008</v>
      </c>
      <c r="W62" s="59"/>
      <c r="X62" s="59"/>
      <c r="Y62" s="59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</row>
    <row r="63" ht="15" customHeight="1" spans="1:41">
      <c r="A63" s="54"/>
      <c r="B63" s="55">
        <v>15</v>
      </c>
      <c r="C63" s="56"/>
      <c r="D63" s="57"/>
      <c r="E63" s="57"/>
      <c r="F63" s="57"/>
      <c r="G63" s="58"/>
      <c r="H63" s="58"/>
      <c r="I63" s="57" t="s">
        <v>37</v>
      </c>
      <c r="J63" s="59">
        <v>0.0018</v>
      </c>
      <c r="K63" s="59">
        <v>0.0031</v>
      </c>
      <c r="L63" s="59">
        <v>0.0014</v>
      </c>
      <c r="M63" s="59">
        <v>0.0034</v>
      </c>
      <c r="N63" s="59">
        <v>-0.0016</v>
      </c>
      <c r="O63" s="59">
        <v>-0.001</v>
      </c>
      <c r="P63" s="59">
        <v>-0.002</v>
      </c>
      <c r="Q63" s="59">
        <v>0.0019</v>
      </c>
      <c r="R63" s="59">
        <v>-0.0001</v>
      </c>
      <c r="S63" s="59">
        <v>0.0133</v>
      </c>
      <c r="T63" s="59">
        <v>-0.005</v>
      </c>
      <c r="U63" s="59">
        <v>-0.0017</v>
      </c>
      <c r="V63" s="59">
        <v>0.013</v>
      </c>
      <c r="W63" s="59"/>
      <c r="X63" s="59"/>
      <c r="Y63" s="59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</row>
    <row r="64" ht="15" customHeight="1" spans="1:41">
      <c r="A64" s="54"/>
      <c r="B64" s="55">
        <v>16</v>
      </c>
      <c r="C64" s="56"/>
      <c r="D64" s="57"/>
      <c r="E64" s="57"/>
      <c r="F64" s="57"/>
      <c r="G64" s="58"/>
      <c r="H64" s="58"/>
      <c r="I64" s="57" t="s">
        <v>37</v>
      </c>
      <c r="J64" s="59">
        <v>0.0031</v>
      </c>
      <c r="K64" s="59">
        <v>0.0034</v>
      </c>
      <c r="L64" s="59">
        <v>0.0005</v>
      </c>
      <c r="M64" s="59">
        <v>0.0037</v>
      </c>
      <c r="N64" s="59">
        <v>-0.0029</v>
      </c>
      <c r="O64" s="59">
        <v>-0.0035</v>
      </c>
      <c r="P64" s="59">
        <v>-0.0016</v>
      </c>
      <c r="Q64" s="59">
        <v>0.0003</v>
      </c>
      <c r="R64" s="59">
        <v>0.0009</v>
      </c>
      <c r="S64" s="59">
        <v>0.0078</v>
      </c>
      <c r="T64" s="59">
        <v>-0.0037</v>
      </c>
      <c r="U64" s="59">
        <v>0.0002</v>
      </c>
      <c r="V64" s="59">
        <v>0.0077</v>
      </c>
      <c r="W64" s="59"/>
      <c r="X64" s="59"/>
      <c r="Y64" s="59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</row>
    <row r="65" ht="15" customHeight="1" spans="1:41">
      <c r="A65" s="54"/>
      <c r="B65" s="55">
        <v>17</v>
      </c>
      <c r="C65" s="56"/>
      <c r="D65" s="57"/>
      <c r="E65" s="57"/>
      <c r="F65" s="57"/>
      <c r="G65" s="58"/>
      <c r="H65" s="58"/>
      <c r="I65" s="57" t="s">
        <v>37</v>
      </c>
      <c r="J65" s="59">
        <v>0.007</v>
      </c>
      <c r="K65" s="59">
        <v>0.001</v>
      </c>
      <c r="L65" s="59">
        <v>-0.0061</v>
      </c>
      <c r="M65" s="59">
        <v>-0.0017</v>
      </c>
      <c r="N65" s="59">
        <v>-0.0039</v>
      </c>
      <c r="O65" s="59">
        <v>-0.005</v>
      </c>
      <c r="P65" s="59">
        <v>-0.0063</v>
      </c>
      <c r="Q65" s="59">
        <v>-0.0055</v>
      </c>
      <c r="R65" s="59">
        <v>-0.0004</v>
      </c>
      <c r="S65" s="59">
        <v>0.0044</v>
      </c>
      <c r="T65" s="59">
        <v>-0.008</v>
      </c>
      <c r="U65" s="59">
        <v>0</v>
      </c>
      <c r="V65" s="59">
        <v>0.0042</v>
      </c>
      <c r="W65" s="59"/>
      <c r="X65" s="59"/>
      <c r="Y65" s="59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</row>
    <row r="66" ht="15" customHeight="1" spans="1:41">
      <c r="A66" s="54"/>
      <c r="B66" s="55">
        <v>18</v>
      </c>
      <c r="C66" s="56"/>
      <c r="D66" s="57"/>
      <c r="E66" s="57"/>
      <c r="F66" s="57"/>
      <c r="G66" s="58"/>
      <c r="H66" s="58"/>
      <c r="I66" s="57" t="s">
        <v>37</v>
      </c>
      <c r="J66" s="59">
        <v>-0.0002</v>
      </c>
      <c r="K66" s="59">
        <v>0.0105</v>
      </c>
      <c r="L66" s="59">
        <v>0.0022</v>
      </c>
      <c r="M66" s="59">
        <v>0.0009</v>
      </c>
      <c r="N66" s="59">
        <v>0.004</v>
      </c>
      <c r="O66" s="59">
        <v>-0.0007</v>
      </c>
      <c r="P66" s="59">
        <v>-0.0058</v>
      </c>
      <c r="Q66" s="59">
        <v>-0.0046</v>
      </c>
      <c r="R66" s="59">
        <v>0.0047</v>
      </c>
      <c r="S66" s="59">
        <v>0.0016</v>
      </c>
      <c r="T66" s="59">
        <v>-0.0017</v>
      </c>
      <c r="U66" s="59">
        <v>-0.0011</v>
      </c>
      <c r="V66" s="59">
        <v>0.0012</v>
      </c>
      <c r="W66" s="59"/>
      <c r="X66" s="59"/>
      <c r="Y66" s="59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</row>
    <row r="67" ht="15" customHeight="1" spans="1:41">
      <c r="A67" s="54"/>
      <c r="B67" s="55">
        <v>19</v>
      </c>
      <c r="C67" s="56"/>
      <c r="D67" s="57"/>
      <c r="E67" s="57"/>
      <c r="F67" s="57"/>
      <c r="G67" s="58"/>
      <c r="H67" s="58"/>
      <c r="I67" s="57" t="s">
        <v>37</v>
      </c>
      <c r="J67" s="59">
        <v>-0.0024</v>
      </c>
      <c r="K67" s="59">
        <v>0.0017</v>
      </c>
      <c r="L67" s="59">
        <v>0.002</v>
      </c>
      <c r="M67" s="59">
        <v>-0.0044</v>
      </c>
      <c r="N67" s="59">
        <v>0.0054</v>
      </c>
      <c r="O67" s="59">
        <v>0.0013</v>
      </c>
      <c r="P67" s="59">
        <v>-0.0079</v>
      </c>
      <c r="Q67" s="59">
        <v>-0.0102</v>
      </c>
      <c r="R67" s="59">
        <v>0.0039</v>
      </c>
      <c r="S67" s="59">
        <v>-0.0048</v>
      </c>
      <c r="T67" s="59">
        <v>-0.0022</v>
      </c>
      <c r="U67" s="59">
        <v>-0.0045</v>
      </c>
      <c r="V67" s="59">
        <v>-0.0054</v>
      </c>
      <c r="W67" s="59"/>
      <c r="X67" s="59"/>
      <c r="Y67" s="59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</row>
    <row r="68" ht="15" customHeight="1" spans="1:41">
      <c r="A68" s="54"/>
      <c r="B68" s="55">
        <v>20</v>
      </c>
      <c r="C68" s="56"/>
      <c r="D68" s="57"/>
      <c r="E68" s="57"/>
      <c r="F68" s="57"/>
      <c r="G68" s="58"/>
      <c r="H68" s="58"/>
      <c r="I68" s="57" t="s">
        <v>37</v>
      </c>
      <c r="J68" s="59">
        <v>-0.0154</v>
      </c>
      <c r="K68" s="59">
        <v>-0.0076</v>
      </c>
      <c r="L68" s="59">
        <v>-0.0185</v>
      </c>
      <c r="M68" s="59">
        <v>-0.0157</v>
      </c>
      <c r="N68" s="59">
        <v>-0.0132</v>
      </c>
      <c r="O68" s="59">
        <v>-0.0132</v>
      </c>
      <c r="P68" s="59">
        <v>-0.0122</v>
      </c>
      <c r="Q68" s="59">
        <v>-0.0157</v>
      </c>
      <c r="R68" s="59">
        <v>-0.0118</v>
      </c>
      <c r="S68" s="59">
        <v>-0.0188</v>
      </c>
      <c r="T68" s="59">
        <v>-0.0116</v>
      </c>
      <c r="U68" s="59">
        <v>-0.0091</v>
      </c>
      <c r="V68" s="59">
        <v>-0.0188</v>
      </c>
      <c r="W68" s="59"/>
      <c r="X68" s="59"/>
      <c r="Y68" s="59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</row>
    <row r="69" ht="15" customHeight="1" spans="1:41">
      <c r="A69" s="54"/>
      <c r="B69" s="55">
        <v>21</v>
      </c>
      <c r="C69" s="56"/>
      <c r="D69" s="57"/>
      <c r="E69" s="57"/>
      <c r="F69" s="57"/>
      <c r="G69" s="58"/>
      <c r="H69" s="58"/>
      <c r="I69" s="57" t="s">
        <v>37</v>
      </c>
      <c r="J69" s="59">
        <v>-0.0106</v>
      </c>
      <c r="K69" s="59">
        <v>-0.0063</v>
      </c>
      <c r="L69" s="59">
        <v>-0.0128</v>
      </c>
      <c r="M69" s="59">
        <v>-0.0122</v>
      </c>
      <c r="N69" s="59">
        <v>-0.0077</v>
      </c>
      <c r="O69" s="59">
        <v>-0.0084</v>
      </c>
      <c r="P69" s="59">
        <v>-0.013</v>
      </c>
      <c r="Q69" s="59">
        <v>-0.0153</v>
      </c>
      <c r="R69" s="59">
        <v>-0.0071</v>
      </c>
      <c r="S69" s="59">
        <v>-0.0159</v>
      </c>
      <c r="T69" s="59">
        <v>-0.0105</v>
      </c>
      <c r="U69" s="59">
        <v>-0.007</v>
      </c>
      <c r="V69" s="59">
        <v>-0.0162</v>
      </c>
      <c r="W69" s="59"/>
      <c r="X69" s="59"/>
      <c r="Y69" s="59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</row>
    <row r="70" ht="15" customHeight="1" spans="1:41">
      <c r="A70" s="54"/>
      <c r="B70" s="55">
        <v>22</v>
      </c>
      <c r="C70" s="56"/>
      <c r="D70" s="57"/>
      <c r="E70" s="57"/>
      <c r="F70" s="57"/>
      <c r="G70" s="58"/>
      <c r="H70" s="58"/>
      <c r="I70" s="57" t="s">
        <v>37</v>
      </c>
      <c r="J70" s="59">
        <v>-0.0042</v>
      </c>
      <c r="K70" s="59">
        <v>-0.0032</v>
      </c>
      <c r="L70" s="59">
        <v>-0.0131</v>
      </c>
      <c r="M70" s="59">
        <v>-0.0099</v>
      </c>
      <c r="N70" s="59">
        <v>-0.0091</v>
      </c>
      <c r="O70" s="59">
        <v>-0.0082</v>
      </c>
      <c r="P70" s="59">
        <v>-0.0119</v>
      </c>
      <c r="Q70" s="59">
        <v>-0.0098</v>
      </c>
      <c r="R70" s="59">
        <v>-0.0065</v>
      </c>
      <c r="S70" s="59">
        <v>-0.0127</v>
      </c>
      <c r="T70" s="59">
        <v>-0.0103</v>
      </c>
      <c r="U70" s="59">
        <v>-0.0062</v>
      </c>
      <c r="V70" s="59">
        <v>-0.013</v>
      </c>
      <c r="W70" s="59"/>
      <c r="X70" s="59"/>
      <c r="Y70" s="59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</row>
    <row r="71" ht="15" customHeight="1" spans="1:41">
      <c r="A71" s="54"/>
      <c r="B71" s="55">
        <v>23</v>
      </c>
      <c r="C71" s="56"/>
      <c r="D71" s="57"/>
      <c r="E71" s="57"/>
      <c r="F71" s="57"/>
      <c r="G71" s="58"/>
      <c r="H71" s="58"/>
      <c r="I71" s="57" t="s">
        <v>37</v>
      </c>
      <c r="J71" s="59">
        <v>-0.004</v>
      </c>
      <c r="K71" s="59">
        <v>0.0015</v>
      </c>
      <c r="L71" s="59">
        <v>0.006</v>
      </c>
      <c r="M71" s="59">
        <v>-0.0022</v>
      </c>
      <c r="N71" s="59">
        <v>0.0054</v>
      </c>
      <c r="O71" s="59">
        <v>0.0016</v>
      </c>
      <c r="P71" s="59">
        <v>-0.0063</v>
      </c>
      <c r="Q71" s="59">
        <v>-0.0058</v>
      </c>
      <c r="R71" s="59">
        <v>0.0035</v>
      </c>
      <c r="S71" s="59">
        <v>0.0021</v>
      </c>
      <c r="T71" s="59">
        <v>-0.0033</v>
      </c>
      <c r="U71" s="59">
        <v>-0.0046</v>
      </c>
      <c r="V71" s="59">
        <v>0.0016</v>
      </c>
      <c r="W71" s="59"/>
      <c r="X71" s="59"/>
      <c r="Y71" s="59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</row>
    <row r="72" ht="15" customHeight="1" spans="1:41">
      <c r="A72" s="54"/>
      <c r="B72" s="55">
        <v>24</v>
      </c>
      <c r="C72" s="56"/>
      <c r="D72" s="57"/>
      <c r="E72" s="57"/>
      <c r="F72" s="57"/>
      <c r="G72" s="58"/>
      <c r="H72" s="58"/>
      <c r="I72" s="57" t="s">
        <v>37</v>
      </c>
      <c r="J72" s="59">
        <v>0.0007</v>
      </c>
      <c r="K72" s="59">
        <v>0.0008</v>
      </c>
      <c r="L72" s="59">
        <v>-0.0043</v>
      </c>
      <c r="M72" s="59">
        <v>0.0013</v>
      </c>
      <c r="N72" s="59">
        <v>-0.004</v>
      </c>
      <c r="O72" s="59">
        <v>-0.0025</v>
      </c>
      <c r="P72" s="59">
        <v>-0.0034</v>
      </c>
      <c r="Q72" s="59">
        <v>0.0004</v>
      </c>
      <c r="R72" s="59">
        <v>-0.0018</v>
      </c>
      <c r="S72" s="59">
        <v>0.0056</v>
      </c>
      <c r="T72" s="59">
        <v>-0.0039</v>
      </c>
      <c r="U72" s="59">
        <v>-0.0016</v>
      </c>
      <c r="V72" s="59">
        <v>0.0053</v>
      </c>
      <c r="W72" s="59"/>
      <c r="X72" s="59"/>
      <c r="Y72" s="59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</row>
    <row r="73" ht="15" customHeight="1" spans="1:41">
      <c r="A73" s="54"/>
      <c r="B73" s="55" t="s">
        <v>71</v>
      </c>
      <c r="C73" s="56" t="s">
        <v>72</v>
      </c>
      <c r="D73" s="57">
        <v>0</v>
      </c>
      <c r="E73" s="57">
        <v>0.06</v>
      </c>
      <c r="F73" s="57">
        <v>0</v>
      </c>
      <c r="G73" s="58">
        <f>D73+E73</f>
        <v>0.06</v>
      </c>
      <c r="H73" s="58">
        <f>D73+F73</f>
        <v>0</v>
      </c>
      <c r="I73" s="57" t="s">
        <v>37</v>
      </c>
      <c r="J73" s="59">
        <v>0.0325</v>
      </c>
      <c r="K73" s="59">
        <v>0.0175</v>
      </c>
      <c r="L73" s="59">
        <v>0.031</v>
      </c>
      <c r="M73" s="59">
        <v>0.0306</v>
      </c>
      <c r="N73" s="59">
        <v>0.0204</v>
      </c>
      <c r="O73" s="59">
        <v>0.0217</v>
      </c>
      <c r="P73" s="59">
        <v>0.0242</v>
      </c>
      <c r="Q73" s="59">
        <v>0.0296</v>
      </c>
      <c r="R73" s="59">
        <v>0.019</v>
      </c>
      <c r="S73" s="59">
        <v>0.0219</v>
      </c>
      <c r="T73" s="59">
        <v>0.0229</v>
      </c>
      <c r="U73" s="59">
        <v>0.0174</v>
      </c>
      <c r="V73" s="59">
        <v>0.0213</v>
      </c>
      <c r="W73" s="59"/>
      <c r="X73" s="59"/>
      <c r="Y73" s="59"/>
      <c r="Z73" s="60" t="str">
        <f t="shared" ref="Z73:AO73" si="29">IF(J73="","",IF(J73&gt;($D73+$E73),(J73-$D73-$E73),IF(J73&lt;($D73+$F73),(J73-$D73-$F73),"√")))</f>
        <v>√</v>
      </c>
      <c r="AA73" s="60" t="str">
        <f t="shared" si="29"/>
        <v>√</v>
      </c>
      <c r="AB73" s="60" t="str">
        <f t="shared" si="29"/>
        <v>√</v>
      </c>
      <c r="AC73" s="60" t="str">
        <f t="shared" si="29"/>
        <v>√</v>
      </c>
      <c r="AD73" s="60" t="str">
        <f t="shared" si="29"/>
        <v>√</v>
      </c>
      <c r="AE73" s="60" t="str">
        <f t="shared" si="29"/>
        <v>√</v>
      </c>
      <c r="AF73" s="60" t="str">
        <f t="shared" si="29"/>
        <v>√</v>
      </c>
      <c r="AG73" s="60" t="str">
        <f t="shared" si="29"/>
        <v>√</v>
      </c>
      <c r="AH73" s="60" t="str">
        <f t="shared" si="29"/>
        <v>√</v>
      </c>
      <c r="AI73" s="60" t="str">
        <f t="shared" si="29"/>
        <v>√</v>
      </c>
      <c r="AJ73" s="60" t="str">
        <f t="shared" si="29"/>
        <v>√</v>
      </c>
      <c r="AK73" s="60" t="str">
        <f t="shared" si="29"/>
        <v>√</v>
      </c>
      <c r="AL73" s="60" t="str">
        <f t="shared" si="29"/>
        <v>√</v>
      </c>
      <c r="AM73" s="60" t="str">
        <f t="shared" si="29"/>
        <v/>
      </c>
      <c r="AN73" s="60" t="str">
        <f t="shared" si="29"/>
        <v/>
      </c>
      <c r="AO73" s="60" t="str">
        <f t="shared" si="29"/>
        <v/>
      </c>
    </row>
    <row r="74" ht="15" customHeight="1" spans="1:41">
      <c r="A74" s="54"/>
      <c r="B74" s="55">
        <v>1</v>
      </c>
      <c r="C74" s="56"/>
      <c r="D74" s="57"/>
      <c r="E74" s="57"/>
      <c r="F74" s="57"/>
      <c r="G74" s="58"/>
      <c r="H74" s="58"/>
      <c r="I74" s="57" t="s">
        <v>37</v>
      </c>
      <c r="J74" s="59">
        <v>-0.0162</v>
      </c>
      <c r="K74" s="59">
        <v>-0.0088</v>
      </c>
      <c r="L74" s="59">
        <v>-0.0155</v>
      </c>
      <c r="M74" s="59">
        <v>-0.0153</v>
      </c>
      <c r="N74" s="59">
        <v>-0.0102</v>
      </c>
      <c r="O74" s="59">
        <v>-0.0108</v>
      </c>
      <c r="P74" s="59">
        <v>-0.0118</v>
      </c>
      <c r="Q74" s="59">
        <v>-0.0148</v>
      </c>
      <c r="R74" s="59">
        <v>-0.009</v>
      </c>
      <c r="S74" s="59">
        <v>-0.0109</v>
      </c>
      <c r="T74" s="59">
        <v>-0.0115</v>
      </c>
      <c r="U74" s="59">
        <v>-0.0087</v>
      </c>
      <c r="V74" s="59">
        <v>-0.0106</v>
      </c>
      <c r="W74" s="59"/>
      <c r="X74" s="59"/>
      <c r="Y74" s="59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</row>
    <row r="75" ht="15" customHeight="1" spans="1:41">
      <c r="A75" s="54"/>
      <c r="B75" s="55">
        <v>2</v>
      </c>
      <c r="C75" s="56"/>
      <c r="D75" s="57"/>
      <c r="E75" s="57"/>
      <c r="F75" s="57"/>
      <c r="G75" s="58"/>
      <c r="H75" s="58"/>
      <c r="I75" s="57" t="s">
        <v>37</v>
      </c>
      <c r="J75" s="59">
        <v>-0.0038</v>
      </c>
      <c r="K75" s="59">
        <v>-0.003</v>
      </c>
      <c r="L75" s="59">
        <v>-0.0072</v>
      </c>
      <c r="M75" s="59">
        <v>-0.0099</v>
      </c>
      <c r="N75" s="59">
        <v>-0.0054</v>
      </c>
      <c r="O75" s="59">
        <v>-0.0067</v>
      </c>
      <c r="P75" s="59">
        <v>-0.0098</v>
      </c>
      <c r="Q75" s="59">
        <v>-0.0067</v>
      </c>
      <c r="R75" s="59">
        <v>-0.004</v>
      </c>
      <c r="S75" s="59">
        <v>-0.0028</v>
      </c>
      <c r="T75" s="59">
        <v>-0.0081</v>
      </c>
      <c r="U75" s="59">
        <v>-0.0065</v>
      </c>
      <c r="V75" s="59">
        <v>-0.0028</v>
      </c>
      <c r="W75" s="59"/>
      <c r="X75" s="59"/>
      <c r="Y75" s="59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</row>
    <row r="76" ht="15" customHeight="1" spans="1:41">
      <c r="A76" s="54"/>
      <c r="B76" s="55">
        <v>3</v>
      </c>
      <c r="C76" s="56"/>
      <c r="D76" s="57"/>
      <c r="E76" s="57"/>
      <c r="F76" s="57"/>
      <c r="G76" s="58"/>
      <c r="H76" s="58"/>
      <c r="I76" s="57" t="s">
        <v>37</v>
      </c>
      <c r="J76" s="59">
        <v>-0.0024</v>
      </c>
      <c r="K76" s="59">
        <v>0.0008</v>
      </c>
      <c r="L76" s="59">
        <v>-0.0046</v>
      </c>
      <c r="M76" s="59">
        <v>-0.0045</v>
      </c>
      <c r="N76" s="59">
        <v>-0.0039</v>
      </c>
      <c r="O76" s="59">
        <v>-0.0036</v>
      </c>
      <c r="P76" s="59">
        <v>-0.0068</v>
      </c>
      <c r="Q76" s="59">
        <v>-0.0018</v>
      </c>
      <c r="R76" s="59">
        <v>-0.0022</v>
      </c>
      <c r="S76" s="59">
        <v>0.0005</v>
      </c>
      <c r="T76" s="59">
        <v>-0.0063</v>
      </c>
      <c r="U76" s="59">
        <v>-0.0034</v>
      </c>
      <c r="V76" s="59">
        <v>0.0006</v>
      </c>
      <c r="W76" s="59"/>
      <c r="X76" s="59"/>
      <c r="Y76" s="59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</row>
    <row r="77" ht="15" customHeight="1" spans="1:41">
      <c r="A77" s="54"/>
      <c r="B77" s="55">
        <v>4</v>
      </c>
      <c r="C77" s="56"/>
      <c r="D77" s="57"/>
      <c r="E77" s="57"/>
      <c r="F77" s="57"/>
      <c r="G77" s="58"/>
      <c r="H77" s="58"/>
      <c r="I77" s="57" t="s">
        <v>37</v>
      </c>
      <c r="J77" s="59">
        <v>-0.0016</v>
      </c>
      <c r="K77" s="59">
        <v>0.0033</v>
      </c>
      <c r="L77" s="59">
        <v>-0.0039</v>
      </c>
      <c r="M77" s="59">
        <v>-0.0014</v>
      </c>
      <c r="N77" s="59">
        <v>-0.0023</v>
      </c>
      <c r="O77" s="59">
        <v>-0.0041</v>
      </c>
      <c r="P77" s="59">
        <v>-0.0057</v>
      </c>
      <c r="Q77" s="59">
        <v>-0.0011</v>
      </c>
      <c r="R77" s="59">
        <v>0.0001</v>
      </c>
      <c r="S77" s="59">
        <v>0.0023</v>
      </c>
      <c r="T77" s="59">
        <v>-0.0051</v>
      </c>
      <c r="U77" s="59">
        <v>-0.0034</v>
      </c>
      <c r="V77" s="59">
        <v>0.0025</v>
      </c>
      <c r="W77" s="59"/>
      <c r="X77" s="59"/>
      <c r="Y77" s="59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</row>
    <row r="78" ht="15" customHeight="1" spans="1:41">
      <c r="A78" s="54"/>
      <c r="B78" s="55">
        <v>5</v>
      </c>
      <c r="C78" s="56"/>
      <c r="D78" s="57"/>
      <c r="E78" s="57"/>
      <c r="F78" s="57"/>
      <c r="G78" s="58"/>
      <c r="H78" s="58"/>
      <c r="I78" s="57" t="s">
        <v>37</v>
      </c>
      <c r="J78" s="59">
        <v>0.0015</v>
      </c>
      <c r="K78" s="59">
        <v>0.0023</v>
      </c>
      <c r="L78" s="59">
        <v>0.0009</v>
      </c>
      <c r="M78" s="59">
        <v>0.0009</v>
      </c>
      <c r="N78" s="59">
        <v>-0.0009</v>
      </c>
      <c r="O78" s="59">
        <v>-0.0035</v>
      </c>
      <c r="P78" s="59">
        <v>-0.0051</v>
      </c>
      <c r="Q78" s="59">
        <v>-0.0009</v>
      </c>
      <c r="R78" s="59">
        <v>0.0019</v>
      </c>
      <c r="S78" s="59">
        <v>0.0027</v>
      </c>
      <c r="T78" s="59">
        <v>-0.003</v>
      </c>
      <c r="U78" s="59">
        <v>-0.0018</v>
      </c>
      <c r="V78" s="59">
        <v>0.003</v>
      </c>
      <c r="W78" s="59"/>
      <c r="X78" s="59"/>
      <c r="Y78" s="59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</row>
    <row r="79" ht="15" customHeight="1" spans="1:41">
      <c r="A79" s="54"/>
      <c r="B79" s="55">
        <v>6</v>
      </c>
      <c r="C79" s="56"/>
      <c r="D79" s="57"/>
      <c r="E79" s="57"/>
      <c r="F79" s="57"/>
      <c r="G79" s="58"/>
      <c r="H79" s="58"/>
      <c r="I79" s="57" t="s">
        <v>37</v>
      </c>
      <c r="J79" s="59">
        <v>0.0019</v>
      </c>
      <c r="K79" s="59">
        <v>0.0033</v>
      </c>
      <c r="L79" s="59">
        <v>0.0003</v>
      </c>
      <c r="M79" s="59">
        <v>0.0003</v>
      </c>
      <c r="N79" s="59">
        <v>0</v>
      </c>
      <c r="O79" s="59">
        <v>0.0001</v>
      </c>
      <c r="P79" s="59">
        <v>-0.0066</v>
      </c>
      <c r="Q79" s="59">
        <v>0.0002</v>
      </c>
      <c r="R79" s="59">
        <v>0.0031</v>
      </c>
      <c r="S79" s="59">
        <v>0.0037</v>
      </c>
      <c r="T79" s="59">
        <v>-0.003</v>
      </c>
      <c r="U79" s="59">
        <v>0.0029</v>
      </c>
      <c r="V79" s="59">
        <v>0.0037</v>
      </c>
      <c r="W79" s="59"/>
      <c r="X79" s="59"/>
      <c r="Y79" s="59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</row>
    <row r="80" ht="15" customHeight="1" spans="1:41">
      <c r="A80" s="54"/>
      <c r="B80" s="55">
        <v>7</v>
      </c>
      <c r="C80" s="56"/>
      <c r="D80" s="57"/>
      <c r="E80" s="57"/>
      <c r="F80" s="57"/>
      <c r="G80" s="58"/>
      <c r="H80" s="58"/>
      <c r="I80" s="57" t="s">
        <v>37</v>
      </c>
      <c r="J80" s="59">
        <v>0.0038</v>
      </c>
      <c r="K80" s="59">
        <v>0.0047</v>
      </c>
      <c r="L80" s="59">
        <v>0.0044</v>
      </c>
      <c r="M80" s="59">
        <v>0.0086</v>
      </c>
      <c r="N80" s="59">
        <v>0.0017</v>
      </c>
      <c r="O80" s="59">
        <v>0.0017</v>
      </c>
      <c r="P80" s="59">
        <v>-0.0041</v>
      </c>
      <c r="Q80" s="59">
        <v>0.0013</v>
      </c>
      <c r="R80" s="59">
        <v>0.0095</v>
      </c>
      <c r="S80" s="59">
        <v>0.0045</v>
      </c>
      <c r="T80" s="59">
        <v>-0.0008</v>
      </c>
      <c r="U80" s="59">
        <v>0.0029</v>
      </c>
      <c r="V80" s="59">
        <v>0.0054</v>
      </c>
      <c r="W80" s="59"/>
      <c r="X80" s="59"/>
      <c r="Y80" s="59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</row>
    <row r="81" ht="15" customHeight="1" spans="1:41">
      <c r="A81" s="54"/>
      <c r="B81" s="55">
        <v>8</v>
      </c>
      <c r="C81" s="56"/>
      <c r="D81" s="57"/>
      <c r="E81" s="57"/>
      <c r="F81" s="57"/>
      <c r="G81" s="58"/>
      <c r="H81" s="58"/>
      <c r="I81" s="57" t="s">
        <v>37</v>
      </c>
      <c r="J81" s="59">
        <v>0.0023</v>
      </c>
      <c r="K81" s="59">
        <v>0.0028</v>
      </c>
      <c r="L81" s="59">
        <v>0.0029</v>
      </c>
      <c r="M81" s="59">
        <v>0.0068</v>
      </c>
      <c r="N81" s="59">
        <v>0.0012</v>
      </c>
      <c r="O81" s="59">
        <v>0.0006</v>
      </c>
      <c r="P81" s="59">
        <v>-0.0052</v>
      </c>
      <c r="Q81" s="59">
        <v>-0.0007</v>
      </c>
      <c r="R81" s="59">
        <v>0.0091</v>
      </c>
      <c r="S81" s="59">
        <v>0.0035</v>
      </c>
      <c r="T81" s="59">
        <v>-0.0023</v>
      </c>
      <c r="U81" s="59">
        <v>0.0016</v>
      </c>
      <c r="V81" s="59">
        <v>0.0043</v>
      </c>
      <c r="W81" s="59"/>
      <c r="X81" s="59"/>
      <c r="Y81" s="59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</row>
    <row r="82" ht="15" customHeight="1" spans="1:41">
      <c r="A82" s="54"/>
      <c r="B82" s="55">
        <v>9</v>
      </c>
      <c r="C82" s="56"/>
      <c r="D82" s="57"/>
      <c r="E82" s="57"/>
      <c r="F82" s="57"/>
      <c r="G82" s="58"/>
      <c r="H82" s="58"/>
      <c r="I82" s="57" t="s">
        <v>37</v>
      </c>
      <c r="J82" s="59">
        <v>0.0016</v>
      </c>
      <c r="K82" s="59">
        <v>0.0006</v>
      </c>
      <c r="L82" s="59">
        <v>0.0008</v>
      </c>
      <c r="M82" s="59">
        <v>0.0062</v>
      </c>
      <c r="N82" s="59">
        <v>0.0004</v>
      </c>
      <c r="O82" s="59">
        <v>0.001</v>
      </c>
      <c r="P82" s="59">
        <v>-0.005</v>
      </c>
      <c r="Q82" s="59">
        <v>-0.002</v>
      </c>
      <c r="R82" s="59">
        <v>0.0078</v>
      </c>
      <c r="S82" s="59">
        <v>0.0012</v>
      </c>
      <c r="T82" s="59">
        <v>-0.0024</v>
      </c>
      <c r="U82" s="59">
        <v>0.0023</v>
      </c>
      <c r="V82" s="59">
        <v>0.002</v>
      </c>
      <c r="W82" s="59"/>
      <c r="X82" s="59"/>
      <c r="Y82" s="59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</row>
    <row r="83" ht="15" customHeight="1" spans="1:41">
      <c r="A83" s="54"/>
      <c r="B83" s="55">
        <v>10</v>
      </c>
      <c r="C83" s="56"/>
      <c r="D83" s="57"/>
      <c r="E83" s="57"/>
      <c r="F83" s="57"/>
      <c r="G83" s="58"/>
      <c r="H83" s="58"/>
      <c r="I83" s="57" t="s">
        <v>37</v>
      </c>
      <c r="J83" s="59">
        <v>-0.002</v>
      </c>
      <c r="K83" s="59">
        <v>0.0011</v>
      </c>
      <c r="L83" s="59">
        <v>0.0004</v>
      </c>
      <c r="M83" s="59">
        <v>0.0037</v>
      </c>
      <c r="N83" s="59">
        <v>0.0009</v>
      </c>
      <c r="O83" s="59">
        <v>0</v>
      </c>
      <c r="P83" s="59">
        <v>-0.0066</v>
      </c>
      <c r="Q83" s="59">
        <v>-0.004</v>
      </c>
      <c r="R83" s="59">
        <v>0.0056</v>
      </c>
      <c r="S83" s="59">
        <v>0.0012</v>
      </c>
      <c r="T83" s="59">
        <v>-0.0017</v>
      </c>
      <c r="U83" s="59">
        <v>0.0003</v>
      </c>
      <c r="V83" s="59">
        <v>0.0021</v>
      </c>
      <c r="W83" s="59"/>
      <c r="X83" s="59"/>
      <c r="Y83" s="59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</row>
    <row r="84" ht="15" customHeight="1" spans="1:41">
      <c r="A84" s="54"/>
      <c r="B84" s="55">
        <v>11</v>
      </c>
      <c r="C84" s="56"/>
      <c r="D84" s="57"/>
      <c r="E84" s="57"/>
      <c r="F84" s="57"/>
      <c r="G84" s="58"/>
      <c r="H84" s="58"/>
      <c r="I84" s="57" t="s">
        <v>37</v>
      </c>
      <c r="J84" s="59">
        <v>-0.0012</v>
      </c>
      <c r="K84" s="59">
        <v>-0.0034</v>
      </c>
      <c r="L84" s="59">
        <v>-0.0035</v>
      </c>
      <c r="M84" s="59">
        <v>-0.0044</v>
      </c>
      <c r="N84" s="59">
        <v>-0.0041</v>
      </c>
      <c r="O84" s="59">
        <v>-0.0046</v>
      </c>
      <c r="P84" s="59">
        <v>-0.0098</v>
      </c>
      <c r="Q84" s="59">
        <v>-0.0068</v>
      </c>
      <c r="R84" s="59">
        <v>0.0011</v>
      </c>
      <c r="S84" s="59">
        <v>0.0002</v>
      </c>
      <c r="T84" s="59">
        <v>-0.0062</v>
      </c>
      <c r="U84" s="59">
        <v>-0.0031</v>
      </c>
      <c r="V84" s="59">
        <v>0.0009</v>
      </c>
      <c r="W84" s="59"/>
      <c r="X84" s="59"/>
      <c r="Y84" s="59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</row>
    <row r="85" ht="15" customHeight="1" spans="1:41">
      <c r="A85" s="54"/>
      <c r="B85" s="55">
        <v>12</v>
      </c>
      <c r="C85" s="56"/>
      <c r="D85" s="57"/>
      <c r="E85" s="57"/>
      <c r="F85" s="57"/>
      <c r="G85" s="58"/>
      <c r="H85" s="58"/>
      <c r="I85" s="57" t="s">
        <v>37</v>
      </c>
      <c r="J85" s="59">
        <v>-0.0055</v>
      </c>
      <c r="K85" s="59">
        <v>-0.0007</v>
      </c>
      <c r="L85" s="59">
        <v>-0.0041</v>
      </c>
      <c r="M85" s="59">
        <v>-0.0077</v>
      </c>
      <c r="N85" s="59">
        <v>-0.0047</v>
      </c>
      <c r="O85" s="59">
        <v>-0.0027</v>
      </c>
      <c r="P85" s="59">
        <v>-0.0091</v>
      </c>
      <c r="Q85" s="59">
        <v>-0.0108</v>
      </c>
      <c r="R85" s="59">
        <v>-0.0011</v>
      </c>
      <c r="S85" s="59">
        <v>-0.0037</v>
      </c>
      <c r="T85" s="59">
        <v>-0.0055</v>
      </c>
      <c r="U85" s="59">
        <v>-0.0019</v>
      </c>
      <c r="V85" s="59">
        <v>-0.0035</v>
      </c>
      <c r="W85" s="59"/>
      <c r="X85" s="59"/>
      <c r="Y85" s="59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</row>
    <row r="86" ht="15" customHeight="1" spans="1:41">
      <c r="A86" s="54"/>
      <c r="B86" s="55">
        <v>13</v>
      </c>
      <c r="C86" s="56"/>
      <c r="D86" s="57"/>
      <c r="E86" s="57"/>
      <c r="F86" s="57"/>
      <c r="G86" s="58"/>
      <c r="H86" s="58"/>
      <c r="I86" s="57" t="s">
        <v>37</v>
      </c>
      <c r="J86" s="59">
        <v>-0.0093</v>
      </c>
      <c r="K86" s="59">
        <v>-0.0069</v>
      </c>
      <c r="L86" s="59">
        <v>-0.0097</v>
      </c>
      <c r="M86" s="59">
        <v>-0.0131</v>
      </c>
      <c r="N86" s="59">
        <v>-0.0079</v>
      </c>
      <c r="O86" s="59">
        <v>-0.0071</v>
      </c>
      <c r="P86" s="59">
        <v>-0.0116</v>
      </c>
      <c r="Q86" s="59">
        <v>-0.0115</v>
      </c>
      <c r="R86" s="59">
        <v>-0.0075</v>
      </c>
      <c r="S86" s="59">
        <v>-0.0053</v>
      </c>
      <c r="T86" s="59">
        <v>-0.0106</v>
      </c>
      <c r="U86" s="59">
        <v>-0.0046</v>
      </c>
      <c r="V86" s="59">
        <v>-0.0052</v>
      </c>
      <c r="W86" s="59"/>
      <c r="X86" s="59"/>
      <c r="Y86" s="59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</row>
    <row r="87" ht="15" customHeight="1" spans="1:41">
      <c r="A87" s="54"/>
      <c r="B87" s="55">
        <v>14</v>
      </c>
      <c r="C87" s="56"/>
      <c r="D87" s="57"/>
      <c r="E87" s="57"/>
      <c r="F87" s="57"/>
      <c r="G87" s="58"/>
      <c r="H87" s="58"/>
      <c r="I87" s="57" t="s">
        <v>37</v>
      </c>
      <c r="J87" s="59">
        <v>-0.0124</v>
      </c>
      <c r="K87" s="59">
        <v>-0.007</v>
      </c>
      <c r="L87" s="59">
        <v>-0.0102</v>
      </c>
      <c r="M87" s="59">
        <v>-0.0147</v>
      </c>
      <c r="N87" s="59">
        <v>-0.0084</v>
      </c>
      <c r="O87" s="59">
        <v>-0.0074</v>
      </c>
      <c r="P87" s="59">
        <v>-0.0089</v>
      </c>
      <c r="Q87" s="59">
        <v>-0.0126</v>
      </c>
      <c r="R87" s="59">
        <v>-0.0083</v>
      </c>
      <c r="S87" s="59">
        <v>-0.0081</v>
      </c>
      <c r="T87" s="59">
        <v>-0.01</v>
      </c>
      <c r="U87" s="59">
        <v>-0.0066</v>
      </c>
      <c r="V87" s="59">
        <v>-0.0081</v>
      </c>
      <c r="W87" s="59"/>
      <c r="X87" s="59"/>
      <c r="Y87" s="59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</row>
    <row r="88" ht="15" customHeight="1" spans="1:41">
      <c r="A88" s="54"/>
      <c r="B88" s="55">
        <v>15</v>
      </c>
      <c r="C88" s="56"/>
      <c r="D88" s="57"/>
      <c r="E88" s="57"/>
      <c r="F88" s="57"/>
      <c r="G88" s="58"/>
      <c r="H88" s="58"/>
      <c r="I88" s="57" t="s">
        <v>37</v>
      </c>
      <c r="J88" s="59">
        <v>-0.0124</v>
      </c>
      <c r="K88" s="59">
        <v>-0.0054</v>
      </c>
      <c r="L88" s="59">
        <v>-0.0118</v>
      </c>
      <c r="M88" s="59">
        <v>-0.0135</v>
      </c>
      <c r="N88" s="59">
        <v>-0.0088</v>
      </c>
      <c r="O88" s="59">
        <v>-0.0079</v>
      </c>
      <c r="P88" s="59">
        <v>-0.0121</v>
      </c>
      <c r="Q88" s="59">
        <v>-0.0123</v>
      </c>
      <c r="R88" s="59">
        <v>-0.0083</v>
      </c>
      <c r="S88" s="59">
        <v>-0.0079</v>
      </c>
      <c r="T88" s="59">
        <v>-0.0099</v>
      </c>
      <c r="U88" s="59">
        <v>-0.0068</v>
      </c>
      <c r="V88" s="59">
        <v>-0.008</v>
      </c>
      <c r="W88" s="59"/>
      <c r="X88" s="59"/>
      <c r="Y88" s="59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</row>
    <row r="89" ht="15" customHeight="1" spans="1:41">
      <c r="A89" s="54"/>
      <c r="B89" s="55">
        <v>16</v>
      </c>
      <c r="C89" s="56"/>
      <c r="D89" s="57"/>
      <c r="E89" s="57"/>
      <c r="F89" s="57"/>
      <c r="G89" s="58"/>
      <c r="H89" s="58"/>
      <c r="I89" s="57" t="s">
        <v>37</v>
      </c>
      <c r="J89" s="59">
        <v>-0.0137</v>
      </c>
      <c r="K89" s="59">
        <v>-0.0068</v>
      </c>
      <c r="L89" s="59">
        <v>-0.0135</v>
      </c>
      <c r="M89" s="59">
        <v>-0.0126</v>
      </c>
      <c r="N89" s="59">
        <v>-0.0093</v>
      </c>
      <c r="O89" s="59">
        <v>-0.0098</v>
      </c>
      <c r="P89" s="59">
        <v>-0.011</v>
      </c>
      <c r="Q89" s="59">
        <v>-0.0142</v>
      </c>
      <c r="R89" s="59">
        <v>-0.0079</v>
      </c>
      <c r="S89" s="59">
        <v>-0.0087</v>
      </c>
      <c r="T89" s="59">
        <v>-0.0107</v>
      </c>
      <c r="U89" s="59">
        <v>-0.0079</v>
      </c>
      <c r="V89" s="59">
        <v>-0.0084</v>
      </c>
      <c r="W89" s="59"/>
      <c r="X89" s="59"/>
      <c r="Y89" s="59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</row>
    <row r="90" ht="15" customHeight="1" spans="1:41">
      <c r="A90" s="54"/>
      <c r="B90" s="55">
        <v>17</v>
      </c>
      <c r="C90" s="56"/>
      <c r="D90" s="57"/>
      <c r="E90" s="57"/>
      <c r="F90" s="57"/>
      <c r="G90" s="58"/>
      <c r="H90" s="58"/>
      <c r="I90" s="57" t="s">
        <v>37</v>
      </c>
      <c r="J90" s="59">
        <v>-0.0021</v>
      </c>
      <c r="K90" s="59">
        <v>-0.003</v>
      </c>
      <c r="L90" s="59">
        <v>-0.0069</v>
      </c>
      <c r="M90" s="59">
        <v>-0.0093</v>
      </c>
      <c r="N90" s="59">
        <v>-0.0062</v>
      </c>
      <c r="O90" s="59">
        <v>-0.0052</v>
      </c>
      <c r="P90" s="59">
        <v>-0.0101</v>
      </c>
      <c r="Q90" s="59">
        <v>-0.0054</v>
      </c>
      <c r="R90" s="59">
        <v>-0.0054</v>
      </c>
      <c r="S90" s="59">
        <v>-0.0012</v>
      </c>
      <c r="T90" s="59">
        <v>-0.0084</v>
      </c>
      <c r="U90" s="59">
        <v>-0.0043</v>
      </c>
      <c r="V90" s="59">
        <v>-0.0012</v>
      </c>
      <c r="W90" s="59"/>
      <c r="X90" s="59"/>
      <c r="Y90" s="59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</row>
    <row r="91" ht="15" customHeight="1" spans="1:41">
      <c r="A91" s="54"/>
      <c r="B91" s="55">
        <v>18</v>
      </c>
      <c r="C91" s="56"/>
      <c r="D91" s="57"/>
      <c r="E91" s="57"/>
      <c r="F91" s="57"/>
      <c r="G91" s="58"/>
      <c r="H91" s="58"/>
      <c r="I91" s="57" t="s">
        <v>37</v>
      </c>
      <c r="J91" s="59">
        <v>-0.0009</v>
      </c>
      <c r="K91" s="59">
        <v>0.0012</v>
      </c>
      <c r="L91" s="59">
        <v>-0.0045</v>
      </c>
      <c r="M91" s="59">
        <v>-0.0032</v>
      </c>
      <c r="N91" s="59">
        <v>-0.0029</v>
      </c>
      <c r="O91" s="59">
        <v>-0.0045</v>
      </c>
      <c r="P91" s="59">
        <v>-0.0051</v>
      </c>
      <c r="Q91" s="59">
        <v>-0.0017</v>
      </c>
      <c r="R91" s="59">
        <v>-0.0015</v>
      </c>
      <c r="S91" s="59">
        <v>0.0029</v>
      </c>
      <c r="T91" s="59">
        <v>-0.0034</v>
      </c>
      <c r="U91" s="59">
        <v>-0.0015</v>
      </c>
      <c r="V91" s="59">
        <v>0.003</v>
      </c>
      <c r="W91" s="59"/>
      <c r="X91" s="59"/>
      <c r="Y91" s="59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</row>
    <row r="92" ht="15" customHeight="1" spans="1:41">
      <c r="A92" s="54"/>
      <c r="B92" s="55">
        <v>19</v>
      </c>
      <c r="C92" s="56"/>
      <c r="D92" s="57"/>
      <c r="E92" s="57"/>
      <c r="F92" s="57"/>
      <c r="G92" s="58"/>
      <c r="H92" s="58"/>
      <c r="I92" s="57" t="s">
        <v>37</v>
      </c>
      <c r="J92" s="59">
        <v>0.002</v>
      </c>
      <c r="K92" s="59">
        <v>0.0034</v>
      </c>
      <c r="L92" s="59">
        <v>0.001</v>
      </c>
      <c r="M92" s="59">
        <v>-0.0005</v>
      </c>
      <c r="N92" s="59">
        <v>-0.0005</v>
      </c>
      <c r="O92" s="59">
        <v>-0.0015</v>
      </c>
      <c r="P92" s="59">
        <v>-0.0062</v>
      </c>
      <c r="Q92" s="59">
        <v>0.0002</v>
      </c>
      <c r="R92" s="59">
        <v>0.0028</v>
      </c>
      <c r="S92" s="59">
        <v>0.0039</v>
      </c>
      <c r="T92" s="59">
        <v>-0.0041</v>
      </c>
      <c r="U92" s="59">
        <v>0.0012</v>
      </c>
      <c r="V92" s="59">
        <v>0.0034</v>
      </c>
      <c r="W92" s="59"/>
      <c r="X92" s="59"/>
      <c r="Y92" s="59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</row>
    <row r="93" ht="15" customHeight="1" spans="1:41">
      <c r="A93" s="54"/>
      <c r="B93" s="55">
        <v>20</v>
      </c>
      <c r="C93" s="56"/>
      <c r="D93" s="57"/>
      <c r="E93" s="57"/>
      <c r="F93" s="57"/>
      <c r="G93" s="58"/>
      <c r="H93" s="58"/>
      <c r="I93" s="57" t="s">
        <v>37</v>
      </c>
      <c r="J93" s="59">
        <v>0.0028</v>
      </c>
      <c r="K93" s="59">
        <v>0.0024</v>
      </c>
      <c r="L93" s="59">
        <v>0.003</v>
      </c>
      <c r="M93" s="59">
        <v>0.0073</v>
      </c>
      <c r="N93" s="59">
        <v>0.0018</v>
      </c>
      <c r="O93" s="59">
        <v>0.0022</v>
      </c>
      <c r="P93" s="59">
        <v>-0.0031</v>
      </c>
      <c r="Q93" s="59">
        <v>-0.0008</v>
      </c>
      <c r="R93" s="59">
        <v>0.0076</v>
      </c>
      <c r="S93" s="59">
        <v>0.0039</v>
      </c>
      <c r="T93" s="59">
        <v>-0.0013</v>
      </c>
      <c r="U93" s="59">
        <v>0.0027</v>
      </c>
      <c r="V93" s="59">
        <v>0.0045</v>
      </c>
      <c r="W93" s="59"/>
      <c r="X93" s="59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</row>
    <row r="94" ht="15" customHeight="1" spans="1:41">
      <c r="A94" s="54"/>
      <c r="B94" s="55">
        <v>21</v>
      </c>
      <c r="C94" s="56"/>
      <c r="D94" s="57"/>
      <c r="E94" s="57"/>
      <c r="F94" s="57"/>
      <c r="G94" s="58"/>
      <c r="H94" s="58"/>
      <c r="I94" s="57" t="s">
        <v>37</v>
      </c>
      <c r="J94" s="59">
        <v>0.0012</v>
      </c>
      <c r="K94" s="59">
        <v>0.0011</v>
      </c>
      <c r="L94" s="59">
        <v>0.0005</v>
      </c>
      <c r="M94" s="59">
        <v>0.0035</v>
      </c>
      <c r="N94" s="59">
        <v>-0.0003</v>
      </c>
      <c r="O94" s="59">
        <v>0.0034</v>
      </c>
      <c r="P94" s="59">
        <v>-0.0045</v>
      </c>
      <c r="Q94" s="59">
        <v>-0.0005</v>
      </c>
      <c r="R94" s="59">
        <v>0.0063</v>
      </c>
      <c r="S94" s="59">
        <v>0.0022</v>
      </c>
      <c r="T94" s="59">
        <v>-0.0026</v>
      </c>
      <c r="U94" s="59">
        <v>0.0031</v>
      </c>
      <c r="V94" s="59">
        <v>0.0027</v>
      </c>
      <c r="W94" s="59"/>
      <c r="X94" s="59"/>
      <c r="Y94" s="59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</row>
    <row r="95" ht="15" customHeight="1" spans="1:41">
      <c r="A95" s="54"/>
      <c r="B95" s="55">
        <v>22</v>
      </c>
      <c r="C95" s="56"/>
      <c r="D95" s="57"/>
      <c r="E95" s="57"/>
      <c r="F95" s="57"/>
      <c r="G95" s="58"/>
      <c r="H95" s="58"/>
      <c r="I95" s="57" t="s">
        <v>37</v>
      </c>
      <c r="J95" s="59">
        <v>-0.0012</v>
      </c>
      <c r="K95" s="59">
        <v>-0.0028</v>
      </c>
      <c r="L95" s="59">
        <v>-0.0039</v>
      </c>
      <c r="M95" s="59">
        <v>-0.0058</v>
      </c>
      <c r="N95" s="59">
        <v>-0.0056</v>
      </c>
      <c r="O95" s="59">
        <v>-0.0057</v>
      </c>
      <c r="P95" s="59">
        <v>-0.0103</v>
      </c>
      <c r="Q95" s="59">
        <v>-0.0059</v>
      </c>
      <c r="R95" s="59">
        <v>-0.0015</v>
      </c>
      <c r="S95" s="59">
        <v>0.0004</v>
      </c>
      <c r="T95" s="59">
        <v>-0.0082</v>
      </c>
      <c r="U95" s="59">
        <v>-0.003</v>
      </c>
      <c r="V95" s="59">
        <v>0.001</v>
      </c>
      <c r="W95" s="59"/>
      <c r="X95" s="59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</row>
    <row r="96" ht="15" customHeight="1" spans="1:41">
      <c r="A96" s="54"/>
      <c r="B96" s="55">
        <v>23</v>
      </c>
      <c r="C96" s="56"/>
      <c r="D96" s="57"/>
      <c r="E96" s="57"/>
      <c r="F96" s="57"/>
      <c r="G96" s="58"/>
      <c r="H96" s="58"/>
      <c r="I96" s="57" t="s">
        <v>37</v>
      </c>
      <c r="J96" s="59">
        <v>-0.0049</v>
      </c>
      <c r="K96" s="59">
        <v>-0.0009</v>
      </c>
      <c r="L96" s="59">
        <v>-0.004</v>
      </c>
      <c r="M96" s="59">
        <v>-0.0073</v>
      </c>
      <c r="N96" s="59">
        <v>-0.0045</v>
      </c>
      <c r="O96" s="59">
        <v>-0.0021</v>
      </c>
      <c r="P96" s="59">
        <v>-0.0091</v>
      </c>
      <c r="Q96" s="59">
        <v>-0.0093</v>
      </c>
      <c r="R96" s="59">
        <v>-0.0003</v>
      </c>
      <c r="S96" s="59">
        <v>-0.0029</v>
      </c>
      <c r="T96" s="59">
        <v>-0.0037</v>
      </c>
      <c r="U96" s="59">
        <v>-0.0001</v>
      </c>
      <c r="V96" s="59">
        <v>-0.003</v>
      </c>
      <c r="W96" s="59"/>
      <c r="X96" s="59"/>
      <c r="Y96" s="59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</row>
    <row r="97" ht="15" customHeight="1" spans="1:41">
      <c r="A97" s="54"/>
      <c r="B97" s="55">
        <v>24</v>
      </c>
      <c r="C97" s="56"/>
      <c r="D97" s="57"/>
      <c r="E97" s="57"/>
      <c r="F97" s="57"/>
      <c r="G97" s="58"/>
      <c r="H97" s="58"/>
      <c r="I97" s="57" t="s">
        <v>37</v>
      </c>
      <c r="J97" s="59">
        <v>-0.0089</v>
      </c>
      <c r="K97" s="59">
        <v>-0.0032</v>
      </c>
      <c r="L97" s="59">
        <v>-0.0089</v>
      </c>
      <c r="M97" s="59">
        <v>-0.0106</v>
      </c>
      <c r="N97" s="59">
        <v>-0.0062</v>
      </c>
      <c r="O97" s="59">
        <v>-0.0048</v>
      </c>
      <c r="P97" s="59">
        <v>-0.0098</v>
      </c>
      <c r="Q97" s="59">
        <v>-0.0107</v>
      </c>
      <c r="R97" s="59">
        <v>-0.006</v>
      </c>
      <c r="S97" s="59">
        <v>-0.0051</v>
      </c>
      <c r="T97" s="59">
        <v>-0.0084</v>
      </c>
      <c r="U97" s="59">
        <v>-0.0051</v>
      </c>
      <c r="V97" s="59">
        <v>-0.0051</v>
      </c>
      <c r="W97" s="59"/>
      <c r="X97" s="59"/>
      <c r="Y97" s="59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</row>
    <row r="98" ht="15" customHeight="1" spans="1:41">
      <c r="A98" s="54"/>
      <c r="B98" s="55" t="s">
        <v>73</v>
      </c>
      <c r="C98" s="56" t="s">
        <v>74</v>
      </c>
      <c r="D98" s="57">
        <v>0</v>
      </c>
      <c r="E98" s="57">
        <v>0.1</v>
      </c>
      <c r="F98" s="57">
        <v>0</v>
      </c>
      <c r="G98" s="58">
        <f>D98+E98</f>
        <v>0.1</v>
      </c>
      <c r="H98" s="58">
        <f>D98+F98</f>
        <v>0</v>
      </c>
      <c r="I98" s="57" t="s">
        <v>37</v>
      </c>
      <c r="J98" s="59">
        <v>0.0054</v>
      </c>
      <c r="K98" s="59">
        <v>0.0073</v>
      </c>
      <c r="L98" s="59">
        <v>0.0072</v>
      </c>
      <c r="M98" s="59">
        <v>0.0086</v>
      </c>
      <c r="N98" s="59">
        <v>0.0065</v>
      </c>
      <c r="O98" s="59">
        <v>0.0106</v>
      </c>
      <c r="P98" s="59">
        <v>0.0063</v>
      </c>
      <c r="Q98" s="59">
        <v>0.0064</v>
      </c>
      <c r="R98" s="59">
        <v>0.0074</v>
      </c>
      <c r="S98" s="59">
        <v>0.0034</v>
      </c>
      <c r="T98" s="59">
        <v>0.0079</v>
      </c>
      <c r="U98" s="59">
        <v>0.0053</v>
      </c>
      <c r="V98" s="59">
        <v>0.0037</v>
      </c>
      <c r="W98" s="59"/>
      <c r="X98" s="59"/>
      <c r="Y98" s="59"/>
      <c r="Z98" s="60" t="str">
        <f t="shared" ref="Z98:AO98" si="30">IF(J98="","",IF(J98&gt;($D98+$E98),(J98-$D98-$E98),IF(J98&lt;($D98+$F98),(J98-$D98-$F98),"√")))</f>
        <v>√</v>
      </c>
      <c r="AA98" s="60" t="str">
        <f t="shared" si="30"/>
        <v>√</v>
      </c>
      <c r="AB98" s="60" t="str">
        <f t="shared" si="30"/>
        <v>√</v>
      </c>
      <c r="AC98" s="60" t="str">
        <f t="shared" si="30"/>
        <v>√</v>
      </c>
      <c r="AD98" s="60" t="str">
        <f t="shared" si="30"/>
        <v>√</v>
      </c>
      <c r="AE98" s="60" t="str">
        <f t="shared" si="30"/>
        <v>√</v>
      </c>
      <c r="AF98" s="60" t="str">
        <f t="shared" si="30"/>
        <v>√</v>
      </c>
      <c r="AG98" s="60" t="str">
        <f t="shared" si="30"/>
        <v>√</v>
      </c>
      <c r="AH98" s="60" t="str">
        <f t="shared" si="30"/>
        <v>√</v>
      </c>
      <c r="AI98" s="60" t="str">
        <f t="shared" si="30"/>
        <v>√</v>
      </c>
      <c r="AJ98" s="60" t="str">
        <f t="shared" si="30"/>
        <v>√</v>
      </c>
      <c r="AK98" s="60" t="str">
        <f t="shared" si="30"/>
        <v>√</v>
      </c>
      <c r="AL98" s="60" t="str">
        <f t="shared" si="30"/>
        <v>√</v>
      </c>
      <c r="AM98" s="60" t="str">
        <f t="shared" si="30"/>
        <v/>
      </c>
      <c r="AN98" s="60" t="str">
        <f t="shared" si="30"/>
        <v/>
      </c>
      <c r="AO98" s="60" t="str">
        <f t="shared" si="30"/>
        <v/>
      </c>
    </row>
    <row r="99" ht="15" customHeight="1" spans="1:41">
      <c r="A99" s="54"/>
      <c r="B99" s="55">
        <v>1</v>
      </c>
      <c r="C99" s="56"/>
      <c r="D99" s="57"/>
      <c r="E99" s="57"/>
      <c r="F99" s="57"/>
      <c r="G99" s="58"/>
      <c r="H99" s="58"/>
      <c r="I99" s="57" t="s">
        <v>37</v>
      </c>
      <c r="J99" s="59">
        <v>0.0027</v>
      </c>
      <c r="K99" s="59">
        <v>0.0037</v>
      </c>
      <c r="L99" s="59">
        <v>0.0036</v>
      </c>
      <c r="M99" s="59">
        <v>0.0043</v>
      </c>
      <c r="N99" s="59">
        <v>0.0033</v>
      </c>
      <c r="O99" s="59">
        <v>0.0053</v>
      </c>
      <c r="P99" s="59">
        <v>0.0031</v>
      </c>
      <c r="Q99" s="59">
        <v>0.0032</v>
      </c>
      <c r="R99" s="59">
        <v>0.0037</v>
      </c>
      <c r="S99" s="59">
        <v>0.0017</v>
      </c>
      <c r="T99" s="59">
        <v>0.004</v>
      </c>
      <c r="U99" s="59">
        <v>0.0027</v>
      </c>
      <c r="V99" s="59">
        <v>0.0019</v>
      </c>
      <c r="W99" s="59"/>
      <c r="X99" s="59"/>
      <c r="Y99" s="59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</row>
    <row r="100" ht="15" customHeight="1" spans="1:41">
      <c r="A100" s="54"/>
      <c r="B100" s="55">
        <v>2</v>
      </c>
      <c r="C100" s="56"/>
      <c r="D100" s="57"/>
      <c r="E100" s="57"/>
      <c r="F100" s="57"/>
      <c r="G100" s="58"/>
      <c r="H100" s="58"/>
      <c r="I100" s="57" t="s">
        <v>37</v>
      </c>
      <c r="J100" s="59">
        <v>0.0007</v>
      </c>
      <c r="K100" s="59">
        <v>0.001</v>
      </c>
      <c r="L100" s="59">
        <v>0.0018</v>
      </c>
      <c r="M100" s="59">
        <v>0.0005</v>
      </c>
      <c r="N100" s="59">
        <v>0.0006</v>
      </c>
      <c r="O100" s="59">
        <v>0.0011</v>
      </c>
      <c r="P100" s="59">
        <v>0.0011</v>
      </c>
      <c r="Q100" s="59">
        <v>0.0022</v>
      </c>
      <c r="R100" s="59">
        <v>0.0004</v>
      </c>
      <c r="S100" s="59">
        <v>0.0006</v>
      </c>
      <c r="T100" s="59">
        <v>0.0009</v>
      </c>
      <c r="U100" s="59">
        <v>0.0008</v>
      </c>
      <c r="V100" s="59">
        <v>0.0007</v>
      </c>
      <c r="W100" s="59"/>
      <c r="X100" s="59"/>
      <c r="Y100" s="59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</row>
    <row r="101" ht="15" customHeight="1" spans="1:41">
      <c r="A101" s="54"/>
      <c r="B101" s="55">
        <v>3</v>
      </c>
      <c r="C101" s="56"/>
      <c r="D101" s="57"/>
      <c r="E101" s="57"/>
      <c r="F101" s="57"/>
      <c r="G101" s="58"/>
      <c r="H101" s="58"/>
      <c r="I101" s="57" t="s">
        <v>37</v>
      </c>
      <c r="J101" s="59">
        <v>0.0027</v>
      </c>
      <c r="K101" s="59">
        <v>0.0037</v>
      </c>
      <c r="L101" s="59">
        <v>0.0036</v>
      </c>
      <c r="M101" s="59">
        <v>0.0043</v>
      </c>
      <c r="N101" s="59">
        <v>0.0033</v>
      </c>
      <c r="O101" s="59">
        <v>0.0053</v>
      </c>
      <c r="P101" s="59">
        <v>0.0031</v>
      </c>
      <c r="Q101" s="59">
        <v>0.0032</v>
      </c>
      <c r="R101" s="59">
        <v>0.0037</v>
      </c>
      <c r="S101" s="59">
        <v>0.0017</v>
      </c>
      <c r="T101" s="59">
        <v>0.004</v>
      </c>
      <c r="U101" s="59">
        <v>0.0027</v>
      </c>
      <c r="V101" s="59">
        <v>0.0019</v>
      </c>
      <c r="W101" s="59"/>
      <c r="X101" s="59"/>
      <c r="Y101" s="59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</row>
    <row r="102" ht="15" customHeight="1" spans="1:41">
      <c r="A102" s="54"/>
      <c r="B102" s="55" t="s">
        <v>75</v>
      </c>
      <c r="C102" s="56" t="s">
        <v>74</v>
      </c>
      <c r="D102" s="57">
        <v>0</v>
      </c>
      <c r="E102" s="57">
        <v>0.1</v>
      </c>
      <c r="F102" s="57">
        <v>0</v>
      </c>
      <c r="G102" s="58">
        <f>D102+E102</f>
        <v>0.1</v>
      </c>
      <c r="H102" s="58">
        <f>D102+F102</f>
        <v>0</v>
      </c>
      <c r="I102" s="57" t="s">
        <v>37</v>
      </c>
      <c r="J102" s="59">
        <v>0.0072</v>
      </c>
      <c r="K102" s="59">
        <v>0.0102</v>
      </c>
      <c r="L102" s="59">
        <v>0.0097</v>
      </c>
      <c r="M102" s="59">
        <v>0.0173</v>
      </c>
      <c r="N102" s="59">
        <v>0.007</v>
      </c>
      <c r="O102" s="59">
        <v>0.0067</v>
      </c>
      <c r="P102" s="59">
        <v>0.0072</v>
      </c>
      <c r="Q102" s="59">
        <v>0.0077</v>
      </c>
      <c r="R102" s="59">
        <v>0.0111</v>
      </c>
      <c r="S102" s="59">
        <v>0.0109</v>
      </c>
      <c r="T102" s="59">
        <v>0.0054</v>
      </c>
      <c r="U102" s="59">
        <v>0.0078</v>
      </c>
      <c r="V102" s="59">
        <v>0.0111</v>
      </c>
      <c r="W102" s="59"/>
      <c r="X102" s="59"/>
      <c r="Y102" s="59"/>
      <c r="Z102" s="60" t="str">
        <f t="shared" ref="Z102:AO102" si="31">IF(J102="","",IF(J102&gt;($D102+$E102),(J102-$D102-$E102),IF(J102&lt;($D102+$F102),(J102-$D102-$F102),"√")))</f>
        <v>√</v>
      </c>
      <c r="AA102" s="60" t="str">
        <f t="shared" si="31"/>
        <v>√</v>
      </c>
      <c r="AB102" s="60" t="str">
        <f t="shared" si="31"/>
        <v>√</v>
      </c>
      <c r="AC102" s="60" t="str">
        <f t="shared" si="31"/>
        <v>√</v>
      </c>
      <c r="AD102" s="60" t="str">
        <f t="shared" si="31"/>
        <v>√</v>
      </c>
      <c r="AE102" s="60" t="str">
        <f t="shared" si="31"/>
        <v>√</v>
      </c>
      <c r="AF102" s="60" t="str">
        <f t="shared" si="31"/>
        <v>√</v>
      </c>
      <c r="AG102" s="60" t="str">
        <f t="shared" si="31"/>
        <v>√</v>
      </c>
      <c r="AH102" s="60" t="str">
        <f t="shared" si="31"/>
        <v>√</v>
      </c>
      <c r="AI102" s="60" t="str">
        <f t="shared" si="31"/>
        <v>√</v>
      </c>
      <c r="AJ102" s="60" t="str">
        <f t="shared" si="31"/>
        <v>√</v>
      </c>
      <c r="AK102" s="60" t="str">
        <f t="shared" si="31"/>
        <v>√</v>
      </c>
      <c r="AL102" s="60" t="str">
        <f t="shared" si="31"/>
        <v>√</v>
      </c>
      <c r="AM102" s="60" t="str">
        <f t="shared" si="31"/>
        <v/>
      </c>
      <c r="AN102" s="60" t="str">
        <f t="shared" si="31"/>
        <v/>
      </c>
      <c r="AO102" s="60" t="str">
        <f t="shared" si="31"/>
        <v/>
      </c>
    </row>
    <row r="103" ht="15" customHeight="1" spans="1:41">
      <c r="A103" s="54"/>
      <c r="B103" s="55">
        <v>1</v>
      </c>
      <c r="C103" s="56"/>
      <c r="D103" s="57"/>
      <c r="E103" s="57"/>
      <c r="F103" s="57"/>
      <c r="G103" s="58"/>
      <c r="H103" s="58"/>
      <c r="I103" s="57" t="s">
        <v>37</v>
      </c>
      <c r="J103" s="59">
        <v>0.0036</v>
      </c>
      <c r="K103" s="59">
        <v>0.0051</v>
      </c>
      <c r="L103" s="59">
        <v>0.0048</v>
      </c>
      <c r="M103" s="59">
        <v>0.0086</v>
      </c>
      <c r="N103" s="59">
        <v>0.0035</v>
      </c>
      <c r="O103" s="59">
        <v>0.0034</v>
      </c>
      <c r="P103" s="59">
        <v>0.0036</v>
      </c>
      <c r="Q103" s="59">
        <v>0.0039</v>
      </c>
      <c r="R103" s="59">
        <v>0.0055</v>
      </c>
      <c r="S103" s="59">
        <v>0.0054</v>
      </c>
      <c r="T103" s="59">
        <v>0.0027</v>
      </c>
      <c r="U103" s="59">
        <v>0.0039</v>
      </c>
      <c r="V103" s="59">
        <v>0.0055</v>
      </c>
      <c r="W103" s="59"/>
      <c r="X103" s="59"/>
      <c r="Y103" s="59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</row>
    <row r="104" ht="15" customHeight="1" spans="1:41">
      <c r="A104" s="54"/>
      <c r="B104" s="55">
        <v>2</v>
      </c>
      <c r="C104" s="56"/>
      <c r="D104" s="57"/>
      <c r="E104" s="57"/>
      <c r="F104" s="57"/>
      <c r="G104" s="58"/>
      <c r="H104" s="58"/>
      <c r="I104" s="57" t="s">
        <v>37</v>
      </c>
      <c r="J104" s="59">
        <v>0.0008</v>
      </c>
      <c r="K104" s="59">
        <v>0.0011</v>
      </c>
      <c r="L104" s="59">
        <v>0.0004</v>
      </c>
      <c r="M104" s="59">
        <v>0.0003</v>
      </c>
      <c r="N104" s="59">
        <v>0.0008</v>
      </c>
      <c r="O104" s="59">
        <v>0.0003</v>
      </c>
      <c r="P104" s="59">
        <v>0.0008</v>
      </c>
      <c r="Q104" s="59">
        <v>0.0007</v>
      </c>
      <c r="R104" s="59">
        <v>0.0011</v>
      </c>
      <c r="S104" s="59">
        <v>0.001</v>
      </c>
      <c r="T104" s="59">
        <v>0.0013</v>
      </c>
      <c r="U104" s="59">
        <v>0.0006</v>
      </c>
      <c r="V104" s="59">
        <v>0.0009</v>
      </c>
      <c r="W104" s="59"/>
      <c r="X104" s="59"/>
      <c r="Y104" s="59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</row>
    <row r="105" ht="15" customHeight="1" spans="1:41">
      <c r="A105" s="54"/>
      <c r="B105" s="55">
        <v>3</v>
      </c>
      <c r="C105" s="56"/>
      <c r="D105" s="57"/>
      <c r="E105" s="57"/>
      <c r="F105" s="57"/>
      <c r="G105" s="58"/>
      <c r="H105" s="58"/>
      <c r="I105" s="57" t="s">
        <v>37</v>
      </c>
      <c r="J105" s="59">
        <v>0.0036</v>
      </c>
      <c r="K105" s="59">
        <v>0.0051</v>
      </c>
      <c r="L105" s="59">
        <v>0.0048</v>
      </c>
      <c r="M105" s="59">
        <v>0.0086</v>
      </c>
      <c r="N105" s="59">
        <v>0.0035</v>
      </c>
      <c r="O105" s="59">
        <v>0.0034</v>
      </c>
      <c r="P105" s="59">
        <v>0.0036</v>
      </c>
      <c r="Q105" s="59">
        <v>0.0039</v>
      </c>
      <c r="R105" s="59">
        <v>0.0055</v>
      </c>
      <c r="S105" s="59">
        <v>0.0054</v>
      </c>
      <c r="T105" s="59">
        <v>0.0027</v>
      </c>
      <c r="U105" s="59">
        <v>0.0039</v>
      </c>
      <c r="V105" s="59">
        <v>0.0055</v>
      </c>
      <c r="W105" s="59"/>
      <c r="X105" s="59"/>
      <c r="Y105" s="59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</row>
    <row r="106" ht="15" customHeight="1" spans="1:41">
      <c r="A106" s="54"/>
      <c r="B106" s="55" t="s">
        <v>76</v>
      </c>
      <c r="C106" s="56"/>
      <c r="D106" s="57">
        <v>0</v>
      </c>
      <c r="E106" s="57">
        <v>0.05</v>
      </c>
      <c r="F106" s="57">
        <v>0</v>
      </c>
      <c r="G106" s="58">
        <f>D106+E106</f>
        <v>0.05</v>
      </c>
      <c r="H106" s="58">
        <f>D106+F106</f>
        <v>0</v>
      </c>
      <c r="I106" s="57" t="s">
        <v>37</v>
      </c>
      <c r="J106" s="59">
        <v>0.0136</v>
      </c>
      <c r="K106" s="59">
        <v>0.0114</v>
      </c>
      <c r="L106" s="59">
        <v>0.0108</v>
      </c>
      <c r="M106" s="59">
        <v>0.0189</v>
      </c>
      <c r="N106" s="59">
        <v>0.0158</v>
      </c>
      <c r="O106" s="59">
        <v>0.0161</v>
      </c>
      <c r="P106" s="59">
        <v>0.0095</v>
      </c>
      <c r="Q106" s="59">
        <v>0.0138</v>
      </c>
      <c r="R106" s="59">
        <v>0.0065</v>
      </c>
      <c r="S106" s="59">
        <v>0.0023</v>
      </c>
      <c r="T106" s="59">
        <v>0.0126</v>
      </c>
      <c r="U106" s="59">
        <v>0.0096</v>
      </c>
      <c r="V106" s="59">
        <v>0.0037</v>
      </c>
      <c r="W106" s="59"/>
      <c r="X106" s="59"/>
      <c r="Y106" s="59"/>
      <c r="Z106" s="60" t="str">
        <f t="shared" ref="Z106:AO106" si="32">IF(J106="","",IF(J106&gt;($D106+$E106),(J106-$D106-$E106),IF(J106&lt;($D106+$F106),(J106-$D106-$F106),"√")))</f>
        <v>√</v>
      </c>
      <c r="AA106" s="60" t="str">
        <f t="shared" si="32"/>
        <v>√</v>
      </c>
      <c r="AB106" s="60" t="str">
        <f t="shared" si="32"/>
        <v>√</v>
      </c>
      <c r="AC106" s="60" t="str">
        <f t="shared" si="32"/>
        <v>√</v>
      </c>
      <c r="AD106" s="60" t="str">
        <f t="shared" si="32"/>
        <v>√</v>
      </c>
      <c r="AE106" s="60" t="str">
        <f t="shared" si="32"/>
        <v>√</v>
      </c>
      <c r="AF106" s="60" t="str">
        <f t="shared" si="32"/>
        <v>√</v>
      </c>
      <c r="AG106" s="60" t="str">
        <f t="shared" si="32"/>
        <v>√</v>
      </c>
      <c r="AH106" s="60" t="str">
        <f t="shared" si="32"/>
        <v>√</v>
      </c>
      <c r="AI106" s="60" t="str">
        <f t="shared" si="32"/>
        <v>√</v>
      </c>
      <c r="AJ106" s="60" t="str">
        <f t="shared" si="32"/>
        <v>√</v>
      </c>
      <c r="AK106" s="60" t="str">
        <f t="shared" si="32"/>
        <v>√</v>
      </c>
      <c r="AL106" s="60" t="str">
        <f t="shared" si="32"/>
        <v>√</v>
      </c>
      <c r="AM106" s="60" t="str">
        <f t="shared" si="32"/>
        <v/>
      </c>
      <c r="AN106" s="60" t="str">
        <f t="shared" si="32"/>
        <v/>
      </c>
      <c r="AO106" s="60" t="str">
        <f t="shared" si="32"/>
        <v/>
      </c>
    </row>
    <row r="107" ht="15" customHeight="1" spans="1:41">
      <c r="A107" s="54"/>
      <c r="B107" s="55">
        <v>1</v>
      </c>
      <c r="C107" s="56"/>
      <c r="D107" s="57"/>
      <c r="E107" s="57"/>
      <c r="F107" s="57"/>
      <c r="G107" s="58"/>
      <c r="H107" s="58"/>
      <c r="I107" s="57" t="s">
        <v>37</v>
      </c>
      <c r="J107" s="59">
        <v>-0.0051</v>
      </c>
      <c r="K107" s="59">
        <v>0.0041</v>
      </c>
      <c r="L107" s="59">
        <v>0.0054</v>
      </c>
      <c r="M107" s="59">
        <v>0.0019</v>
      </c>
      <c r="N107" s="59">
        <v>0.0048</v>
      </c>
      <c r="O107" s="59">
        <v>0.0061</v>
      </c>
      <c r="P107" s="59">
        <v>-0.001</v>
      </c>
      <c r="Q107" s="59">
        <v>-0.0069</v>
      </c>
      <c r="R107" s="59">
        <v>0.0033</v>
      </c>
      <c r="S107" s="59">
        <v>-0.0012</v>
      </c>
      <c r="T107" s="59">
        <v>0.0062</v>
      </c>
      <c r="U107" s="59">
        <v>0.0048</v>
      </c>
      <c r="V107" s="59">
        <v>-0.0009</v>
      </c>
      <c r="W107" s="59"/>
      <c r="X107" s="59"/>
      <c r="Y107" s="59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</row>
    <row r="108" ht="15" customHeight="1" spans="1:41">
      <c r="A108" s="54"/>
      <c r="B108" s="55">
        <v>2</v>
      </c>
      <c r="C108" s="56"/>
      <c r="D108" s="57"/>
      <c r="E108" s="57"/>
      <c r="F108" s="57"/>
      <c r="G108" s="58"/>
      <c r="H108" s="58"/>
      <c r="I108" s="57" t="s">
        <v>37</v>
      </c>
      <c r="J108" s="59">
        <v>-0.0047</v>
      </c>
      <c r="K108" s="59">
        <v>0.0057</v>
      </c>
      <c r="L108" s="59">
        <v>0.0047</v>
      </c>
      <c r="M108" s="59">
        <v>0.0023</v>
      </c>
      <c r="N108" s="59">
        <v>0.0045</v>
      </c>
      <c r="O108" s="59">
        <v>0.005</v>
      </c>
      <c r="P108" s="59">
        <v>-0.0006</v>
      </c>
      <c r="Q108" s="59">
        <v>-0.005</v>
      </c>
      <c r="R108" s="59">
        <v>0.0032</v>
      </c>
      <c r="S108" s="59">
        <v>-0.0001</v>
      </c>
      <c r="T108" s="59">
        <v>0.0063</v>
      </c>
      <c r="U108" s="59">
        <v>0.0039</v>
      </c>
      <c r="V108" s="59">
        <v>0.0006</v>
      </c>
      <c r="W108" s="59"/>
      <c r="X108" s="59"/>
      <c r="Y108" s="59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</row>
    <row r="109" ht="15" customHeight="1" spans="1:41">
      <c r="A109" s="54"/>
      <c r="B109" s="55">
        <v>3</v>
      </c>
      <c r="C109" s="56"/>
      <c r="D109" s="57"/>
      <c r="E109" s="57"/>
      <c r="F109" s="57"/>
      <c r="G109" s="58"/>
      <c r="H109" s="58"/>
      <c r="I109" s="57" t="s">
        <v>37</v>
      </c>
      <c r="J109" s="59">
        <v>-0.0056</v>
      </c>
      <c r="K109" s="59">
        <v>0.0044</v>
      </c>
      <c r="L109" s="59">
        <v>0.0032</v>
      </c>
      <c r="M109" s="59">
        <v>0.0059</v>
      </c>
      <c r="N109" s="59">
        <v>0.0069</v>
      </c>
      <c r="O109" s="59">
        <v>0.0061</v>
      </c>
      <c r="P109" s="59">
        <v>0.0017</v>
      </c>
      <c r="Q109" s="59">
        <v>-0.0036</v>
      </c>
      <c r="R109" s="59">
        <v>0.0024</v>
      </c>
      <c r="S109" s="59">
        <v>-0.0003</v>
      </c>
      <c r="T109" s="59">
        <v>0.0057</v>
      </c>
      <c r="U109" s="59">
        <v>0.0041</v>
      </c>
      <c r="V109" s="59">
        <v>0.0008</v>
      </c>
      <c r="W109" s="59"/>
      <c r="X109" s="59"/>
      <c r="Y109" s="59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</row>
    <row r="110" ht="15" customHeight="1" spans="1:41">
      <c r="A110" s="54"/>
      <c r="B110" s="55">
        <v>4</v>
      </c>
      <c r="C110" s="56"/>
      <c r="D110" s="57"/>
      <c r="E110" s="57"/>
      <c r="F110" s="57"/>
      <c r="G110" s="58"/>
      <c r="H110" s="58"/>
      <c r="I110" s="57" t="s">
        <v>37</v>
      </c>
      <c r="J110" s="59">
        <v>-0.0068</v>
      </c>
      <c r="K110" s="59">
        <v>0.004</v>
      </c>
      <c r="L110" s="59">
        <v>0.0035</v>
      </c>
      <c r="M110" s="59">
        <v>0.0062</v>
      </c>
      <c r="N110" s="59">
        <v>0.0063</v>
      </c>
      <c r="O110" s="59">
        <v>0.0076</v>
      </c>
      <c r="P110" s="59">
        <v>0.002</v>
      </c>
      <c r="Q110" s="59">
        <v>-0.0044</v>
      </c>
      <c r="R110" s="59">
        <v>0.0023</v>
      </c>
      <c r="S110" s="59">
        <v>-0.0007</v>
      </c>
      <c r="T110" s="59">
        <v>0.0044</v>
      </c>
      <c r="U110" s="59">
        <v>0.002</v>
      </c>
      <c r="V110" s="59">
        <v>0.001</v>
      </c>
      <c r="W110" s="59"/>
      <c r="X110" s="59"/>
      <c r="Y110" s="59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</row>
    <row r="111" ht="15" customHeight="1" spans="1:41">
      <c r="A111" s="54"/>
      <c r="B111" s="55">
        <v>5</v>
      </c>
      <c r="C111" s="56"/>
      <c r="D111" s="57"/>
      <c r="E111" s="57"/>
      <c r="F111" s="57"/>
      <c r="G111" s="58"/>
      <c r="H111" s="58"/>
      <c r="I111" s="57" t="s">
        <v>37</v>
      </c>
      <c r="J111" s="59">
        <v>-0.0066</v>
      </c>
      <c r="K111" s="59">
        <v>0.0042</v>
      </c>
      <c r="L111" s="59">
        <v>0.0022</v>
      </c>
      <c r="M111" s="59">
        <v>0.0095</v>
      </c>
      <c r="N111" s="59">
        <v>0.0079</v>
      </c>
      <c r="O111" s="59">
        <v>0.0081</v>
      </c>
      <c r="P111" s="59">
        <v>0.0048</v>
      </c>
      <c r="Q111" s="59">
        <v>-0.0029</v>
      </c>
      <c r="R111" s="59">
        <v>0.0017</v>
      </c>
      <c r="S111" s="59">
        <v>-0.0001</v>
      </c>
      <c r="T111" s="59">
        <v>0.0053</v>
      </c>
      <c r="U111" s="59">
        <v>0.002</v>
      </c>
      <c r="V111" s="59">
        <v>0.0018</v>
      </c>
      <c r="W111" s="59"/>
      <c r="X111" s="59"/>
      <c r="Y111" s="59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</row>
    <row r="112" ht="15" customHeight="1" spans="1:41">
      <c r="A112" s="54"/>
      <c r="B112" s="55" t="s">
        <v>77</v>
      </c>
      <c r="C112" s="56"/>
      <c r="D112" s="57">
        <v>0</v>
      </c>
      <c r="E112" s="57">
        <v>0.05</v>
      </c>
      <c r="F112" s="57">
        <v>0</v>
      </c>
      <c r="G112" s="58">
        <f>D112+E112</f>
        <v>0.05</v>
      </c>
      <c r="H112" s="58">
        <f>D112+F112</f>
        <v>0</v>
      </c>
      <c r="I112" s="57" t="s">
        <v>37</v>
      </c>
      <c r="J112" s="59">
        <v>0.0132</v>
      </c>
      <c r="K112" s="59">
        <v>0.0142</v>
      </c>
      <c r="L112" s="59">
        <v>0.0089</v>
      </c>
      <c r="M112" s="59">
        <v>0.016</v>
      </c>
      <c r="N112" s="59">
        <v>0.008</v>
      </c>
      <c r="O112" s="59">
        <v>0.0107</v>
      </c>
      <c r="P112" s="59">
        <v>0.0088</v>
      </c>
      <c r="Q112" s="59">
        <v>0.0105</v>
      </c>
      <c r="R112" s="59">
        <v>0.0233</v>
      </c>
      <c r="S112" s="59">
        <v>0.0078</v>
      </c>
      <c r="T112" s="59">
        <v>0.0241</v>
      </c>
      <c r="U112" s="59">
        <v>0.0177</v>
      </c>
      <c r="V112" s="59">
        <v>0.0069</v>
      </c>
      <c r="W112" s="59"/>
      <c r="X112" s="59"/>
      <c r="Y112" s="59"/>
      <c r="Z112" s="60" t="str">
        <f t="shared" ref="Z112:AO112" si="33">IF(J112="","",IF(J112&gt;($D112+$E112),(J112-$D112-$E112),IF(J112&lt;($D112+$F112),(J112-$D112-$F112),"√")))</f>
        <v>√</v>
      </c>
      <c r="AA112" s="60" t="str">
        <f t="shared" si="33"/>
        <v>√</v>
      </c>
      <c r="AB112" s="60" t="str">
        <f t="shared" si="33"/>
        <v>√</v>
      </c>
      <c r="AC112" s="60" t="str">
        <f t="shared" si="33"/>
        <v>√</v>
      </c>
      <c r="AD112" s="60" t="str">
        <f t="shared" si="33"/>
        <v>√</v>
      </c>
      <c r="AE112" s="60" t="str">
        <f t="shared" si="33"/>
        <v>√</v>
      </c>
      <c r="AF112" s="60" t="str">
        <f t="shared" si="33"/>
        <v>√</v>
      </c>
      <c r="AG112" s="60" t="str">
        <f t="shared" si="33"/>
        <v>√</v>
      </c>
      <c r="AH112" s="60" t="str">
        <f t="shared" si="33"/>
        <v>√</v>
      </c>
      <c r="AI112" s="60" t="str">
        <f t="shared" si="33"/>
        <v>√</v>
      </c>
      <c r="AJ112" s="60" t="str">
        <f t="shared" si="33"/>
        <v>√</v>
      </c>
      <c r="AK112" s="60" t="str">
        <f t="shared" si="33"/>
        <v>√</v>
      </c>
      <c r="AL112" s="60" t="str">
        <f t="shared" si="33"/>
        <v>√</v>
      </c>
      <c r="AM112" s="60" t="str">
        <f t="shared" si="33"/>
        <v/>
      </c>
      <c r="AN112" s="60" t="str">
        <f t="shared" si="33"/>
        <v/>
      </c>
      <c r="AO112" s="60" t="str">
        <f t="shared" si="33"/>
        <v/>
      </c>
    </row>
    <row r="113" ht="15" customHeight="1" spans="1:41">
      <c r="A113" s="54"/>
      <c r="B113" s="55">
        <v>1</v>
      </c>
      <c r="C113" s="56"/>
      <c r="D113" s="57"/>
      <c r="E113" s="57"/>
      <c r="F113" s="57"/>
      <c r="G113" s="58"/>
      <c r="H113" s="58"/>
      <c r="I113" s="57" t="s">
        <v>37</v>
      </c>
      <c r="J113" s="59">
        <v>0.0011</v>
      </c>
      <c r="K113" s="59">
        <v>-0.0068</v>
      </c>
      <c r="L113" s="59">
        <v>-0.0014</v>
      </c>
      <c r="M113" s="59">
        <v>-0.008</v>
      </c>
      <c r="N113" s="59">
        <v>0.0032</v>
      </c>
      <c r="O113" s="59">
        <v>-0.0042</v>
      </c>
      <c r="P113" s="59">
        <v>-0.0044</v>
      </c>
      <c r="Q113" s="59">
        <v>-0.0052</v>
      </c>
      <c r="R113" s="59">
        <v>-0.0066</v>
      </c>
      <c r="S113" s="59">
        <v>-0.0007</v>
      </c>
      <c r="T113" s="59">
        <v>-0.0121</v>
      </c>
      <c r="U113" s="59">
        <v>-0.0045</v>
      </c>
      <c r="V113" s="59">
        <v>-0.0005</v>
      </c>
      <c r="W113" s="59"/>
      <c r="X113" s="59"/>
      <c r="Y113" s="59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</row>
    <row r="114" ht="15" customHeight="1" spans="1:41">
      <c r="A114" s="54"/>
      <c r="B114" s="55">
        <v>2</v>
      </c>
      <c r="C114" s="56"/>
      <c r="D114" s="57"/>
      <c r="E114" s="57"/>
      <c r="F114" s="57"/>
      <c r="G114" s="58"/>
      <c r="H114" s="58"/>
      <c r="I114" s="57" t="s">
        <v>37</v>
      </c>
      <c r="J114" s="59">
        <v>-0.0009</v>
      </c>
      <c r="K114" s="59">
        <v>-0.0071</v>
      </c>
      <c r="L114" s="59">
        <v>-0.0026</v>
      </c>
      <c r="M114" s="59">
        <v>-0.0072</v>
      </c>
      <c r="N114" s="59">
        <v>0</v>
      </c>
      <c r="O114" s="59">
        <v>-0.0053</v>
      </c>
      <c r="P114" s="59">
        <v>-0.0022</v>
      </c>
      <c r="Q114" s="59">
        <v>-0.005</v>
      </c>
      <c r="R114" s="59">
        <v>-0.0093</v>
      </c>
      <c r="S114" s="59">
        <v>-0.0003</v>
      </c>
      <c r="T114" s="59">
        <v>-0.0119</v>
      </c>
      <c r="U114" s="59">
        <v>-0.0062</v>
      </c>
      <c r="V114" s="59">
        <v>0</v>
      </c>
      <c r="W114" s="59"/>
      <c r="X114" s="59"/>
      <c r="Y114" s="59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</row>
    <row r="115" ht="15" customHeight="1" spans="1:41">
      <c r="A115" s="54"/>
      <c r="B115" s="55">
        <v>3</v>
      </c>
      <c r="C115" s="56"/>
      <c r="D115" s="57"/>
      <c r="E115" s="57"/>
      <c r="F115" s="57"/>
      <c r="G115" s="58"/>
      <c r="H115" s="58"/>
      <c r="I115" s="57" t="s">
        <v>37</v>
      </c>
      <c r="J115" s="59">
        <v>-0.0045</v>
      </c>
      <c r="K115" s="59">
        <v>-0.0065</v>
      </c>
      <c r="L115" s="59">
        <v>-0.0045</v>
      </c>
      <c r="M115" s="59">
        <v>-0.006</v>
      </c>
      <c r="N115" s="59">
        <v>0.0003</v>
      </c>
      <c r="O115" s="59">
        <v>-0.0042</v>
      </c>
      <c r="P115" s="59">
        <v>-0.003</v>
      </c>
      <c r="Q115" s="59">
        <v>-0.0053</v>
      </c>
      <c r="R115" s="59">
        <v>-0.0117</v>
      </c>
      <c r="S115" s="59">
        <v>-0.0029</v>
      </c>
      <c r="T115" s="59">
        <v>-0.012</v>
      </c>
      <c r="U115" s="59">
        <v>-0.0078</v>
      </c>
      <c r="V115" s="59">
        <v>-0.0025</v>
      </c>
      <c r="W115" s="59"/>
      <c r="X115" s="59"/>
      <c r="Y115" s="59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</row>
    <row r="116" ht="15" customHeight="1" spans="1:41">
      <c r="A116" s="54"/>
      <c r="B116" s="55">
        <v>4</v>
      </c>
      <c r="C116" s="56"/>
      <c r="D116" s="57"/>
      <c r="E116" s="57"/>
      <c r="F116" s="57"/>
      <c r="G116" s="58"/>
      <c r="H116" s="58"/>
      <c r="I116" s="57" t="s">
        <v>37</v>
      </c>
      <c r="J116" s="59">
        <v>-0.0066</v>
      </c>
      <c r="K116" s="59">
        <v>-0.0069</v>
      </c>
      <c r="L116" s="59">
        <v>-0.0039</v>
      </c>
      <c r="M116" s="59">
        <v>-0.005</v>
      </c>
      <c r="N116" s="59">
        <v>0.0025</v>
      </c>
      <c r="O116" s="59">
        <v>-0.0008</v>
      </c>
      <c r="P116" s="59">
        <v>-0.0016</v>
      </c>
      <c r="Q116" s="59">
        <v>-0.0032</v>
      </c>
      <c r="R116" s="59">
        <v>-0.0114</v>
      </c>
      <c r="S116" s="59">
        <v>-0.0039</v>
      </c>
      <c r="T116" s="59">
        <v>-0.0111</v>
      </c>
      <c r="U116" s="59">
        <v>-0.0088</v>
      </c>
      <c r="V116" s="59">
        <v>-0.0035</v>
      </c>
      <c r="W116" s="59"/>
      <c r="X116" s="59"/>
      <c r="Y116" s="59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</row>
    <row r="117" ht="15" customHeight="1" spans="1:41">
      <c r="A117" s="54"/>
      <c r="B117" s="55">
        <v>5</v>
      </c>
      <c r="C117" s="56"/>
      <c r="D117" s="57"/>
      <c r="E117" s="57"/>
      <c r="F117" s="57"/>
      <c r="G117" s="58"/>
      <c r="H117" s="58"/>
      <c r="I117" s="57" t="s">
        <v>37</v>
      </c>
      <c r="J117" s="59">
        <v>-0.0056</v>
      </c>
      <c r="K117" s="59">
        <v>-0.0052</v>
      </c>
      <c r="L117" s="59">
        <v>-0.0026</v>
      </c>
      <c r="M117" s="59">
        <v>-0.0002</v>
      </c>
      <c r="N117" s="59">
        <v>0.004</v>
      </c>
      <c r="O117" s="59">
        <v>-0.0003</v>
      </c>
      <c r="P117" s="59">
        <v>0.0013</v>
      </c>
      <c r="Q117" s="59">
        <v>0.0026</v>
      </c>
      <c r="R117" s="59">
        <v>-0.0115</v>
      </c>
      <c r="S117" s="59">
        <v>-0.0027</v>
      </c>
      <c r="T117" s="59">
        <v>-0.008</v>
      </c>
      <c r="U117" s="59">
        <v>-0.0067</v>
      </c>
      <c r="V117" s="59">
        <v>-0.0023</v>
      </c>
      <c r="W117" s="59"/>
      <c r="X117" s="59"/>
      <c r="Y117" s="59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</row>
    <row r="118" spans="1:41">
      <c r="A118" s="62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4"/>
      <c r="AL118" s="65"/>
      <c r="AM118" s="66"/>
      <c r="AN118" s="67"/>
      <c r="AO118" s="68"/>
    </row>
  </sheetData>
  <mergeCells count="32">
    <mergeCell ref="A1:AO1"/>
    <mergeCell ref="S2:X2"/>
    <mergeCell ref="Y2:AD2"/>
    <mergeCell ref="AE2:AJ2"/>
    <mergeCell ref="AK2:AM2"/>
    <mergeCell ref="AN2:AO2"/>
    <mergeCell ref="S3:X3"/>
    <mergeCell ref="Y3:AD3"/>
    <mergeCell ref="AE3:AJ3"/>
    <mergeCell ref="AK3:AM3"/>
    <mergeCell ref="AN3:AO3"/>
    <mergeCell ref="J4:Y4"/>
    <mergeCell ref="Z4:AO4"/>
    <mergeCell ref="J5:Y5"/>
    <mergeCell ref="Z5:AO5"/>
    <mergeCell ref="A118:AK118"/>
    <mergeCell ref="AL118:AM118"/>
    <mergeCell ref="AN118:AO118"/>
    <mergeCell ref="A2:A3"/>
    <mergeCell ref="A4:A6"/>
    <mergeCell ref="A7:A117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23:Y23">
    <cfRule type="cellIs" dxfId="0" priority="11" operator="notBetween">
      <formula>$G23</formula>
      <formula>$H23</formula>
    </cfRule>
  </conditionalFormatting>
  <conditionalFormatting sqref="J106:Y106">
    <cfRule type="cellIs" dxfId="0" priority="17" operator="notBetween">
      <formula>$G106</formula>
      <formula>$H106</formula>
    </cfRule>
  </conditionalFormatting>
  <conditionalFormatting sqref="J112:Y112">
    <cfRule type="cellIs" dxfId="0" priority="16" operator="notBetween">
      <formula>$G112</formula>
      <formula>$H112</formula>
    </cfRule>
  </conditionalFormatting>
  <conditionalFormatting sqref="J7:Y15 J18:Y19 J27:Y27 J30:Y30 J33:Y33 J36:Y37 J48:Y48 J73:Y73 J98:Y98 J102:Y102">
    <cfRule type="cellIs" dxfId="0" priority="91" operator="notBetween">
      <formula>$G7</formula>
      <formula>$H7</formula>
    </cfRule>
  </conditionalFormatting>
  <conditionalFormatting sqref="J16:Y17">
    <cfRule type="cellIs" dxfId="0" priority="10" operator="notBetween">
      <formula>$G16</formula>
      <formula>$H16</formula>
    </cfRule>
  </conditionalFormatting>
  <conditionalFormatting sqref="J20:Y21">
    <cfRule type="cellIs" dxfId="0" priority="18" operator="notBetween">
      <formula>$G20</formula>
      <formula>$H20</formula>
    </cfRule>
  </conditionalFormatting>
  <conditionalFormatting sqref="J22:Y22 J24:Y24">
    <cfRule type="cellIs" dxfId="0" priority="13" operator="notBetween">
      <formula>$G22</formula>
      <formula>$H22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2026-07-04T00:01:25Z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