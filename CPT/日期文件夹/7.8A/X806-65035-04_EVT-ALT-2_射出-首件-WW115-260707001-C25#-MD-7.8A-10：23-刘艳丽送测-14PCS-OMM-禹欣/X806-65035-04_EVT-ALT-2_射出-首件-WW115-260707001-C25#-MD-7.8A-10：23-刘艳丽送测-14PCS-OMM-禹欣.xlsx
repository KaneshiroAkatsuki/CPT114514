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<sst xmlns="http://schemas.openxmlformats.org/spreadsheetml/2006/main" count="51" uniqueCount="48">
  <si>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安徽中耀智能科技有限公司首件尺寸报告</t>
  </si>
  <si>
    <t>料号</t>
  </si>
  <si>
    <t>X806-65035</t>
  </si>
  <si>
    <t>工单号</t>
  </si>
  <si>
    <t>ww115-260707001</t>
  </si>
  <si>
    <t>工站</t>
  </si>
  <si>
    <t xml:space="preserve">射出机台号     
</t>
  </si>
  <si>
    <t>量测机台号</t>
  </si>
  <si>
    <t>测量人员</t>
  </si>
  <si>
    <t>审核</t>
  </si>
  <si>
    <t>射出</t>
  </si>
  <si>
    <t>C25#</t>
  </si>
  <si>
    <t>OMM2#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</si>
  <si>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</si>
  <si>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</si>
  <si>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</si>
  <si>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</si>
  <si>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</si>
  <si>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</si>
  <si>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</si>
  <si>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</si>
  <si>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</si>
  <si>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</si>
  <si>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</si>
  <si>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</si>
  <si>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</si>
  <si>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</si>
  <si>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</si>
  <si>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</si>
  <si>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</si>
  <si>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</si>
  <si>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</si>
  <si>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</si>
  <si>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</si>
  <si>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</si>
  <si>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2-1</t>
  </si>
  <si>
    <t>2-2</t>
  </si>
  <si>
    <t>2-3</t>
  </si>
  <si>
    <t>2-4</t>
  </si>
  <si>
    <t>2-5</t>
  </si>
  <si>
    <t>2-6</t>
  </si>
  <si>
    <t>2-7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</si>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</sst>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workbookViewId="0">
      <selection activeCell="T11" sqref="T1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3">
        <v>15</v>
      </c>
      <c r="Y6" s="63">
        <v>16</v>
      </c>
      <c r="Z6" s="64" t="str">
        <f t="shared" ref="Z6" si="0">J6</f>
        <v>1-1</v>
      </c>
      <c r="AA6" s="64" t="str">
        <f t="shared" ref="AA6:AO6" si="1">K6</f>
        <v>1-2</v>
      </c>
      <c r="AB6" s="64" t="str">
        <f t="shared" si="1"/>
        <v>1-3</v>
      </c>
      <c r="AC6" s="64" t="str">
        <f t="shared" si="1"/>
        <v>1-4</v>
      </c>
      <c r="AD6" s="64" t="str">
        <f t="shared" si="1"/>
        <v>1-5</v>
      </c>
      <c r="AE6" s="64" t="str">
        <f t="shared" si="1"/>
        <v>1-6</v>
      </c>
      <c r="AF6" s="64" t="str">
        <f t="shared" si="1"/>
        <v>1-7</v>
      </c>
      <c r="AG6" s="64" t="str">
        <f t="shared" si="1"/>
        <v>2-1</v>
      </c>
      <c r="AH6" s="64" t="str">
        <f t="shared" si="1"/>
        <v>2-2</v>
      </c>
      <c r="AI6" s="64" t="str">
        <f t="shared" si="1"/>
        <v>2-3</v>
      </c>
      <c r="AJ6" s="64" t="str">
        <f t="shared" si="1"/>
        <v>2-4</v>
      </c>
      <c r="AK6" s="64" t="str">
        <f t="shared" si="1"/>
        <v>2-5</v>
      </c>
      <c r="AL6" s="64" t="str">
        <f t="shared" si="1"/>
        <v>2-6</v>
      </c>
      <c r="AM6" s="64" t="str">
        <f t="shared" si="1"/>
        <v>2-7</v>
      </c>
      <c r="AN6" s="64">
        <f t="shared" si="1"/>
        <v>15</v>
      </c>
      <c r="AO6" s="64">
        <f t="shared" si="1"/>
        <v>16</v>
      </c>
    </row>
    <row r="7" spans="1:41">
      <c r="A7" s="65">
        <v>46211</v>
      </c>
      <c r="B7" s="66" t="s">
        <v>42</v>
      </c>
      <c r="C7" s="66" t="s">
        <v>43</v>
      </c>
      <c r="D7" s="67">
        <v>3.21</v>
      </c>
      <c r="E7" s="67">
        <v>0.01</v>
      </c>
      <c r="F7" s="67">
        <v>-0.01</v>
      </c>
      <c r="G7" s="68">
        <f>D7+E7</f>
        <v>3.22</v>
      </c>
      <c r="H7" s="68">
        <f>D7+F7</f>
        <v>3.2</v>
      </c>
      <c r="I7" s="69" t="s">
        <v>44</v>
      </c>
      <c r="J7" s="70">
        <v>3.2123</v>
      </c>
      <c r="K7" s="70">
        <v>3.2114</v>
      </c>
      <c r="L7" s="70">
        <v>3.2141</v>
      </c>
      <c r="M7" s="70">
        <v>3.213</v>
      </c>
      <c r="N7" s="70">
        <v>3.2135</v>
      </c>
      <c r="O7" s="70">
        <v>3.2136</v>
      </c>
      <c r="P7" s="70">
        <v>3.214</v>
      </c>
      <c r="Q7" s="70">
        <v>3.2148</v>
      </c>
      <c r="R7" s="70">
        <v>3.2137</v>
      </c>
      <c r="S7" s="70">
        <v>3.2164</v>
      </c>
      <c r="T7" s="70">
        <v>3.2138</v>
      </c>
      <c r="U7" s="70">
        <v>3.2138</v>
      </c>
      <c r="V7" s="70">
        <v>3.2142</v>
      </c>
      <c r="W7" s="70">
        <v>3.2138</v>
      </c>
      <c r="X7" s="70"/>
      <c r="Y7" s="70"/>
      <c r="Z7" s="71" t="str">
        <f t="shared" ref="Z7:AO7" si="2">IF(J7="","",IF(J7&gt;($D7+$E7),(J7-$D7-$E7),IF(J7&lt;($D7+$F7),(J7-$D7-$F7),"√")))</f>
        <v>√</v>
      </c>
      <c r="AA7" s="71" t="str">
        <f t="shared" si="2"/>
        <v>√</v>
      </c>
      <c r="AB7" s="71" t="str">
        <f t="shared" si="2"/>
        <v>√</v>
      </c>
      <c r="AC7" s="71" t="str">
        <f t="shared" si="2"/>
        <v>√</v>
      </c>
      <c r="AD7" s="71" t="str">
        <f t="shared" si="2"/>
        <v>√</v>
      </c>
      <c r="AE7" s="71" t="str">
        <f t="shared" si="2"/>
        <v>√</v>
      </c>
      <c r="AF7" s="71" t="str">
        <f t="shared" si="2"/>
        <v>√</v>
      </c>
      <c r="AG7" s="71" t="str">
        <f t="shared" si="2"/>
        <v>√</v>
      </c>
      <c r="AH7" s="71" t="str">
        <f t="shared" si="2"/>
        <v>√</v>
      </c>
      <c r="AI7" s="71" t="str">
        <f t="shared" si="2"/>
        <v>√</v>
      </c>
      <c r="AJ7" s="71" t="str">
        <f t="shared" si="2"/>
        <v>√</v>
      </c>
      <c r="AK7" s="71" t="str">
        <f t="shared" si="2"/>
        <v>√</v>
      </c>
      <c r="AL7" s="71" t="str">
        <f t="shared" si="2"/>
        <v>√</v>
      </c>
      <c r="AM7" s="71" t="str">
        <f t="shared" si="2"/>
        <v>√</v>
      </c>
      <c r="AN7" s="71" t="str">
        <f t="shared" si="2"/>
        <v/>
      </c>
      <c r="AO7" s="71" t="str">
        <f t="shared" si="2"/>
        <v/>
      </c>
    </row>
    <row r="8" spans="1:41">
      <c r="A8" s="65"/>
      <c r="B8" s="66" t="s">
        <v>45</v>
      </c>
      <c r="C8" s="66"/>
      <c r="D8" s="67">
        <v>9.52</v>
      </c>
      <c r="E8" s="67">
        <v>0.05</v>
      </c>
      <c r="F8" s="67">
        <v>-0.05</v>
      </c>
      <c r="G8" s="68">
        <f>D8+E8</f>
        <v>9.57</v>
      </c>
      <c r="H8" s="68">
        <f>D8+F8</f>
        <v>9.47</v>
      </c>
      <c r="I8" s="69" t="s">
        <v>44</v>
      </c>
      <c r="J8" s="70">
        <v>9.5432</v>
      </c>
      <c r="K8" s="70">
        <v>9.5454</v>
      </c>
      <c r="L8" s="70">
        <v>9.5326</v>
      </c>
      <c r="M8" s="70">
        <v>9.54</v>
      </c>
      <c r="N8" s="70">
        <v>9.5356</v>
      </c>
      <c r="O8" s="70">
        <v>9.5427</v>
      </c>
      <c r="P8" s="70">
        <v>9.5371</v>
      </c>
      <c r="Q8" s="70">
        <v>9.5438</v>
      </c>
      <c r="R8" s="70">
        <v>9.5425</v>
      </c>
      <c r="S8" s="70">
        <v>9.5359</v>
      </c>
      <c r="T8" s="70">
        <v>9.5297</v>
      </c>
      <c r="U8" s="70">
        <v>9.5352</v>
      </c>
      <c r="V8" s="70">
        <v>9.5422</v>
      </c>
      <c r="W8" s="70">
        <v>9.5415</v>
      </c>
      <c r="X8" s="70"/>
      <c r="Y8" s="70"/>
      <c r="Z8" s="71" t="str">
        <f t="shared" ref="Z8:AO8" si="3">IF(J8="","",IF(J8&gt;($D8+$E8),(J8-$D8-$E8),IF(J8&lt;($D8+$F8),(J8-$D8-$F8),"√")))</f>
        <v>√</v>
      </c>
      <c r="AA8" s="71" t="str">
        <f t="shared" si="3"/>
        <v>√</v>
      </c>
      <c r="AB8" s="71" t="str">
        <f t="shared" si="3"/>
        <v>√</v>
      </c>
      <c r="AC8" s="71" t="str">
        <f t="shared" si="3"/>
        <v>√</v>
      </c>
      <c r="AD8" s="71" t="str">
        <f t="shared" si="3"/>
        <v>√</v>
      </c>
      <c r="AE8" s="71" t="str">
        <f t="shared" si="3"/>
        <v>√</v>
      </c>
      <c r="AF8" s="71" t="str">
        <f t="shared" si="3"/>
        <v>√</v>
      </c>
      <c r="AG8" s="71" t="str">
        <f t="shared" si="3"/>
        <v>√</v>
      </c>
      <c r="AH8" s="71" t="str">
        <f t="shared" si="3"/>
        <v>√</v>
      </c>
      <c r="AI8" s="71" t="str">
        <f t="shared" si="3"/>
        <v>√</v>
      </c>
      <c r="AJ8" s="71" t="str">
        <f t="shared" si="3"/>
        <v>√</v>
      </c>
      <c r="AK8" s="71" t="str">
        <f t="shared" si="3"/>
        <v>√</v>
      </c>
      <c r="AL8" s="71" t="str">
        <f t="shared" si="3"/>
        <v>√</v>
      </c>
      <c r="AM8" s="71" t="str">
        <f t="shared" si="3"/>
        <v>√</v>
      </c>
      <c r="AN8" s="71" t="str">
        <f t="shared" si="3"/>
        <v/>
      </c>
      <c r="AO8" s="71" t="str">
        <f t="shared" si="3"/>
        <v/>
      </c>
    </row>
    <row r="9" spans="1:41">
      <c r="A9" s="65"/>
      <c r="B9" s="66" t="s">
        <v>46</v>
      </c>
      <c r="C9" s="66"/>
      <c r="D9" s="67">
        <v>0.7</v>
      </c>
      <c r="E9" s="67">
        <v>0.02</v>
      </c>
      <c r="F9" s="67">
        <v>-0.02</v>
      </c>
      <c r="G9" s="68">
        <f>D9+E9</f>
        <v>0.72</v>
      </c>
      <c r="H9" s="68">
        <f>D9+F9</f>
        <v>0.68</v>
      </c>
      <c r="I9" s="69" t="s">
        <v>44</v>
      </c>
      <c r="J9" s="70">
        <v>0.7043</v>
      </c>
      <c r="K9" s="70">
        <v>0.6946</v>
      </c>
      <c r="L9" s="70">
        <v>0.6931</v>
      </c>
      <c r="M9" s="70">
        <v>0.6912</v>
      </c>
      <c r="N9" s="70">
        <v>0.6927</v>
      </c>
      <c r="O9" s="70">
        <v>0.6943</v>
      </c>
      <c r="P9" s="70">
        <v>0.6933</v>
      </c>
      <c r="Q9" s="70">
        <v>0.6935</v>
      </c>
      <c r="R9" s="70">
        <v>0.6937</v>
      </c>
      <c r="S9" s="70">
        <v>0.6922</v>
      </c>
      <c r="T9" s="70">
        <v>0.6912</v>
      </c>
      <c r="U9" s="70">
        <v>0.6928</v>
      </c>
      <c r="V9" s="70">
        <v>0.6954</v>
      </c>
      <c r="W9" s="70">
        <v>0.6932</v>
      </c>
      <c r="X9" s="70"/>
      <c r="Y9" s="70"/>
      <c r="Z9" s="71" t="str">
        <f t="shared" ref="Z9:AO9" si="4">IF(J9="","",IF(J9&gt;($D9+$E9),(J9-$D9-$E9),IF(J9&lt;($D9+$F9),(J9-$D9-$F9),"√")))</f>
        <v>√</v>
      </c>
      <c r="AA9" s="71" t="str">
        <f t="shared" si="4"/>
        <v>√</v>
      </c>
      <c r="AB9" s="71" t="str">
        <f t="shared" si="4"/>
        <v>√</v>
      </c>
      <c r="AC9" s="71" t="str">
        <f t="shared" si="4"/>
        <v>√</v>
      </c>
      <c r="AD9" s="71" t="str">
        <f t="shared" si="4"/>
        <v>√</v>
      </c>
      <c r="AE9" s="71" t="str">
        <f t="shared" si="4"/>
        <v>√</v>
      </c>
      <c r="AF9" s="71" t="str">
        <f t="shared" si="4"/>
        <v>√</v>
      </c>
      <c r="AG9" s="71" t="str">
        <f t="shared" si="4"/>
        <v>√</v>
      </c>
      <c r="AH9" s="71" t="str">
        <f t="shared" si="4"/>
        <v>√</v>
      </c>
      <c r="AI9" s="71" t="str">
        <f t="shared" si="4"/>
        <v>√</v>
      </c>
      <c r="AJ9" s="71" t="str">
        <f t="shared" si="4"/>
        <v>√</v>
      </c>
      <c r="AK9" s="71" t="str">
        <f t="shared" si="4"/>
        <v>√</v>
      </c>
      <c r="AL9" s="71" t="str">
        <f t="shared" si="4"/>
        <v>√</v>
      </c>
      <c r="AM9" s="71" t="str">
        <f t="shared" si="4"/>
        <v>√</v>
      </c>
      <c r="AN9" s="71" t="str">
        <f t="shared" si="4"/>
        <v/>
      </c>
      <c r="AO9" s="71" t="str">
        <f t="shared" si="4"/>
        <v/>
      </c>
    </row>
    <row r="10" spans="1:41">
      <c r="A10" s="65"/>
      <c r="B10" s="66" t="s">
        <v>47</v>
      </c>
      <c r="C10" s="66"/>
      <c r="D10" s="67">
        <v>4.18</v>
      </c>
      <c r="E10" s="67">
        <v>0.05</v>
      </c>
      <c r="F10" s="67">
        <v>-0.05</v>
      </c>
      <c r="G10" s="68">
        <f>D10+E10</f>
        <v>4.23</v>
      </c>
      <c r="H10" s="68">
        <f>D10+F10</f>
        <v>4.13</v>
      </c>
      <c r="I10" s="69" t="s">
        <v>44</v>
      </c>
      <c r="J10" s="70">
        <v>4.1682</v>
      </c>
      <c r="K10" s="70">
        <v>4.1304</v>
      </c>
      <c r="L10" s="70">
        <v>4.169</v>
      </c>
      <c r="M10" s="70">
        <v>4.1455</v>
      </c>
      <c r="N10" s="70">
        <v>4.2011</v>
      </c>
      <c r="O10" s="70">
        <v>4.1617</v>
      </c>
      <c r="P10" s="70">
        <v>4.1746</v>
      </c>
      <c r="Q10" s="70">
        <v>4.1772</v>
      </c>
      <c r="R10" s="70">
        <v>4.1387</v>
      </c>
      <c r="S10" s="70">
        <v>4.2065</v>
      </c>
      <c r="T10" s="70">
        <v>4.1662</v>
      </c>
      <c r="U10" s="70">
        <v>4.1399</v>
      </c>
      <c r="V10" s="70">
        <v>4.1643</v>
      </c>
      <c r="W10" s="70">
        <v>4.1927</v>
      </c>
      <c r="X10" s="70"/>
      <c r="Y10" s="70"/>
      <c r="Z10" s="71" t="str">
        <f t="shared" ref="Z10:AO10" si="5">IF(J10="","",IF(J10&gt;($D10+$E10),(J10-$D10-$E10),IF(J10&lt;($D10+$F10),(J10-$D10-$F10),"√")))</f>
        <v>√</v>
      </c>
      <c r="AA10" s="71" t="str">
        <f t="shared" si="5"/>
        <v>√</v>
      </c>
      <c r="AB10" s="71" t="str">
        <f t="shared" si="5"/>
        <v>√</v>
      </c>
      <c r="AC10" s="71" t="str">
        <f t="shared" si="5"/>
        <v>√</v>
      </c>
      <c r="AD10" s="71" t="str">
        <f t="shared" si="5"/>
        <v>√</v>
      </c>
      <c r="AE10" s="71" t="str">
        <f t="shared" si="5"/>
        <v>√</v>
      </c>
      <c r="AF10" s="71" t="str">
        <f t="shared" si="5"/>
        <v>√</v>
      </c>
      <c r="AG10" s="71" t="str">
        <f t="shared" si="5"/>
        <v>√</v>
      </c>
      <c r="AH10" s="71" t="str">
        <f t="shared" si="5"/>
        <v>√</v>
      </c>
      <c r="AI10" s="71" t="str">
        <f t="shared" si="5"/>
        <v>√</v>
      </c>
      <c r="AJ10" s="71" t="str">
        <f t="shared" si="5"/>
        <v>√</v>
      </c>
      <c r="AK10" s="71" t="str">
        <f t="shared" si="5"/>
        <v>√</v>
      </c>
      <c r="AL10" s="71" t="str">
        <f t="shared" si="5"/>
        <v>√</v>
      </c>
      <c r="AM10" s="71" t="str">
        <f t="shared" si="5"/>
        <v>√</v>
      </c>
      <c r="AN10" s="71" t="str">
        <f t="shared" si="5"/>
        <v/>
      </c>
      <c r="AO10" s="71" t="str">
        <f t="shared" si="5"/>
        <v/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2026-07-08T03:26:28Z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