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4112" sheetId="8" r:id="rId1"/>
  </sheets>
  <definedNames>
    <definedName name="_xlnm.Print_Area" localSheetId="0">'806-64112'!$B$1:$AE$6</definedName>
    <definedName name="_xlnm.Print_Titles" localSheetId="0">'806-64112'!$1:$6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<sst xmlns="http://schemas.openxmlformats.org/spreadsheetml/2006/main" count="71" uniqueCount="53">
  <si>
    <t>安徽中耀智能科技有限公司首件尺寸报告</t>
  </si>
  <si>
    <t>料号</t>
  </si>
  <si>
    <t>806-64112</t>
  </si>
  <si>
    <t>工单号</t>
  </si>
  <si>
    <t>工站</t>
  </si>
  <si>
    <t>送测机台号</t>
  </si>
  <si>
    <t>测量机台号</t>
  </si>
  <si>
    <t>测量人员</t>
  </si>
  <si>
    <t>审核</t>
  </si>
  <si>
    <t xml:space="preserve"> 烧结</t>
  </si>
  <si>
    <t>OMM3#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</si>
  <si>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</si>
  <si>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</si>
  <si>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</si>
  <si>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</si>
  <si>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</si>
  <si>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</si>
  <si>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</si>
  <si>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</si>
  <si>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</si>
  <si>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</si>
  <si>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</si>
  <si>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</si>
  <si>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</si>
  <si>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</si>
  <si>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</si>
  <si>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</si>
  <si>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</si>
  <si>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</si>
  <si>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2-1</t>
  </si>
  <si>
    <t>2-2</t>
  </si>
  <si>
    <t>2-3</t>
  </si>
  <si>
    <t>3-1</t>
  </si>
  <si>
    <t>3-2</t>
  </si>
  <si>
    <t>3-3</t>
  </si>
  <si>
    <t>4-1</t>
  </si>
  <si>
    <t>4-2</t>
  </si>
  <si>
    <t>4-3</t>
  </si>
  <si>
    <t>FAI42_1</t>
  </si>
  <si>
    <t>OMM</t>
  </si>
  <si>
    <t>FAI42_2</t>
  </si>
  <si>
    <t>5-1</t>
  </si>
  <si>
    <t>5-2</t>
  </si>
  <si>
    <t>5-3</t>
  </si>
  <si>
    <t>6-1</t>
  </si>
  <si>
    <t>6-2</t>
  </si>
  <si>
    <t>6-3</t>
  </si>
  <si>
    <t>7-1</t>
  </si>
  <si>
    <t>7-2</t>
  </si>
  <si>
    <t>7-3</t>
  </si>
  <si>
    <t>8-1</t>
  </si>
  <si>
    <t>8-2</t>
  </si>
  <si>
    <t>8-3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</si>
</sst>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sz val="11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49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0" fontId="10" fillId="0" borderId="1" xfId="59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  <xf numFmtId="0" fontId="13" fillId="0" borderId="0" xfId="0" applyFont="1" applyFill="1" applyAlignment="1"/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7"/>
  <sheetViews>
    <sheetView tabSelected="1" workbookViewId="0">
      <selection activeCell="O31" sqref="O31"/>
    </sheetView>
  </sheetViews>
  <sheetFormatPr defaultColWidth="9" defaultRowHeight="14.25"/>
  <cols>
    <col min="1" max="41" width="9.2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/>
      <c r="M2" s="10"/>
      <c r="N2" s="10"/>
      <c r="O2" s="10"/>
      <c r="P2" s="10"/>
      <c r="Q2" s="10"/>
      <c r="R2" s="10"/>
      <c r="S2" s="11" t="s">
        <v>4</v>
      </c>
      <c r="T2" s="12"/>
      <c r="U2" s="12"/>
      <c r="V2" s="12"/>
      <c r="W2" s="12"/>
      <c r="X2" s="13"/>
      <c r="Y2" s="14" t="s">
        <v>5</v>
      </c>
      <c r="Z2" s="15"/>
      <c r="AA2" s="15"/>
      <c r="AB2" s="15"/>
      <c r="AC2" s="15"/>
      <c r="AD2" s="16"/>
      <c r="AE2" s="14" t="s">
        <v>6</v>
      </c>
      <c r="AF2" s="15"/>
      <c r="AG2" s="15"/>
      <c r="AH2" s="15"/>
      <c r="AI2" s="16"/>
      <c r="AJ2" s="17" t="s">
        <v>7</v>
      </c>
      <c r="AK2" s="18"/>
      <c r="AL2" s="18"/>
      <c r="AM2" s="19"/>
      <c r="AN2" s="17" t="s">
        <v>8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9</v>
      </c>
      <c r="T3" s="27"/>
      <c r="U3" s="27"/>
      <c r="V3" s="27"/>
      <c r="W3" s="27"/>
      <c r="X3" s="28"/>
      <c r="Y3" s="14"/>
      <c r="Z3" s="15"/>
      <c r="AA3" s="15"/>
      <c r="AB3" s="15"/>
      <c r="AC3" s="15"/>
      <c r="AD3" s="16"/>
      <c r="AE3" s="29" t="s">
        <v>10</v>
      </c>
      <c r="AF3" s="30"/>
      <c r="AG3" s="30"/>
      <c r="AH3" s="30"/>
      <c r="AI3" s="31"/>
      <c r="AJ3" s="29" t="s">
        <v>11</v>
      </c>
      <c r="AK3" s="30"/>
      <c r="AL3" s="30"/>
      <c r="AM3" s="31"/>
      <c r="AN3" s="29" t="s">
        <v>12</v>
      </c>
      <c r="AO3" s="31"/>
    </row>
    <row r="4" customHeight="1" spans="1:41">
      <c r="A4" s="32" t="s">
        <v>13</v>
      </c>
      <c r="B4" s="32" t="s">
        <v>14</v>
      </c>
      <c r="C4" s="33" t="s">
        <v>15</v>
      </c>
      <c r="D4" s="34" t="s">
        <v>16</v>
      </c>
      <c r="E4" s="35" t="s">
        <v>17</v>
      </c>
      <c r="F4" s="36" t="s">
        <v>18</v>
      </c>
      <c r="G4" s="36" t="s">
        <v>19</v>
      </c>
      <c r="H4" s="36" t="s">
        <v>20</v>
      </c>
      <c r="I4" s="37" t="s">
        <v>21</v>
      </c>
      <c r="J4" s="38" t="s">
        <v>22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23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38" t="s">
        <v>24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5" t="s">
        <v>25</v>
      </c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</row>
    <row r="6" customHeight="1" spans="1:41">
      <c r="A6" s="42"/>
      <c r="B6" s="43"/>
      <c r="C6" s="46"/>
      <c r="D6" s="34"/>
      <c r="E6" s="35"/>
      <c r="F6" s="36"/>
      <c r="G6" s="36"/>
      <c r="H6" s="36"/>
      <c r="I6" s="34"/>
      <c r="J6" s="47" t="s">
        <v>26</v>
      </c>
      <c r="K6" s="47" t="s">
        <v>27</v>
      </c>
      <c r="L6" s="47" t="s">
        <v>28</v>
      </c>
      <c r="M6" s="47" t="s">
        <v>29</v>
      </c>
      <c r="N6" s="47" t="s">
        <v>30</v>
      </c>
      <c r="O6" s="47" t="s">
        <v>31</v>
      </c>
      <c r="P6" s="47" t="s">
        <v>32</v>
      </c>
      <c r="Q6" s="47" t="s">
        <v>33</v>
      </c>
      <c r="R6" s="47" t="s">
        <v>34</v>
      </c>
      <c r="S6" s="47" t="s">
        <v>35</v>
      </c>
      <c r="T6" s="47" t="s">
        <v>36</v>
      </c>
      <c r="U6" s="47" t="s">
        <v>37</v>
      </c>
      <c r="V6" s="48">
        <v>13</v>
      </c>
      <c r="W6" s="48">
        <v>14</v>
      </c>
      <c r="X6" s="48">
        <v>15</v>
      </c>
      <c r="Y6" s="48">
        <v>16</v>
      </c>
      <c r="Z6" s="49" t="str">
        <f t="shared" ref="Z6:AO6" si="0">J6</f>
        <v>1-1</v>
      </c>
      <c r="AA6" s="49" t="str">
        <f t="shared" si="0"/>
        <v>1-2</v>
      </c>
      <c r="AB6" s="49" t="str">
        <f t="shared" si="0"/>
        <v>1-3</v>
      </c>
      <c r="AC6" s="49" t="str">
        <f t="shared" si="0"/>
        <v>2-1</v>
      </c>
      <c r="AD6" s="49" t="str">
        <f t="shared" si="0"/>
        <v>2-2</v>
      </c>
      <c r="AE6" s="49" t="str">
        <f t="shared" si="0"/>
        <v>2-3</v>
      </c>
      <c r="AF6" s="49" t="str">
        <f t="shared" si="0"/>
        <v>3-1</v>
      </c>
      <c r="AG6" s="49" t="str">
        <f t="shared" si="0"/>
        <v>3-2</v>
      </c>
      <c r="AH6" s="49" t="str">
        <f t="shared" si="0"/>
        <v>3-3</v>
      </c>
      <c r="AI6" s="49" t="str">
        <f t="shared" si="0"/>
        <v>4-1</v>
      </c>
      <c r="AJ6" s="49" t="str">
        <f t="shared" si="0"/>
        <v>4-2</v>
      </c>
      <c r="AK6" s="49" t="str">
        <f t="shared" si="0"/>
        <v>4-3</v>
      </c>
      <c r="AL6" s="49">
        <f t="shared" si="0"/>
        <v>13</v>
      </c>
      <c r="AM6" s="49">
        <f t="shared" si="0"/>
        <v>14</v>
      </c>
      <c r="AN6" s="49">
        <f t="shared" si="0"/>
        <v>15</v>
      </c>
      <c r="AO6" s="49">
        <f t="shared" si="0"/>
        <v>16</v>
      </c>
    </row>
    <row r="7" ht="15" customHeight="1" spans="1:41">
      <c r="A7" s="50">
        <v>46211</v>
      </c>
      <c r="B7" s="51" t="s">
        <v>38</v>
      </c>
      <c r="C7" s="52"/>
      <c r="D7" s="52">
        <v>0.609</v>
      </c>
      <c r="E7" s="52">
        <v>0.03</v>
      </c>
      <c r="F7" s="52">
        <v>-0.03</v>
      </c>
      <c r="G7" s="52">
        <f>E7+D7</f>
        <v>0.639</v>
      </c>
      <c r="H7" s="52">
        <f>F7+D7</f>
        <v>0.579</v>
      </c>
      <c r="I7" s="52" t="s">
        <v>39</v>
      </c>
      <c r="J7" s="53">
        <v>0.5961</v>
      </c>
      <c r="K7" s="53">
        <v>0.6056</v>
      </c>
      <c r="L7" s="53">
        <v>0.6068</v>
      </c>
      <c r="M7" s="53">
        <v>0.6116</v>
      </c>
      <c r="N7" s="53">
        <v>0.5973</v>
      </c>
      <c r="O7" s="53">
        <v>0.5965</v>
      </c>
      <c r="P7" s="53">
        <v>0.6163</v>
      </c>
      <c r="Q7" s="53">
        <v>0.6041</v>
      </c>
      <c r="R7" s="53">
        <v>0.6129</v>
      </c>
      <c r="S7" s="53">
        <v>0.607</v>
      </c>
      <c r="T7" s="53">
        <v>0.6062</v>
      </c>
      <c r="U7" s="53">
        <v>0.6082</v>
      </c>
      <c r="V7" s="53"/>
      <c r="W7" s="53"/>
      <c r="X7" s="53"/>
      <c r="Y7" s="53"/>
      <c r="Z7" s="54" t="str">
        <f>IF(J7="","",IF(J7&gt;($D7+$E7),(J7-$D7-$E7),IF(J7&lt;($D7+$F7),(J7-$D7-$F7),"√")))</f>
        <v>√</v>
      </c>
      <c r="AA7" s="54" t="str">
        <f>IF(K7="","",IF(K7&gt;($D7+$E7),(K7-$D7-$E7),IF(K7&lt;($D7+$F7),(K7-$D7-$F7),"√")))</f>
        <v>√</v>
      </c>
      <c r="AB7" s="54" t="str">
        <f t="shared" ref="AB7:AO7" si="1">IF(L7="","",IF(L7&gt;($D7+$E7),(L7-$D7-$E7),IF(L7&lt;($D7+$F7),(L7-$D7-$F7),"√")))</f>
        <v>√</v>
      </c>
      <c r="AC7" s="54" t="str">
        <f t="shared" si="1"/>
        <v>√</v>
      </c>
      <c r="AD7" s="54" t="str">
        <f t="shared" si="1"/>
        <v>√</v>
      </c>
      <c r="AE7" s="54" t="str">
        <f t="shared" si="1"/>
        <v>√</v>
      </c>
      <c r="AF7" s="54" t="str">
        <f t="shared" si="1"/>
        <v>√</v>
      </c>
      <c r="AG7" s="54" t="str">
        <f t="shared" si="1"/>
        <v>√</v>
      </c>
      <c r="AH7" s="54" t="str">
        <f t="shared" si="1"/>
        <v>√</v>
      </c>
      <c r="AI7" s="54" t="str">
        <f t="shared" si="1"/>
        <v>√</v>
      </c>
      <c r="AJ7" s="54" t="str">
        <f t="shared" si="1"/>
        <v>√</v>
      </c>
      <c r="AK7" s="54" t="str">
        <f t="shared" si="1"/>
        <v>√</v>
      </c>
      <c r="AL7" s="54" t="str">
        <f t="shared" si="1"/>
        <v/>
      </c>
      <c r="AM7" s="54" t="str">
        <f t="shared" si="1"/>
        <v/>
      </c>
      <c r="AN7" s="54" t="str">
        <f t="shared" si="1"/>
        <v/>
      </c>
      <c r="AO7" s="54" t="str">
        <f t="shared" si="1"/>
        <v/>
      </c>
    </row>
    <row r="8" ht="15" customHeight="1" spans="1:41">
      <c r="A8" s="55"/>
      <c r="B8" s="51" t="s">
        <v>40</v>
      </c>
      <c r="C8" s="52"/>
      <c r="D8" s="52">
        <v>0.609</v>
      </c>
      <c r="E8" s="52">
        <v>0.03</v>
      </c>
      <c r="F8" s="52">
        <v>-0.03</v>
      </c>
      <c r="G8" s="52">
        <f>E8+D8</f>
        <v>0.639</v>
      </c>
      <c r="H8" s="52">
        <f>F8+D8</f>
        <v>0.579</v>
      </c>
      <c r="I8" s="52" t="s">
        <v>39</v>
      </c>
      <c r="J8" s="53">
        <v>0.6032</v>
      </c>
      <c r="K8" s="53">
        <v>0.6094</v>
      </c>
      <c r="L8" s="53">
        <v>0.6073</v>
      </c>
      <c r="M8" s="53">
        <v>0.6083</v>
      </c>
      <c r="N8" s="53">
        <v>0.6016</v>
      </c>
      <c r="O8" s="53">
        <v>0.6047</v>
      </c>
      <c r="P8" s="53">
        <v>0.601</v>
      </c>
      <c r="Q8" s="53">
        <v>0.605</v>
      </c>
      <c r="R8" s="53">
        <v>0.6051</v>
      </c>
      <c r="S8" s="53">
        <v>0.6012</v>
      </c>
      <c r="T8" s="53">
        <v>0.6025</v>
      </c>
      <c r="U8" s="53">
        <v>0.6058</v>
      </c>
      <c r="V8" s="53"/>
      <c r="W8" s="53"/>
      <c r="X8" s="53"/>
      <c r="Y8" s="53"/>
      <c r="Z8" s="54" t="str">
        <f t="shared" ref="Z8:AO8" si="2">IF(J8="","",IF(J8&gt;($D8+$E8),(J8-$D8-$E8),IF(J8&lt;($D8+$F8),(J8-$D8-$F8),"√")))</f>
        <v>√</v>
      </c>
      <c r="AA8" s="54" t="str">
        <f t="shared" si="2"/>
        <v>√</v>
      </c>
      <c r="AB8" s="54" t="str">
        <f t="shared" si="2"/>
        <v>√</v>
      </c>
      <c r="AC8" s="54" t="str">
        <f t="shared" si="2"/>
        <v>√</v>
      </c>
      <c r="AD8" s="54" t="str">
        <f t="shared" si="2"/>
        <v>√</v>
      </c>
      <c r="AE8" s="54" t="str">
        <f t="shared" si="2"/>
        <v>√</v>
      </c>
      <c r="AF8" s="54" t="str">
        <f t="shared" si="2"/>
        <v>√</v>
      </c>
      <c r="AG8" s="54" t="str">
        <f t="shared" si="2"/>
        <v>√</v>
      </c>
      <c r="AH8" s="54" t="str">
        <f t="shared" si="2"/>
        <v>√</v>
      </c>
      <c r="AI8" s="54" t="str">
        <f t="shared" si="2"/>
        <v>√</v>
      </c>
      <c r="AJ8" s="54" t="str">
        <f t="shared" si="2"/>
        <v>√</v>
      </c>
      <c r="AK8" s="54" t="str">
        <f t="shared" si="2"/>
        <v>√</v>
      </c>
      <c r="AL8" s="54" t="str">
        <f t="shared" si="2"/>
        <v/>
      </c>
      <c r="AM8" s="54" t="str">
        <f t="shared" si="2"/>
        <v/>
      </c>
      <c r="AN8" s="54" t="str">
        <f t="shared" si="2"/>
        <v/>
      </c>
      <c r="AO8" s="54" t="str">
        <f t="shared" si="2"/>
        <v/>
      </c>
    </row>
    <row r="9" s="1" customFormat="1" spans="1:41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8"/>
      <c r="AL9" s="59"/>
      <c r="AM9" s="60"/>
      <c r="AN9" s="61"/>
      <c r="AO9" s="62"/>
    </row>
    <row r="10" ht="15" spans="1:41">
      <c r="A10" s="63"/>
    </row>
    <row r="11" ht="15" spans="1:41">
      <c r="A11" s="63"/>
    </row>
    <row r="12" customHeight="1" spans="1:41">
      <c r="A12" s="32" t="s">
        <v>13</v>
      </c>
      <c r="B12" s="32" t="s">
        <v>14</v>
      </c>
      <c r="C12" s="33" t="s">
        <v>15</v>
      </c>
      <c r="D12" s="34" t="s">
        <v>16</v>
      </c>
      <c r="E12" s="35" t="s">
        <v>17</v>
      </c>
      <c r="F12" s="36" t="s">
        <v>18</v>
      </c>
      <c r="G12" s="36" t="s">
        <v>19</v>
      </c>
      <c r="H12" s="36" t="s">
        <v>20</v>
      </c>
      <c r="I12" s="37" t="s">
        <v>21</v>
      </c>
      <c r="J12" s="38" t="s">
        <v>22</v>
      </c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9" t="s">
        <v>23</v>
      </c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1"/>
    </row>
    <row r="13" ht="13.5" customHeight="1" spans="1:41">
      <c r="A13" s="42"/>
      <c r="B13" s="43"/>
      <c r="C13" s="44"/>
      <c r="D13" s="34"/>
      <c r="E13" s="35"/>
      <c r="F13" s="36"/>
      <c r="G13" s="36"/>
      <c r="H13" s="36"/>
      <c r="I13" s="34"/>
      <c r="J13" s="38" t="s">
        <v>24</v>
      </c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45" t="s">
        <v>25</v>
      </c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</row>
    <row r="14" customHeight="1" spans="1:41">
      <c r="A14" s="42"/>
      <c r="B14" s="43"/>
      <c r="C14" s="46"/>
      <c r="D14" s="34"/>
      <c r="E14" s="35"/>
      <c r="F14" s="36"/>
      <c r="G14" s="36"/>
      <c r="H14" s="36"/>
      <c r="I14" s="34"/>
      <c r="J14" s="47" t="s">
        <v>41</v>
      </c>
      <c r="K14" s="47" t="s">
        <v>42</v>
      </c>
      <c r="L14" s="47" t="s">
        <v>43</v>
      </c>
      <c r="M14" s="47" t="s">
        <v>44</v>
      </c>
      <c r="N14" s="47" t="s">
        <v>45</v>
      </c>
      <c r="O14" s="47" t="s">
        <v>46</v>
      </c>
      <c r="P14" s="47" t="s">
        <v>47</v>
      </c>
      <c r="Q14" s="47" t="s">
        <v>48</v>
      </c>
      <c r="R14" s="47" t="s">
        <v>49</v>
      </c>
      <c r="S14" s="47" t="s">
        <v>50</v>
      </c>
      <c r="T14" s="47" t="s">
        <v>51</v>
      </c>
      <c r="U14" s="47" t="s">
        <v>52</v>
      </c>
      <c r="V14" s="48">
        <v>13</v>
      </c>
      <c r="W14" s="48">
        <v>14</v>
      </c>
      <c r="X14" s="48">
        <v>15</v>
      </c>
      <c r="Y14" s="48">
        <v>16</v>
      </c>
      <c r="Z14" s="49" t="str">
        <f t="shared" ref="Z14:AO14" si="3">J14</f>
        <v>5-1</v>
      </c>
      <c r="AA14" s="49" t="str">
        <f t="shared" si="3"/>
        <v>5-2</v>
      </c>
      <c r="AB14" s="49" t="str">
        <f t="shared" si="3"/>
        <v>5-3</v>
      </c>
      <c r="AC14" s="49" t="str">
        <f t="shared" si="3"/>
        <v>6-1</v>
      </c>
      <c r="AD14" s="49" t="str">
        <f t="shared" si="3"/>
        <v>6-2</v>
      </c>
      <c r="AE14" s="49" t="str">
        <f t="shared" si="3"/>
        <v>6-3</v>
      </c>
      <c r="AF14" s="49" t="str">
        <f t="shared" si="3"/>
        <v>7-1</v>
      </c>
      <c r="AG14" s="49" t="str">
        <f t="shared" si="3"/>
        <v>7-2</v>
      </c>
      <c r="AH14" s="49" t="str">
        <f t="shared" si="3"/>
        <v>7-3</v>
      </c>
      <c r="AI14" s="49" t="str">
        <f t="shared" si="3"/>
        <v>8-1</v>
      </c>
      <c r="AJ14" s="49" t="str">
        <f t="shared" si="3"/>
        <v>8-2</v>
      </c>
      <c r="AK14" s="49" t="str">
        <f t="shared" si="3"/>
        <v>8-3</v>
      </c>
      <c r="AL14" s="49">
        <f t="shared" si="3"/>
        <v>13</v>
      </c>
      <c r="AM14" s="49">
        <f t="shared" si="3"/>
        <v>14</v>
      </c>
      <c r="AN14" s="49">
        <f t="shared" si="3"/>
        <v>15</v>
      </c>
      <c r="AO14" s="49">
        <f t="shared" si="3"/>
        <v>16</v>
      </c>
    </row>
    <row r="15" ht="15" customHeight="1" spans="1:41">
      <c r="A15" s="50">
        <v>46211</v>
      </c>
      <c r="B15" s="51" t="s">
        <v>38</v>
      </c>
      <c r="C15" s="52"/>
      <c r="D15" s="52">
        <v>0.609</v>
      </c>
      <c r="E15" s="52">
        <v>0.03</v>
      </c>
      <c r="F15" s="52">
        <v>-0.03</v>
      </c>
      <c r="G15" s="52">
        <f>E15+D15</f>
        <v>0.639</v>
      </c>
      <c r="H15" s="52">
        <f>F15+D15</f>
        <v>0.579</v>
      </c>
      <c r="I15" s="52" t="s">
        <v>39</v>
      </c>
      <c r="J15" s="53">
        <v>0.6071</v>
      </c>
      <c r="K15" s="53">
        <v>0.6093</v>
      </c>
      <c r="L15" s="53">
        <v>0.6038</v>
      </c>
      <c r="M15" s="53">
        <v>0.6115</v>
      </c>
      <c r="N15" s="53">
        <v>0.5975</v>
      </c>
      <c r="O15" s="53">
        <v>0.6112</v>
      </c>
      <c r="P15" s="53">
        <v>0.6039</v>
      </c>
      <c r="Q15" s="53">
        <v>0.6088</v>
      </c>
      <c r="R15" s="53">
        <v>0.6079</v>
      </c>
      <c r="S15" s="53">
        <v>0.616</v>
      </c>
      <c r="T15" s="53">
        <v>0.6079</v>
      </c>
      <c r="U15" s="53">
        <v>0.6158</v>
      </c>
      <c r="V15" s="53"/>
      <c r="W15" s="53"/>
      <c r="X15" s="53"/>
      <c r="Y15" s="53"/>
      <c r="Z15" s="54" t="str">
        <f t="shared" ref="Z15:AO15" si="4">IF(J15="","",IF(J15&gt;($D15+$E15),(J15-$D15-$E15),IF(J15&lt;($D15+$F15),(J15-$D15-$F15),"√")))</f>
        <v>√</v>
      </c>
      <c r="AA15" s="54" t="str">
        <f t="shared" si="4"/>
        <v>√</v>
      </c>
      <c r="AB15" s="54" t="str">
        <f t="shared" si="4"/>
        <v>√</v>
      </c>
      <c r="AC15" s="54" t="str">
        <f t="shared" si="4"/>
        <v>√</v>
      </c>
      <c r="AD15" s="54" t="str">
        <f t="shared" si="4"/>
        <v>√</v>
      </c>
      <c r="AE15" s="54" t="str">
        <f t="shared" si="4"/>
        <v>√</v>
      </c>
      <c r="AF15" s="54" t="str">
        <f t="shared" si="4"/>
        <v>√</v>
      </c>
      <c r="AG15" s="54" t="str">
        <f t="shared" si="4"/>
        <v>√</v>
      </c>
      <c r="AH15" s="54" t="str">
        <f t="shared" si="4"/>
        <v>√</v>
      </c>
      <c r="AI15" s="54" t="str">
        <f t="shared" si="4"/>
        <v>√</v>
      </c>
      <c r="AJ15" s="54" t="str">
        <f t="shared" si="4"/>
        <v>√</v>
      </c>
      <c r="AK15" s="54" t="str">
        <f t="shared" si="4"/>
        <v>√</v>
      </c>
      <c r="AL15" s="54" t="str">
        <f t="shared" si="4"/>
        <v/>
      </c>
      <c r="AM15" s="54" t="str">
        <f t="shared" si="4"/>
        <v/>
      </c>
      <c r="AN15" s="54" t="str">
        <f t="shared" si="4"/>
        <v/>
      </c>
      <c r="AO15" s="54" t="str">
        <f t="shared" si="4"/>
        <v/>
      </c>
    </row>
    <row r="16" ht="15" customHeight="1" spans="1:41">
      <c r="A16" s="55"/>
      <c r="B16" s="51" t="s">
        <v>40</v>
      </c>
      <c r="C16" s="52"/>
      <c r="D16" s="52">
        <v>0.609</v>
      </c>
      <c r="E16" s="52">
        <v>0.03</v>
      </c>
      <c r="F16" s="52">
        <v>-0.03</v>
      </c>
      <c r="G16" s="52">
        <f>E16+D16</f>
        <v>0.639</v>
      </c>
      <c r="H16" s="52">
        <f>F16+D16</f>
        <v>0.579</v>
      </c>
      <c r="I16" s="52" t="s">
        <v>39</v>
      </c>
      <c r="J16" s="53">
        <v>0.6049</v>
      </c>
      <c r="K16" s="53">
        <v>0.603</v>
      </c>
      <c r="L16" s="53">
        <v>0.5968</v>
      </c>
      <c r="M16" s="53">
        <v>0.602</v>
      </c>
      <c r="N16" s="53">
        <v>0.6055</v>
      </c>
      <c r="O16" s="53">
        <v>0.5934</v>
      </c>
      <c r="P16" s="53">
        <v>0.6057</v>
      </c>
      <c r="Q16" s="53">
        <v>0.6069</v>
      </c>
      <c r="R16" s="53">
        <v>0.5992</v>
      </c>
      <c r="S16" s="53">
        <v>0.6054</v>
      </c>
      <c r="T16" s="53">
        <v>0.608</v>
      </c>
      <c r="U16" s="53">
        <v>0.6047</v>
      </c>
      <c r="V16" s="53"/>
      <c r="W16" s="53"/>
      <c r="X16" s="53"/>
      <c r="Y16" s="53"/>
      <c r="Z16" s="54" t="str">
        <f t="shared" ref="Z16:AO16" si="5">IF(J16="","",IF(J16&gt;($D16+$E16),(J16-$D16-$E16),IF(J16&lt;($D16+$F16),(J16-$D16-$F16),"√")))</f>
        <v>√</v>
      </c>
      <c r="AA16" s="54" t="str">
        <f t="shared" si="5"/>
        <v>√</v>
      </c>
      <c r="AB16" s="54" t="str">
        <f t="shared" si="5"/>
        <v>√</v>
      </c>
      <c r="AC16" s="54" t="str">
        <f t="shared" si="5"/>
        <v>√</v>
      </c>
      <c r="AD16" s="54" t="str">
        <f t="shared" si="5"/>
        <v>√</v>
      </c>
      <c r="AE16" s="54" t="str">
        <f t="shared" si="5"/>
        <v>√</v>
      </c>
      <c r="AF16" s="54" t="str">
        <f t="shared" si="5"/>
        <v>√</v>
      </c>
      <c r="AG16" s="54" t="str">
        <f t="shared" si="5"/>
        <v>√</v>
      </c>
      <c r="AH16" s="54" t="str">
        <f t="shared" si="5"/>
        <v>√</v>
      </c>
      <c r="AI16" s="54" t="str">
        <f t="shared" si="5"/>
        <v>√</v>
      </c>
      <c r="AJ16" s="54" t="str">
        <f t="shared" si="5"/>
        <v>√</v>
      </c>
      <c r="AK16" s="54" t="str">
        <f t="shared" si="5"/>
        <v>√</v>
      </c>
      <c r="AL16" s="54" t="str">
        <f t="shared" si="5"/>
        <v/>
      </c>
      <c r="AM16" s="54" t="str">
        <f t="shared" si="5"/>
        <v/>
      </c>
      <c r="AN16" s="54" t="str">
        <f t="shared" si="5"/>
        <v/>
      </c>
      <c r="AO16" s="54" t="str">
        <f t="shared" si="5"/>
        <v/>
      </c>
    </row>
    <row r="17" s="1" customFormat="1" spans="1:41">
      <c r="A17" s="56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8"/>
      <c r="AL17" s="59"/>
      <c r="AM17" s="60"/>
      <c r="AN17" s="61"/>
      <c r="AO17" s="62"/>
    </row>
  </sheetData>
  <mergeCells count="4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9:AK9"/>
    <mergeCell ref="AL9:AM9"/>
    <mergeCell ref="AN9:AO9"/>
    <mergeCell ref="J12:Y12"/>
    <mergeCell ref="Z12:AO12"/>
    <mergeCell ref="J13:Y13"/>
    <mergeCell ref="Z13:AO13"/>
    <mergeCell ref="A17:AK17"/>
    <mergeCell ref="AL17:AM17"/>
    <mergeCell ref="AN17:AO17"/>
    <mergeCell ref="A2:A3"/>
    <mergeCell ref="A4:A6"/>
    <mergeCell ref="A7:A8"/>
    <mergeCell ref="A12:A14"/>
    <mergeCell ref="A15:A16"/>
    <mergeCell ref="B4:B6"/>
    <mergeCell ref="B12:B14"/>
    <mergeCell ref="C4:C6"/>
    <mergeCell ref="C12:C14"/>
    <mergeCell ref="D4:D6"/>
    <mergeCell ref="D12:D14"/>
    <mergeCell ref="E4:E6"/>
    <mergeCell ref="E12:E14"/>
    <mergeCell ref="F4:F6"/>
    <mergeCell ref="F12:F14"/>
    <mergeCell ref="G4:G6"/>
    <mergeCell ref="G12:G14"/>
    <mergeCell ref="H4:H6"/>
    <mergeCell ref="H12:H14"/>
    <mergeCell ref="I4:I6"/>
    <mergeCell ref="I12:I14"/>
    <mergeCell ref="H2:K3"/>
    <mergeCell ref="L2:R3"/>
    <mergeCell ref="B2:G3"/>
  </mergeCells>
  <conditionalFormatting sqref="J7:Y8">
    <cfRule type="cellIs" dxfId="0" priority="72" operator="notBetween">
      <formula>$G7</formula>
      <formula>$H7</formula>
    </cfRule>
  </conditionalFormatting>
  <conditionalFormatting sqref="J15:Y16">
    <cfRule type="cellIs" dxfId="0" priority="1" operator="notBetween">
      <formula>$G15</formula>
      <formula>$H15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8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806-64112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2026-07-08T07:58:34Z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