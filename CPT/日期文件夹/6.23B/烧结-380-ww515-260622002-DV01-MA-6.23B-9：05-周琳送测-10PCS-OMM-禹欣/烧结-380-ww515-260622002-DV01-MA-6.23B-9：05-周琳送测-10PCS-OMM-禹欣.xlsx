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380" sheetId="8" r:id="rId1"/>
  </sheets>
  <definedNames>
    <definedName name="_xlnm.Print_Area" localSheetId="0">'380'!$B$1:$AD$6</definedName>
    <definedName name="_xlnm.Print_Titles" localSheetId="0">'380'!$1:$6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<sst xmlns="http://schemas.openxmlformats.org/spreadsheetml/2006/main" count="35" uniqueCount="33">
  <si>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</si>
  <si>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</si>
  <si>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380</t>
  </si>
  <si>
    <t>工单号</t>
  </si>
  <si>
    <t>ww515-260622002</t>
  </si>
  <si>
    <t>工站</t>
  </si>
  <si>
    <t>模号</t>
  </si>
  <si>
    <t>炉号</t>
  </si>
  <si>
    <t>测量机台</t>
  </si>
  <si>
    <t>测量人员</t>
  </si>
  <si>
    <t>审核</t>
  </si>
  <si>
    <t>烧结</t>
  </si>
  <si>
    <t>MA</t>
  </si>
  <si>
    <t>DV01</t>
  </si>
  <si>
    <t>OMM5#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</si>
  <si>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</si>
  <si>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</si>
  <si>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</si>
  <si>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</si>
  <si>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</si>
  <si>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</si>
  <si>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</si>
  <si>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</si>
  <si>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</si>
  <si>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</si>
  <si>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</si>
  <si>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</si>
  <si>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</si>
  <si>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</si>
  <si>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FAI-17</t>
  </si>
  <si>
    <t>omm</t>
  </si>
  <si>
    <t>CPT-FOR-0714-07</t>
  </si>
  <si>
    <t>版码:220303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</si>
</sst>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0_ "/>
    <numFmt numFmtId="179" formatCode="m/d\ h:mm:ss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2"/>
      <color theme="2" tint="-0.749992370372631"/>
      <name val="Trebuchet MS"/>
      <charset val="134"/>
    </font>
    <font>
      <sz val="11"/>
      <color theme="1" tint="0.499984740745262"/>
      <name val="Trebuchet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7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13" fillId="0" borderId="0" xfId="0" applyNumberFormat="1" applyFont="1" applyAlignment="1">
      <alignment horizontal="right" vertical="center"/>
    </xf>
    <xf numFmtId="179" fontId="14" fillId="0" borderId="11" xfId="0" applyNumberFormat="1" applyFont="1" applyBorder="1" applyAlignment="1">
      <alignment horizontal="right" vertical="center"/>
    </xf>
    <xf numFmtId="0" fontId="0" fillId="0" borderId="0" xfId="0" applyFont="1">
      <alignment vertical="center"/>
    </xf>
    <xf numFmtId="179" fontId="14" fillId="0" borderId="11" xfId="64" applyNumberFormat="1" applyFont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89646</xdr:rowOff>
    </xdr:from>
    <xdr:to>
      <xdr:col>1</xdr:col>
      <xdr:colOff>942975</xdr:colOff>
      <xdr:row>0</xdr:row>
      <xdr:rowOff>775446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4782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8"/>
  <sheetViews>
    <sheetView tabSelected="1" zoomScale="85" zoomScaleNormal="85" topLeftCell="B1" workbookViewId="0">
      <selection activeCell="I7" sqref="I7:R7"/>
    </sheetView>
  </sheetViews>
  <sheetFormatPr defaultColWidth="9" defaultRowHeight="14.25"/>
  <cols>
    <col min="1" max="1" width="9.25" customWidth="1"/>
    <col min="2" max="2" width="13" customWidth="1"/>
    <col min="3" max="4" width="5.75" customWidth="1"/>
    <col min="5" max="7" width="7.375" customWidth="1"/>
    <col min="8" max="8" width="4.625" customWidth="1"/>
    <col min="9" max="40" width="6.62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2.5" customHeight="1" spans="1:40">
      <c r="A2" s="2" t="s">
        <v>1</v>
      </c>
      <c r="B2" s="3" t="s">
        <v>2</v>
      </c>
      <c r="C2" s="3"/>
      <c r="D2" s="3"/>
      <c r="E2" s="3"/>
      <c r="F2" s="3"/>
      <c r="G2" s="4" t="s">
        <v>3</v>
      </c>
      <c r="H2" s="5"/>
      <c r="I2" s="5"/>
      <c r="J2" s="6"/>
      <c r="K2" s="7" t="s">
        <v>4</v>
      </c>
      <c r="L2" s="7"/>
      <c r="M2" s="7"/>
      <c r="N2" s="7"/>
      <c r="O2" s="7"/>
      <c r="P2" s="7"/>
      <c r="Q2" s="7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3" t="s">
        <v>7</v>
      </c>
      <c r="AC2" s="13"/>
      <c r="AD2" s="13"/>
      <c r="AE2" s="13"/>
      <c r="AF2" s="11" t="s">
        <v>8</v>
      </c>
      <c r="AG2" s="12"/>
      <c r="AH2" s="14"/>
      <c r="AI2" s="15" t="s">
        <v>9</v>
      </c>
      <c r="AJ2" s="16"/>
      <c r="AK2" s="17"/>
      <c r="AL2" s="15" t="s">
        <v>10</v>
      </c>
      <c r="AM2" s="16"/>
      <c r="AN2" s="17"/>
    </row>
    <row r="3" ht="19.5" customHeight="1" spans="1:40">
      <c r="A3" s="2"/>
      <c r="B3" s="3"/>
      <c r="C3" s="3"/>
      <c r="D3" s="3"/>
      <c r="E3" s="3"/>
      <c r="F3" s="3"/>
      <c r="G3" s="18"/>
      <c r="H3" s="19"/>
      <c r="I3" s="19"/>
      <c r="J3" s="20"/>
      <c r="K3" s="7"/>
      <c r="L3" s="7"/>
      <c r="M3" s="7"/>
      <c r="N3" s="7"/>
      <c r="O3" s="7"/>
      <c r="P3" s="7"/>
      <c r="Q3" s="7"/>
      <c r="R3" s="21" t="s">
        <v>11</v>
      </c>
      <c r="S3" s="22"/>
      <c r="T3" s="22"/>
      <c r="U3" s="22"/>
      <c r="V3" s="22"/>
      <c r="W3" s="23"/>
      <c r="X3" s="11" t="s">
        <v>12</v>
      </c>
      <c r="Y3" s="12"/>
      <c r="Z3" s="12"/>
      <c r="AA3" s="12"/>
      <c r="AB3" s="13" t="s">
        <v>13</v>
      </c>
      <c r="AC3" s="13"/>
      <c r="AD3" s="13"/>
      <c r="AE3" s="13"/>
      <c r="AF3" s="24" t="s">
        <v>14</v>
      </c>
      <c r="AG3" s="25"/>
      <c r="AH3" s="26"/>
      <c r="AI3" s="24" t="s">
        <v>15</v>
      </c>
      <c r="AJ3" s="25"/>
      <c r="AK3" s="26"/>
      <c r="AL3" s="24" t="s">
        <v>16</v>
      </c>
      <c r="AM3" s="25"/>
      <c r="AN3" s="26"/>
    </row>
    <row r="4" customHeight="1" spans="1:40">
      <c r="A4" s="27" t="s">
        <v>17</v>
      </c>
      <c r="B4" s="27" t="s">
        <v>18</v>
      </c>
      <c r="C4" s="28" t="s">
        <v>19</v>
      </c>
      <c r="D4" s="29" t="s">
        <v>20</v>
      </c>
      <c r="E4" s="30" t="s">
        <v>21</v>
      </c>
      <c r="F4" s="30" t="s">
        <v>22</v>
      </c>
      <c r="G4" s="30" t="s">
        <v>23</v>
      </c>
      <c r="H4" s="31" t="s">
        <v>24</v>
      </c>
      <c r="I4" s="32" t="s">
        <v>25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26</v>
      </c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5"/>
    </row>
    <row r="5" ht="13.5" customHeight="1" spans="1:40">
      <c r="A5" s="36"/>
      <c r="B5" s="37"/>
      <c r="C5" s="28"/>
      <c r="D5" s="29"/>
      <c r="E5" s="30"/>
      <c r="F5" s="30"/>
      <c r="G5" s="30"/>
      <c r="H5" s="28"/>
      <c r="I5" s="32" t="s">
        <v>27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8" t="s">
        <v>28</v>
      </c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customHeight="1" spans="1:40">
      <c r="A6" s="36"/>
      <c r="B6" s="37"/>
      <c r="C6" s="28"/>
      <c r="D6" s="29"/>
      <c r="E6" s="30"/>
      <c r="F6" s="30"/>
      <c r="G6" s="30"/>
      <c r="H6" s="28"/>
      <c r="I6" s="39">
        <v>1</v>
      </c>
      <c r="J6" s="39">
        <v>2</v>
      </c>
      <c r="K6" s="39">
        <v>3</v>
      </c>
      <c r="L6" s="39">
        <v>4</v>
      </c>
      <c r="M6" s="39">
        <v>5</v>
      </c>
      <c r="N6" s="39">
        <v>6</v>
      </c>
      <c r="O6" s="39">
        <v>7</v>
      </c>
      <c r="P6" s="39">
        <v>8</v>
      </c>
      <c r="Q6" s="39">
        <v>9</v>
      </c>
      <c r="R6" s="39">
        <v>10</v>
      </c>
      <c r="S6" s="39">
        <v>11</v>
      </c>
      <c r="T6" s="39">
        <v>12</v>
      </c>
      <c r="U6" s="39">
        <v>13</v>
      </c>
      <c r="V6" s="39">
        <v>14</v>
      </c>
      <c r="W6" s="39">
        <v>15</v>
      </c>
      <c r="X6" s="39">
        <v>16</v>
      </c>
      <c r="Y6" s="40">
        <f t="shared" ref="Y6:AN6" si="0">I6</f>
        <v>1</v>
      </c>
      <c r="Z6" s="40">
        <f t="shared" si="0"/>
        <v>2</v>
      </c>
      <c r="AA6" s="40">
        <f t="shared" si="0"/>
        <v>3</v>
      </c>
      <c r="AB6" s="40">
        <f t="shared" si="0"/>
        <v>4</v>
      </c>
      <c r="AC6" s="40">
        <f t="shared" si="0"/>
        <v>5</v>
      </c>
      <c r="AD6" s="40">
        <f t="shared" si="0"/>
        <v>6</v>
      </c>
      <c r="AE6" s="40">
        <f t="shared" si="0"/>
        <v>7</v>
      </c>
      <c r="AF6" s="40">
        <f t="shared" si="0"/>
        <v>8</v>
      </c>
      <c r="AG6" s="40">
        <f t="shared" si="0"/>
        <v>9</v>
      </c>
      <c r="AH6" s="40">
        <f t="shared" si="0"/>
        <v>10</v>
      </c>
      <c r="AI6" s="40">
        <f t="shared" si="0"/>
        <v>11</v>
      </c>
      <c r="AJ6" s="40">
        <f t="shared" si="0"/>
        <v>12</v>
      </c>
      <c r="AK6" s="40">
        <f t="shared" si="0"/>
        <v>13</v>
      </c>
      <c r="AL6" s="40">
        <f t="shared" si="0"/>
        <v>14</v>
      </c>
      <c r="AM6" s="40">
        <f t="shared" si="0"/>
        <v>15</v>
      </c>
      <c r="AN6" s="40">
        <f t="shared" si="0"/>
        <v>16</v>
      </c>
    </row>
    <row r="7" ht="15" customHeight="1" spans="1:40">
      <c r="A7" s="41">
        <v>46196</v>
      </c>
      <c r="B7" s="42" t="s">
        <v>29</v>
      </c>
      <c r="C7" s="43">
        <v>0.97</v>
      </c>
      <c r="D7" s="43">
        <v>0.03</v>
      </c>
      <c r="E7" s="43">
        <v>-0.03</v>
      </c>
      <c r="F7" s="44">
        <f>C7+D7</f>
        <v>1</v>
      </c>
      <c r="G7" s="44">
        <f>C7+E7</f>
        <v>0.94</v>
      </c>
      <c r="H7" s="43" t="s">
        <v>30</v>
      </c>
      <c r="I7" s="45">
        <v>0.9677</v>
      </c>
      <c r="J7" s="45">
        <v>0.9544</v>
      </c>
      <c r="K7" s="45">
        <v>0.9718</v>
      </c>
      <c r="L7" s="45">
        <v>0.9632</v>
      </c>
      <c r="M7" s="45">
        <v>0.9576</v>
      </c>
      <c r="N7" s="45">
        <v>0.9729</v>
      </c>
      <c r="O7" s="45">
        <v>0.9684</v>
      </c>
      <c r="P7" s="45">
        <v>0.9553</v>
      </c>
      <c r="Q7" s="45">
        <v>0.963</v>
      </c>
      <c r="R7" s="45">
        <v>0.9621</v>
      </c>
      <c r="S7" s="45"/>
      <c r="T7" s="45"/>
      <c r="U7" s="45"/>
      <c r="V7" s="45"/>
      <c r="W7" s="45"/>
      <c r="X7" s="45"/>
      <c r="Y7" s="46" t="str">
        <f t="shared" ref="Y7:AN7" si="1">IF(I7="","",IF(I7&gt;($C7+$D7),(I7-$C7-$D7),IF(I7&lt;($C7+$E7),(I7-$C7-$E7),"√")))</f>
        <v>√</v>
      </c>
      <c r="Z7" s="46" t="str">
        <f t="shared" si="1"/>
        <v>√</v>
      </c>
      <c r="AA7" s="46" t="str">
        <f t="shared" si="1"/>
        <v>√</v>
      </c>
      <c r="AB7" s="46" t="str">
        <f t="shared" si="1"/>
        <v>√</v>
      </c>
      <c r="AC7" s="46" t="str">
        <f t="shared" si="1"/>
        <v>√</v>
      </c>
      <c r="AD7" s="46" t="str">
        <f t="shared" si="1"/>
        <v>√</v>
      </c>
      <c r="AE7" s="46" t="str">
        <f t="shared" si="1"/>
        <v>√</v>
      </c>
      <c r="AF7" s="46" t="str">
        <f t="shared" si="1"/>
        <v>√</v>
      </c>
      <c r="AG7" s="46" t="str">
        <f t="shared" si="1"/>
        <v>√</v>
      </c>
      <c r="AH7" s="46" t="str">
        <f t="shared" si="1"/>
        <v>√</v>
      </c>
      <c r="AI7" s="46" t="str">
        <f t="shared" si="1"/>
        <v/>
      </c>
      <c r="AJ7" s="46" t="str">
        <f t="shared" si="1"/>
        <v/>
      </c>
      <c r="AK7" s="46" t="str">
        <f t="shared" si="1"/>
        <v/>
      </c>
      <c r="AL7" s="46" t="str">
        <f t="shared" si="1"/>
        <v/>
      </c>
      <c r="AM7" s="46" t="str">
        <f t="shared" si="1"/>
        <v/>
      </c>
      <c r="AN7" s="46" t="str">
        <f t="shared" si="1"/>
        <v/>
      </c>
    </row>
    <row r="8" customHeight="1" spans="1:40">
      <c r="A8" s="41"/>
      <c r="B8" s="47"/>
      <c r="C8" s="47"/>
      <c r="D8" s="47"/>
      <c r="E8" s="47"/>
      <c r="F8" s="47"/>
      <c r="G8" s="47"/>
      <c r="H8" s="48"/>
      <c r="I8" s="39">
        <v>17</v>
      </c>
      <c r="J8" s="39">
        <v>18</v>
      </c>
      <c r="K8" s="39">
        <v>19</v>
      </c>
      <c r="L8" s="39">
        <v>20</v>
      </c>
      <c r="M8" s="39">
        <v>21</v>
      </c>
      <c r="N8" s="39">
        <v>22</v>
      </c>
      <c r="O8" s="39">
        <v>23</v>
      </c>
      <c r="P8" s="39">
        <v>24</v>
      </c>
      <c r="Q8" s="39">
        <v>25</v>
      </c>
      <c r="R8" s="39">
        <v>26</v>
      </c>
      <c r="S8" s="39">
        <v>27</v>
      </c>
      <c r="T8" s="39">
        <v>28</v>
      </c>
      <c r="U8" s="39">
        <v>29</v>
      </c>
      <c r="V8" s="39">
        <v>30</v>
      </c>
      <c r="W8" s="39">
        <v>31</v>
      </c>
      <c r="X8" s="39">
        <v>32</v>
      </c>
      <c r="Y8" s="40">
        <f t="shared" ref="Y8:AN8" si="2">I8</f>
        <v>17</v>
      </c>
      <c r="Z8" s="40">
        <f t="shared" si="2"/>
        <v>18</v>
      </c>
      <c r="AA8" s="40">
        <f t="shared" si="2"/>
        <v>19</v>
      </c>
      <c r="AB8" s="40">
        <f t="shared" si="2"/>
        <v>20</v>
      </c>
      <c r="AC8" s="40">
        <f t="shared" si="2"/>
        <v>21</v>
      </c>
      <c r="AD8" s="40">
        <f t="shared" si="2"/>
        <v>22</v>
      </c>
      <c r="AE8" s="40">
        <f t="shared" si="2"/>
        <v>23</v>
      </c>
      <c r="AF8" s="40">
        <f t="shared" si="2"/>
        <v>24</v>
      </c>
      <c r="AG8" s="40">
        <f t="shared" si="2"/>
        <v>25</v>
      </c>
      <c r="AH8" s="40">
        <f t="shared" si="2"/>
        <v>26</v>
      </c>
      <c r="AI8" s="40">
        <f t="shared" si="2"/>
        <v>27</v>
      </c>
      <c r="AJ8" s="40">
        <f t="shared" si="2"/>
        <v>28</v>
      </c>
      <c r="AK8" s="40">
        <f t="shared" si="2"/>
        <v>29</v>
      </c>
      <c r="AL8" s="40">
        <f t="shared" si="2"/>
        <v>30</v>
      </c>
      <c r="AM8" s="40">
        <f t="shared" si="2"/>
        <v>31</v>
      </c>
      <c r="AN8" s="40">
        <f t="shared" si="2"/>
        <v>32</v>
      </c>
    </row>
    <row r="9" ht="15" customHeight="1" spans="1:40">
      <c r="A9" s="41"/>
      <c r="B9" s="42" t="s">
        <v>29</v>
      </c>
      <c r="C9" s="43">
        <v>0.97</v>
      </c>
      <c r="D9" s="43">
        <v>0.03</v>
      </c>
      <c r="E9" s="43">
        <v>-0.03</v>
      </c>
      <c r="F9" s="44">
        <f>C9+D9</f>
        <v>1</v>
      </c>
      <c r="G9" s="44">
        <f>C9+E9</f>
        <v>0.94</v>
      </c>
      <c r="H9" s="43" t="s">
        <v>30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6" t="str">
        <f t="shared" ref="Y9:AN9" si="3">IF(I9="","",IF(I9&gt;($C9+$D9),(I9-$C9-$D9),IF(I9&lt;($C9+$E9),(I9-$C9-$E9),"√")))</f>
        <v/>
      </c>
      <c r="Z9" s="46" t="str">
        <f t="shared" si="3"/>
        <v/>
      </c>
      <c r="AA9" s="46" t="str">
        <f t="shared" si="3"/>
        <v/>
      </c>
      <c r="AB9" s="46" t="str">
        <f t="shared" si="3"/>
        <v/>
      </c>
      <c r="AC9" s="46" t="str">
        <f t="shared" si="3"/>
        <v/>
      </c>
      <c r="AD9" s="46" t="str">
        <f t="shared" si="3"/>
        <v/>
      </c>
      <c r="AE9" s="46" t="str">
        <f t="shared" si="3"/>
        <v/>
      </c>
      <c r="AF9" s="46" t="str">
        <f t="shared" si="3"/>
        <v/>
      </c>
      <c r="AG9" s="46" t="str">
        <f t="shared" si="3"/>
        <v/>
      </c>
      <c r="AH9" s="46" t="str">
        <f t="shared" si="3"/>
        <v/>
      </c>
      <c r="AI9" s="46" t="str">
        <f t="shared" si="3"/>
        <v/>
      </c>
      <c r="AJ9" s="46" t="str">
        <f t="shared" si="3"/>
        <v/>
      </c>
      <c r="AK9" s="46" t="str">
        <f t="shared" si="3"/>
        <v/>
      </c>
      <c r="AL9" s="46" t="str">
        <f t="shared" si="3"/>
        <v/>
      </c>
      <c r="AM9" s="46" t="str">
        <f t="shared" si="3"/>
        <v/>
      </c>
      <c r="AN9" s="46" t="str">
        <f t="shared" si="3"/>
        <v/>
      </c>
    </row>
    <row r="10" spans="1:40">
      <c r="A10" t="s">
        <v>31</v>
      </c>
      <c r="AM10" t="s">
        <v>32</v>
      </c>
    </row>
    <row r="12" ht="18" spans="1:40">
      <c r="J12" s="49"/>
      <c r="K12" s="50"/>
      <c r="L12" s="50"/>
      <c r="M12" s="50"/>
      <c r="N12" s="50"/>
    </row>
    <row r="13" ht="16.5" spans="1:40">
      <c r="E13" s="51"/>
      <c r="J13" s="50"/>
      <c r="K13" s="50"/>
      <c r="L13" s="50"/>
      <c r="M13" s="50"/>
      <c r="N13" s="50"/>
      <c r="P13" s="50"/>
    </row>
    <row r="14" ht="16.5" spans="1:40">
      <c r="H14" s="50"/>
      <c r="I14" s="50"/>
      <c r="J14" s="50"/>
      <c r="K14" s="50"/>
    </row>
    <row r="16" ht="18" spans="1:40">
      <c r="G16" s="51"/>
      <c r="J16" s="49"/>
      <c r="K16" s="49"/>
      <c r="L16" s="49"/>
      <c r="M16" s="49"/>
      <c r="N16" s="49"/>
      <c r="O16" s="49"/>
      <c r="P16" s="49"/>
    </row>
    <row r="18" ht="16.5" spans="14:18">
      <c r="N18" s="52"/>
      <c r="O18" s="52"/>
      <c r="P18" s="52"/>
      <c r="Q18" s="52"/>
      <c r="R18" s="52"/>
    </row>
  </sheetData>
  <mergeCells count="31">
    <mergeCell ref="A1:AN1"/>
    <mergeCell ref="R2:W2"/>
    <mergeCell ref="X2:AA2"/>
    <mergeCell ref="AB2:AE2"/>
    <mergeCell ref="AF2:AH2"/>
    <mergeCell ref="AI2:AK2"/>
    <mergeCell ref="AL2:AN2"/>
    <mergeCell ref="R3:W3"/>
    <mergeCell ref="X3:AA3"/>
    <mergeCell ref="AB3:AE3"/>
    <mergeCell ref="AF3:AH3"/>
    <mergeCell ref="AI3:AK3"/>
    <mergeCell ref="AL3:AN3"/>
    <mergeCell ref="I4:X4"/>
    <mergeCell ref="Y4:AN4"/>
    <mergeCell ref="I5:X5"/>
    <mergeCell ref="Y5:AN5"/>
    <mergeCell ref="B8:H8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B2:F3"/>
    <mergeCell ref="G2:J3"/>
    <mergeCell ref="K2:Q3"/>
  </mergeCells>
  <conditionalFormatting sqref="I9:X9 I7:X7">
    <cfRule type="cellIs" dxfId="0" priority="9" operator="notBetween">
      <formula>$F7</formula>
      <formula>$G7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Y7:AN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2026-06-23T14:40:00Z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