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<sst xmlns="http://schemas.openxmlformats.org/spreadsheetml/2006/main" count="50" uniqueCount="40">
  <si>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安徽中耀智能科技有限公司首件尺寸报告</t>
  </si>
  <si>
    <t>料号</t>
  </si>
  <si>
    <t>B-washer-035</t>
  </si>
  <si>
    <t>工单号</t>
  </si>
  <si>
    <t>WW132-260601007</t>
  </si>
  <si>
    <t>工站</t>
  </si>
  <si>
    <t>模号</t>
  </si>
  <si>
    <t>机台号</t>
  </si>
  <si>
    <t>测量人员</t>
  </si>
  <si>
    <t>审核</t>
  </si>
  <si>
    <t>整形</t>
  </si>
  <si>
    <t>T1</t>
  </si>
  <si>
    <t>37#</t>
  </si>
  <si>
    <t>张元庆/禹欣</t>
  </si>
  <si>
    <t>王婷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</si>
  <si>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</si>
  <si>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</si>
  <si>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</si>
  <si>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</si>
  <si>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</si>
  <si>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</si>
  <si>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</si>
  <si>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</si>
  <si>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</si>
  <si>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</si>
  <si>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</si>
  <si>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</si>
  <si>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MingLiU"/>
        <charset val="136"/>
      </rPr>
      <t>复测</t>
    </r>
    <r>
      <rPr>
        <b/>
        <sz val="11"/>
        <rFont val="Arial"/>
        <charset val="134"/>
      </rPr>
      <t>4</t>
    </r>
  </si>
  <si>
    <t>FAI-25</t>
  </si>
  <si>
    <t>OMM</t>
  </si>
  <si>
    <t>FAI-26</t>
  </si>
  <si>
    <t>FAI26X</t>
  </si>
  <si>
    <t>FAI26Y</t>
  </si>
  <si>
    <t>FAI-15</t>
  </si>
  <si>
    <t>FAI-16</t>
  </si>
  <si>
    <t>FAI-20</t>
  </si>
  <si>
    <t>FAI-21</t>
  </si>
  <si>
    <t>FAI-013</t>
  </si>
  <si>
    <t>CMM</t>
  </si>
  <si>
    <t>FAI-014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</si>
</sst>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b/>
      <sz val="11"/>
      <name val="MingLiU"/>
      <charset val="136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8"/>
  <sheetViews>
    <sheetView tabSelected="1" workbookViewId="0">
      <selection activeCell="S13" sqref="S13"/>
    </sheetView>
  </sheetViews>
  <sheetFormatPr defaultColWidth="9" defaultRowHeight="14.25"/>
  <cols>
    <col min="1" max="1" width="11" style="1" customWidth="1"/>
    <col min="2" max="2" width="22.425" style="1" customWidth="1"/>
    <col min="3" max="3" width="9.85833333333333" style="1" customWidth="1"/>
    <col min="4" max="4" width="5.70833333333333" style="1" customWidth="1"/>
    <col min="5" max="7" width="7.425" style="1" customWidth="1"/>
    <col min="8" max="8" width="6.85833333333333" style="1" customWidth="1"/>
    <col min="9" max="40" width="6.56666666666667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4" t="s">
        <v>7</v>
      </c>
      <c r="AE2" s="14"/>
      <c r="AF2" s="14"/>
      <c r="AG2" s="14"/>
      <c r="AH2" s="14"/>
      <c r="AI2" s="14"/>
      <c r="AJ2" s="15" t="s">
        <v>8</v>
      </c>
      <c r="AK2" s="16"/>
      <c r="AL2" s="17"/>
      <c r="AM2" s="15" t="s">
        <v>9</v>
      </c>
      <c r="AN2" s="17"/>
    </row>
    <row r="3" ht="15" customHeight="1" spans="1:40">
      <c r="A3" s="3"/>
      <c r="B3" s="4"/>
      <c r="C3" s="4"/>
      <c r="D3" s="4"/>
      <c r="E3" s="4"/>
      <c r="F3" s="4"/>
      <c r="G3" s="18"/>
      <c r="H3" s="19"/>
      <c r="I3" s="19"/>
      <c r="J3" s="20"/>
      <c r="K3" s="4"/>
      <c r="L3" s="4"/>
      <c r="M3" s="4"/>
      <c r="N3" s="4"/>
      <c r="O3" s="4"/>
      <c r="P3" s="4"/>
      <c r="Q3" s="4"/>
      <c r="R3" s="21" t="s">
        <v>10</v>
      </c>
      <c r="S3" s="22"/>
      <c r="T3" s="22"/>
      <c r="U3" s="22"/>
      <c r="V3" s="22"/>
      <c r="W3" s="23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/>
      <c r="AI3" s="13"/>
      <c r="AJ3" s="24" t="s">
        <v>13</v>
      </c>
      <c r="AK3" s="25"/>
      <c r="AL3" s="26"/>
      <c r="AM3" s="24" t="s">
        <v>14</v>
      </c>
      <c r="AN3" s="26"/>
    </row>
    <row r="4" customHeight="1" spans="1:40">
      <c r="A4" s="27" t="s">
        <v>15</v>
      </c>
      <c r="B4" s="27" t="s">
        <v>16</v>
      </c>
      <c r="C4" s="28" t="s">
        <v>17</v>
      </c>
      <c r="D4" s="29" t="s">
        <v>18</v>
      </c>
      <c r="E4" s="30" t="s">
        <v>19</v>
      </c>
      <c r="F4" s="30" t="s">
        <v>20</v>
      </c>
      <c r="G4" s="30" t="s">
        <v>21</v>
      </c>
      <c r="H4" s="31" t="s">
        <v>22</v>
      </c>
      <c r="I4" s="32" t="s">
        <v>23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24</v>
      </c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5"/>
    </row>
    <row r="5" ht="13.5" customHeight="1" spans="1:40">
      <c r="A5" s="36"/>
      <c r="B5" s="37"/>
      <c r="C5" s="28"/>
      <c r="D5" s="29"/>
      <c r="E5" s="30"/>
      <c r="F5" s="30"/>
      <c r="G5" s="30"/>
      <c r="H5" s="28"/>
      <c r="I5" s="32" t="s">
        <v>25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8" t="s">
        <v>26</v>
      </c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</row>
    <row r="6" ht="14.1" customHeight="1" spans="1:40">
      <c r="A6" s="36"/>
      <c r="B6" s="37"/>
      <c r="C6" s="28"/>
      <c r="D6" s="29"/>
      <c r="E6" s="30"/>
      <c r="F6" s="30"/>
      <c r="G6" s="30"/>
      <c r="H6" s="28"/>
      <c r="I6" s="39">
        <v>1</v>
      </c>
      <c r="J6" s="39">
        <v>2</v>
      </c>
      <c r="K6" s="39">
        <v>3</v>
      </c>
      <c r="L6" s="39">
        <v>4</v>
      </c>
      <c r="M6" s="39">
        <v>5</v>
      </c>
      <c r="N6" s="39">
        <v>6</v>
      </c>
      <c r="O6" s="39">
        <v>7</v>
      </c>
      <c r="P6" s="39">
        <v>8</v>
      </c>
      <c r="Q6" s="39" t="s">
        <v>27</v>
      </c>
      <c r="R6" s="32">
        <v>10</v>
      </c>
      <c r="S6" s="39">
        <v>11</v>
      </c>
      <c r="T6" s="39">
        <v>12</v>
      </c>
      <c r="U6" s="39">
        <v>13</v>
      </c>
      <c r="V6" s="39">
        <v>14</v>
      </c>
      <c r="W6" s="39">
        <v>15</v>
      </c>
      <c r="X6" s="39">
        <v>16</v>
      </c>
      <c r="Y6" s="40">
        <f t="shared" ref="Y6:AN6" si="0">I6</f>
        <v>1</v>
      </c>
      <c r="Z6" s="40">
        <f t="shared" si="0"/>
        <v>2</v>
      </c>
      <c r="AA6" s="40">
        <f t="shared" si="0"/>
        <v>3</v>
      </c>
      <c r="AB6" s="40">
        <f t="shared" si="0"/>
        <v>4</v>
      </c>
      <c r="AC6" s="40">
        <f t="shared" si="0"/>
        <v>5</v>
      </c>
      <c r="AD6" s="40">
        <f t="shared" si="0"/>
        <v>6</v>
      </c>
      <c r="AE6" s="40">
        <f t="shared" si="0"/>
        <v>7</v>
      </c>
      <c r="AF6" s="40">
        <f t="shared" si="0"/>
        <v>8</v>
      </c>
      <c r="AG6" s="40" t="str">
        <f t="shared" si="0"/>
        <v>复测4</v>
      </c>
      <c r="AH6" s="40">
        <f t="shared" si="0"/>
        <v>10</v>
      </c>
      <c r="AI6" s="40">
        <f t="shared" si="0"/>
        <v>11</v>
      </c>
      <c r="AJ6" s="40">
        <f t="shared" si="0"/>
        <v>12</v>
      </c>
      <c r="AK6" s="40">
        <f t="shared" si="0"/>
        <v>13</v>
      </c>
      <c r="AL6" s="40">
        <f t="shared" si="0"/>
        <v>14</v>
      </c>
      <c r="AM6" s="40">
        <f t="shared" si="0"/>
        <v>15</v>
      </c>
      <c r="AN6" s="40">
        <f t="shared" si="0"/>
        <v>16</v>
      </c>
    </row>
    <row r="7" spans="1:40">
      <c r="A7" s="41">
        <v>46196</v>
      </c>
      <c r="B7" s="42" t="s">
        <v>28</v>
      </c>
      <c r="C7" s="42">
        <v>18.3</v>
      </c>
      <c r="D7" s="42">
        <v>0.1</v>
      </c>
      <c r="E7" s="42">
        <v>-0.1</v>
      </c>
      <c r="F7" s="43">
        <f t="shared" ref="F7:F14" si="1">C7+D7</f>
        <v>18.4</v>
      </c>
      <c r="G7" s="43">
        <f t="shared" ref="G7:G14" si="2">C7+E7</f>
        <v>18.2</v>
      </c>
      <c r="H7" s="44" t="s">
        <v>29</v>
      </c>
      <c r="I7" s="45">
        <v>18.2895</v>
      </c>
      <c r="J7" s="45">
        <v>18.2807</v>
      </c>
      <c r="K7" s="45">
        <v>18.2744</v>
      </c>
      <c r="L7" s="45">
        <v>18.2935</v>
      </c>
      <c r="M7" s="45">
        <v>18.2839</v>
      </c>
      <c r="N7" s="45">
        <v>18.2992</v>
      </c>
      <c r="O7" s="45">
        <v>18.3041</v>
      </c>
      <c r="P7" s="45">
        <v>18.2996</v>
      </c>
      <c r="Q7" s="45">
        <v>18.2916</v>
      </c>
      <c r="R7" s="45"/>
      <c r="S7" s="45"/>
      <c r="T7" s="45"/>
      <c r="U7" s="45"/>
      <c r="V7" s="45"/>
      <c r="W7" s="45"/>
      <c r="X7" s="45"/>
      <c r="Y7" s="46" t="str">
        <f t="shared" ref="Y7:AF7" si="3">IF(I7="","",IF(I7&gt;($C7+$D7),(I7-$C7-$D7),IF(I7&lt;($C7+$E7),(I7-$C7-$E7),"√")))</f>
        <v>√</v>
      </c>
      <c r="Z7" s="46" t="str">
        <f t="shared" si="3"/>
        <v>√</v>
      </c>
      <c r="AA7" s="46" t="str">
        <f t="shared" si="3"/>
        <v>√</v>
      </c>
      <c r="AB7" s="46" t="str">
        <f t="shared" si="3"/>
        <v>√</v>
      </c>
      <c r="AC7" s="46" t="str">
        <f t="shared" si="3"/>
        <v>√</v>
      </c>
      <c r="AD7" s="46" t="str">
        <f t="shared" si="3"/>
        <v>√</v>
      </c>
      <c r="AE7" s="46" t="str">
        <f t="shared" si="3"/>
        <v>√</v>
      </c>
      <c r="AF7" s="46" t="str">
        <f t="shared" si="3"/>
        <v>√</v>
      </c>
      <c r="AG7" s="46" t="str">
        <f t="shared" ref="AG7:AN7" si="4">IF(Q7="","",IF(Q7&gt;($C7+$D7),(Q7-$C7-$D7),IF(Q7&lt;($C7+$E7),(Q7-$C7-$E7),"√")))</f>
        <v>√</v>
      </c>
      <c r="AH7" s="46" t="str">
        <f t="shared" si="4"/>
        <v/>
      </c>
      <c r="AI7" s="46" t="str">
        <f t="shared" si="4"/>
        <v/>
      </c>
      <c r="AJ7" s="46" t="str">
        <f t="shared" si="4"/>
        <v/>
      </c>
      <c r="AK7" s="46" t="str">
        <f t="shared" si="4"/>
        <v/>
      </c>
      <c r="AL7" s="46" t="str">
        <f t="shared" si="4"/>
        <v/>
      </c>
      <c r="AM7" s="46" t="str">
        <f t="shared" si="4"/>
        <v/>
      </c>
      <c r="AN7" s="46" t="str">
        <f t="shared" si="4"/>
        <v/>
      </c>
    </row>
    <row r="8" spans="1:40">
      <c r="A8" s="42"/>
      <c r="B8" s="42" t="s">
        <v>30</v>
      </c>
      <c r="C8" s="42">
        <v>0</v>
      </c>
      <c r="D8" s="42">
        <v>0.1</v>
      </c>
      <c r="E8" s="42">
        <v>0</v>
      </c>
      <c r="F8" s="43">
        <f t="shared" si="1"/>
        <v>0.1</v>
      </c>
      <c r="G8" s="43">
        <f t="shared" si="2"/>
        <v>0</v>
      </c>
      <c r="H8" s="44" t="s">
        <v>29</v>
      </c>
      <c r="I8" s="45">
        <v>0.0407</v>
      </c>
      <c r="J8" s="45">
        <v>0.1145</v>
      </c>
      <c r="K8" s="45">
        <v>0.0747</v>
      </c>
      <c r="L8" s="45">
        <v>0.1441</v>
      </c>
      <c r="M8" s="45">
        <v>0.038</v>
      </c>
      <c r="N8" s="45">
        <v>0.1048</v>
      </c>
      <c r="O8" s="45">
        <v>0.089</v>
      </c>
      <c r="P8" s="45">
        <v>0.0822</v>
      </c>
      <c r="Q8" s="45">
        <v>0.1422</v>
      </c>
      <c r="R8" s="45"/>
      <c r="S8" s="45"/>
      <c r="T8" s="45"/>
      <c r="U8" s="45"/>
      <c r="V8" s="45"/>
      <c r="W8" s="45"/>
      <c r="X8" s="45"/>
      <c r="Y8" s="46" t="str">
        <f t="shared" ref="Y8:AF8" si="5">IF(I8="","",IF(I8&gt;($C8+$D8),(I8-$C8-$D8),IF(I8&lt;($C8+$E8),(I8-$C8-$E8),"√")))</f>
        <v>√</v>
      </c>
      <c r="Z8" s="46">
        <f t="shared" si="5"/>
        <v>0.0145</v>
      </c>
      <c r="AA8" s="46" t="str">
        <f t="shared" si="5"/>
        <v>√</v>
      </c>
      <c r="AB8" s="46">
        <f t="shared" si="5"/>
        <v>0.0441</v>
      </c>
      <c r="AC8" s="46" t="str">
        <f t="shared" si="5"/>
        <v>√</v>
      </c>
      <c r="AD8" s="46">
        <f t="shared" si="5"/>
        <v>0.0048</v>
      </c>
      <c r="AE8" s="46" t="str">
        <f t="shared" si="5"/>
        <v>√</v>
      </c>
      <c r="AF8" s="46" t="str">
        <f t="shared" si="5"/>
        <v>√</v>
      </c>
      <c r="AG8" s="46">
        <f t="shared" ref="AG8:AN8" si="6">IF(Q8="","",IF(Q8&gt;($C8+$D8),(Q8-$C8-$D8),IF(Q8&lt;($C8+$E8),(Q8-$C8-$E8),"√")))</f>
        <v>0.0422</v>
      </c>
      <c r="AH8" s="46" t="str">
        <f t="shared" si="6"/>
        <v/>
      </c>
      <c r="AI8" s="46" t="str">
        <f t="shared" si="6"/>
        <v/>
      </c>
      <c r="AJ8" s="46" t="str">
        <f t="shared" si="6"/>
        <v/>
      </c>
      <c r="AK8" s="46" t="str">
        <f t="shared" si="6"/>
        <v/>
      </c>
      <c r="AL8" s="46" t="str">
        <f t="shared" si="6"/>
        <v/>
      </c>
      <c r="AM8" s="46" t="str">
        <f t="shared" si="6"/>
        <v/>
      </c>
      <c r="AN8" s="46" t="str">
        <f t="shared" si="6"/>
        <v/>
      </c>
    </row>
    <row r="9" spans="1:40">
      <c r="A9" s="42"/>
      <c r="B9" s="42" t="s">
        <v>31</v>
      </c>
      <c r="C9" s="42">
        <v>0</v>
      </c>
      <c r="D9" s="42"/>
      <c r="E9" s="42"/>
      <c r="F9" s="43">
        <f t="shared" si="1"/>
        <v>0</v>
      </c>
      <c r="G9" s="43">
        <f t="shared" si="2"/>
        <v>0</v>
      </c>
      <c r="H9" s="44" t="s">
        <v>29</v>
      </c>
      <c r="I9" s="45">
        <v>-0.02</v>
      </c>
      <c r="J9" s="45">
        <v>-0.027</v>
      </c>
      <c r="K9" s="45">
        <v>0.0026</v>
      </c>
      <c r="L9" s="45">
        <v>-0.0386</v>
      </c>
      <c r="M9" s="45">
        <v>0.0047</v>
      </c>
      <c r="N9" s="45">
        <v>0.0497</v>
      </c>
      <c r="O9" s="45">
        <v>0.0295</v>
      </c>
      <c r="P9" s="45">
        <v>-0.0411</v>
      </c>
      <c r="Q9" s="45">
        <v>-0.0359</v>
      </c>
      <c r="R9" s="45"/>
      <c r="S9" s="45"/>
      <c r="T9" s="45"/>
      <c r="U9" s="45"/>
      <c r="V9" s="45"/>
      <c r="W9" s="45"/>
      <c r="X9" s="45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</row>
    <row r="10" spans="1:40">
      <c r="A10" s="42"/>
      <c r="B10" s="42" t="s">
        <v>32</v>
      </c>
      <c r="C10" s="42">
        <v>0</v>
      </c>
      <c r="D10" s="42"/>
      <c r="E10" s="42"/>
      <c r="F10" s="43">
        <f t="shared" si="1"/>
        <v>0</v>
      </c>
      <c r="G10" s="43">
        <f t="shared" si="2"/>
        <v>0</v>
      </c>
      <c r="H10" s="44" t="s">
        <v>29</v>
      </c>
      <c r="I10" s="45">
        <v>0.0039</v>
      </c>
      <c r="J10" s="45">
        <v>-0.0505</v>
      </c>
      <c r="K10" s="45">
        <v>0.0373</v>
      </c>
      <c r="L10" s="45">
        <v>-0.0609</v>
      </c>
      <c r="M10" s="45">
        <v>0.0184</v>
      </c>
      <c r="N10" s="45">
        <v>-0.0166</v>
      </c>
      <c r="O10" s="45">
        <v>0.0333</v>
      </c>
      <c r="P10" s="45">
        <v>-0.0021</v>
      </c>
      <c r="Q10" s="45">
        <v>-0.0594</v>
      </c>
      <c r="R10" s="45"/>
      <c r="S10" s="45"/>
      <c r="T10" s="45"/>
      <c r="U10" s="45"/>
      <c r="V10" s="45"/>
      <c r="W10" s="45"/>
      <c r="X10" s="45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</row>
    <row r="11" spans="1:40">
      <c r="A11" s="42"/>
      <c r="B11" s="42" t="s">
        <v>33</v>
      </c>
      <c r="C11" s="42">
        <v>21.8</v>
      </c>
      <c r="D11" s="42">
        <v>0.1</v>
      </c>
      <c r="E11" s="42">
        <v>-0.1</v>
      </c>
      <c r="F11" s="43">
        <f t="shared" si="1"/>
        <v>21.9</v>
      </c>
      <c r="G11" s="43">
        <f t="shared" si="2"/>
        <v>21.7</v>
      </c>
      <c r="H11" s="44" t="s">
        <v>29</v>
      </c>
      <c r="I11" s="45">
        <v>21.7504</v>
      </c>
      <c r="J11" s="45">
        <v>21.8031</v>
      </c>
      <c r="K11" s="45">
        <v>21.7697</v>
      </c>
      <c r="L11" s="45">
        <v>21.811</v>
      </c>
      <c r="M11" s="45">
        <v>21.784</v>
      </c>
      <c r="N11" s="45">
        <v>21.7993</v>
      </c>
      <c r="O11" s="45">
        <v>21.7956</v>
      </c>
      <c r="P11" s="45">
        <v>21.8221</v>
      </c>
      <c r="Q11" s="45">
        <v>21.802</v>
      </c>
      <c r="R11" s="45"/>
      <c r="S11" s="45"/>
      <c r="T11" s="45"/>
      <c r="U11" s="45"/>
      <c r="V11" s="45"/>
      <c r="W11" s="45"/>
      <c r="X11" s="45"/>
      <c r="Y11" s="46" t="str">
        <f t="shared" ref="Y11:AB12" si="7">IF(I11="","",IF(I11&gt;($C11+$D11),(I11-$C11-$D11),IF(I11&lt;($C11+$E11),(I11-$C11-$E11),"√")))</f>
        <v>√</v>
      </c>
      <c r="Z11" s="46" t="str">
        <f t="shared" si="7"/>
        <v>√</v>
      </c>
      <c r="AA11" s="46" t="str">
        <f t="shared" si="7"/>
        <v>√</v>
      </c>
      <c r="AB11" s="46" t="str">
        <f t="shared" si="7"/>
        <v>√</v>
      </c>
      <c r="AC11" s="46" t="str">
        <f t="shared" ref="AC11:AF12" si="8">IF(M11="","",IF(M11&gt;($C11+$D11),(M11-$C11-$D11),IF(M11&lt;($C11+$E11),(M11-$C11-$E11),"√")))</f>
        <v>√</v>
      </c>
      <c r="AD11" s="46" t="str">
        <f t="shared" si="8"/>
        <v>√</v>
      </c>
      <c r="AE11" s="46" t="str">
        <f t="shared" si="8"/>
        <v>√</v>
      </c>
      <c r="AF11" s="46" t="str">
        <f t="shared" si="8"/>
        <v>√</v>
      </c>
      <c r="AG11" s="46" t="str">
        <f t="shared" ref="AG11:AN11" si="9">IF(Q11="","",IF(Q11&gt;($C11+$D11),(Q11-$C11-$D11),IF(Q11&lt;($C11+$E11),(Q11-$C11-$E11),"√")))</f>
        <v>√</v>
      </c>
      <c r="AH11" s="46" t="str">
        <f t="shared" si="9"/>
        <v/>
      </c>
      <c r="AI11" s="46" t="str">
        <f t="shared" si="9"/>
        <v/>
      </c>
      <c r="AJ11" s="46" t="str">
        <f t="shared" si="9"/>
        <v/>
      </c>
      <c r="AK11" s="46" t="str">
        <f t="shared" si="9"/>
        <v/>
      </c>
      <c r="AL11" s="46" t="str">
        <f t="shared" si="9"/>
        <v/>
      </c>
      <c r="AM11" s="46" t="str">
        <f t="shared" si="9"/>
        <v/>
      </c>
      <c r="AN11" s="46" t="str">
        <f t="shared" si="9"/>
        <v/>
      </c>
    </row>
    <row r="12" spans="1:40">
      <c r="A12" s="42"/>
      <c r="B12" s="42" t="s">
        <v>34</v>
      </c>
      <c r="C12" s="42">
        <v>0</v>
      </c>
      <c r="D12" s="42">
        <v>0.15</v>
      </c>
      <c r="E12" s="42">
        <v>0</v>
      </c>
      <c r="F12" s="43">
        <f t="shared" si="1"/>
        <v>0.15</v>
      </c>
      <c r="G12" s="43">
        <f t="shared" si="2"/>
        <v>0</v>
      </c>
      <c r="H12" s="44" t="s">
        <v>29</v>
      </c>
      <c r="I12" s="45">
        <v>0.0735</v>
      </c>
      <c r="J12" s="45">
        <v>0.1261</v>
      </c>
      <c r="K12" s="45">
        <v>0.0436</v>
      </c>
      <c r="L12" s="45">
        <v>0.1663</v>
      </c>
      <c r="M12" s="45">
        <v>0.0254</v>
      </c>
      <c r="N12" s="45">
        <v>0.0706</v>
      </c>
      <c r="O12" s="45">
        <v>0.0984</v>
      </c>
      <c r="P12" s="45">
        <v>0.085</v>
      </c>
      <c r="Q12" s="45">
        <v>0.1649</v>
      </c>
      <c r="R12" s="45"/>
      <c r="S12" s="45"/>
      <c r="T12" s="45"/>
      <c r="U12" s="45"/>
      <c r="V12" s="45"/>
      <c r="W12" s="45"/>
      <c r="X12" s="45"/>
      <c r="Y12" s="46" t="str">
        <f t="shared" si="7"/>
        <v>√</v>
      </c>
      <c r="Z12" s="46" t="str">
        <f t="shared" si="7"/>
        <v>√</v>
      </c>
      <c r="AA12" s="46" t="str">
        <f t="shared" si="7"/>
        <v>√</v>
      </c>
      <c r="AB12" s="46">
        <f t="shared" si="7"/>
        <v>0.0163</v>
      </c>
      <c r="AC12" s="46" t="str">
        <f t="shared" si="8"/>
        <v>√</v>
      </c>
      <c r="AD12" s="46" t="str">
        <f t="shared" si="8"/>
        <v>√</v>
      </c>
      <c r="AE12" s="46" t="str">
        <f t="shared" si="8"/>
        <v>√</v>
      </c>
      <c r="AF12" s="46" t="str">
        <f t="shared" si="8"/>
        <v>√</v>
      </c>
      <c r="AG12" s="46">
        <f t="shared" ref="AG12:AN12" si="10">IF(Q12="","",IF(Q12&gt;($C12+$D12),(Q12-$C12-$D12),IF(Q12&lt;($C12+$E12),(Q12-$C12-$E12),"√")))</f>
        <v>0.0149</v>
      </c>
      <c r="AH12" s="46" t="str">
        <f t="shared" si="10"/>
        <v/>
      </c>
      <c r="AI12" s="46" t="str">
        <f t="shared" si="10"/>
        <v/>
      </c>
      <c r="AJ12" s="46" t="str">
        <f t="shared" si="10"/>
        <v/>
      </c>
      <c r="AK12" s="46" t="str">
        <f t="shared" si="10"/>
        <v/>
      </c>
      <c r="AL12" s="46" t="str">
        <f t="shared" si="10"/>
        <v/>
      </c>
      <c r="AM12" s="46" t="str">
        <f t="shared" si="10"/>
        <v/>
      </c>
      <c r="AN12" s="46" t="str">
        <f t="shared" si="10"/>
        <v/>
      </c>
    </row>
    <row r="13" spans="1:40">
      <c r="A13" s="42"/>
      <c r="B13" s="42" t="s">
        <v>35</v>
      </c>
      <c r="C13" s="42">
        <v>20</v>
      </c>
      <c r="D13" s="42">
        <v>0.2</v>
      </c>
      <c r="E13" s="42">
        <v>-0.2</v>
      </c>
      <c r="F13" s="43">
        <f t="shared" si="1"/>
        <v>20.2</v>
      </c>
      <c r="G13" s="43">
        <f t="shared" si="2"/>
        <v>19.8</v>
      </c>
      <c r="H13" s="44" t="s">
        <v>29</v>
      </c>
      <c r="I13" s="45">
        <v>20.0167</v>
      </c>
      <c r="J13" s="45">
        <v>20.027</v>
      </c>
      <c r="K13" s="45">
        <v>20.0199</v>
      </c>
      <c r="L13" s="45">
        <v>20.0422</v>
      </c>
      <c r="M13" s="45">
        <v>20.0337</v>
      </c>
      <c r="N13" s="45">
        <v>20.0286</v>
      </c>
      <c r="O13" s="45">
        <v>20.0387</v>
      </c>
      <c r="P13" s="45">
        <v>20.0508</v>
      </c>
      <c r="Q13" s="45">
        <v>20.0403</v>
      </c>
      <c r="R13" s="45"/>
      <c r="S13" s="45"/>
      <c r="T13" s="45"/>
      <c r="U13" s="45"/>
      <c r="V13" s="45"/>
      <c r="W13" s="45"/>
      <c r="X13" s="45"/>
      <c r="Y13" s="46" t="str">
        <f t="shared" ref="Y13:AB14" si="11">IF(I13="","",IF(I13&gt;($C13+$D13),(I13-$C13-$D13),IF(I13&lt;($C13+$E13),(I13-$C13-$E13),"√")))</f>
        <v>√</v>
      </c>
      <c r="Z13" s="46" t="str">
        <f t="shared" si="11"/>
        <v>√</v>
      </c>
      <c r="AA13" s="46" t="str">
        <f t="shared" si="11"/>
        <v>√</v>
      </c>
      <c r="AB13" s="46" t="str">
        <f t="shared" si="11"/>
        <v>√</v>
      </c>
      <c r="AC13" s="46" t="str">
        <f t="shared" ref="AC13:AF14" si="12">IF(M13="","",IF(M13&gt;($C13+$D13),(M13-$C13-$D13),IF(M13&lt;($C13+$E13),(M13-$C13-$E13),"√")))</f>
        <v>√</v>
      </c>
      <c r="AD13" s="46" t="str">
        <f t="shared" si="12"/>
        <v>√</v>
      </c>
      <c r="AE13" s="46" t="str">
        <f t="shared" si="12"/>
        <v>√</v>
      </c>
      <c r="AF13" s="46" t="str">
        <f t="shared" si="12"/>
        <v>√</v>
      </c>
      <c r="AG13" s="46" t="str">
        <f t="shared" ref="AG13:AN13" si="13">IF(Q13="","",IF(Q13&gt;($C13+$D13),(Q13-$C13-$D13),IF(Q13&lt;($C13+$E13),(Q13-$C13-$E13),"√")))</f>
        <v>√</v>
      </c>
      <c r="AH13" s="46" t="str">
        <f t="shared" si="13"/>
        <v/>
      </c>
      <c r="AI13" s="46" t="str">
        <f t="shared" si="13"/>
        <v/>
      </c>
      <c r="AJ13" s="46" t="str">
        <f t="shared" si="13"/>
        <v/>
      </c>
      <c r="AK13" s="46" t="str">
        <f t="shared" si="13"/>
        <v/>
      </c>
      <c r="AL13" s="46" t="str">
        <f t="shared" si="13"/>
        <v/>
      </c>
      <c r="AM13" s="46" t="str">
        <f t="shared" si="13"/>
        <v/>
      </c>
      <c r="AN13" s="46" t="str">
        <f t="shared" si="13"/>
        <v/>
      </c>
    </row>
    <row r="14" spans="1:40">
      <c r="A14" s="42"/>
      <c r="B14" s="42" t="s">
        <v>36</v>
      </c>
      <c r="C14" s="42">
        <v>0</v>
      </c>
      <c r="D14" s="42">
        <v>0.15</v>
      </c>
      <c r="E14" s="42">
        <v>0</v>
      </c>
      <c r="F14" s="43">
        <f t="shared" si="1"/>
        <v>0.15</v>
      </c>
      <c r="G14" s="43">
        <f t="shared" si="2"/>
        <v>0</v>
      </c>
      <c r="H14" s="44" t="s">
        <v>29</v>
      </c>
      <c r="I14" s="45">
        <v>0.1885</v>
      </c>
      <c r="J14" s="45">
        <v>0.1522</v>
      </c>
      <c r="K14" s="45">
        <v>0.0713</v>
      </c>
      <c r="L14" s="45">
        <v>0.1335</v>
      </c>
      <c r="M14" s="45">
        <v>0.0616</v>
      </c>
      <c r="N14" s="45">
        <v>0.1809</v>
      </c>
      <c r="O14" s="45">
        <v>0.1319</v>
      </c>
      <c r="P14" s="45">
        <v>0.1552</v>
      </c>
      <c r="Q14" s="45">
        <v>0.1317</v>
      </c>
      <c r="R14" s="45"/>
      <c r="S14" s="45"/>
      <c r="T14" s="45"/>
      <c r="U14" s="45"/>
      <c r="V14" s="45"/>
      <c r="W14" s="45"/>
      <c r="X14" s="45"/>
      <c r="Y14" s="46">
        <f t="shared" si="11"/>
        <v>0.0385</v>
      </c>
      <c r="Z14" s="46">
        <f t="shared" si="11"/>
        <v>0.00220000000000001</v>
      </c>
      <c r="AA14" s="46" t="str">
        <f t="shared" si="11"/>
        <v>√</v>
      </c>
      <c r="AB14" s="46" t="str">
        <f t="shared" si="11"/>
        <v>√</v>
      </c>
      <c r="AC14" s="46" t="str">
        <f t="shared" si="12"/>
        <v>√</v>
      </c>
      <c r="AD14" s="46">
        <f t="shared" si="12"/>
        <v>0.0309</v>
      </c>
      <c r="AE14" s="46" t="str">
        <f t="shared" si="12"/>
        <v>√</v>
      </c>
      <c r="AF14" s="46">
        <f t="shared" si="12"/>
        <v>0.00520000000000001</v>
      </c>
      <c r="AG14" s="46" t="str">
        <f t="shared" ref="AG14:AN14" si="14">IF(Q14="","",IF(Q14&gt;($C14+$D14),(Q14-$C14-$D14),IF(Q14&lt;($C14+$E14),(Q14-$C14-$E14),"√")))</f>
        <v>√</v>
      </c>
      <c r="AH14" s="46" t="str">
        <f t="shared" si="14"/>
        <v/>
      </c>
      <c r="AI14" s="46" t="str">
        <f t="shared" si="14"/>
        <v/>
      </c>
      <c r="AJ14" s="46" t="str">
        <f t="shared" si="14"/>
        <v/>
      </c>
      <c r="AK14" s="46" t="str">
        <f t="shared" si="14"/>
        <v/>
      </c>
      <c r="AL14" s="46" t="str">
        <f t="shared" si="14"/>
        <v/>
      </c>
      <c r="AM14" s="46" t="str">
        <f t="shared" si="14"/>
        <v/>
      </c>
      <c r="AN14" s="46" t="str">
        <f t="shared" si="14"/>
        <v/>
      </c>
    </row>
    <row r="15" spans="1:40">
      <c r="A15" s="42"/>
      <c r="B15" s="42" t="s">
        <v>37</v>
      </c>
      <c r="C15" s="47">
        <v>20.7</v>
      </c>
      <c r="D15" s="47">
        <v>0.1</v>
      </c>
      <c r="E15" s="48">
        <v>-0.1</v>
      </c>
      <c r="F15" s="43">
        <v>20.8</v>
      </c>
      <c r="G15" s="43">
        <v>20.6</v>
      </c>
      <c r="H15" s="44" t="s">
        <v>38</v>
      </c>
      <c r="I15" s="45">
        <v>20.6562</v>
      </c>
      <c r="J15" s="45">
        <v>20.6601</v>
      </c>
      <c r="K15" s="45">
        <v>20.6237</v>
      </c>
      <c r="L15" s="45">
        <v>20.6586</v>
      </c>
      <c r="M15" s="45">
        <v>20.6469</v>
      </c>
      <c r="N15" s="45">
        <v>20.664</v>
      </c>
      <c r="O15" s="45">
        <v>20.6576</v>
      </c>
      <c r="P15" s="45">
        <v>20.6769</v>
      </c>
      <c r="Q15" s="45">
        <v>20.6581</v>
      </c>
      <c r="R15" s="45"/>
      <c r="S15" s="45"/>
      <c r="T15" s="45"/>
      <c r="U15" s="45"/>
      <c r="V15" s="45"/>
      <c r="W15" s="45"/>
      <c r="X15" s="45"/>
      <c r="Y15" s="46" t="str">
        <f t="shared" ref="Y15:AC16" si="15">IF(I15="","",IF(I15&gt;($C15+$D15),(I15-$C15-$D15),IF(I15&lt;($C15+$E15),(I15-$C15-$E15),"√")))</f>
        <v>√</v>
      </c>
      <c r="Z15" s="46" t="str">
        <f t="shared" si="15"/>
        <v>√</v>
      </c>
      <c r="AA15" s="46" t="str">
        <f t="shared" si="15"/>
        <v>√</v>
      </c>
      <c r="AB15" s="46" t="str">
        <f t="shared" si="15"/>
        <v>√</v>
      </c>
      <c r="AC15" s="46" t="str">
        <f t="shared" si="15"/>
        <v>√</v>
      </c>
      <c r="AD15" s="46" t="str">
        <f t="shared" ref="AD15:AF16" si="16">IF(N15="","",IF(N15&gt;($C15+$D15),(N15-$C15-$D15),IF(N15&lt;($C15+$E15),(N15-$C15-$E15),"√")))</f>
        <v>√</v>
      </c>
      <c r="AE15" s="46" t="str">
        <f t="shared" si="16"/>
        <v>√</v>
      </c>
      <c r="AF15" s="46" t="str">
        <f t="shared" si="16"/>
        <v>√</v>
      </c>
      <c r="AG15" s="46" t="str">
        <f t="shared" ref="AG15:AN15" si="17">IF(Q15="","",IF(Q15&gt;($C15+$D15),(Q15-$C15-$D15),IF(Q15&lt;($C15+$E15),(Q15-$C15-$E15),"√")))</f>
        <v>√</v>
      </c>
      <c r="AH15" s="46" t="str">
        <f t="shared" si="17"/>
        <v/>
      </c>
      <c r="AI15" s="46" t="str">
        <f t="shared" si="17"/>
        <v/>
      </c>
      <c r="AJ15" s="46" t="str">
        <f t="shared" si="17"/>
        <v/>
      </c>
      <c r="AK15" s="46" t="str">
        <f t="shared" si="17"/>
        <v/>
      </c>
      <c r="AL15" s="46" t="str">
        <f t="shared" si="17"/>
        <v/>
      </c>
      <c r="AM15" s="46" t="str">
        <f t="shared" si="17"/>
        <v/>
      </c>
      <c r="AN15" s="46" t="str">
        <f t="shared" si="17"/>
        <v/>
      </c>
    </row>
    <row r="16" spans="1:40">
      <c r="A16" s="42"/>
      <c r="B16" s="42" t="s">
        <v>39</v>
      </c>
      <c r="C16" s="47">
        <v>0</v>
      </c>
      <c r="D16" s="47">
        <v>0.15</v>
      </c>
      <c r="E16" s="48">
        <v>0</v>
      </c>
      <c r="F16" s="43">
        <v>0.15</v>
      </c>
      <c r="G16" s="43">
        <v>0</v>
      </c>
      <c r="H16" s="44" t="s">
        <v>38</v>
      </c>
      <c r="I16" s="45">
        <v>0.1054</v>
      </c>
      <c r="J16" s="45">
        <v>0.1475</v>
      </c>
      <c r="K16" s="45">
        <v>0.0345</v>
      </c>
      <c r="L16" s="45">
        <v>0.1836</v>
      </c>
      <c r="M16" s="45">
        <v>0.026</v>
      </c>
      <c r="N16" s="45">
        <v>0.1015</v>
      </c>
      <c r="O16" s="45">
        <v>0.0456</v>
      </c>
      <c r="P16" s="45">
        <v>0.1433</v>
      </c>
      <c r="Q16" s="45">
        <v>0.1886</v>
      </c>
      <c r="R16" s="45"/>
      <c r="S16" s="45"/>
      <c r="T16" s="45"/>
      <c r="U16" s="45"/>
      <c r="V16" s="45"/>
      <c r="W16" s="45"/>
      <c r="X16" s="45"/>
      <c r="Y16" s="46" t="str">
        <f t="shared" si="15"/>
        <v>√</v>
      </c>
      <c r="Z16" s="46" t="str">
        <f t="shared" si="15"/>
        <v>√</v>
      </c>
      <c r="AA16" s="46" t="str">
        <f t="shared" si="15"/>
        <v>√</v>
      </c>
      <c r="AB16" s="46">
        <f t="shared" si="15"/>
        <v>0.0336</v>
      </c>
      <c r="AC16" s="46" t="str">
        <f t="shared" si="15"/>
        <v>√</v>
      </c>
      <c r="AD16" s="46" t="str">
        <f t="shared" si="16"/>
        <v>√</v>
      </c>
      <c r="AE16" s="46" t="str">
        <f t="shared" si="16"/>
        <v>√</v>
      </c>
      <c r="AF16" s="46" t="str">
        <f t="shared" si="16"/>
        <v>√</v>
      </c>
      <c r="AG16" s="46">
        <f t="shared" ref="AG16:AN16" si="18">IF(Q16="","",IF(Q16&gt;($C16+$D16),(Q16-$C16-$D16),IF(Q16&lt;($C16+$E16),(Q16-$C16-$E16),"√")))</f>
        <v>0.0386</v>
      </c>
      <c r="AH16" s="46" t="str">
        <f t="shared" si="18"/>
        <v/>
      </c>
      <c r="AI16" s="46" t="str">
        <f t="shared" si="18"/>
        <v/>
      </c>
      <c r="AJ16" s="46" t="str">
        <f t="shared" si="18"/>
        <v/>
      </c>
      <c r="AK16" s="46" t="str">
        <f t="shared" si="18"/>
        <v/>
      </c>
      <c r="AL16" s="46" t="str">
        <f t="shared" si="18"/>
        <v/>
      </c>
      <c r="AM16" s="46" t="str">
        <f t="shared" si="18"/>
        <v/>
      </c>
      <c r="AN16" s="46" t="str">
        <f t="shared" si="18"/>
        <v/>
      </c>
    </row>
    <row r="17" spans="1:40">
      <c r="A17" s="42"/>
      <c r="B17" s="42">
        <v>1</v>
      </c>
      <c r="C17" s="47"/>
      <c r="D17" s="47"/>
      <c r="E17" s="48"/>
      <c r="F17" s="43"/>
      <c r="G17" s="43"/>
      <c r="H17" s="44" t="s">
        <v>38</v>
      </c>
      <c r="I17" s="45">
        <v>-0.0297</v>
      </c>
      <c r="J17" s="45">
        <v>0</v>
      </c>
      <c r="K17" s="45">
        <v>-0.0127</v>
      </c>
      <c r="L17" s="45">
        <v>0</v>
      </c>
      <c r="M17" s="45">
        <v>-0.0055</v>
      </c>
      <c r="N17" s="45">
        <v>0</v>
      </c>
      <c r="O17" s="45">
        <v>0.0162</v>
      </c>
      <c r="P17" s="45">
        <v>-0.0244</v>
      </c>
      <c r="Q17" s="45">
        <v>0</v>
      </c>
      <c r="R17" s="45"/>
      <c r="S17" s="45"/>
      <c r="T17" s="45"/>
      <c r="U17" s="45"/>
      <c r="V17" s="45"/>
      <c r="W17" s="45"/>
      <c r="X17" s="45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</row>
    <row r="18" spans="1:40">
      <c r="A18" s="42"/>
      <c r="B18" s="42">
        <v>2</v>
      </c>
      <c r="C18" s="47"/>
      <c r="D18" s="47"/>
      <c r="E18" s="48"/>
      <c r="F18" s="43"/>
      <c r="G18" s="43"/>
      <c r="H18" s="44" t="s">
        <v>38</v>
      </c>
      <c r="I18" s="45">
        <v>-0.0435</v>
      </c>
      <c r="J18" s="45">
        <v>-0.0737</v>
      </c>
      <c r="K18" s="45">
        <v>-0.0117</v>
      </c>
      <c r="L18" s="45">
        <v>-0.0918</v>
      </c>
      <c r="M18" s="45">
        <v>-0.0117</v>
      </c>
      <c r="N18" s="45">
        <v>-0.0508</v>
      </c>
      <c r="O18" s="45">
        <v>-0.016</v>
      </c>
      <c r="P18" s="45">
        <v>-0.0674</v>
      </c>
      <c r="Q18" s="45">
        <v>-0.0943</v>
      </c>
      <c r="R18" s="45"/>
      <c r="S18" s="45"/>
      <c r="T18" s="45"/>
      <c r="U18" s="45"/>
      <c r="V18" s="45"/>
      <c r="W18" s="45"/>
      <c r="X18" s="45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</row>
  </sheetData>
  <protectedRanges>
    <protectedRange sqref="I7:L12 N7:P12 R7:T12" name="区域1_5_2"/>
    <protectedRange sqref="H7:H12" name="区域2_2"/>
    <protectedRange sqref="H7:H12" name="区域2_3"/>
  </protectedRanges>
  <mergeCells count="28">
    <mergeCell ref="A1:AN1"/>
    <mergeCell ref="R2:W2"/>
    <mergeCell ref="X2:AC2"/>
    <mergeCell ref="AD2:AI2"/>
    <mergeCell ref="AJ2:AL2"/>
    <mergeCell ref="AM2:AN2"/>
    <mergeCell ref="R3:W3"/>
    <mergeCell ref="X3:AC3"/>
    <mergeCell ref="AD3:AI3"/>
    <mergeCell ref="AJ3:AL3"/>
    <mergeCell ref="AM3:AN3"/>
    <mergeCell ref="I4:X4"/>
    <mergeCell ref="Y4:AN4"/>
    <mergeCell ref="I5:X5"/>
    <mergeCell ref="Y5:AN5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K2:Q3"/>
    <mergeCell ref="B2:F3"/>
    <mergeCell ref="G2:J3"/>
  </mergeCells>
  <conditionalFormatting sqref="Q11">
    <cfRule type="cellIs" dxfId="0" priority="1" operator="notBetween">
      <formula>$F11</formula>
      <formula>$G11</formula>
    </cfRule>
  </conditionalFormatting>
  <conditionalFormatting sqref="Q12">
    <cfRule type="cellIs" dxfId="0" priority="2" operator="notBetween">
      <formula>$F12</formula>
      <formula>$G12</formula>
    </cfRule>
  </conditionalFormatting>
  <conditionalFormatting sqref="I7:I8">
    <cfRule type="cellIs" dxfId="0" priority="37" operator="notBetween">
      <formula>$F7</formula>
      <formula>$G7</formula>
    </cfRule>
  </conditionalFormatting>
  <conditionalFormatting sqref="I13:I16">
    <cfRule type="cellIs" dxfId="0" priority="39" operator="notBetween">
      <formula>$F13</formula>
      <formula>$G13</formula>
    </cfRule>
  </conditionalFormatting>
  <conditionalFormatting sqref="J7:J8">
    <cfRule type="cellIs" dxfId="0" priority="21" operator="notBetween">
      <formula>$F7</formula>
      <formula>$G7</formula>
    </cfRule>
  </conditionalFormatting>
  <conditionalFormatting sqref="J13:J16">
    <cfRule type="cellIs" dxfId="0" priority="36" operator="notBetween">
      <formula>$F13</formula>
      <formula>$G13</formula>
    </cfRule>
  </conditionalFormatting>
  <conditionalFormatting sqref="K7:K8">
    <cfRule type="cellIs" dxfId="0" priority="20" operator="notBetween">
      <formula>$F7</formula>
      <formula>$G7</formula>
    </cfRule>
  </conditionalFormatting>
  <conditionalFormatting sqref="K13:K16">
    <cfRule type="cellIs" dxfId="0" priority="35" operator="notBetween">
      <formula>$F13</formula>
      <formula>$G13</formula>
    </cfRule>
  </conditionalFormatting>
  <conditionalFormatting sqref="L7:L8">
    <cfRule type="cellIs" dxfId="0" priority="19" operator="notBetween">
      <formula>$F7</formula>
      <formula>$G7</formula>
    </cfRule>
  </conditionalFormatting>
  <conditionalFormatting sqref="L13:L16">
    <cfRule type="cellIs" dxfId="0" priority="34" operator="notBetween">
      <formula>$F13</formula>
      <formula>$G13</formula>
    </cfRule>
  </conditionalFormatting>
  <conditionalFormatting sqref="M7:M8">
    <cfRule type="cellIs" dxfId="0" priority="18" operator="notBetween">
      <formula>$F7</formula>
      <formula>$G7</formula>
    </cfRule>
  </conditionalFormatting>
  <conditionalFormatting sqref="M13:M16">
    <cfRule type="cellIs" dxfId="0" priority="33" operator="notBetween">
      <formula>$F13</formula>
      <formula>$G13</formula>
    </cfRule>
  </conditionalFormatting>
  <conditionalFormatting sqref="N7:N8">
    <cfRule type="cellIs" dxfId="0" priority="17" operator="notBetween">
      <formula>$F7</formula>
      <formula>$G7</formula>
    </cfRule>
  </conditionalFormatting>
  <conditionalFormatting sqref="N13:N16">
    <cfRule type="cellIs" dxfId="0" priority="32" operator="notBetween">
      <formula>$F13</formula>
      <formula>$G13</formula>
    </cfRule>
  </conditionalFormatting>
  <conditionalFormatting sqref="O7:O8">
    <cfRule type="cellIs" dxfId="0" priority="16" operator="notBetween">
      <formula>$F7</formula>
      <formula>$G7</formula>
    </cfRule>
  </conditionalFormatting>
  <conditionalFormatting sqref="O13:O16">
    <cfRule type="cellIs" dxfId="0" priority="31" operator="notBetween">
      <formula>$F13</formula>
      <formula>$G13</formula>
    </cfRule>
  </conditionalFormatting>
  <conditionalFormatting sqref="P7:P8">
    <cfRule type="cellIs" dxfId="0" priority="15" operator="notBetween">
      <formula>$F7</formula>
      <formula>$G7</formula>
    </cfRule>
  </conditionalFormatting>
  <conditionalFormatting sqref="P13:P16">
    <cfRule type="cellIs" dxfId="0" priority="30" operator="notBetween">
      <formula>$F13</formula>
      <formula>$G13</formula>
    </cfRule>
  </conditionalFormatting>
  <conditionalFormatting sqref="Q7:Q8">
    <cfRule type="cellIs" dxfId="0" priority="3" operator="notBetween">
      <formula>$F7</formula>
      <formula>$G7</formula>
    </cfRule>
  </conditionalFormatting>
  <conditionalFormatting sqref="Q13:Q14">
    <cfRule type="cellIs" dxfId="0" priority="4" operator="notBetween">
      <formula>$F13</formula>
      <formula>$G13</formula>
    </cfRule>
  </conditionalFormatting>
  <conditionalFormatting sqref="Q15:Q16">
    <cfRule type="cellIs" dxfId="0" priority="29" operator="notBetween">
      <formula>$F15</formula>
      <formula>$G15</formula>
    </cfRule>
  </conditionalFormatting>
  <conditionalFormatting sqref="R7:R8">
    <cfRule type="cellIs" dxfId="0" priority="13" operator="notBetween">
      <formula>$F7</formula>
      <formula>$G7</formula>
    </cfRule>
  </conditionalFormatting>
  <conditionalFormatting sqref="R13:R16">
    <cfRule type="cellIs" dxfId="0" priority="28" operator="notBetween">
      <formula>$F13</formula>
      <formula>$G13</formula>
    </cfRule>
  </conditionalFormatting>
  <conditionalFormatting sqref="S7:S8">
    <cfRule type="cellIs" dxfId="0" priority="12" operator="notBetween">
      <formula>$F7</formula>
      <formula>$G7</formula>
    </cfRule>
  </conditionalFormatting>
  <conditionalFormatting sqref="S13:S16">
    <cfRule type="cellIs" dxfId="0" priority="27" operator="notBetween">
      <formula>$F13</formula>
      <formula>$G13</formula>
    </cfRule>
  </conditionalFormatting>
  <conditionalFormatting sqref="T7:T8">
    <cfRule type="cellIs" dxfId="0" priority="11" operator="notBetween">
      <formula>$F7</formula>
      <formula>$G7</formula>
    </cfRule>
  </conditionalFormatting>
  <conditionalFormatting sqref="T13:T16">
    <cfRule type="cellIs" dxfId="0" priority="26" operator="notBetween">
      <formula>$F13</formula>
      <formula>$G13</formula>
    </cfRule>
  </conditionalFormatting>
  <conditionalFormatting sqref="U7:U8">
    <cfRule type="cellIs" dxfId="0" priority="10" operator="notBetween">
      <formula>$F7</formula>
      <formula>$G7</formula>
    </cfRule>
  </conditionalFormatting>
  <conditionalFormatting sqref="U13:U16">
    <cfRule type="cellIs" dxfId="0" priority="25" operator="notBetween">
      <formula>$F13</formula>
      <formula>$G13</formula>
    </cfRule>
  </conditionalFormatting>
  <conditionalFormatting sqref="V7:V8">
    <cfRule type="cellIs" dxfId="0" priority="9" operator="notBetween">
      <formula>$F7</formula>
      <formula>$G7</formula>
    </cfRule>
  </conditionalFormatting>
  <conditionalFormatting sqref="V13:V16">
    <cfRule type="cellIs" dxfId="0" priority="24" operator="notBetween">
      <formula>$F13</formula>
      <formula>$G13</formula>
    </cfRule>
  </conditionalFormatting>
  <conditionalFormatting sqref="W7:W8">
    <cfRule type="cellIs" dxfId="0" priority="8" operator="notBetween">
      <formula>$F7</formula>
      <formula>$G7</formula>
    </cfRule>
  </conditionalFormatting>
  <conditionalFormatting sqref="W13:W16">
    <cfRule type="cellIs" dxfId="0" priority="23" operator="notBetween">
      <formula>$F13</formula>
      <formula>$G13</formula>
    </cfRule>
  </conditionalFormatting>
  <conditionalFormatting sqref="X7:X8">
    <cfRule type="cellIs" dxfId="0" priority="7" operator="notBetween">
      <formula>$F7</formula>
      <formula>$G7</formula>
    </cfRule>
  </conditionalFormatting>
  <conditionalFormatting sqref="X13:X16">
    <cfRule type="cellIs" dxfId="0" priority="22" operator="notBetween">
      <formula>$F13</formula>
      <formula>$G13</formula>
    </cfRule>
  </conditionalFormatting>
  <conditionalFormatting sqref="I11:P11 R11:X11">
    <cfRule type="cellIs" dxfId="0" priority="5" operator="notBetween">
      <formula>$F11</formula>
      <formula>$G11</formula>
    </cfRule>
  </conditionalFormatting>
  <conditionalFormatting sqref="I12:P12 R12:X12">
    <cfRule type="cellIs" dxfId="0" priority="6" operator="notBetween">
      <formula>$F12</formula>
      <formula>$G12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Y7:AN18" emptyCellReferenc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2026-06-23T12:11:49Z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