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511-512-562-563" sheetId="1" r:id="rId1"/>
  </sheets>
  <definedNames>
    <definedName name="_xlnm.Print_Area" localSheetId="0">'X511-512-562-563'!#REF!</definedName>
    <definedName name="_xlnm.Print_Titles" localSheetId="0">'X511-512-562-563'!#REF!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<sst xmlns="http://schemas.openxmlformats.org/spreadsheetml/2006/main" count="247" uniqueCount="137">
  <si>
    <t>安徽中耀智能科技有限公司首件尺寸报告</t>
  </si>
  <si>
    <t>料号</t>
  </si>
  <si>
    <t>X511-512-562-563</t>
  </si>
  <si>
    <t>工单号</t>
  </si>
  <si>
    <t>工站</t>
  </si>
  <si>
    <t>炉号</t>
  </si>
  <si>
    <t>测量机台</t>
  </si>
  <si>
    <t>测量人员</t>
  </si>
  <si>
    <t>审核</t>
  </si>
  <si>
    <t>IQC</t>
  </si>
  <si>
    <t>OMM5#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</si>
  <si>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</si>
  <si>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</si>
  <si>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</si>
  <si>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</si>
  <si>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</si>
  <si>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</si>
  <si>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</si>
  <si>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</si>
  <si>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</si>
  <si>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</si>
  <si>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</si>
  <si>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</si>
  <si>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</si>
  <si>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</si>
  <si>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1.1</t>
  </si>
  <si>
    <t>OMM</t>
  </si>
  <si>
    <t>FAI 1.2</t>
  </si>
  <si>
    <t>FAI 1.3</t>
  </si>
  <si>
    <t>FAI 2.1</t>
  </si>
  <si>
    <t>FAI 2.2</t>
  </si>
  <si>
    <t>FAI 2.3</t>
  </si>
  <si>
    <t>FAI 2.4</t>
  </si>
  <si>
    <t>FAI 2.5</t>
  </si>
  <si>
    <t>FAI 2.6</t>
  </si>
  <si>
    <t>FAI 2.7</t>
  </si>
  <si>
    <t>FAI 2.8</t>
  </si>
  <si>
    <t>FAI 2.9</t>
  </si>
  <si>
    <t>FAI 2.10</t>
  </si>
  <si>
    <t>FAI 2.11</t>
  </si>
  <si>
    <t>FAI 2.12</t>
  </si>
  <si>
    <t>FAI 2.13</t>
  </si>
  <si>
    <t>FAI 2.14</t>
  </si>
  <si>
    <t>FAI 2.15</t>
  </si>
  <si>
    <t>FAI 2.16</t>
  </si>
  <si>
    <t>FAI 2.17</t>
  </si>
  <si>
    <t>FAI 2.18</t>
  </si>
  <si>
    <t>FAI 2.19</t>
  </si>
  <si>
    <t>FAI 2.20</t>
  </si>
  <si>
    <t>FAI 2.21</t>
  </si>
  <si>
    <t>FAI 2.22</t>
  </si>
  <si>
    <t>FAI 2.23</t>
  </si>
  <si>
    <t>FAI 2.24</t>
  </si>
  <si>
    <t>FAI 2.25</t>
  </si>
  <si>
    <t>FAI 2.26</t>
  </si>
  <si>
    <t>FAI 2.27</t>
  </si>
  <si>
    <t>FAI 2.28</t>
  </si>
  <si>
    <t>FAI 2.29</t>
  </si>
  <si>
    <t>FAI 2.30</t>
  </si>
  <si>
    <t>FAI 2.31</t>
  </si>
  <si>
    <t>FAI 2.32</t>
  </si>
  <si>
    <t>FAI 2.33</t>
  </si>
  <si>
    <t>FAI 2.34</t>
  </si>
  <si>
    <t>FAI 2.35</t>
  </si>
  <si>
    <t>FAI 2.36</t>
  </si>
  <si>
    <t>FAI 2.37</t>
  </si>
  <si>
    <t>FAI 2.38</t>
  </si>
  <si>
    <t>FAI 2.39</t>
  </si>
  <si>
    <t>FAI 2.40</t>
  </si>
  <si>
    <t>FAI 2.41</t>
  </si>
  <si>
    <t>FAI 2.42</t>
  </si>
  <si>
    <t>FAI 2.43</t>
  </si>
  <si>
    <t>FAI 2.44</t>
  </si>
  <si>
    <t>FAI 2.45</t>
  </si>
  <si>
    <t>FAI 2.46</t>
  </si>
  <si>
    <t>FAI 2.47</t>
  </si>
  <si>
    <t>FAI 2.48</t>
  </si>
  <si>
    <t>FAI 2.49</t>
  </si>
  <si>
    <t>FAI 2.50</t>
  </si>
  <si>
    <t>FAI 2.51</t>
  </si>
  <si>
    <t>FAI 2.52</t>
  </si>
  <si>
    <t>FAI 2.53</t>
  </si>
  <si>
    <t>FAI 2.54</t>
  </si>
  <si>
    <t>FAI 3.1</t>
  </si>
  <si>
    <t>FAI 3.2</t>
  </si>
  <si>
    <t>FAI 3.3</t>
  </si>
  <si>
    <t>FAI 3.4</t>
  </si>
  <si>
    <t>FAI 3.5</t>
  </si>
  <si>
    <t>FAI 3.6</t>
  </si>
  <si>
    <t>FAI 3.7</t>
  </si>
  <si>
    <t>FAI 3.8</t>
  </si>
  <si>
    <t>FAI 3.9</t>
  </si>
  <si>
    <t>FAI 3.10</t>
  </si>
  <si>
    <t>FAI 3.11</t>
  </si>
  <si>
    <t>FAI 3.12</t>
  </si>
  <si>
    <t>FAI 3.13</t>
  </si>
  <si>
    <t>FAI 3.14</t>
  </si>
  <si>
    <t>FAI 3.15</t>
  </si>
  <si>
    <t>FAI 3.16</t>
  </si>
  <si>
    <t>FAI 3.17</t>
  </si>
  <si>
    <t>FAI 3.18</t>
  </si>
  <si>
    <t>FAI 3.19</t>
  </si>
  <si>
    <t>FAI 3.20</t>
  </si>
  <si>
    <t>FAI 3.21</t>
  </si>
  <si>
    <t>FAI 3.22</t>
  </si>
  <si>
    <t>FAI 3.23</t>
  </si>
  <si>
    <t>FAI 3.24</t>
  </si>
  <si>
    <t>FAI 3.25</t>
  </si>
  <si>
    <t>FAI 3.26</t>
  </si>
  <si>
    <t>FAI 3.27</t>
  </si>
  <si>
    <t>FAI 3.28</t>
  </si>
  <si>
    <t>FAI 3.29</t>
  </si>
  <si>
    <t>FAI 3.30</t>
  </si>
  <si>
    <t>FAI 3.31</t>
  </si>
  <si>
    <t>FAI 3.32</t>
  </si>
  <si>
    <t>FAI 3.33</t>
  </si>
  <si>
    <t>FAI 3.34</t>
  </si>
  <si>
    <t>FAI 3.35</t>
  </si>
  <si>
    <t>FAI 3.36</t>
  </si>
  <si>
    <t>FAI 3.37</t>
  </si>
  <si>
    <t>FAI 3.38</t>
  </si>
  <si>
    <t>FAI 3.39</t>
  </si>
  <si>
    <t>FAI 3.40</t>
  </si>
  <si>
    <t>FAI 3.41</t>
  </si>
  <si>
    <t>FAI 3.42</t>
  </si>
  <si>
    <t>FAI 3.43</t>
  </si>
  <si>
    <t>FAI 3.44</t>
  </si>
  <si>
    <t>FAI 3.45</t>
  </si>
  <si>
    <t>FAI 3.46</t>
  </si>
  <si>
    <t>FAI 3.47</t>
  </si>
  <si>
    <t>FAI 3.48</t>
  </si>
  <si>
    <t>FAI 3.49</t>
  </si>
  <si>
    <t>FAI 3.50</t>
  </si>
  <si>
    <t>FAI 3.51</t>
  </si>
  <si>
    <t>FAI 3.52</t>
  </si>
  <si>
    <t>FAI 3.53</t>
  </si>
  <si>
    <t>FAI 3.54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</si>
</sst>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32">
    <font>
      <sz val="11"/>
      <color indexed="8"/>
      <name val="等线"/>
      <charset val="134"/>
    </font>
    <font>
      <sz val="11"/>
      <color theme="1"/>
      <name val="宋体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" fillId="5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7" borderId="15" applyNumberFormat="0" applyAlignment="0" applyProtection="0">
      <alignment vertical="center"/>
    </xf>
    <xf numFmtId="0" fontId="21" fillId="7" borderId="14" applyNumberFormat="0" applyAlignment="0" applyProtection="0">
      <alignment vertical="center"/>
    </xf>
    <xf numFmtId="0" fontId="22" fillId="8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2" borderId="0" xfId="0" applyFill="1">
      <alignment vertical="center"/>
    </xf>
    <xf numFmtId="0" fontId="2" fillId="0" borderId="1" xfId="60" applyFont="1" applyBorder="1" applyAlignment="1" applyProtection="1">
      <alignment horizontal="center" vertical="center"/>
      <protection locked="0"/>
    </xf>
    <xf numFmtId="0" fontId="2" fillId="2" borderId="1" xfId="60" applyFont="1" applyFill="1" applyBorder="1" applyAlignment="1" applyProtection="1">
      <alignment horizontal="center" vertical="center"/>
      <protection locked="0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4" fillId="0" borderId="2" xfId="60" applyFont="1" applyFill="1" applyBorder="1" applyAlignment="1" applyProtection="1">
      <alignment horizontal="center" vertical="center"/>
      <protection locked="0"/>
    </xf>
    <xf numFmtId="0" fontId="4" fillId="0" borderId="3" xfId="60" applyFont="1" applyFill="1" applyBorder="1" applyAlignment="1" applyProtection="1">
      <alignment horizontal="center" vertical="center"/>
      <protection locked="0"/>
    </xf>
    <xf numFmtId="0" fontId="4" fillId="0" borderId="4" xfId="60" applyFont="1" applyFill="1" applyBorder="1" applyAlignment="1" applyProtection="1">
      <alignment horizontal="center" vertical="center"/>
      <protection locked="0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>
      <alignment horizontal="center" vertical="center"/>
    </xf>
    <xf numFmtId="49" fontId="4" fillId="0" borderId="6" xfId="60" applyNumberFormat="1" applyFont="1" applyFill="1" applyBorder="1" applyAlignment="1">
      <alignment horizontal="center" vertical="center"/>
    </xf>
    <xf numFmtId="49" fontId="4" fillId="0" borderId="7" xfId="60" applyNumberFormat="1" applyFont="1" applyFill="1" applyBorder="1" applyAlignment="1">
      <alignment horizontal="center" vertical="center"/>
    </xf>
    <xf numFmtId="49" fontId="5" fillId="0" borderId="5" xfId="60" applyNumberFormat="1" applyFont="1" applyFill="1" applyBorder="1" applyAlignment="1" applyProtection="1">
      <alignment horizontal="center" vertical="center"/>
      <protection locked="0"/>
    </xf>
    <xf numFmtId="49" fontId="5" fillId="0" borderId="6" xfId="60" applyNumberFormat="1" applyFont="1" applyFill="1" applyBorder="1" applyAlignment="1" applyProtection="1">
      <alignment horizontal="center" vertical="center"/>
      <protection locked="0"/>
    </xf>
    <xf numFmtId="49" fontId="5" fillId="0" borderId="7" xfId="60" applyNumberFormat="1" applyFont="1" applyFill="1" applyBorder="1" applyAlignment="1" applyProtection="1">
      <alignment horizontal="center" vertical="center"/>
      <protection locked="0"/>
    </xf>
    <xf numFmtId="49" fontId="4" fillId="0" borderId="5" xfId="79" applyNumberFormat="1" applyFont="1" applyFill="1" applyBorder="1" applyAlignment="1">
      <alignment horizontal="center" vertical="center"/>
    </xf>
    <xf numFmtId="49" fontId="4" fillId="0" borderId="6" xfId="79" applyNumberFormat="1" applyFont="1" applyFill="1" applyBorder="1" applyAlignment="1">
      <alignment horizontal="center" vertical="center"/>
    </xf>
    <xf numFmtId="49" fontId="4" fillId="0" borderId="7" xfId="79" applyNumberFormat="1" applyFont="1" applyFill="1" applyBorder="1" applyAlignment="1">
      <alignment horizontal="center" vertical="center"/>
    </xf>
    <xf numFmtId="0" fontId="4" fillId="0" borderId="8" xfId="60" applyFont="1" applyFill="1" applyBorder="1" applyAlignment="1" applyProtection="1">
      <alignment horizontal="center" vertical="center"/>
      <protection locked="0"/>
    </xf>
    <xf numFmtId="0" fontId="4" fillId="0" borderId="9" xfId="60" applyFont="1" applyFill="1" applyBorder="1" applyAlignment="1" applyProtection="1">
      <alignment horizontal="center" vertical="center"/>
      <protection locked="0"/>
    </xf>
    <xf numFmtId="0" fontId="4" fillId="0" borderId="10" xfId="60" applyFont="1" applyFill="1" applyBorder="1" applyAlignment="1" applyProtection="1">
      <alignment horizontal="center" vertical="center"/>
      <protection locked="0"/>
    </xf>
    <xf numFmtId="49" fontId="3" fillId="0" borderId="8" xfId="60" applyNumberFormat="1" applyFont="1" applyFill="1" applyBorder="1" applyAlignment="1">
      <alignment horizontal="center" vertical="center"/>
    </xf>
    <xf numFmtId="49" fontId="3" fillId="0" borderId="9" xfId="60" applyNumberFormat="1" applyFont="1" applyFill="1" applyBorder="1" applyAlignment="1">
      <alignment horizontal="center" vertical="center"/>
    </xf>
    <xf numFmtId="49" fontId="3" fillId="0" borderId="10" xfId="60" applyNumberFormat="1" applyFont="1" applyFill="1" applyBorder="1" applyAlignment="1">
      <alignment horizontal="center" vertical="center"/>
    </xf>
    <xf numFmtId="0" fontId="4" fillId="0" borderId="5" xfId="60" applyFont="1" applyFill="1" applyBorder="1" applyAlignment="1" applyProtection="1">
      <alignment horizontal="center" vertical="center"/>
      <protection locked="0"/>
    </xf>
    <xf numFmtId="0" fontId="4" fillId="0" borderId="6" xfId="60" applyFont="1" applyFill="1" applyBorder="1" applyAlignment="1" applyProtection="1">
      <alignment horizontal="center" vertical="center"/>
      <protection locked="0"/>
    </xf>
    <xf numFmtId="0" fontId="4" fillId="0" borderId="7" xfId="60" applyFont="1" applyFill="1" applyBorder="1" applyAlignment="1" applyProtection="1">
      <alignment horizontal="center" vertical="center"/>
      <protection locked="0"/>
    </xf>
    <xf numFmtId="176" fontId="4" fillId="0" borderId="5" xfId="79" applyNumberFormat="1" applyFont="1" applyFill="1" applyBorder="1" applyAlignment="1">
      <alignment horizontal="center" vertical="center"/>
    </xf>
    <xf numFmtId="176" fontId="4" fillId="0" borderId="6" xfId="79" applyNumberFormat="1" applyFont="1" applyFill="1" applyBorder="1" applyAlignment="1">
      <alignment horizontal="center" vertical="center"/>
    </xf>
    <xf numFmtId="176" fontId="4" fillId="0" borderId="7" xfId="79" applyNumberFormat="1" applyFont="1" applyFill="1" applyBorder="1" applyAlignment="1">
      <alignment horizontal="center" vertical="center"/>
    </xf>
    <xf numFmtId="49" fontId="6" fillId="0" borderId="1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 applyProtection="1">
      <alignment horizontal="center" vertical="center"/>
      <protection locked="0"/>
    </xf>
    <xf numFmtId="0" fontId="6" fillId="4" borderId="5" xfId="60" applyFont="1" applyFill="1" applyBorder="1" applyAlignment="1">
      <alignment horizontal="center" vertical="center"/>
    </xf>
    <xf numFmtId="0" fontId="6" fillId="4" borderId="6" xfId="60" applyFont="1" applyFill="1" applyBorder="1" applyAlignment="1">
      <alignment horizontal="center" vertical="center"/>
    </xf>
    <xf numFmtId="0" fontId="6" fillId="4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0" fontId="7" fillId="3" borderId="1" xfId="60" applyFont="1" applyFill="1" applyBorder="1" applyAlignment="1" applyProtection="1">
      <alignment horizontal="center" vertical="center"/>
      <protection locked="0"/>
    </xf>
    <xf numFmtId="0" fontId="7" fillId="4" borderId="1" xfId="60" applyFont="1" applyFill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9" fillId="3" borderId="1" xfId="0" applyFont="1" applyFill="1" applyBorder="1" applyAlignment="1">
      <alignment horizontal="right" vertical="center"/>
    </xf>
    <xf numFmtId="0" fontId="10" fillId="4" borderId="1" xfId="60" applyFont="1" applyFill="1" applyBorder="1" applyAlignment="1">
      <alignment horizontal="center" vertical="center"/>
    </xf>
    <xf numFmtId="14" fontId="8" fillId="0" borderId="0" xfId="0" applyNumberFormat="1" applyFont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right" vertical="center"/>
    </xf>
    <xf numFmtId="0" fontId="1" fillId="0" borderId="7" xfId="0" applyFont="1" applyFill="1" applyBorder="1" applyAlignment="1">
      <alignment horizontal="right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2</xdr:col>
      <xdr:colOff>552450</xdr:colOff>
      <xdr:row>0</xdr:row>
      <xdr:rowOff>876300</xdr:rowOff>
    </xdr:to>
    <xdr:pic>
      <xdr:nvPicPr>
        <xdr:cNvPr id="2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31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2</xdr:col>
      <xdr:colOff>552450</xdr:colOff>
      <xdr:row>0</xdr:row>
      <xdr:rowOff>876300</xdr:rowOff>
    </xdr:to>
    <xdr:pic>
      <xdr:nvPicPr>
        <xdr:cNvPr id="3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317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90"/>
  <sheetViews>
    <sheetView tabSelected="1" workbookViewId="0">
      <selection activeCell="I7" sqref="I7:M117"/>
    </sheetView>
  </sheetViews>
  <sheetFormatPr defaultColWidth="9" defaultRowHeight="14.25"/>
  <cols>
    <col min="1" max="1" width="11" customWidth="1"/>
    <col min="2" max="2" width="15.125" customWidth="1"/>
    <col min="3" max="3" width="8.75" style="2" customWidth="1"/>
    <col min="4" max="5" width="7.875" style="2" customWidth="1"/>
    <col min="6" max="7" width="8" style="2" customWidth="1"/>
    <col min="8" max="8" width="5.5" style="2" customWidth="1"/>
    <col min="9" max="24" width="7.625" customWidth="1"/>
    <col min="25" max="40" width="6.625" customWidth="1"/>
  </cols>
  <sheetData>
    <row r="1" ht="70.5" customHeight="1" spans="1:40">
      <c r="A1" s="3" t="s">
        <v>0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" customHeight="1" spans="1:40">
      <c r="A2" s="5" t="s">
        <v>1</v>
      </c>
      <c r="B2" s="6" t="s">
        <v>2</v>
      </c>
      <c r="C2" s="7"/>
      <c r="D2" s="7"/>
      <c r="E2" s="7"/>
      <c r="F2" s="8"/>
      <c r="G2" s="9" t="s">
        <v>3</v>
      </c>
      <c r="H2" s="10"/>
      <c r="I2" s="10"/>
      <c r="J2" s="11"/>
      <c r="K2" s="12"/>
      <c r="L2" s="12"/>
      <c r="M2" s="12"/>
      <c r="N2" s="12"/>
      <c r="O2" s="12"/>
      <c r="P2" s="12"/>
      <c r="Q2" s="12"/>
      <c r="R2" s="13" t="s">
        <v>4</v>
      </c>
      <c r="S2" s="14"/>
      <c r="T2" s="14"/>
      <c r="U2" s="14"/>
      <c r="V2" s="14"/>
      <c r="W2" s="15"/>
      <c r="X2" s="16" t="s">
        <v>5</v>
      </c>
      <c r="Y2" s="17"/>
      <c r="Z2" s="17"/>
      <c r="AA2" s="17"/>
      <c r="AB2" s="17"/>
      <c r="AC2" s="18"/>
      <c r="AD2" s="16" t="s">
        <v>6</v>
      </c>
      <c r="AE2" s="17"/>
      <c r="AF2" s="17"/>
      <c r="AG2" s="17"/>
      <c r="AH2" s="18"/>
      <c r="AI2" s="19" t="s">
        <v>7</v>
      </c>
      <c r="AJ2" s="20"/>
      <c r="AK2" s="20"/>
      <c r="AL2" s="21"/>
      <c r="AM2" s="19" t="s">
        <v>8</v>
      </c>
      <c r="AN2" s="21"/>
    </row>
    <row r="3" ht="15" customHeight="1" spans="1:40">
      <c r="A3" s="5"/>
      <c r="B3" s="22"/>
      <c r="C3" s="23"/>
      <c r="D3" s="23"/>
      <c r="E3" s="23"/>
      <c r="F3" s="24"/>
      <c r="G3" s="25"/>
      <c r="H3" s="26"/>
      <c r="I3" s="26"/>
      <c r="J3" s="27"/>
      <c r="K3" s="12"/>
      <c r="L3" s="12"/>
      <c r="M3" s="12"/>
      <c r="N3" s="12"/>
      <c r="O3" s="12"/>
      <c r="P3" s="12"/>
      <c r="Q3" s="12"/>
      <c r="R3" s="28" t="s">
        <v>9</v>
      </c>
      <c r="S3" s="29"/>
      <c r="T3" s="29"/>
      <c r="U3" s="29"/>
      <c r="V3" s="29"/>
      <c r="W3" s="30"/>
      <c r="X3" s="28"/>
      <c r="Y3" s="29"/>
      <c r="Z3" s="29"/>
      <c r="AA3" s="29"/>
      <c r="AB3" s="29"/>
      <c r="AC3" s="30"/>
      <c r="AD3" s="31" t="s">
        <v>10</v>
      </c>
      <c r="AE3" s="32"/>
      <c r="AF3" s="32"/>
      <c r="AG3" s="32"/>
      <c r="AH3" s="33"/>
      <c r="AI3" s="31" t="s">
        <v>11</v>
      </c>
      <c r="AJ3" s="32"/>
      <c r="AK3" s="32"/>
      <c r="AL3" s="33"/>
      <c r="AM3" s="31" t="s">
        <v>12</v>
      </c>
      <c r="AN3" s="33"/>
    </row>
    <row r="4" customHeight="1" spans="1:40">
      <c r="A4" s="34" t="s">
        <v>13</v>
      </c>
      <c r="B4" s="34" t="s">
        <v>14</v>
      </c>
      <c r="C4" s="34" t="s">
        <v>15</v>
      </c>
      <c r="D4" s="34" t="s">
        <v>16</v>
      </c>
      <c r="E4" s="34" t="s">
        <v>17</v>
      </c>
      <c r="F4" s="34" t="s">
        <v>18</v>
      </c>
      <c r="G4" s="34" t="s">
        <v>19</v>
      </c>
      <c r="H4" s="34" t="s">
        <v>20</v>
      </c>
      <c r="I4" s="35" t="s">
        <v>21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6" t="s">
        <v>22</v>
      </c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8"/>
    </row>
    <row r="5" ht="13.5" customHeight="1" spans="1:40">
      <c r="A5" s="39"/>
      <c r="B5" s="40"/>
      <c r="C5" s="40"/>
      <c r="D5" s="40"/>
      <c r="E5" s="40"/>
      <c r="F5" s="40"/>
      <c r="G5" s="40"/>
      <c r="H5" s="40"/>
      <c r="I5" s="35" t="s">
        <v>23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41" t="s">
        <v>24</v>
      </c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</row>
    <row r="6" customHeight="1" spans="1:40">
      <c r="A6" s="39"/>
      <c r="B6" s="40"/>
      <c r="C6" s="40"/>
      <c r="D6" s="40"/>
      <c r="E6" s="40"/>
      <c r="F6" s="40"/>
      <c r="G6" s="40"/>
      <c r="H6" s="40"/>
      <c r="I6" s="42">
        <v>1</v>
      </c>
      <c r="J6" s="42">
        <v>2</v>
      </c>
      <c r="K6" s="42">
        <v>3</v>
      </c>
      <c r="L6" s="42">
        <v>4</v>
      </c>
      <c r="M6" s="42">
        <v>5</v>
      </c>
      <c r="N6" s="42">
        <v>6</v>
      </c>
      <c r="O6" s="42">
        <v>7</v>
      </c>
      <c r="P6" s="42">
        <v>8</v>
      </c>
      <c r="Q6" s="42">
        <v>9</v>
      </c>
      <c r="R6" s="42">
        <v>10</v>
      </c>
      <c r="S6" s="42">
        <v>11</v>
      </c>
      <c r="T6" s="42">
        <v>12</v>
      </c>
      <c r="U6" s="42">
        <v>13</v>
      </c>
      <c r="V6" s="42">
        <v>14</v>
      </c>
      <c r="W6" s="42">
        <v>15</v>
      </c>
      <c r="X6" s="42">
        <v>16</v>
      </c>
      <c r="Y6" s="43">
        <f t="shared" ref="Y6:AN6" si="0">I6</f>
        <v>1</v>
      </c>
      <c r="Z6" s="43">
        <f t="shared" si="0"/>
        <v>2</v>
      </c>
      <c r="AA6" s="43">
        <f t="shared" si="0"/>
        <v>3</v>
      </c>
      <c r="AB6" s="43">
        <f t="shared" si="0"/>
        <v>4</v>
      </c>
      <c r="AC6" s="43">
        <f t="shared" si="0"/>
        <v>5</v>
      </c>
      <c r="AD6" s="43">
        <f t="shared" si="0"/>
        <v>6</v>
      </c>
      <c r="AE6" s="43">
        <f t="shared" si="0"/>
        <v>7</v>
      </c>
      <c r="AF6" s="43">
        <f t="shared" si="0"/>
        <v>8</v>
      </c>
      <c r="AG6" s="43">
        <f t="shared" si="0"/>
        <v>9</v>
      </c>
      <c r="AH6" s="43">
        <f t="shared" si="0"/>
        <v>10</v>
      </c>
      <c r="AI6" s="43">
        <f t="shared" si="0"/>
        <v>11</v>
      </c>
      <c r="AJ6" s="43">
        <f t="shared" si="0"/>
        <v>12</v>
      </c>
      <c r="AK6" s="43">
        <f t="shared" si="0"/>
        <v>13</v>
      </c>
      <c r="AL6" s="43">
        <f t="shared" si="0"/>
        <v>14</v>
      </c>
      <c r="AM6" s="43">
        <f t="shared" si="0"/>
        <v>15</v>
      </c>
      <c r="AN6" s="43">
        <f t="shared" si="0"/>
        <v>16</v>
      </c>
    </row>
    <row r="7" spans="1:40">
      <c r="A7" s="44">
        <v>46198</v>
      </c>
      <c r="B7" s="45" t="s">
        <v>25</v>
      </c>
      <c r="C7" s="45">
        <v>85</v>
      </c>
      <c r="D7" s="45">
        <v>0.1</v>
      </c>
      <c r="E7" s="45">
        <v>0</v>
      </c>
      <c r="F7" s="45">
        <f t="shared" ref="F7:F18" si="1">C7+D7</f>
        <v>85.1</v>
      </c>
      <c r="G7" s="45">
        <f t="shared" ref="G7:G18" si="2">C7+E7</f>
        <v>85</v>
      </c>
      <c r="H7" s="46" t="s">
        <v>26</v>
      </c>
      <c r="I7" s="47">
        <v>85.0822</v>
      </c>
      <c r="J7" s="47">
        <v>85.0916</v>
      </c>
      <c r="K7" s="47">
        <v>85.0984</v>
      </c>
      <c r="L7" s="47">
        <v>85.0891</v>
      </c>
      <c r="M7" s="47">
        <v>85.0866</v>
      </c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8" t="str">
        <f t="shared" ref="Y7:AN7" si="3">IF(I7="","",IF(I7&gt;($C7+$D7),(I7-$C7-$D7),IF(I7&lt;($C7+$E7),(I7-$C7-$E7),"√")))</f>
        <v>√</v>
      </c>
      <c r="Z7" s="48" t="str">
        <f t="shared" si="3"/>
        <v>√</v>
      </c>
      <c r="AA7" s="48" t="str">
        <f t="shared" si="3"/>
        <v>√</v>
      </c>
      <c r="AB7" s="48" t="str">
        <f t="shared" si="3"/>
        <v>√</v>
      </c>
      <c r="AC7" s="48" t="str">
        <f t="shared" si="3"/>
        <v>√</v>
      </c>
      <c r="AD7" s="48" t="str">
        <f t="shared" si="3"/>
        <v/>
      </c>
      <c r="AE7" s="48" t="str">
        <f t="shared" si="3"/>
        <v/>
      </c>
      <c r="AF7" s="48" t="str">
        <f t="shared" si="3"/>
        <v/>
      </c>
      <c r="AG7" s="48" t="str">
        <f t="shared" si="3"/>
        <v/>
      </c>
      <c r="AH7" s="48" t="str">
        <f t="shared" si="3"/>
        <v/>
      </c>
      <c r="AI7" s="48" t="str">
        <f t="shared" si="3"/>
        <v/>
      </c>
      <c r="AJ7" s="48" t="str">
        <f t="shared" si="3"/>
        <v/>
      </c>
      <c r="AK7" s="48" t="str">
        <f t="shared" si="3"/>
        <v/>
      </c>
      <c r="AL7" s="48" t="str">
        <f t="shared" si="3"/>
        <v/>
      </c>
      <c r="AM7" s="48" t="str">
        <f t="shared" si="3"/>
        <v/>
      </c>
      <c r="AN7" s="48" t="str">
        <f t="shared" si="3"/>
        <v/>
      </c>
    </row>
    <row r="8" spans="1:40">
      <c r="A8" s="49"/>
      <c r="B8" s="45" t="s">
        <v>27</v>
      </c>
      <c r="C8" s="45">
        <v>85</v>
      </c>
      <c r="D8" s="45">
        <v>0.1</v>
      </c>
      <c r="E8" s="45">
        <v>0</v>
      </c>
      <c r="F8" s="45">
        <f t="shared" si="1"/>
        <v>85.1</v>
      </c>
      <c r="G8" s="45">
        <f t="shared" si="2"/>
        <v>85</v>
      </c>
      <c r="H8" s="46" t="s">
        <v>26</v>
      </c>
      <c r="I8" s="47">
        <v>85.0819</v>
      </c>
      <c r="J8" s="47">
        <v>85.092</v>
      </c>
      <c r="K8" s="47">
        <v>85.0783</v>
      </c>
      <c r="L8" s="47">
        <v>85.088</v>
      </c>
      <c r="M8" s="47">
        <v>85.0756</v>
      </c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8" t="str">
        <f t="shared" ref="Y8:Y39" si="4">IF(I8="","",IF(I8&gt;($C8+$D8),(I8-$C8-$D8),IF(I8&lt;($C8+$E8),(I8-$C8-$E8),"√")))</f>
        <v>√</v>
      </c>
      <c r="Z8" s="48" t="str">
        <f t="shared" ref="Z8:Z39" si="5">IF(J8="","",IF(J8&gt;($C8+$D8),(J8-$C8-$D8),IF(J8&lt;($C8+$E8),(J8-$C8-$E8),"√")))</f>
        <v>√</v>
      </c>
      <c r="AA8" s="48" t="str">
        <f t="shared" ref="AA8:AA39" si="6">IF(K8="","",IF(K8&gt;($C8+$D8),(K8-$C8-$D8),IF(K8&lt;($C8+$E8),(K8-$C8-$E8),"√")))</f>
        <v>√</v>
      </c>
      <c r="AB8" s="48" t="str">
        <f t="shared" ref="AB8:AB39" si="7">IF(L8="","",IF(L8&gt;($C8+$D8),(L8-$C8-$D8),IF(L8&lt;($C8+$E8),(L8-$C8-$E8),"√")))</f>
        <v>√</v>
      </c>
      <c r="AC8" s="48" t="str">
        <f t="shared" ref="AC8:AC39" si="8">IF(M8="","",IF(M8&gt;($C8+$D8),(M8-$C8-$D8),IF(M8&lt;($C8+$E8),(M8-$C8-$E8),"√")))</f>
        <v>√</v>
      </c>
      <c r="AD8" s="48" t="str">
        <f t="shared" ref="Y8:AN8" si="9">IF(N8="","",IF(N8&gt;($C8+$D8),(N8-$C8-$D8),IF(N8&lt;($C8+$E8),(N8-$C8-$E8),"√")))</f>
        <v/>
      </c>
      <c r="AE8" s="48" t="str">
        <f t="shared" si="9"/>
        <v/>
      </c>
      <c r="AF8" s="48" t="str">
        <f t="shared" si="9"/>
        <v/>
      </c>
      <c r="AG8" s="48" t="str">
        <f t="shared" si="9"/>
        <v/>
      </c>
      <c r="AH8" s="48" t="str">
        <f t="shared" si="9"/>
        <v/>
      </c>
      <c r="AI8" s="48" t="str">
        <f t="shared" si="9"/>
        <v/>
      </c>
      <c r="AJ8" s="48" t="str">
        <f t="shared" si="9"/>
        <v/>
      </c>
      <c r="AK8" s="48" t="str">
        <f t="shared" si="9"/>
        <v/>
      </c>
      <c r="AL8" s="48" t="str">
        <f t="shared" si="9"/>
        <v/>
      </c>
      <c r="AM8" s="48" t="str">
        <f t="shared" si="9"/>
        <v/>
      </c>
      <c r="AN8" s="48" t="str">
        <f t="shared" si="9"/>
        <v/>
      </c>
    </row>
    <row r="9" spans="1:40">
      <c r="A9" s="49"/>
      <c r="B9" s="45" t="s">
        <v>28</v>
      </c>
      <c r="C9" s="45">
        <v>85</v>
      </c>
      <c r="D9" s="45">
        <v>0.1</v>
      </c>
      <c r="E9" s="45">
        <v>0</v>
      </c>
      <c r="F9" s="45">
        <f t="shared" si="1"/>
        <v>85.1</v>
      </c>
      <c r="G9" s="45">
        <f t="shared" si="2"/>
        <v>85</v>
      </c>
      <c r="H9" s="46" t="s">
        <v>26</v>
      </c>
      <c r="I9" s="47">
        <v>85.0865</v>
      </c>
      <c r="J9" s="47">
        <v>85.0996</v>
      </c>
      <c r="K9" s="47">
        <v>85.0697</v>
      </c>
      <c r="L9" s="47">
        <v>85.0892</v>
      </c>
      <c r="M9" s="47">
        <v>85.0743</v>
      </c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8" t="str">
        <f t="shared" si="4"/>
        <v>√</v>
      </c>
      <c r="Z9" s="48" t="str">
        <f t="shared" si="5"/>
        <v>√</v>
      </c>
      <c r="AA9" s="48" t="str">
        <f t="shared" si="6"/>
        <v>√</v>
      </c>
      <c r="AB9" s="48" t="str">
        <f t="shared" si="7"/>
        <v>√</v>
      </c>
      <c r="AC9" s="48" t="str">
        <f t="shared" si="8"/>
        <v>√</v>
      </c>
      <c r="AD9" s="48" t="str">
        <f t="shared" ref="Y9:AN9" si="10">IF(N9="","",IF(N9&gt;($C9+$D9),(N9-$C9-$D9),IF(N9&lt;($C9+$E9),(N9-$C9-$E9),"√")))</f>
        <v/>
      </c>
      <c r="AE9" s="48" t="str">
        <f t="shared" si="10"/>
        <v/>
      </c>
      <c r="AF9" s="48" t="str">
        <f t="shared" si="10"/>
        <v/>
      </c>
      <c r="AG9" s="48" t="str">
        <f t="shared" si="10"/>
        <v/>
      </c>
      <c r="AH9" s="48" t="str">
        <f t="shared" si="10"/>
        <v/>
      </c>
      <c r="AI9" s="48" t="str">
        <f t="shared" si="10"/>
        <v/>
      </c>
      <c r="AJ9" s="48" t="str">
        <f t="shared" si="10"/>
        <v/>
      </c>
      <c r="AK9" s="48" t="str">
        <f t="shared" si="10"/>
        <v/>
      </c>
      <c r="AL9" s="48" t="str">
        <f t="shared" si="10"/>
        <v/>
      </c>
      <c r="AM9" s="48" t="str">
        <f t="shared" si="10"/>
        <v/>
      </c>
      <c r="AN9" s="48" t="str">
        <f t="shared" si="10"/>
        <v/>
      </c>
    </row>
    <row r="10" spans="1:40">
      <c r="A10" s="49"/>
      <c r="B10" s="45" t="s">
        <v>29</v>
      </c>
      <c r="C10" s="45">
        <v>1.3</v>
      </c>
      <c r="D10" s="45">
        <v>0.03</v>
      </c>
      <c r="E10" s="45">
        <v>0</v>
      </c>
      <c r="F10" s="45">
        <f t="shared" si="1"/>
        <v>1.33</v>
      </c>
      <c r="G10" s="45">
        <f t="shared" si="2"/>
        <v>1.3</v>
      </c>
      <c r="H10" s="46" t="s">
        <v>26</v>
      </c>
      <c r="I10" s="47">
        <v>1.4786</v>
      </c>
      <c r="J10" s="47">
        <v>1.4666</v>
      </c>
      <c r="K10" s="47">
        <v>1.5868</v>
      </c>
      <c r="L10" s="47">
        <v>1.4563</v>
      </c>
      <c r="M10" s="47">
        <v>1.4323</v>
      </c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8">
        <f t="shared" si="4"/>
        <v>0.1486</v>
      </c>
      <c r="Z10" s="48">
        <f t="shared" si="5"/>
        <v>0.1366</v>
      </c>
      <c r="AA10" s="48">
        <f t="shared" si="6"/>
        <v>0.2568</v>
      </c>
      <c r="AB10" s="48">
        <f t="shared" si="7"/>
        <v>0.1263</v>
      </c>
      <c r="AC10" s="48">
        <f t="shared" si="8"/>
        <v>0.1023</v>
      </c>
      <c r="AD10" s="48" t="str">
        <f t="shared" ref="Y10:AN10" si="11">IF(N10="","",IF(N10&gt;($C10+$D10),(N10-$C10-$D10),IF(N10&lt;($C10+$E10),(N10-$C10-$E10),"√")))</f>
        <v/>
      </c>
      <c r="AE10" s="48" t="str">
        <f t="shared" si="11"/>
        <v/>
      </c>
      <c r="AF10" s="48" t="str">
        <f t="shared" si="11"/>
        <v/>
      </c>
      <c r="AG10" s="48" t="str">
        <f t="shared" si="11"/>
        <v/>
      </c>
      <c r="AH10" s="48" t="str">
        <f t="shared" si="11"/>
        <v/>
      </c>
      <c r="AI10" s="48" t="str">
        <f t="shared" si="11"/>
        <v/>
      </c>
      <c r="AJ10" s="48" t="str">
        <f t="shared" si="11"/>
        <v/>
      </c>
      <c r="AK10" s="48" t="str">
        <f t="shared" si="11"/>
        <v/>
      </c>
      <c r="AL10" s="48" t="str">
        <f t="shared" si="11"/>
        <v/>
      </c>
      <c r="AM10" s="48" t="str">
        <f t="shared" si="11"/>
        <v/>
      </c>
      <c r="AN10" s="48" t="str">
        <f t="shared" si="11"/>
        <v/>
      </c>
    </row>
    <row r="11" spans="1:40">
      <c r="A11" s="49"/>
      <c r="B11" s="45" t="s">
        <v>30</v>
      </c>
      <c r="C11" s="45">
        <v>1.3</v>
      </c>
      <c r="D11" s="45">
        <v>0.03</v>
      </c>
      <c r="E11" s="45">
        <v>0</v>
      </c>
      <c r="F11" s="45">
        <f t="shared" si="1"/>
        <v>1.33</v>
      </c>
      <c r="G11" s="45">
        <f t="shared" si="2"/>
        <v>1.3</v>
      </c>
      <c r="H11" s="46" t="s">
        <v>26</v>
      </c>
      <c r="I11" s="47">
        <v>1.393</v>
      </c>
      <c r="J11" s="47">
        <v>1.5193</v>
      </c>
      <c r="K11" s="47">
        <v>1.4432</v>
      </c>
      <c r="L11" s="47">
        <v>1.4831</v>
      </c>
      <c r="M11" s="47">
        <v>1.6322</v>
      </c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8">
        <f t="shared" si="4"/>
        <v>0.063</v>
      </c>
      <c r="Z11" s="48">
        <f t="shared" si="5"/>
        <v>0.1893</v>
      </c>
      <c r="AA11" s="48">
        <f t="shared" si="6"/>
        <v>0.1132</v>
      </c>
      <c r="AB11" s="48">
        <f t="shared" si="7"/>
        <v>0.1531</v>
      </c>
      <c r="AC11" s="48">
        <f t="shared" si="8"/>
        <v>0.3022</v>
      </c>
      <c r="AD11" s="48" t="str">
        <f t="shared" ref="Y11:AN11" si="12">IF(N11="","",IF(N11&gt;($C11+$D11),(N11-$C11-$D11),IF(N11&lt;($C11+$E11),(N11-$C11-$E11),"√")))</f>
        <v/>
      </c>
      <c r="AE11" s="48" t="str">
        <f t="shared" si="12"/>
        <v/>
      </c>
      <c r="AF11" s="48" t="str">
        <f t="shared" si="12"/>
        <v/>
      </c>
      <c r="AG11" s="48" t="str">
        <f t="shared" si="12"/>
        <v/>
      </c>
      <c r="AH11" s="48" t="str">
        <f t="shared" si="12"/>
        <v/>
      </c>
      <c r="AI11" s="48" t="str">
        <f t="shared" si="12"/>
        <v/>
      </c>
      <c r="AJ11" s="48" t="str">
        <f t="shared" si="12"/>
        <v/>
      </c>
      <c r="AK11" s="48" t="str">
        <f t="shared" si="12"/>
        <v/>
      </c>
      <c r="AL11" s="48" t="str">
        <f t="shared" si="12"/>
        <v/>
      </c>
      <c r="AM11" s="48" t="str">
        <f t="shared" si="12"/>
        <v/>
      </c>
      <c r="AN11" s="48" t="str">
        <f t="shared" si="12"/>
        <v/>
      </c>
    </row>
    <row r="12" spans="1:40">
      <c r="A12" s="49"/>
      <c r="B12" s="45" t="s">
        <v>31</v>
      </c>
      <c r="C12" s="45">
        <v>1.3</v>
      </c>
      <c r="D12" s="45">
        <v>0.03</v>
      </c>
      <c r="E12" s="45">
        <v>0</v>
      </c>
      <c r="F12" s="45">
        <f t="shared" si="1"/>
        <v>1.33</v>
      </c>
      <c r="G12" s="45">
        <f t="shared" si="2"/>
        <v>1.3</v>
      </c>
      <c r="H12" s="46" t="s">
        <v>26</v>
      </c>
      <c r="I12" s="47">
        <v>1.3832</v>
      </c>
      <c r="J12" s="47">
        <v>1.3829</v>
      </c>
      <c r="K12" s="47">
        <v>1.4808</v>
      </c>
      <c r="L12" s="47">
        <v>1.5349</v>
      </c>
      <c r="M12" s="47">
        <v>1.4342</v>
      </c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8">
        <f t="shared" si="4"/>
        <v>0.0531999999999999</v>
      </c>
      <c r="Z12" s="48">
        <f t="shared" si="5"/>
        <v>0.0529</v>
      </c>
      <c r="AA12" s="48">
        <f t="shared" si="6"/>
        <v>0.1508</v>
      </c>
      <c r="AB12" s="48">
        <f t="shared" si="7"/>
        <v>0.2049</v>
      </c>
      <c r="AC12" s="48">
        <f t="shared" si="8"/>
        <v>0.1042</v>
      </c>
      <c r="AD12" s="48" t="str">
        <f t="shared" ref="Y12:AN12" si="13">IF(N12="","",IF(N12&gt;($C12+$D12),(N12-$C12-$D12),IF(N12&lt;($C12+$E12),(N12-$C12-$E12),"√")))</f>
        <v/>
      </c>
      <c r="AE12" s="48" t="str">
        <f t="shared" si="13"/>
        <v/>
      </c>
      <c r="AF12" s="48" t="str">
        <f t="shared" si="13"/>
        <v/>
      </c>
      <c r="AG12" s="48" t="str">
        <f t="shared" si="13"/>
        <v/>
      </c>
      <c r="AH12" s="48" t="str">
        <f t="shared" si="13"/>
        <v/>
      </c>
      <c r="AI12" s="48" t="str">
        <f t="shared" si="13"/>
        <v/>
      </c>
      <c r="AJ12" s="48" t="str">
        <f t="shared" si="13"/>
        <v/>
      </c>
      <c r="AK12" s="48" t="str">
        <f t="shared" si="13"/>
        <v/>
      </c>
      <c r="AL12" s="48" t="str">
        <f t="shared" si="13"/>
        <v/>
      </c>
      <c r="AM12" s="48" t="str">
        <f t="shared" si="13"/>
        <v/>
      </c>
      <c r="AN12" s="48" t="str">
        <f t="shared" si="13"/>
        <v/>
      </c>
    </row>
    <row r="13" spans="1:40">
      <c r="A13" s="49"/>
      <c r="B13" s="45" t="s">
        <v>32</v>
      </c>
      <c r="C13" s="45">
        <v>1.3</v>
      </c>
      <c r="D13" s="45">
        <v>0.03</v>
      </c>
      <c r="E13" s="45">
        <v>0</v>
      </c>
      <c r="F13" s="45">
        <f t="shared" si="1"/>
        <v>1.33</v>
      </c>
      <c r="G13" s="45">
        <f t="shared" si="2"/>
        <v>1.3</v>
      </c>
      <c r="H13" s="46" t="s">
        <v>26</v>
      </c>
      <c r="I13" s="47">
        <v>1.3696</v>
      </c>
      <c r="J13" s="47">
        <v>1.4396</v>
      </c>
      <c r="K13" s="47">
        <v>1.49</v>
      </c>
      <c r="L13" s="47">
        <v>1.4182</v>
      </c>
      <c r="M13" s="47">
        <v>1.5163</v>
      </c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8">
        <f t="shared" si="4"/>
        <v>0.0395999999999999</v>
      </c>
      <c r="Z13" s="48">
        <f t="shared" si="5"/>
        <v>0.1096</v>
      </c>
      <c r="AA13" s="48">
        <f t="shared" si="6"/>
        <v>0.16</v>
      </c>
      <c r="AB13" s="48">
        <f t="shared" si="7"/>
        <v>0.0881999999999999</v>
      </c>
      <c r="AC13" s="48">
        <f t="shared" si="8"/>
        <v>0.1863</v>
      </c>
      <c r="AD13" s="48" t="str">
        <f t="shared" ref="Y13:AN13" si="14">IF(N13="","",IF(N13&gt;($C13+$D13),(N13-$C13-$D13),IF(N13&lt;($C13+$E13),(N13-$C13-$E13),"√")))</f>
        <v/>
      </c>
      <c r="AE13" s="48" t="str">
        <f t="shared" si="14"/>
        <v/>
      </c>
      <c r="AF13" s="48" t="str">
        <f t="shared" si="14"/>
        <v/>
      </c>
      <c r="AG13" s="48" t="str">
        <f t="shared" si="14"/>
        <v/>
      </c>
      <c r="AH13" s="48" t="str">
        <f t="shared" si="14"/>
        <v/>
      </c>
      <c r="AI13" s="48" t="str">
        <f t="shared" si="14"/>
        <v/>
      </c>
      <c r="AJ13" s="48" t="str">
        <f t="shared" si="14"/>
        <v/>
      </c>
      <c r="AK13" s="48" t="str">
        <f t="shared" si="14"/>
        <v/>
      </c>
      <c r="AL13" s="48" t="str">
        <f t="shared" si="14"/>
        <v/>
      </c>
      <c r="AM13" s="48" t="str">
        <f t="shared" si="14"/>
        <v/>
      </c>
      <c r="AN13" s="48" t="str">
        <f t="shared" si="14"/>
        <v/>
      </c>
    </row>
    <row r="14" spans="1:40">
      <c r="A14" s="49"/>
      <c r="B14" s="45" t="s">
        <v>33</v>
      </c>
      <c r="C14" s="45">
        <v>1.3</v>
      </c>
      <c r="D14" s="45">
        <v>0.03</v>
      </c>
      <c r="E14" s="45">
        <v>0</v>
      </c>
      <c r="F14" s="45">
        <f t="shared" si="1"/>
        <v>1.33</v>
      </c>
      <c r="G14" s="45">
        <f t="shared" si="2"/>
        <v>1.3</v>
      </c>
      <c r="H14" s="46" t="s">
        <v>26</v>
      </c>
      <c r="I14" s="47">
        <v>1.4026</v>
      </c>
      <c r="J14" s="47">
        <v>1.4466</v>
      </c>
      <c r="K14" s="47">
        <v>1.5393</v>
      </c>
      <c r="L14" s="47">
        <v>1.4547</v>
      </c>
      <c r="M14" s="47">
        <v>1.5241</v>
      </c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8">
        <f t="shared" si="4"/>
        <v>0.0726</v>
      </c>
      <c r="Z14" s="48">
        <f t="shared" si="5"/>
        <v>0.1166</v>
      </c>
      <c r="AA14" s="48">
        <f t="shared" si="6"/>
        <v>0.2093</v>
      </c>
      <c r="AB14" s="48">
        <f t="shared" si="7"/>
        <v>0.1247</v>
      </c>
      <c r="AC14" s="48">
        <f t="shared" si="8"/>
        <v>0.1941</v>
      </c>
      <c r="AD14" s="48" t="str">
        <f t="shared" ref="Y14:AN14" si="15">IF(N14="","",IF(N14&gt;($C14+$D14),(N14-$C14-$D14),IF(N14&lt;($C14+$E14),(N14-$C14-$E14),"√")))</f>
        <v/>
      </c>
      <c r="AE14" s="48" t="str">
        <f t="shared" si="15"/>
        <v/>
      </c>
      <c r="AF14" s="48" t="str">
        <f t="shared" si="15"/>
        <v/>
      </c>
      <c r="AG14" s="48" t="str">
        <f t="shared" si="15"/>
        <v/>
      </c>
      <c r="AH14" s="48" t="str">
        <f t="shared" si="15"/>
        <v/>
      </c>
      <c r="AI14" s="48" t="str">
        <f t="shared" si="15"/>
        <v/>
      </c>
      <c r="AJ14" s="48" t="str">
        <f t="shared" si="15"/>
        <v/>
      </c>
      <c r="AK14" s="48" t="str">
        <f t="shared" si="15"/>
        <v/>
      </c>
      <c r="AL14" s="48" t="str">
        <f t="shared" si="15"/>
        <v/>
      </c>
      <c r="AM14" s="48" t="str">
        <f t="shared" si="15"/>
        <v/>
      </c>
      <c r="AN14" s="48" t="str">
        <f t="shared" si="15"/>
        <v/>
      </c>
    </row>
    <row r="15" spans="1:40">
      <c r="A15" s="49"/>
      <c r="B15" s="45" t="s">
        <v>34</v>
      </c>
      <c r="C15" s="45">
        <v>1.3</v>
      </c>
      <c r="D15" s="45">
        <v>0.03</v>
      </c>
      <c r="E15" s="45">
        <v>0</v>
      </c>
      <c r="F15" s="45">
        <f t="shared" si="1"/>
        <v>1.33</v>
      </c>
      <c r="G15" s="45">
        <f t="shared" si="2"/>
        <v>1.3</v>
      </c>
      <c r="H15" s="46" t="s">
        <v>26</v>
      </c>
      <c r="I15" s="47">
        <v>1.4762</v>
      </c>
      <c r="J15" s="47">
        <v>1.412</v>
      </c>
      <c r="K15" s="47">
        <v>1.475</v>
      </c>
      <c r="L15" s="47">
        <v>1.4565</v>
      </c>
      <c r="M15" s="47">
        <v>1.4209</v>
      </c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8">
        <f t="shared" si="4"/>
        <v>0.1462</v>
      </c>
      <c r="Z15" s="48">
        <f t="shared" si="5"/>
        <v>0.0819999999999999</v>
      </c>
      <c r="AA15" s="48">
        <f t="shared" si="6"/>
        <v>0.145</v>
      </c>
      <c r="AB15" s="48">
        <f t="shared" si="7"/>
        <v>0.1265</v>
      </c>
      <c r="AC15" s="48">
        <f t="shared" si="8"/>
        <v>0.0909</v>
      </c>
      <c r="AD15" s="48" t="str">
        <f t="shared" ref="Y15:AN15" si="16">IF(N15="","",IF(N15&gt;($C15+$D15),(N15-$C15-$D15),IF(N15&lt;($C15+$E15),(N15-$C15-$E15),"√")))</f>
        <v/>
      </c>
      <c r="AE15" s="48" t="str">
        <f t="shared" si="16"/>
        <v/>
      </c>
      <c r="AF15" s="48" t="str">
        <f t="shared" si="16"/>
        <v/>
      </c>
      <c r="AG15" s="48" t="str">
        <f t="shared" si="16"/>
        <v/>
      </c>
      <c r="AH15" s="48" t="str">
        <f t="shared" si="16"/>
        <v/>
      </c>
      <c r="AI15" s="48" t="str">
        <f t="shared" si="16"/>
        <v/>
      </c>
      <c r="AJ15" s="48" t="str">
        <f t="shared" si="16"/>
        <v/>
      </c>
      <c r="AK15" s="48" t="str">
        <f t="shared" si="16"/>
        <v/>
      </c>
      <c r="AL15" s="48" t="str">
        <f t="shared" si="16"/>
        <v/>
      </c>
      <c r="AM15" s="48" t="str">
        <f t="shared" si="16"/>
        <v/>
      </c>
      <c r="AN15" s="48" t="str">
        <f t="shared" si="16"/>
        <v/>
      </c>
    </row>
    <row r="16" spans="1:40">
      <c r="A16" s="49"/>
      <c r="B16" s="45" t="s">
        <v>35</v>
      </c>
      <c r="C16" s="45">
        <v>1.3</v>
      </c>
      <c r="D16" s="45">
        <v>0.03</v>
      </c>
      <c r="E16" s="45">
        <v>0</v>
      </c>
      <c r="F16" s="45">
        <f t="shared" si="1"/>
        <v>1.33</v>
      </c>
      <c r="G16" s="45">
        <f t="shared" si="2"/>
        <v>1.3</v>
      </c>
      <c r="H16" s="46" t="s">
        <v>26</v>
      </c>
      <c r="I16" s="47">
        <v>1.383</v>
      </c>
      <c r="J16" s="47">
        <v>1.4494</v>
      </c>
      <c r="K16" s="47">
        <v>1.4985</v>
      </c>
      <c r="L16" s="47">
        <v>1.463</v>
      </c>
      <c r="M16" s="47">
        <v>1.4974</v>
      </c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8">
        <f t="shared" si="4"/>
        <v>0.053</v>
      </c>
      <c r="Z16" s="48">
        <f t="shared" si="5"/>
        <v>0.1194</v>
      </c>
      <c r="AA16" s="48">
        <f t="shared" si="6"/>
        <v>0.1685</v>
      </c>
      <c r="AB16" s="48">
        <f t="shared" si="7"/>
        <v>0.133</v>
      </c>
      <c r="AC16" s="48">
        <f t="shared" si="8"/>
        <v>0.1674</v>
      </c>
      <c r="AD16" s="48" t="str">
        <f t="shared" ref="Y16:AN16" si="17">IF(N16="","",IF(N16&gt;($C16+$D16),(N16-$C16-$D16),IF(N16&lt;($C16+$E16),(N16-$C16-$E16),"√")))</f>
        <v/>
      </c>
      <c r="AE16" s="48" t="str">
        <f t="shared" si="17"/>
        <v/>
      </c>
      <c r="AF16" s="48" t="str">
        <f t="shared" si="17"/>
        <v/>
      </c>
      <c r="AG16" s="48" t="str">
        <f t="shared" si="17"/>
        <v/>
      </c>
      <c r="AH16" s="48" t="str">
        <f t="shared" si="17"/>
        <v/>
      </c>
      <c r="AI16" s="48" t="str">
        <f t="shared" si="17"/>
        <v/>
      </c>
      <c r="AJ16" s="48" t="str">
        <f t="shared" si="17"/>
        <v/>
      </c>
      <c r="AK16" s="48" t="str">
        <f t="shared" si="17"/>
        <v/>
      </c>
      <c r="AL16" s="48" t="str">
        <f t="shared" si="17"/>
        <v/>
      </c>
      <c r="AM16" s="48" t="str">
        <f t="shared" si="17"/>
        <v/>
      </c>
      <c r="AN16" s="48" t="str">
        <f t="shared" si="17"/>
        <v/>
      </c>
    </row>
    <row r="17" spans="1:40">
      <c r="A17" s="49"/>
      <c r="B17" s="45" t="s">
        <v>36</v>
      </c>
      <c r="C17" s="45">
        <v>1.3</v>
      </c>
      <c r="D17" s="45">
        <v>0.03</v>
      </c>
      <c r="E17" s="45">
        <v>0</v>
      </c>
      <c r="F17" s="45">
        <f t="shared" si="1"/>
        <v>1.33</v>
      </c>
      <c r="G17" s="45">
        <f t="shared" si="2"/>
        <v>1.3</v>
      </c>
      <c r="H17" s="46" t="s">
        <v>26</v>
      </c>
      <c r="I17" s="47">
        <v>1.4441</v>
      </c>
      <c r="J17" s="47">
        <v>1.3477</v>
      </c>
      <c r="K17" s="47">
        <v>1.3894</v>
      </c>
      <c r="L17" s="47">
        <v>1.428</v>
      </c>
      <c r="M17" s="47">
        <v>1.3544</v>
      </c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8">
        <f t="shared" si="4"/>
        <v>0.1141</v>
      </c>
      <c r="Z17" s="48">
        <f t="shared" si="5"/>
        <v>0.0176999999999999</v>
      </c>
      <c r="AA17" s="48">
        <f t="shared" si="6"/>
        <v>0.0593999999999999</v>
      </c>
      <c r="AB17" s="48">
        <f t="shared" si="7"/>
        <v>0.0979999999999999</v>
      </c>
      <c r="AC17" s="48">
        <f t="shared" si="8"/>
        <v>0.0244</v>
      </c>
      <c r="AD17" s="48" t="str">
        <f t="shared" ref="Y17:AN17" si="18">IF(N17="","",IF(N17&gt;($C17+$D17),(N17-$C17-$D17),IF(N17&lt;($C17+$E17),(N17-$C17-$E17),"√")))</f>
        <v/>
      </c>
      <c r="AE17" s="48" t="str">
        <f t="shared" si="18"/>
        <v/>
      </c>
      <c r="AF17" s="48" t="str">
        <f t="shared" si="18"/>
        <v/>
      </c>
      <c r="AG17" s="48" t="str">
        <f t="shared" si="18"/>
        <v/>
      </c>
      <c r="AH17" s="48" t="str">
        <f t="shared" si="18"/>
        <v/>
      </c>
      <c r="AI17" s="48" t="str">
        <f t="shared" si="18"/>
        <v/>
      </c>
      <c r="AJ17" s="48" t="str">
        <f t="shared" si="18"/>
        <v/>
      </c>
      <c r="AK17" s="48" t="str">
        <f t="shared" si="18"/>
        <v/>
      </c>
      <c r="AL17" s="48" t="str">
        <f t="shared" si="18"/>
        <v/>
      </c>
      <c r="AM17" s="48" t="str">
        <f t="shared" si="18"/>
        <v/>
      </c>
      <c r="AN17" s="48" t="str">
        <f t="shared" si="18"/>
        <v/>
      </c>
    </row>
    <row r="18" spans="1:40">
      <c r="A18" s="49"/>
      <c r="B18" s="45" t="s">
        <v>37</v>
      </c>
      <c r="C18" s="45">
        <v>1.3</v>
      </c>
      <c r="D18" s="45">
        <v>0.03</v>
      </c>
      <c r="E18" s="45">
        <v>0</v>
      </c>
      <c r="F18" s="45">
        <f t="shared" si="1"/>
        <v>1.33</v>
      </c>
      <c r="G18" s="45">
        <f t="shared" si="2"/>
        <v>1.3</v>
      </c>
      <c r="H18" s="46" t="s">
        <v>26</v>
      </c>
      <c r="I18" s="47">
        <v>1.3644</v>
      </c>
      <c r="J18" s="47">
        <v>1.4141</v>
      </c>
      <c r="K18" s="47">
        <v>1.5546</v>
      </c>
      <c r="L18" s="47">
        <v>1.4226</v>
      </c>
      <c r="M18" s="47">
        <v>1.4702</v>
      </c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8">
        <f t="shared" si="4"/>
        <v>0.0344</v>
      </c>
      <c r="Z18" s="48">
        <f t="shared" si="5"/>
        <v>0.0840999999999999</v>
      </c>
      <c r="AA18" s="48">
        <f t="shared" si="6"/>
        <v>0.2246</v>
      </c>
      <c r="AB18" s="48">
        <f t="shared" si="7"/>
        <v>0.0926</v>
      </c>
      <c r="AC18" s="48">
        <f t="shared" si="8"/>
        <v>0.1402</v>
      </c>
      <c r="AD18" s="48" t="str">
        <f t="shared" ref="Y18:AN18" si="19">IF(N18="","",IF(N18&gt;($C18+$D18),(N18-$C18-$D18),IF(N18&lt;($C18+$E18),(N18-$C18-$E18),"√")))</f>
        <v/>
      </c>
      <c r="AE18" s="48" t="str">
        <f t="shared" si="19"/>
        <v/>
      </c>
      <c r="AF18" s="48" t="str">
        <f t="shared" si="19"/>
        <v/>
      </c>
      <c r="AG18" s="48" t="str">
        <f t="shared" si="19"/>
        <v/>
      </c>
      <c r="AH18" s="48" t="str">
        <f t="shared" si="19"/>
        <v/>
      </c>
      <c r="AI18" s="48" t="str">
        <f t="shared" si="19"/>
        <v/>
      </c>
      <c r="AJ18" s="48" t="str">
        <f t="shared" si="19"/>
        <v/>
      </c>
      <c r="AK18" s="48" t="str">
        <f t="shared" si="19"/>
        <v/>
      </c>
      <c r="AL18" s="48" t="str">
        <f t="shared" si="19"/>
        <v/>
      </c>
      <c r="AM18" s="48" t="str">
        <f t="shared" si="19"/>
        <v/>
      </c>
      <c r="AN18" s="48" t="str">
        <f t="shared" si="19"/>
        <v/>
      </c>
    </row>
    <row r="19" spans="1:40">
      <c r="A19" s="49"/>
      <c r="B19" s="45" t="s">
        <v>38</v>
      </c>
      <c r="C19" s="45">
        <v>1.3</v>
      </c>
      <c r="D19" s="45">
        <v>0.03</v>
      </c>
      <c r="E19" s="45">
        <v>0</v>
      </c>
      <c r="F19" s="45">
        <f t="shared" ref="F19:F22" si="20">C19+D19</f>
        <v>1.33</v>
      </c>
      <c r="G19" s="45">
        <f t="shared" ref="G19:G22" si="21">C19+E19</f>
        <v>1.3</v>
      </c>
      <c r="H19" s="46" t="s">
        <v>26</v>
      </c>
      <c r="I19" s="47">
        <v>1.4531</v>
      </c>
      <c r="J19" s="47">
        <v>1.4189</v>
      </c>
      <c r="K19" s="47">
        <v>1.5909</v>
      </c>
      <c r="L19" s="47">
        <v>1.4491</v>
      </c>
      <c r="M19" s="47">
        <v>1.4223</v>
      </c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8">
        <f t="shared" si="4"/>
        <v>0.1231</v>
      </c>
      <c r="Z19" s="48">
        <f t="shared" si="5"/>
        <v>0.0889</v>
      </c>
      <c r="AA19" s="48">
        <f t="shared" si="6"/>
        <v>0.2609</v>
      </c>
      <c r="AB19" s="48">
        <f t="shared" si="7"/>
        <v>0.1191</v>
      </c>
      <c r="AC19" s="48">
        <f t="shared" si="8"/>
        <v>0.0922999999999999</v>
      </c>
      <c r="AD19" s="48" t="str">
        <f t="shared" ref="Y19:AN19" si="22">IF(N19="","",IF(N19&gt;($C19+$D19),(N19-$C19-$D19),IF(N19&lt;($C19+$E19),(N19-$C19-$E19),"√")))</f>
        <v/>
      </c>
      <c r="AE19" s="48" t="str">
        <f t="shared" si="22"/>
        <v/>
      </c>
      <c r="AF19" s="48" t="str">
        <f t="shared" si="22"/>
        <v/>
      </c>
      <c r="AG19" s="48" t="str">
        <f t="shared" si="22"/>
        <v/>
      </c>
      <c r="AH19" s="48" t="str">
        <f t="shared" si="22"/>
        <v/>
      </c>
      <c r="AI19" s="48" t="str">
        <f t="shared" si="22"/>
        <v/>
      </c>
      <c r="AJ19" s="48" t="str">
        <f t="shared" si="22"/>
        <v/>
      </c>
      <c r="AK19" s="48" t="str">
        <f t="shared" si="22"/>
        <v/>
      </c>
      <c r="AL19" s="48" t="str">
        <f t="shared" si="22"/>
        <v/>
      </c>
      <c r="AM19" s="48" t="str">
        <f t="shared" si="22"/>
        <v/>
      </c>
      <c r="AN19" s="48" t="str">
        <f t="shared" si="22"/>
        <v/>
      </c>
    </row>
    <row r="20" spans="1:40">
      <c r="A20" s="49"/>
      <c r="B20" s="45" t="s">
        <v>39</v>
      </c>
      <c r="C20" s="45">
        <v>1.3</v>
      </c>
      <c r="D20" s="45">
        <v>0.03</v>
      </c>
      <c r="E20" s="45">
        <v>0</v>
      </c>
      <c r="F20" s="45">
        <f t="shared" si="20"/>
        <v>1.33</v>
      </c>
      <c r="G20" s="45">
        <f t="shared" si="21"/>
        <v>1.3</v>
      </c>
      <c r="H20" s="46" t="s">
        <v>26</v>
      </c>
      <c r="I20" s="47">
        <v>1.5254</v>
      </c>
      <c r="J20" s="47">
        <v>1.4593</v>
      </c>
      <c r="K20" s="47">
        <v>1.5973</v>
      </c>
      <c r="L20" s="47">
        <v>1.4853</v>
      </c>
      <c r="M20" s="47">
        <v>1.3969</v>
      </c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8">
        <f t="shared" si="4"/>
        <v>0.1954</v>
      </c>
      <c r="Z20" s="48">
        <f t="shared" si="5"/>
        <v>0.1293</v>
      </c>
      <c r="AA20" s="48">
        <f t="shared" si="6"/>
        <v>0.2673</v>
      </c>
      <c r="AB20" s="48">
        <f t="shared" si="7"/>
        <v>0.1553</v>
      </c>
      <c r="AC20" s="48">
        <f t="shared" si="8"/>
        <v>0.0669</v>
      </c>
      <c r="AD20" s="48" t="str">
        <f t="shared" ref="Y20:AN20" si="23">IF(N20="","",IF(N20&gt;($C20+$D20),(N20-$C20-$D20),IF(N20&lt;($C20+$E20),(N20-$C20-$E20),"√")))</f>
        <v/>
      </c>
      <c r="AE20" s="48" t="str">
        <f t="shared" si="23"/>
        <v/>
      </c>
      <c r="AF20" s="48" t="str">
        <f t="shared" si="23"/>
        <v/>
      </c>
      <c r="AG20" s="48" t="str">
        <f t="shared" si="23"/>
        <v/>
      </c>
      <c r="AH20" s="48" t="str">
        <f t="shared" si="23"/>
        <v/>
      </c>
      <c r="AI20" s="48" t="str">
        <f t="shared" si="23"/>
        <v/>
      </c>
      <c r="AJ20" s="48" t="str">
        <f t="shared" si="23"/>
        <v/>
      </c>
      <c r="AK20" s="48" t="str">
        <f t="shared" si="23"/>
        <v/>
      </c>
      <c r="AL20" s="48" t="str">
        <f t="shared" si="23"/>
        <v/>
      </c>
      <c r="AM20" s="48" t="str">
        <f t="shared" si="23"/>
        <v/>
      </c>
      <c r="AN20" s="48" t="str">
        <f t="shared" si="23"/>
        <v/>
      </c>
    </row>
    <row r="21" spans="1:40">
      <c r="A21" s="49"/>
      <c r="B21" s="45" t="s">
        <v>40</v>
      </c>
      <c r="C21" s="45">
        <v>1.3</v>
      </c>
      <c r="D21" s="45">
        <v>0.03</v>
      </c>
      <c r="E21" s="45">
        <v>0</v>
      </c>
      <c r="F21" s="45">
        <f t="shared" si="20"/>
        <v>1.33</v>
      </c>
      <c r="G21" s="45">
        <f t="shared" si="21"/>
        <v>1.3</v>
      </c>
      <c r="H21" s="46" t="s">
        <v>26</v>
      </c>
      <c r="I21" s="47">
        <v>1.4525</v>
      </c>
      <c r="J21" s="47">
        <v>1.4777</v>
      </c>
      <c r="K21" s="47">
        <v>1.386</v>
      </c>
      <c r="L21" s="47">
        <v>1.5966</v>
      </c>
      <c r="M21" s="47">
        <v>1.4371</v>
      </c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8">
        <f t="shared" si="4"/>
        <v>0.1225</v>
      </c>
      <c r="Z21" s="48">
        <f t="shared" si="5"/>
        <v>0.1477</v>
      </c>
      <c r="AA21" s="48">
        <f t="shared" si="6"/>
        <v>0.0559999999999999</v>
      </c>
      <c r="AB21" s="48">
        <f t="shared" si="7"/>
        <v>0.2666</v>
      </c>
      <c r="AC21" s="48">
        <f t="shared" si="8"/>
        <v>0.1071</v>
      </c>
      <c r="AD21" s="48" t="str">
        <f t="shared" ref="Y21:AN21" si="24">IF(N21="","",IF(N21&gt;($C21+$D21),(N21-$C21-$D21),IF(N21&lt;($C21+$E21),(N21-$C21-$E21),"√")))</f>
        <v/>
      </c>
      <c r="AE21" s="48" t="str">
        <f t="shared" si="24"/>
        <v/>
      </c>
      <c r="AF21" s="48" t="str">
        <f t="shared" si="24"/>
        <v/>
      </c>
      <c r="AG21" s="48" t="str">
        <f t="shared" si="24"/>
        <v/>
      </c>
      <c r="AH21" s="48" t="str">
        <f t="shared" si="24"/>
        <v/>
      </c>
      <c r="AI21" s="48" t="str">
        <f t="shared" si="24"/>
        <v/>
      </c>
      <c r="AJ21" s="48" t="str">
        <f t="shared" si="24"/>
        <v/>
      </c>
      <c r="AK21" s="48" t="str">
        <f t="shared" si="24"/>
        <v/>
      </c>
      <c r="AL21" s="48" t="str">
        <f t="shared" si="24"/>
        <v/>
      </c>
      <c r="AM21" s="48" t="str">
        <f t="shared" si="24"/>
        <v/>
      </c>
      <c r="AN21" s="48" t="str">
        <f t="shared" si="24"/>
        <v/>
      </c>
    </row>
    <row r="22" spans="1:40">
      <c r="A22" s="49"/>
      <c r="B22" s="45" t="s">
        <v>41</v>
      </c>
      <c r="C22" s="45">
        <v>1.3</v>
      </c>
      <c r="D22" s="45">
        <v>0.03</v>
      </c>
      <c r="E22" s="45">
        <v>0</v>
      </c>
      <c r="F22" s="45">
        <f t="shared" si="20"/>
        <v>1.33</v>
      </c>
      <c r="G22" s="45">
        <f t="shared" si="21"/>
        <v>1.3</v>
      </c>
      <c r="H22" s="46" t="s">
        <v>26</v>
      </c>
      <c r="I22" s="47">
        <v>1.415</v>
      </c>
      <c r="J22" s="47">
        <v>1.478</v>
      </c>
      <c r="K22" s="47">
        <v>1.3663</v>
      </c>
      <c r="L22" s="47">
        <v>1.44</v>
      </c>
      <c r="M22" s="47">
        <v>1.4649</v>
      </c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8">
        <f t="shared" si="4"/>
        <v>0.085</v>
      </c>
      <c r="Z22" s="48">
        <f t="shared" si="5"/>
        <v>0.148</v>
      </c>
      <c r="AA22" s="48">
        <f t="shared" si="6"/>
        <v>0.0363</v>
      </c>
      <c r="AB22" s="48">
        <f t="shared" si="7"/>
        <v>0.11</v>
      </c>
      <c r="AC22" s="48">
        <f t="shared" si="8"/>
        <v>0.1349</v>
      </c>
      <c r="AD22" s="48" t="str">
        <f t="shared" ref="Y22:AN24" si="25">IF(N22="","",IF(N22&gt;($C22+$D22),(N22-$C22-$D22),IF(N22&lt;($C22+$E22),(N22-$C22-$E22),"√")))</f>
        <v/>
      </c>
      <c r="AE22" s="48" t="str">
        <f t="shared" si="25"/>
        <v/>
      </c>
      <c r="AF22" s="48" t="str">
        <f t="shared" si="25"/>
        <v/>
      </c>
      <c r="AG22" s="48" t="str">
        <f t="shared" si="25"/>
        <v/>
      </c>
      <c r="AH22" s="48" t="str">
        <f t="shared" si="25"/>
        <v/>
      </c>
      <c r="AI22" s="48" t="str">
        <f t="shared" si="25"/>
        <v/>
      </c>
      <c r="AJ22" s="48" t="str">
        <f t="shared" si="25"/>
        <v/>
      </c>
      <c r="AK22" s="48" t="str">
        <f t="shared" si="25"/>
        <v/>
      </c>
      <c r="AL22" s="48" t="str">
        <f t="shared" si="25"/>
        <v/>
      </c>
      <c r="AM22" s="48" t="str">
        <f t="shared" si="25"/>
        <v/>
      </c>
      <c r="AN22" s="48" t="str">
        <f t="shared" si="25"/>
        <v/>
      </c>
    </row>
    <row r="23" spans="1:40">
      <c r="A23" s="49"/>
      <c r="B23" s="45" t="s">
        <v>42</v>
      </c>
      <c r="C23" s="45">
        <v>1.3</v>
      </c>
      <c r="D23" s="45">
        <v>0.03</v>
      </c>
      <c r="E23" s="45">
        <v>0</v>
      </c>
      <c r="F23" s="45">
        <f t="shared" ref="F23:F27" si="26">C23+D23</f>
        <v>1.33</v>
      </c>
      <c r="G23" s="45">
        <f t="shared" ref="G23:G27" si="27">C23+E23</f>
        <v>1.3</v>
      </c>
      <c r="H23" s="46" t="s">
        <v>26</v>
      </c>
      <c r="I23" s="47">
        <v>1.4126</v>
      </c>
      <c r="J23" s="47">
        <v>1.4949</v>
      </c>
      <c r="K23" s="47">
        <v>1.492</v>
      </c>
      <c r="L23" s="47">
        <v>1.5294</v>
      </c>
      <c r="M23" s="47">
        <v>1.5443</v>
      </c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8">
        <f t="shared" si="4"/>
        <v>0.0826</v>
      </c>
      <c r="Z23" s="48">
        <f t="shared" si="5"/>
        <v>0.1649</v>
      </c>
      <c r="AA23" s="48">
        <f t="shared" si="6"/>
        <v>0.162</v>
      </c>
      <c r="AB23" s="48">
        <f t="shared" si="7"/>
        <v>0.1994</v>
      </c>
      <c r="AC23" s="48">
        <f t="shared" si="8"/>
        <v>0.2143</v>
      </c>
      <c r="AD23" s="48" t="str">
        <f t="shared" si="25"/>
        <v/>
      </c>
      <c r="AE23" s="48" t="str">
        <f t="shared" si="25"/>
        <v/>
      </c>
      <c r="AF23" s="48" t="str">
        <f t="shared" si="25"/>
        <v/>
      </c>
      <c r="AG23" s="48" t="str">
        <f t="shared" si="25"/>
        <v/>
      </c>
      <c r="AH23" s="48" t="str">
        <f t="shared" si="25"/>
        <v/>
      </c>
      <c r="AI23" s="48" t="str">
        <f t="shared" si="25"/>
        <v/>
      </c>
      <c r="AJ23" s="48" t="str">
        <f t="shared" si="25"/>
        <v/>
      </c>
      <c r="AK23" s="48" t="str">
        <f t="shared" si="25"/>
        <v/>
      </c>
      <c r="AL23" s="48" t="str">
        <f t="shared" si="25"/>
        <v/>
      </c>
      <c r="AM23" s="48" t="str">
        <f t="shared" si="25"/>
        <v/>
      </c>
      <c r="AN23" s="48" t="str">
        <f t="shared" si="25"/>
        <v/>
      </c>
    </row>
    <row r="24" spans="1:40">
      <c r="A24" s="49"/>
      <c r="B24" s="45" t="s">
        <v>43</v>
      </c>
      <c r="C24" s="45">
        <v>1.3</v>
      </c>
      <c r="D24" s="45">
        <v>0.03</v>
      </c>
      <c r="E24" s="45">
        <v>0</v>
      </c>
      <c r="F24" s="45">
        <f t="shared" si="26"/>
        <v>1.33</v>
      </c>
      <c r="G24" s="45">
        <f t="shared" si="27"/>
        <v>1.3</v>
      </c>
      <c r="H24" s="46" t="s">
        <v>26</v>
      </c>
      <c r="I24" s="47">
        <v>1.4554</v>
      </c>
      <c r="J24" s="47">
        <v>1.5206</v>
      </c>
      <c r="K24" s="47">
        <v>1.4381</v>
      </c>
      <c r="L24" s="47">
        <v>1.4408</v>
      </c>
      <c r="M24" s="47">
        <v>1.3925</v>
      </c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8">
        <f t="shared" si="4"/>
        <v>0.1254</v>
      </c>
      <c r="Z24" s="48">
        <f t="shared" si="5"/>
        <v>0.1906</v>
      </c>
      <c r="AA24" s="48">
        <f t="shared" si="6"/>
        <v>0.1081</v>
      </c>
      <c r="AB24" s="48">
        <f t="shared" si="7"/>
        <v>0.1108</v>
      </c>
      <c r="AC24" s="48">
        <f t="shared" si="8"/>
        <v>0.0625</v>
      </c>
      <c r="AD24" s="48" t="str">
        <f t="shared" si="25"/>
        <v/>
      </c>
      <c r="AE24" s="48" t="str">
        <f t="shared" si="25"/>
        <v/>
      </c>
      <c r="AF24" s="48" t="str">
        <f t="shared" si="25"/>
        <v/>
      </c>
      <c r="AG24" s="48" t="str">
        <f t="shared" si="25"/>
        <v/>
      </c>
      <c r="AH24" s="48" t="str">
        <f t="shared" si="25"/>
        <v/>
      </c>
      <c r="AI24" s="48" t="str">
        <f t="shared" si="25"/>
        <v/>
      </c>
      <c r="AJ24" s="48" t="str">
        <f t="shared" si="25"/>
        <v/>
      </c>
      <c r="AK24" s="48" t="str">
        <f t="shared" si="25"/>
        <v/>
      </c>
      <c r="AL24" s="48" t="str">
        <f t="shared" si="25"/>
        <v/>
      </c>
      <c r="AM24" s="48" t="str">
        <f t="shared" si="25"/>
        <v/>
      </c>
      <c r="AN24" s="48" t="str">
        <f t="shared" si="25"/>
        <v/>
      </c>
    </row>
    <row r="25" spans="1:40">
      <c r="A25" s="49"/>
      <c r="B25" s="45" t="s">
        <v>44</v>
      </c>
      <c r="C25" s="45">
        <v>1.3</v>
      </c>
      <c r="D25" s="45">
        <v>0.03</v>
      </c>
      <c r="E25" s="45">
        <v>0</v>
      </c>
      <c r="F25" s="45">
        <f t="shared" si="26"/>
        <v>1.33</v>
      </c>
      <c r="G25" s="45">
        <f t="shared" si="27"/>
        <v>1.3</v>
      </c>
      <c r="H25" s="46" t="s">
        <v>26</v>
      </c>
      <c r="I25" s="47">
        <v>1.4438</v>
      </c>
      <c r="J25" s="47">
        <v>1.5414</v>
      </c>
      <c r="K25" s="47">
        <v>1.4407</v>
      </c>
      <c r="L25" s="47">
        <v>1.4266</v>
      </c>
      <c r="M25" s="47">
        <v>1.5317</v>
      </c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8">
        <f t="shared" si="4"/>
        <v>0.1138</v>
      </c>
      <c r="Z25" s="48">
        <f t="shared" si="5"/>
        <v>0.2114</v>
      </c>
      <c r="AA25" s="48">
        <f t="shared" si="6"/>
        <v>0.1107</v>
      </c>
      <c r="AB25" s="48">
        <f t="shared" si="7"/>
        <v>0.0966</v>
      </c>
      <c r="AC25" s="48">
        <f t="shared" si="8"/>
        <v>0.2017</v>
      </c>
      <c r="AD25" s="48" t="str">
        <f t="shared" ref="Y25:AN25" si="28">IF(N25="","",IF(N25&gt;($C25+$D25),(N25-$C25-$D25),IF(N25&lt;($C25+$E25),(N25-$C25-$E25),"√")))</f>
        <v/>
      </c>
      <c r="AE25" s="48" t="str">
        <f t="shared" si="28"/>
        <v/>
      </c>
      <c r="AF25" s="48" t="str">
        <f t="shared" si="28"/>
        <v/>
      </c>
      <c r="AG25" s="48" t="str">
        <f t="shared" si="28"/>
        <v/>
      </c>
      <c r="AH25" s="48" t="str">
        <f t="shared" si="28"/>
        <v/>
      </c>
      <c r="AI25" s="48" t="str">
        <f t="shared" si="28"/>
        <v/>
      </c>
      <c r="AJ25" s="48" t="str">
        <f t="shared" si="28"/>
        <v/>
      </c>
      <c r="AK25" s="48" t="str">
        <f t="shared" si="28"/>
        <v/>
      </c>
      <c r="AL25" s="48" t="str">
        <f t="shared" si="28"/>
        <v/>
      </c>
      <c r="AM25" s="48" t="str">
        <f t="shared" si="28"/>
        <v/>
      </c>
      <c r="AN25" s="48" t="str">
        <f t="shared" si="28"/>
        <v/>
      </c>
    </row>
    <row r="26" spans="1:40">
      <c r="A26" s="49"/>
      <c r="B26" s="45" t="s">
        <v>45</v>
      </c>
      <c r="C26" s="45">
        <v>1.3</v>
      </c>
      <c r="D26" s="45">
        <v>0.03</v>
      </c>
      <c r="E26" s="45">
        <v>0</v>
      </c>
      <c r="F26" s="45">
        <f t="shared" si="26"/>
        <v>1.33</v>
      </c>
      <c r="G26" s="45">
        <f t="shared" si="27"/>
        <v>1.3</v>
      </c>
      <c r="H26" s="46" t="s">
        <v>26</v>
      </c>
      <c r="I26" s="47">
        <v>1.4787</v>
      </c>
      <c r="J26" s="47">
        <v>1.4828</v>
      </c>
      <c r="K26" s="47">
        <v>1.5322</v>
      </c>
      <c r="L26" s="47">
        <v>1.4794</v>
      </c>
      <c r="M26" s="47">
        <v>1.5234</v>
      </c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8">
        <f t="shared" si="4"/>
        <v>0.1487</v>
      </c>
      <c r="Z26" s="48">
        <f t="shared" si="5"/>
        <v>0.1528</v>
      </c>
      <c r="AA26" s="48">
        <f t="shared" si="6"/>
        <v>0.2022</v>
      </c>
      <c r="AB26" s="48">
        <f t="shared" si="7"/>
        <v>0.1494</v>
      </c>
      <c r="AC26" s="48">
        <f t="shared" si="8"/>
        <v>0.1934</v>
      </c>
      <c r="AD26" s="48" t="str">
        <f t="shared" ref="Y26:AN26" si="29">IF(N26="","",IF(N26&gt;($C26+$D26),(N26-$C26-$D26),IF(N26&lt;($C26+$E26),(N26-$C26-$E26),"√")))</f>
        <v/>
      </c>
      <c r="AE26" s="48" t="str">
        <f t="shared" si="29"/>
        <v/>
      </c>
      <c r="AF26" s="48" t="str">
        <f t="shared" si="29"/>
        <v/>
      </c>
      <c r="AG26" s="48" t="str">
        <f t="shared" si="29"/>
        <v/>
      </c>
      <c r="AH26" s="48" t="str">
        <f t="shared" si="29"/>
        <v/>
      </c>
      <c r="AI26" s="48" t="str">
        <f t="shared" si="29"/>
        <v/>
      </c>
      <c r="AJ26" s="48" t="str">
        <f t="shared" si="29"/>
        <v/>
      </c>
      <c r="AK26" s="48" t="str">
        <f t="shared" si="29"/>
        <v/>
      </c>
      <c r="AL26" s="48" t="str">
        <f t="shared" si="29"/>
        <v/>
      </c>
      <c r="AM26" s="48" t="str">
        <f t="shared" si="29"/>
        <v/>
      </c>
      <c r="AN26" s="48" t="str">
        <f t="shared" si="29"/>
        <v/>
      </c>
    </row>
    <row r="27" spans="1:40">
      <c r="A27" s="49"/>
      <c r="B27" s="45" t="s">
        <v>46</v>
      </c>
      <c r="C27" s="45">
        <v>1.3</v>
      </c>
      <c r="D27" s="45">
        <v>0.03</v>
      </c>
      <c r="E27" s="45">
        <v>0</v>
      </c>
      <c r="F27" s="45">
        <f t="shared" si="26"/>
        <v>1.33</v>
      </c>
      <c r="G27" s="45">
        <f t="shared" si="27"/>
        <v>1.3</v>
      </c>
      <c r="H27" s="46" t="s">
        <v>26</v>
      </c>
      <c r="I27" s="47">
        <v>1.4422</v>
      </c>
      <c r="J27" s="47">
        <v>1.4615</v>
      </c>
      <c r="K27" s="47">
        <v>1.424</v>
      </c>
      <c r="L27" s="47">
        <v>1.4959</v>
      </c>
      <c r="M27" s="47">
        <v>1.532</v>
      </c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8">
        <f t="shared" si="4"/>
        <v>0.1122</v>
      </c>
      <c r="Z27" s="48">
        <f t="shared" si="5"/>
        <v>0.1315</v>
      </c>
      <c r="AA27" s="48">
        <f t="shared" si="6"/>
        <v>0.0939999999999999</v>
      </c>
      <c r="AB27" s="48">
        <f t="shared" si="7"/>
        <v>0.1659</v>
      </c>
      <c r="AC27" s="48">
        <f t="shared" si="8"/>
        <v>0.202</v>
      </c>
      <c r="AD27" s="48" t="str">
        <f t="shared" ref="Y27:AN27" si="30">IF(N27="","",IF(N27&gt;($C27+$D27),(N27-$C27-$D27),IF(N27&lt;($C27+$E27),(N27-$C27-$E27),"√")))</f>
        <v/>
      </c>
      <c r="AE27" s="48" t="str">
        <f t="shared" si="30"/>
        <v/>
      </c>
      <c r="AF27" s="48" t="str">
        <f t="shared" si="30"/>
        <v/>
      </c>
      <c r="AG27" s="48" t="str">
        <f t="shared" si="30"/>
        <v/>
      </c>
      <c r="AH27" s="48" t="str">
        <f t="shared" si="30"/>
        <v/>
      </c>
      <c r="AI27" s="48" t="str">
        <f t="shared" si="30"/>
        <v/>
      </c>
      <c r="AJ27" s="48" t="str">
        <f t="shared" si="30"/>
        <v/>
      </c>
      <c r="AK27" s="48" t="str">
        <f t="shared" si="30"/>
        <v/>
      </c>
      <c r="AL27" s="48" t="str">
        <f t="shared" si="30"/>
        <v/>
      </c>
      <c r="AM27" s="48" t="str">
        <f t="shared" si="30"/>
        <v/>
      </c>
      <c r="AN27" s="48" t="str">
        <f t="shared" si="30"/>
        <v/>
      </c>
    </row>
    <row r="28" spans="1:40">
      <c r="A28" s="49"/>
      <c r="B28" s="45" t="s">
        <v>47</v>
      </c>
      <c r="C28" s="45">
        <v>1.3</v>
      </c>
      <c r="D28" s="45">
        <v>0.03</v>
      </c>
      <c r="E28" s="45">
        <v>0</v>
      </c>
      <c r="F28" s="45">
        <f t="shared" ref="F28:F59" si="31">C28+D28</f>
        <v>1.33</v>
      </c>
      <c r="G28" s="45">
        <f t="shared" ref="G28:G59" si="32">C28+E28</f>
        <v>1.3</v>
      </c>
      <c r="H28" s="46" t="s">
        <v>26</v>
      </c>
      <c r="I28" s="47">
        <v>1.5074</v>
      </c>
      <c r="J28" s="47">
        <v>1.631</v>
      </c>
      <c r="K28" s="47">
        <v>1.4592</v>
      </c>
      <c r="L28" s="47">
        <v>1.4087</v>
      </c>
      <c r="M28" s="47">
        <v>1.4098</v>
      </c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8">
        <f t="shared" si="4"/>
        <v>0.1774</v>
      </c>
      <c r="Z28" s="48">
        <f t="shared" si="5"/>
        <v>0.301</v>
      </c>
      <c r="AA28" s="48">
        <f t="shared" si="6"/>
        <v>0.1292</v>
      </c>
      <c r="AB28" s="48">
        <f t="shared" si="7"/>
        <v>0.0787</v>
      </c>
      <c r="AC28" s="48">
        <f t="shared" si="8"/>
        <v>0.0797999999999999</v>
      </c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</row>
    <row r="29" spans="1:40">
      <c r="A29" s="49"/>
      <c r="B29" s="45" t="s">
        <v>48</v>
      </c>
      <c r="C29" s="45">
        <v>1.3</v>
      </c>
      <c r="D29" s="45">
        <v>0.03</v>
      </c>
      <c r="E29" s="45">
        <v>0</v>
      </c>
      <c r="F29" s="45">
        <f t="shared" si="31"/>
        <v>1.33</v>
      </c>
      <c r="G29" s="45">
        <f t="shared" si="32"/>
        <v>1.3</v>
      </c>
      <c r="H29" s="46" t="s">
        <v>26</v>
      </c>
      <c r="I29" s="47">
        <v>1.3772</v>
      </c>
      <c r="J29" s="47">
        <v>1.3741</v>
      </c>
      <c r="K29" s="47">
        <v>1.3817</v>
      </c>
      <c r="L29" s="47">
        <v>1.3746</v>
      </c>
      <c r="M29" s="47">
        <v>1.3526</v>
      </c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8">
        <f t="shared" si="4"/>
        <v>0.0471999999999999</v>
      </c>
      <c r="Z29" s="48">
        <f t="shared" si="5"/>
        <v>0.0441000000000001</v>
      </c>
      <c r="AA29" s="48">
        <f t="shared" si="6"/>
        <v>0.0516999999999999</v>
      </c>
      <c r="AB29" s="48">
        <f t="shared" si="7"/>
        <v>0.0446</v>
      </c>
      <c r="AC29" s="48">
        <f t="shared" si="8"/>
        <v>0.0226</v>
      </c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</row>
    <row r="30" spans="1:40">
      <c r="A30" s="49"/>
      <c r="B30" s="45" t="s">
        <v>49</v>
      </c>
      <c r="C30" s="45">
        <v>1.3</v>
      </c>
      <c r="D30" s="45">
        <v>0.03</v>
      </c>
      <c r="E30" s="45">
        <v>0</v>
      </c>
      <c r="F30" s="45">
        <f t="shared" si="31"/>
        <v>1.33</v>
      </c>
      <c r="G30" s="45">
        <f t="shared" si="32"/>
        <v>1.3</v>
      </c>
      <c r="H30" s="46" t="s">
        <v>26</v>
      </c>
      <c r="I30" s="47">
        <v>1.4664</v>
      </c>
      <c r="J30" s="47">
        <v>1.4235</v>
      </c>
      <c r="K30" s="47">
        <v>1.4972</v>
      </c>
      <c r="L30" s="47">
        <v>1.3836</v>
      </c>
      <c r="M30" s="47">
        <v>1.4997</v>
      </c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8">
        <f t="shared" si="4"/>
        <v>0.1364</v>
      </c>
      <c r="Z30" s="48">
        <f t="shared" si="5"/>
        <v>0.0934999999999999</v>
      </c>
      <c r="AA30" s="48">
        <f t="shared" si="6"/>
        <v>0.1672</v>
      </c>
      <c r="AB30" s="48">
        <f t="shared" si="7"/>
        <v>0.0535999999999999</v>
      </c>
      <c r="AC30" s="48">
        <f t="shared" si="8"/>
        <v>0.1697</v>
      </c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</row>
    <row r="31" spans="1:40">
      <c r="A31" s="49"/>
      <c r="B31" s="45" t="s">
        <v>50</v>
      </c>
      <c r="C31" s="45">
        <v>1.3</v>
      </c>
      <c r="D31" s="45">
        <v>0.03</v>
      </c>
      <c r="E31" s="45">
        <v>0</v>
      </c>
      <c r="F31" s="45">
        <f t="shared" si="31"/>
        <v>1.33</v>
      </c>
      <c r="G31" s="45">
        <f t="shared" si="32"/>
        <v>1.3</v>
      </c>
      <c r="H31" s="46" t="s">
        <v>26</v>
      </c>
      <c r="I31" s="47">
        <v>1.3608</v>
      </c>
      <c r="J31" s="47">
        <v>1.504</v>
      </c>
      <c r="K31" s="47">
        <v>1.3947</v>
      </c>
      <c r="L31" s="47">
        <v>1.4623</v>
      </c>
      <c r="M31" s="47">
        <v>1.5283</v>
      </c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8">
        <f t="shared" si="4"/>
        <v>0.0308</v>
      </c>
      <c r="Z31" s="48">
        <f t="shared" si="5"/>
        <v>0.174</v>
      </c>
      <c r="AA31" s="48">
        <f t="shared" si="6"/>
        <v>0.0647</v>
      </c>
      <c r="AB31" s="48">
        <f t="shared" si="7"/>
        <v>0.1323</v>
      </c>
      <c r="AC31" s="48">
        <f t="shared" si="8"/>
        <v>0.1983</v>
      </c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</row>
    <row r="32" spans="1:40">
      <c r="A32" s="49"/>
      <c r="B32" s="45" t="s">
        <v>51</v>
      </c>
      <c r="C32" s="45">
        <v>1.3</v>
      </c>
      <c r="D32" s="45">
        <v>0.03</v>
      </c>
      <c r="E32" s="45">
        <v>0</v>
      </c>
      <c r="F32" s="45">
        <f t="shared" si="31"/>
        <v>1.33</v>
      </c>
      <c r="G32" s="45">
        <f t="shared" si="32"/>
        <v>1.3</v>
      </c>
      <c r="H32" s="46" t="s">
        <v>26</v>
      </c>
      <c r="I32" s="47">
        <v>1.633</v>
      </c>
      <c r="J32" s="47">
        <v>1.4163</v>
      </c>
      <c r="K32" s="47">
        <v>1.4218</v>
      </c>
      <c r="L32" s="47">
        <v>1.4613</v>
      </c>
      <c r="M32" s="47">
        <v>1.3764</v>
      </c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8">
        <f t="shared" si="4"/>
        <v>0.303</v>
      </c>
      <c r="Z32" s="48">
        <f t="shared" si="5"/>
        <v>0.0862999999999998</v>
      </c>
      <c r="AA32" s="48">
        <f t="shared" si="6"/>
        <v>0.0917999999999999</v>
      </c>
      <c r="AB32" s="48">
        <f t="shared" si="7"/>
        <v>0.1313</v>
      </c>
      <c r="AC32" s="48">
        <f t="shared" si="8"/>
        <v>0.0464</v>
      </c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</row>
    <row r="33" spans="1:40">
      <c r="A33" s="49"/>
      <c r="B33" s="45" t="s">
        <v>52</v>
      </c>
      <c r="C33" s="45">
        <v>1.3</v>
      </c>
      <c r="D33" s="45">
        <v>0.03</v>
      </c>
      <c r="E33" s="45">
        <v>0</v>
      </c>
      <c r="F33" s="45">
        <f t="shared" si="31"/>
        <v>1.33</v>
      </c>
      <c r="G33" s="45">
        <f t="shared" si="32"/>
        <v>1.3</v>
      </c>
      <c r="H33" s="46" t="s">
        <v>26</v>
      </c>
      <c r="I33" s="47">
        <v>1.437</v>
      </c>
      <c r="J33" s="47">
        <v>1.4485</v>
      </c>
      <c r="K33" s="47">
        <v>1.3709</v>
      </c>
      <c r="L33" s="47">
        <v>1.4388</v>
      </c>
      <c r="M33" s="47">
        <v>1.4576</v>
      </c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8">
        <f t="shared" si="4"/>
        <v>0.107</v>
      </c>
      <c r="Z33" s="48">
        <f t="shared" si="5"/>
        <v>0.1185</v>
      </c>
      <c r="AA33" s="48">
        <f t="shared" si="6"/>
        <v>0.0409</v>
      </c>
      <c r="AB33" s="48">
        <f t="shared" si="7"/>
        <v>0.1088</v>
      </c>
      <c r="AC33" s="48">
        <f t="shared" si="8"/>
        <v>0.1276</v>
      </c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</row>
    <row r="34" spans="1:40">
      <c r="A34" s="49"/>
      <c r="B34" s="45" t="s">
        <v>53</v>
      </c>
      <c r="C34" s="45">
        <v>1.3</v>
      </c>
      <c r="D34" s="45">
        <v>0.03</v>
      </c>
      <c r="E34" s="45">
        <v>0</v>
      </c>
      <c r="F34" s="45">
        <f t="shared" si="31"/>
        <v>1.33</v>
      </c>
      <c r="G34" s="45">
        <f t="shared" si="32"/>
        <v>1.3</v>
      </c>
      <c r="H34" s="46" t="s">
        <v>26</v>
      </c>
      <c r="I34" s="47">
        <v>1.5935</v>
      </c>
      <c r="J34" s="47">
        <v>1.4555</v>
      </c>
      <c r="K34" s="47">
        <v>1.4208</v>
      </c>
      <c r="L34" s="47">
        <v>1.3843</v>
      </c>
      <c r="M34" s="47">
        <v>1.3533</v>
      </c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8">
        <f t="shared" si="4"/>
        <v>0.2635</v>
      </c>
      <c r="Z34" s="48">
        <f t="shared" si="5"/>
        <v>0.1255</v>
      </c>
      <c r="AA34" s="48">
        <f t="shared" si="6"/>
        <v>0.0908</v>
      </c>
      <c r="AB34" s="48">
        <f t="shared" si="7"/>
        <v>0.0543</v>
      </c>
      <c r="AC34" s="48">
        <f t="shared" si="8"/>
        <v>0.0232999999999999</v>
      </c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</row>
    <row r="35" spans="1:40">
      <c r="A35" s="49"/>
      <c r="B35" s="45" t="s">
        <v>54</v>
      </c>
      <c r="C35" s="45">
        <v>1.3</v>
      </c>
      <c r="D35" s="45">
        <v>0.03</v>
      </c>
      <c r="E35" s="45">
        <v>0</v>
      </c>
      <c r="F35" s="45">
        <f t="shared" si="31"/>
        <v>1.33</v>
      </c>
      <c r="G35" s="45">
        <f t="shared" si="32"/>
        <v>1.3</v>
      </c>
      <c r="H35" s="46" t="s">
        <v>26</v>
      </c>
      <c r="I35" s="47">
        <v>1.4683</v>
      </c>
      <c r="J35" s="47">
        <v>1.4075</v>
      </c>
      <c r="K35" s="47">
        <v>1.4035</v>
      </c>
      <c r="L35" s="47">
        <v>1.4373</v>
      </c>
      <c r="M35" s="47">
        <v>1.5242</v>
      </c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8">
        <f t="shared" si="4"/>
        <v>0.1383</v>
      </c>
      <c r="Z35" s="48">
        <f t="shared" si="5"/>
        <v>0.0774999999999999</v>
      </c>
      <c r="AA35" s="48">
        <f t="shared" si="6"/>
        <v>0.0734999999999999</v>
      </c>
      <c r="AB35" s="48">
        <f t="shared" si="7"/>
        <v>0.1073</v>
      </c>
      <c r="AC35" s="48">
        <f t="shared" si="8"/>
        <v>0.1942</v>
      </c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</row>
    <row r="36" spans="1:40">
      <c r="A36" s="49"/>
      <c r="B36" s="45" t="s">
        <v>55</v>
      </c>
      <c r="C36" s="45">
        <v>1.3</v>
      </c>
      <c r="D36" s="45">
        <v>0.03</v>
      </c>
      <c r="E36" s="45">
        <v>0</v>
      </c>
      <c r="F36" s="45">
        <f t="shared" si="31"/>
        <v>1.33</v>
      </c>
      <c r="G36" s="45">
        <f t="shared" si="32"/>
        <v>1.3</v>
      </c>
      <c r="H36" s="46" t="s">
        <v>26</v>
      </c>
      <c r="I36" s="47">
        <v>1.5339</v>
      </c>
      <c r="J36" s="47">
        <v>1.5081</v>
      </c>
      <c r="K36" s="47">
        <v>1.4119</v>
      </c>
      <c r="L36" s="47">
        <v>1.4211</v>
      </c>
      <c r="M36" s="47">
        <v>1.5013</v>
      </c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8">
        <f t="shared" si="4"/>
        <v>0.2039</v>
      </c>
      <c r="Z36" s="48">
        <f t="shared" si="5"/>
        <v>0.1781</v>
      </c>
      <c r="AA36" s="48">
        <f t="shared" si="6"/>
        <v>0.0818999999999999</v>
      </c>
      <c r="AB36" s="48">
        <f t="shared" si="7"/>
        <v>0.0911</v>
      </c>
      <c r="AC36" s="48">
        <f t="shared" si="8"/>
        <v>0.1713</v>
      </c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</row>
    <row r="37" spans="1:40">
      <c r="A37" s="49"/>
      <c r="B37" s="45" t="s">
        <v>56</v>
      </c>
      <c r="C37" s="45">
        <v>1.3</v>
      </c>
      <c r="D37" s="45">
        <v>0.03</v>
      </c>
      <c r="E37" s="45">
        <v>0</v>
      </c>
      <c r="F37" s="45">
        <f t="shared" si="31"/>
        <v>1.33</v>
      </c>
      <c r="G37" s="45">
        <f t="shared" si="32"/>
        <v>1.3</v>
      </c>
      <c r="H37" s="46" t="s">
        <v>26</v>
      </c>
      <c r="I37" s="47">
        <v>1.4406</v>
      </c>
      <c r="J37" s="47">
        <v>1.3943</v>
      </c>
      <c r="K37" s="47">
        <v>1.4559</v>
      </c>
      <c r="L37" s="47">
        <v>1.4278</v>
      </c>
      <c r="M37" s="47">
        <v>1.5291</v>
      </c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8">
        <f t="shared" si="4"/>
        <v>0.1106</v>
      </c>
      <c r="Z37" s="48">
        <f t="shared" si="5"/>
        <v>0.0643000000000001</v>
      </c>
      <c r="AA37" s="48">
        <f t="shared" si="6"/>
        <v>0.1259</v>
      </c>
      <c r="AB37" s="48">
        <f t="shared" si="7"/>
        <v>0.0977999999999999</v>
      </c>
      <c r="AC37" s="48">
        <f t="shared" si="8"/>
        <v>0.1991</v>
      </c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</row>
    <row r="38" spans="1:40">
      <c r="A38" s="49"/>
      <c r="B38" s="45" t="s">
        <v>57</v>
      </c>
      <c r="C38" s="45">
        <v>1.3</v>
      </c>
      <c r="D38" s="45">
        <v>0.03</v>
      </c>
      <c r="E38" s="45">
        <v>0</v>
      </c>
      <c r="F38" s="45">
        <f t="shared" si="31"/>
        <v>1.33</v>
      </c>
      <c r="G38" s="45">
        <f t="shared" si="32"/>
        <v>1.3</v>
      </c>
      <c r="H38" s="46" t="s">
        <v>26</v>
      </c>
      <c r="I38" s="47">
        <v>1.3814</v>
      </c>
      <c r="J38" s="47">
        <v>1.4411</v>
      </c>
      <c r="K38" s="47">
        <v>1.4196</v>
      </c>
      <c r="L38" s="47">
        <v>1.4356</v>
      </c>
      <c r="M38" s="47">
        <v>1.4809</v>
      </c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8">
        <f t="shared" si="4"/>
        <v>0.0513999999999999</v>
      </c>
      <c r="Z38" s="48">
        <f t="shared" si="5"/>
        <v>0.1111</v>
      </c>
      <c r="AA38" s="48">
        <f t="shared" si="6"/>
        <v>0.0895999999999999</v>
      </c>
      <c r="AB38" s="48">
        <f t="shared" si="7"/>
        <v>0.1056</v>
      </c>
      <c r="AC38" s="48">
        <f t="shared" si="8"/>
        <v>0.1509</v>
      </c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</row>
    <row r="39" spans="1:40">
      <c r="A39" s="49"/>
      <c r="B39" s="45" t="s">
        <v>58</v>
      </c>
      <c r="C39" s="45">
        <v>1.3</v>
      </c>
      <c r="D39" s="45">
        <v>0.03</v>
      </c>
      <c r="E39" s="45">
        <v>0</v>
      </c>
      <c r="F39" s="45">
        <f t="shared" si="31"/>
        <v>1.33</v>
      </c>
      <c r="G39" s="45">
        <f t="shared" si="32"/>
        <v>1.3</v>
      </c>
      <c r="H39" s="46" t="s">
        <v>26</v>
      </c>
      <c r="I39" s="47">
        <v>1.4203</v>
      </c>
      <c r="J39" s="47">
        <v>1.4602</v>
      </c>
      <c r="K39" s="47">
        <v>1.5276</v>
      </c>
      <c r="L39" s="47">
        <v>1.5196</v>
      </c>
      <c r="M39" s="47">
        <v>1.3797</v>
      </c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8">
        <f t="shared" si="4"/>
        <v>0.0902999999999999</v>
      </c>
      <c r="Z39" s="48">
        <f t="shared" si="5"/>
        <v>0.1302</v>
      </c>
      <c r="AA39" s="48">
        <f t="shared" si="6"/>
        <v>0.1976</v>
      </c>
      <c r="AB39" s="48">
        <f t="shared" si="7"/>
        <v>0.1896</v>
      </c>
      <c r="AC39" s="48">
        <f t="shared" si="8"/>
        <v>0.0496999999999999</v>
      </c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</row>
    <row r="40" spans="1:40">
      <c r="A40" s="49"/>
      <c r="B40" s="45" t="s">
        <v>59</v>
      </c>
      <c r="C40" s="45">
        <v>1.3</v>
      </c>
      <c r="D40" s="45">
        <v>0.03</v>
      </c>
      <c r="E40" s="45">
        <v>0</v>
      </c>
      <c r="F40" s="45">
        <f t="shared" si="31"/>
        <v>1.33</v>
      </c>
      <c r="G40" s="45">
        <f t="shared" si="32"/>
        <v>1.3</v>
      </c>
      <c r="H40" s="46" t="s">
        <v>26</v>
      </c>
      <c r="I40" s="47">
        <v>1.3903</v>
      </c>
      <c r="J40" s="47">
        <v>1.397</v>
      </c>
      <c r="K40" s="47">
        <v>1.4566</v>
      </c>
      <c r="L40" s="47">
        <v>1.4573</v>
      </c>
      <c r="M40" s="47">
        <v>1.4993</v>
      </c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8">
        <f t="shared" ref="Y40:Y71" si="33">IF(I40="","",IF(I40&gt;($C40+$D40),(I40-$C40-$D40),IF(I40&lt;($C40+$E40),(I40-$C40-$E40),"√")))</f>
        <v>0.0603</v>
      </c>
      <c r="Z40" s="48">
        <f t="shared" ref="Z40:Z71" si="34">IF(J40="","",IF(J40&gt;($C40+$D40),(J40-$C40-$D40),IF(J40&lt;($C40+$E40),(J40-$C40-$E40),"√")))</f>
        <v>0.067</v>
      </c>
      <c r="AA40" s="48">
        <f t="shared" ref="AA40:AA71" si="35">IF(K40="","",IF(K40&gt;($C40+$D40),(K40-$C40-$D40),IF(K40&lt;($C40+$E40),(K40-$C40-$E40),"√")))</f>
        <v>0.1266</v>
      </c>
      <c r="AB40" s="48">
        <f t="shared" ref="AB40:AB71" si="36">IF(L40="","",IF(L40&gt;($C40+$D40),(L40-$C40-$D40),IF(L40&lt;($C40+$E40),(L40-$C40-$E40),"√")))</f>
        <v>0.1273</v>
      </c>
      <c r="AC40" s="48">
        <f t="shared" ref="AC40:AC71" si="37">IF(M40="","",IF(M40&gt;($C40+$D40),(M40-$C40-$D40),IF(M40&lt;($C40+$E40),(M40-$C40-$E40),"√")))</f>
        <v>0.1693</v>
      </c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</row>
    <row r="41" spans="1:40">
      <c r="A41" s="49"/>
      <c r="B41" s="45" t="s">
        <v>60</v>
      </c>
      <c r="C41" s="45">
        <v>1.3</v>
      </c>
      <c r="D41" s="45">
        <v>0.03</v>
      </c>
      <c r="E41" s="45">
        <v>0</v>
      </c>
      <c r="F41" s="45">
        <f t="shared" si="31"/>
        <v>1.33</v>
      </c>
      <c r="G41" s="45">
        <f t="shared" si="32"/>
        <v>1.3</v>
      </c>
      <c r="H41" s="46" t="s">
        <v>26</v>
      </c>
      <c r="I41" s="47">
        <v>1.4559</v>
      </c>
      <c r="J41" s="47">
        <v>1.5193</v>
      </c>
      <c r="K41" s="47">
        <v>1.3958</v>
      </c>
      <c r="L41" s="47">
        <v>1.5909</v>
      </c>
      <c r="M41" s="47">
        <v>1.611</v>
      </c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8">
        <f t="shared" si="33"/>
        <v>0.1259</v>
      </c>
      <c r="Z41" s="48">
        <f t="shared" si="34"/>
        <v>0.1893</v>
      </c>
      <c r="AA41" s="48">
        <f t="shared" si="35"/>
        <v>0.0657999999999999</v>
      </c>
      <c r="AB41" s="48">
        <f t="shared" si="36"/>
        <v>0.2609</v>
      </c>
      <c r="AC41" s="48">
        <f t="shared" si="37"/>
        <v>0.281</v>
      </c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</row>
    <row r="42" spans="1:40">
      <c r="A42" s="49"/>
      <c r="B42" s="45" t="s">
        <v>61</v>
      </c>
      <c r="C42" s="45">
        <v>1.3</v>
      </c>
      <c r="D42" s="45">
        <v>0.03</v>
      </c>
      <c r="E42" s="45">
        <v>0</v>
      </c>
      <c r="F42" s="45">
        <f t="shared" si="31"/>
        <v>1.33</v>
      </c>
      <c r="G42" s="45">
        <f t="shared" si="32"/>
        <v>1.3</v>
      </c>
      <c r="H42" s="46" t="s">
        <v>26</v>
      </c>
      <c r="I42" s="47">
        <v>1.4488</v>
      </c>
      <c r="J42" s="47">
        <v>1.5046</v>
      </c>
      <c r="K42" s="47">
        <v>1.4832</v>
      </c>
      <c r="L42" s="47">
        <v>1.4993</v>
      </c>
      <c r="M42" s="47">
        <v>1.4576</v>
      </c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8">
        <f t="shared" si="33"/>
        <v>0.1188</v>
      </c>
      <c r="Z42" s="48">
        <f t="shared" si="34"/>
        <v>0.1746</v>
      </c>
      <c r="AA42" s="48">
        <f t="shared" si="35"/>
        <v>0.1532</v>
      </c>
      <c r="AB42" s="48">
        <f t="shared" si="36"/>
        <v>0.1693</v>
      </c>
      <c r="AC42" s="48">
        <f t="shared" si="37"/>
        <v>0.1276</v>
      </c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</row>
    <row r="43" spans="1:40">
      <c r="A43" s="49"/>
      <c r="B43" s="45" t="s">
        <v>62</v>
      </c>
      <c r="C43" s="45">
        <v>1.3</v>
      </c>
      <c r="D43" s="45">
        <v>0.03</v>
      </c>
      <c r="E43" s="45">
        <v>0</v>
      </c>
      <c r="F43" s="45">
        <f t="shared" si="31"/>
        <v>1.33</v>
      </c>
      <c r="G43" s="45">
        <f t="shared" si="32"/>
        <v>1.3</v>
      </c>
      <c r="H43" s="46" t="s">
        <v>26</v>
      </c>
      <c r="I43" s="47">
        <v>1.3841</v>
      </c>
      <c r="J43" s="47">
        <v>1.4138</v>
      </c>
      <c r="K43" s="47">
        <v>1.4312</v>
      </c>
      <c r="L43" s="47">
        <v>1.543</v>
      </c>
      <c r="M43" s="47">
        <v>1.5226</v>
      </c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8">
        <f t="shared" si="33"/>
        <v>0.0541000000000001</v>
      </c>
      <c r="Z43" s="48">
        <f t="shared" si="34"/>
        <v>0.0837999999999999</v>
      </c>
      <c r="AA43" s="48">
        <f t="shared" si="35"/>
        <v>0.1012</v>
      </c>
      <c r="AB43" s="48">
        <f t="shared" si="36"/>
        <v>0.213</v>
      </c>
      <c r="AC43" s="48">
        <f t="shared" si="37"/>
        <v>0.1926</v>
      </c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</row>
    <row r="44" spans="1:40">
      <c r="A44" s="49"/>
      <c r="B44" s="45" t="s">
        <v>63</v>
      </c>
      <c r="C44" s="45">
        <v>1.3</v>
      </c>
      <c r="D44" s="45">
        <v>0.03</v>
      </c>
      <c r="E44" s="45">
        <v>0</v>
      </c>
      <c r="F44" s="45">
        <f t="shared" si="31"/>
        <v>1.33</v>
      </c>
      <c r="G44" s="45">
        <f t="shared" si="32"/>
        <v>1.3</v>
      </c>
      <c r="H44" s="46" t="s">
        <v>26</v>
      </c>
      <c r="I44" s="47">
        <v>1.3585</v>
      </c>
      <c r="J44" s="47">
        <v>1.4887</v>
      </c>
      <c r="K44" s="47">
        <v>1.3618</v>
      </c>
      <c r="L44" s="47">
        <v>1.4952</v>
      </c>
      <c r="M44" s="47">
        <v>1.5991</v>
      </c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8">
        <f t="shared" si="33"/>
        <v>0.0285</v>
      </c>
      <c r="Z44" s="48">
        <f t="shared" si="34"/>
        <v>0.1587</v>
      </c>
      <c r="AA44" s="48">
        <f t="shared" si="35"/>
        <v>0.0317999999999999</v>
      </c>
      <c r="AB44" s="48">
        <f t="shared" si="36"/>
        <v>0.1652</v>
      </c>
      <c r="AC44" s="48">
        <f t="shared" si="37"/>
        <v>0.2691</v>
      </c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</row>
    <row r="45" spans="1:40">
      <c r="A45" s="49"/>
      <c r="B45" s="45" t="s">
        <v>64</v>
      </c>
      <c r="C45" s="45">
        <v>1.3</v>
      </c>
      <c r="D45" s="45">
        <v>0.03</v>
      </c>
      <c r="E45" s="45">
        <v>0</v>
      </c>
      <c r="F45" s="45">
        <f t="shared" si="31"/>
        <v>1.33</v>
      </c>
      <c r="G45" s="45">
        <f t="shared" si="32"/>
        <v>1.3</v>
      </c>
      <c r="H45" s="46" t="s">
        <v>26</v>
      </c>
      <c r="I45" s="47">
        <v>1.3723</v>
      </c>
      <c r="J45" s="47">
        <v>1.5067</v>
      </c>
      <c r="K45" s="47">
        <v>1.3932</v>
      </c>
      <c r="L45" s="47">
        <v>1.4883</v>
      </c>
      <c r="M45" s="47">
        <v>1.5273</v>
      </c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8">
        <f t="shared" si="33"/>
        <v>0.0423</v>
      </c>
      <c r="Z45" s="48">
        <f t="shared" si="34"/>
        <v>0.1767</v>
      </c>
      <c r="AA45" s="48">
        <f t="shared" si="35"/>
        <v>0.0632</v>
      </c>
      <c r="AB45" s="48">
        <f t="shared" si="36"/>
        <v>0.1583</v>
      </c>
      <c r="AC45" s="48">
        <f t="shared" si="37"/>
        <v>0.1973</v>
      </c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</row>
    <row r="46" spans="1:40">
      <c r="A46" s="49"/>
      <c r="B46" s="45" t="s">
        <v>65</v>
      </c>
      <c r="C46" s="45">
        <v>1.3</v>
      </c>
      <c r="D46" s="45">
        <v>0.03</v>
      </c>
      <c r="E46" s="45">
        <v>0</v>
      </c>
      <c r="F46" s="45">
        <f t="shared" si="31"/>
        <v>1.33</v>
      </c>
      <c r="G46" s="45">
        <f t="shared" si="32"/>
        <v>1.3</v>
      </c>
      <c r="H46" s="46" t="s">
        <v>26</v>
      </c>
      <c r="I46" s="47">
        <v>1.375</v>
      </c>
      <c r="J46" s="47">
        <v>1.4354</v>
      </c>
      <c r="K46" s="47">
        <v>1.383</v>
      </c>
      <c r="L46" s="47">
        <v>1.5719</v>
      </c>
      <c r="M46" s="47">
        <v>1.3739</v>
      </c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8">
        <f t="shared" si="33"/>
        <v>0.045</v>
      </c>
      <c r="Z46" s="48">
        <f t="shared" si="34"/>
        <v>0.1054</v>
      </c>
      <c r="AA46" s="48">
        <f t="shared" si="35"/>
        <v>0.053</v>
      </c>
      <c r="AB46" s="48">
        <f t="shared" si="36"/>
        <v>0.2419</v>
      </c>
      <c r="AC46" s="48">
        <f t="shared" si="37"/>
        <v>0.0438999999999999</v>
      </c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</row>
    <row r="47" spans="1:40">
      <c r="A47" s="49"/>
      <c r="B47" s="45" t="s">
        <v>66</v>
      </c>
      <c r="C47" s="45">
        <v>1.3</v>
      </c>
      <c r="D47" s="45">
        <v>0.03</v>
      </c>
      <c r="E47" s="45">
        <v>0</v>
      </c>
      <c r="F47" s="45">
        <f t="shared" si="31"/>
        <v>1.33</v>
      </c>
      <c r="G47" s="45">
        <f t="shared" si="32"/>
        <v>1.3</v>
      </c>
      <c r="H47" s="46" t="s">
        <v>26</v>
      </c>
      <c r="I47" s="47">
        <v>1.5404</v>
      </c>
      <c r="J47" s="47">
        <v>1.4473</v>
      </c>
      <c r="K47" s="47">
        <v>1.5148</v>
      </c>
      <c r="L47" s="47">
        <v>1.4057</v>
      </c>
      <c r="M47" s="47">
        <v>1.3913</v>
      </c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8">
        <f t="shared" si="33"/>
        <v>0.2104</v>
      </c>
      <c r="Z47" s="48">
        <f t="shared" si="34"/>
        <v>0.1173</v>
      </c>
      <c r="AA47" s="48">
        <f t="shared" si="35"/>
        <v>0.1848</v>
      </c>
      <c r="AB47" s="48">
        <f t="shared" si="36"/>
        <v>0.0756999999999999</v>
      </c>
      <c r="AC47" s="48">
        <f t="shared" si="37"/>
        <v>0.0612999999999999</v>
      </c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</row>
    <row r="48" spans="1:40">
      <c r="A48" s="49"/>
      <c r="B48" s="45" t="s">
        <v>67</v>
      </c>
      <c r="C48" s="45">
        <v>1.3</v>
      </c>
      <c r="D48" s="45">
        <v>0.03</v>
      </c>
      <c r="E48" s="45">
        <v>0</v>
      </c>
      <c r="F48" s="45">
        <f t="shared" si="31"/>
        <v>1.33</v>
      </c>
      <c r="G48" s="45">
        <f t="shared" si="32"/>
        <v>1.3</v>
      </c>
      <c r="H48" s="46" t="s">
        <v>26</v>
      </c>
      <c r="I48" s="47">
        <v>1.5072</v>
      </c>
      <c r="J48" s="47">
        <v>1.5159</v>
      </c>
      <c r="K48" s="47">
        <v>1.3601</v>
      </c>
      <c r="L48" s="47">
        <v>1.4232</v>
      </c>
      <c r="M48" s="47">
        <v>1.4398</v>
      </c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8">
        <f t="shared" si="33"/>
        <v>0.1772</v>
      </c>
      <c r="Z48" s="48">
        <f t="shared" si="34"/>
        <v>0.1859</v>
      </c>
      <c r="AA48" s="48">
        <f t="shared" si="35"/>
        <v>0.0301</v>
      </c>
      <c r="AB48" s="48">
        <f t="shared" si="36"/>
        <v>0.0932</v>
      </c>
      <c r="AC48" s="48">
        <f t="shared" si="37"/>
        <v>0.1098</v>
      </c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</row>
    <row r="49" spans="1:40">
      <c r="A49" s="49"/>
      <c r="B49" s="45" t="s">
        <v>68</v>
      </c>
      <c r="C49" s="45">
        <v>1.3</v>
      </c>
      <c r="D49" s="45">
        <v>0.03</v>
      </c>
      <c r="E49" s="45">
        <v>0</v>
      </c>
      <c r="F49" s="45">
        <f t="shared" si="31"/>
        <v>1.33</v>
      </c>
      <c r="G49" s="45">
        <f t="shared" si="32"/>
        <v>1.3</v>
      </c>
      <c r="H49" s="46" t="s">
        <v>26</v>
      </c>
      <c r="I49" s="47">
        <v>1.3892</v>
      </c>
      <c r="J49" s="47">
        <v>1.4586</v>
      </c>
      <c r="K49" s="47">
        <v>1.4265</v>
      </c>
      <c r="L49" s="47">
        <v>1.3577</v>
      </c>
      <c r="M49" s="47">
        <v>1.3989</v>
      </c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8">
        <f t="shared" si="33"/>
        <v>0.0591999999999999</v>
      </c>
      <c r="Z49" s="48">
        <f t="shared" si="34"/>
        <v>0.1286</v>
      </c>
      <c r="AA49" s="48">
        <f t="shared" si="35"/>
        <v>0.0965000000000001</v>
      </c>
      <c r="AB49" s="48">
        <f t="shared" si="36"/>
        <v>0.0276999999999999</v>
      </c>
      <c r="AC49" s="48">
        <f t="shared" si="37"/>
        <v>0.0689</v>
      </c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</row>
    <row r="50" spans="1:40">
      <c r="A50" s="49"/>
      <c r="B50" s="45" t="s">
        <v>69</v>
      </c>
      <c r="C50" s="45">
        <v>1.3</v>
      </c>
      <c r="D50" s="45">
        <v>0.03</v>
      </c>
      <c r="E50" s="45">
        <v>0</v>
      </c>
      <c r="F50" s="45">
        <f t="shared" si="31"/>
        <v>1.33</v>
      </c>
      <c r="G50" s="45">
        <f t="shared" si="32"/>
        <v>1.3</v>
      </c>
      <c r="H50" s="46" t="s">
        <v>26</v>
      </c>
      <c r="I50" s="47">
        <v>1.5559</v>
      </c>
      <c r="J50" s="47">
        <v>1.5376</v>
      </c>
      <c r="K50" s="47">
        <v>1.5171</v>
      </c>
      <c r="L50" s="47">
        <v>1.4359</v>
      </c>
      <c r="M50" s="47">
        <v>1.3875</v>
      </c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8">
        <f t="shared" si="33"/>
        <v>0.2259</v>
      </c>
      <c r="Z50" s="48">
        <f t="shared" si="34"/>
        <v>0.2076</v>
      </c>
      <c r="AA50" s="48">
        <f t="shared" si="35"/>
        <v>0.1871</v>
      </c>
      <c r="AB50" s="48">
        <f t="shared" si="36"/>
        <v>0.1059</v>
      </c>
      <c r="AC50" s="48">
        <f t="shared" si="37"/>
        <v>0.0574999999999999</v>
      </c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</row>
    <row r="51" spans="1:40">
      <c r="A51" s="49"/>
      <c r="B51" s="45" t="s">
        <v>70</v>
      </c>
      <c r="C51" s="45">
        <v>1.3</v>
      </c>
      <c r="D51" s="45">
        <v>0.03</v>
      </c>
      <c r="E51" s="45">
        <v>0</v>
      </c>
      <c r="F51" s="45">
        <f t="shared" si="31"/>
        <v>1.33</v>
      </c>
      <c r="G51" s="45">
        <f t="shared" si="32"/>
        <v>1.3</v>
      </c>
      <c r="H51" s="46" t="s">
        <v>26</v>
      </c>
      <c r="I51" s="47">
        <v>1.4775</v>
      </c>
      <c r="J51" s="47">
        <v>1.4205</v>
      </c>
      <c r="K51" s="47">
        <v>1.4993</v>
      </c>
      <c r="L51" s="47">
        <v>1.4501</v>
      </c>
      <c r="M51" s="47">
        <v>1.4148</v>
      </c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8">
        <f t="shared" si="33"/>
        <v>0.1475</v>
      </c>
      <c r="Z51" s="48">
        <f t="shared" si="34"/>
        <v>0.0905000000000001</v>
      </c>
      <c r="AA51" s="48">
        <f t="shared" si="35"/>
        <v>0.1693</v>
      </c>
      <c r="AB51" s="48">
        <f t="shared" si="36"/>
        <v>0.1201</v>
      </c>
      <c r="AC51" s="48">
        <f t="shared" si="37"/>
        <v>0.0848</v>
      </c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</row>
    <row r="52" spans="1:40">
      <c r="A52" s="49"/>
      <c r="B52" s="45" t="s">
        <v>71</v>
      </c>
      <c r="C52" s="45">
        <v>1.3</v>
      </c>
      <c r="D52" s="45">
        <v>0.03</v>
      </c>
      <c r="E52" s="45">
        <v>0</v>
      </c>
      <c r="F52" s="45">
        <f t="shared" si="31"/>
        <v>1.33</v>
      </c>
      <c r="G52" s="45">
        <f t="shared" si="32"/>
        <v>1.3</v>
      </c>
      <c r="H52" s="46" t="s">
        <v>26</v>
      </c>
      <c r="I52" s="47">
        <v>1.448</v>
      </c>
      <c r="J52" s="47">
        <v>1.42</v>
      </c>
      <c r="K52" s="47">
        <v>1.5036</v>
      </c>
      <c r="L52" s="47">
        <v>1.5336</v>
      </c>
      <c r="M52" s="47">
        <v>1.4479</v>
      </c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8">
        <f t="shared" si="33"/>
        <v>0.118</v>
      </c>
      <c r="Z52" s="48">
        <f t="shared" si="34"/>
        <v>0.0899999999999999</v>
      </c>
      <c r="AA52" s="48">
        <f t="shared" si="35"/>
        <v>0.1736</v>
      </c>
      <c r="AB52" s="48">
        <f t="shared" si="36"/>
        <v>0.2036</v>
      </c>
      <c r="AC52" s="48">
        <f t="shared" si="37"/>
        <v>0.1179</v>
      </c>
      <c r="AD52" s="48" t="str">
        <f t="shared" ref="Y52:AN52" si="38">IF(N52="","",IF(N52&gt;($C52+$D52),(N52-$C52-$D52),IF(N52&lt;($C52+$E52),(N52-$C52-$E52),"√")))</f>
        <v/>
      </c>
      <c r="AE52" s="48" t="str">
        <f t="shared" si="38"/>
        <v/>
      </c>
      <c r="AF52" s="48" t="str">
        <f t="shared" si="38"/>
        <v/>
      </c>
      <c r="AG52" s="48" t="str">
        <f t="shared" si="38"/>
        <v/>
      </c>
      <c r="AH52" s="48" t="str">
        <f t="shared" si="38"/>
        <v/>
      </c>
      <c r="AI52" s="48" t="str">
        <f t="shared" si="38"/>
        <v/>
      </c>
      <c r="AJ52" s="48" t="str">
        <f t="shared" si="38"/>
        <v/>
      </c>
      <c r="AK52" s="48" t="str">
        <f t="shared" si="38"/>
        <v/>
      </c>
      <c r="AL52" s="48" t="str">
        <f t="shared" si="38"/>
        <v/>
      </c>
      <c r="AM52" s="48" t="str">
        <f t="shared" si="38"/>
        <v/>
      </c>
      <c r="AN52" s="48" t="str">
        <f t="shared" si="38"/>
        <v/>
      </c>
    </row>
    <row r="53" spans="1:40">
      <c r="A53" s="49"/>
      <c r="B53" s="45" t="s">
        <v>72</v>
      </c>
      <c r="C53" s="45">
        <v>1.3</v>
      </c>
      <c r="D53" s="45">
        <v>0.03</v>
      </c>
      <c r="E53" s="45">
        <v>0</v>
      </c>
      <c r="F53" s="45">
        <f t="shared" si="31"/>
        <v>1.33</v>
      </c>
      <c r="G53" s="45">
        <f t="shared" si="32"/>
        <v>1.3</v>
      </c>
      <c r="H53" s="46" t="s">
        <v>26</v>
      </c>
      <c r="I53" s="47">
        <v>1.5404</v>
      </c>
      <c r="J53" s="47">
        <v>1.4193</v>
      </c>
      <c r="K53" s="47">
        <v>1.4718</v>
      </c>
      <c r="L53" s="47">
        <v>1.3827</v>
      </c>
      <c r="M53" s="47">
        <v>1.4407</v>
      </c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8">
        <f t="shared" si="33"/>
        <v>0.2104</v>
      </c>
      <c r="Z53" s="48">
        <f t="shared" si="34"/>
        <v>0.0893</v>
      </c>
      <c r="AA53" s="48">
        <f t="shared" si="35"/>
        <v>0.1418</v>
      </c>
      <c r="AB53" s="48">
        <f t="shared" si="36"/>
        <v>0.0527</v>
      </c>
      <c r="AC53" s="48">
        <f t="shared" si="37"/>
        <v>0.1107</v>
      </c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</row>
    <row r="54" spans="1:40">
      <c r="A54" s="49"/>
      <c r="B54" s="45" t="s">
        <v>73</v>
      </c>
      <c r="C54" s="45">
        <v>1.3</v>
      </c>
      <c r="D54" s="45">
        <v>0.03</v>
      </c>
      <c r="E54" s="45">
        <v>0</v>
      </c>
      <c r="F54" s="45">
        <f t="shared" si="31"/>
        <v>1.33</v>
      </c>
      <c r="G54" s="45">
        <f t="shared" si="32"/>
        <v>1.3</v>
      </c>
      <c r="H54" s="46" t="s">
        <v>26</v>
      </c>
      <c r="I54" s="47">
        <v>1.3609</v>
      </c>
      <c r="J54" s="47">
        <v>1.4097</v>
      </c>
      <c r="K54" s="47">
        <v>1.4272</v>
      </c>
      <c r="L54" s="47">
        <v>1.5069</v>
      </c>
      <c r="M54" s="47">
        <v>1.4587</v>
      </c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8">
        <f t="shared" si="33"/>
        <v>0.0309</v>
      </c>
      <c r="Z54" s="48">
        <f t="shared" si="34"/>
        <v>0.0796999999999999</v>
      </c>
      <c r="AA54" s="48">
        <f t="shared" si="35"/>
        <v>0.0972</v>
      </c>
      <c r="AB54" s="48">
        <f t="shared" si="36"/>
        <v>0.1769</v>
      </c>
      <c r="AC54" s="48">
        <f t="shared" si="37"/>
        <v>0.1287</v>
      </c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</row>
    <row r="55" spans="1:40">
      <c r="A55" s="49"/>
      <c r="B55" s="45" t="s">
        <v>74</v>
      </c>
      <c r="C55" s="45">
        <v>1.3</v>
      </c>
      <c r="D55" s="45">
        <v>0.03</v>
      </c>
      <c r="E55" s="45">
        <v>0</v>
      </c>
      <c r="F55" s="45">
        <f t="shared" si="31"/>
        <v>1.33</v>
      </c>
      <c r="G55" s="45">
        <f t="shared" si="32"/>
        <v>1.3</v>
      </c>
      <c r="H55" s="46" t="s">
        <v>26</v>
      </c>
      <c r="I55" s="47">
        <v>1.5783</v>
      </c>
      <c r="J55" s="47">
        <v>1.4462</v>
      </c>
      <c r="K55" s="47">
        <v>1.3575</v>
      </c>
      <c r="L55" s="47">
        <v>1.4615</v>
      </c>
      <c r="M55" s="47">
        <v>1.3775</v>
      </c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8">
        <f t="shared" si="33"/>
        <v>0.2483</v>
      </c>
      <c r="Z55" s="48">
        <f t="shared" si="34"/>
        <v>0.1162</v>
      </c>
      <c r="AA55" s="48">
        <f t="shared" si="35"/>
        <v>0.0274999999999999</v>
      </c>
      <c r="AB55" s="48">
        <f t="shared" si="36"/>
        <v>0.1315</v>
      </c>
      <c r="AC55" s="48">
        <f t="shared" si="37"/>
        <v>0.0474999999999999</v>
      </c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</row>
    <row r="56" spans="1:40">
      <c r="A56" s="49"/>
      <c r="B56" s="45" t="s">
        <v>75</v>
      </c>
      <c r="C56" s="45">
        <v>1.3</v>
      </c>
      <c r="D56" s="45">
        <v>0.03</v>
      </c>
      <c r="E56" s="45">
        <v>0</v>
      </c>
      <c r="F56" s="45">
        <f t="shared" si="31"/>
        <v>1.33</v>
      </c>
      <c r="G56" s="45">
        <f t="shared" si="32"/>
        <v>1.3</v>
      </c>
      <c r="H56" s="46" t="s">
        <v>26</v>
      </c>
      <c r="I56" s="47">
        <v>1.3805</v>
      </c>
      <c r="J56" s="47">
        <v>1.498</v>
      </c>
      <c r="K56" s="47">
        <v>1.4545</v>
      </c>
      <c r="L56" s="47">
        <v>1.5347</v>
      </c>
      <c r="M56" s="47">
        <v>1.5141</v>
      </c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8">
        <f t="shared" si="33"/>
        <v>0.0505</v>
      </c>
      <c r="Z56" s="48">
        <f t="shared" si="34"/>
        <v>0.168</v>
      </c>
      <c r="AA56" s="48">
        <f t="shared" si="35"/>
        <v>0.1245</v>
      </c>
      <c r="AB56" s="48">
        <f t="shared" si="36"/>
        <v>0.2047</v>
      </c>
      <c r="AC56" s="48">
        <f t="shared" si="37"/>
        <v>0.1841</v>
      </c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</row>
    <row r="57" spans="1:40">
      <c r="A57" s="49"/>
      <c r="B57" s="45" t="s">
        <v>76</v>
      </c>
      <c r="C57" s="45">
        <v>1.3</v>
      </c>
      <c r="D57" s="45">
        <v>0.03</v>
      </c>
      <c r="E57" s="45">
        <v>0</v>
      </c>
      <c r="F57" s="45">
        <f t="shared" si="31"/>
        <v>1.33</v>
      </c>
      <c r="G57" s="45">
        <f t="shared" si="32"/>
        <v>1.3</v>
      </c>
      <c r="H57" s="46" t="s">
        <v>26</v>
      </c>
      <c r="I57" s="47">
        <v>1.4021</v>
      </c>
      <c r="J57" s="47">
        <v>1.4628</v>
      </c>
      <c r="K57" s="47">
        <v>1.4334</v>
      </c>
      <c r="L57" s="47">
        <v>1.4685</v>
      </c>
      <c r="M57" s="47">
        <v>1.4791</v>
      </c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8">
        <f t="shared" si="33"/>
        <v>0.0720999999999999</v>
      </c>
      <c r="Z57" s="48">
        <f t="shared" si="34"/>
        <v>0.1328</v>
      </c>
      <c r="AA57" s="48">
        <f t="shared" si="35"/>
        <v>0.1034</v>
      </c>
      <c r="AB57" s="48">
        <f t="shared" si="36"/>
        <v>0.1385</v>
      </c>
      <c r="AC57" s="48">
        <f t="shared" si="37"/>
        <v>0.1491</v>
      </c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</row>
    <row r="58" spans="1:40">
      <c r="A58" s="49"/>
      <c r="B58" s="45" t="s">
        <v>77</v>
      </c>
      <c r="C58" s="45">
        <v>1.3</v>
      </c>
      <c r="D58" s="45">
        <v>0.03</v>
      </c>
      <c r="E58" s="45">
        <v>0</v>
      </c>
      <c r="F58" s="45">
        <f t="shared" si="31"/>
        <v>1.33</v>
      </c>
      <c r="G58" s="45">
        <f t="shared" si="32"/>
        <v>1.3</v>
      </c>
      <c r="H58" s="46" t="s">
        <v>26</v>
      </c>
      <c r="I58" s="47">
        <v>1.3574</v>
      </c>
      <c r="J58" s="47">
        <v>1.5281</v>
      </c>
      <c r="K58" s="47">
        <v>1.5139</v>
      </c>
      <c r="L58" s="47">
        <v>1.3747</v>
      </c>
      <c r="M58" s="47">
        <v>1.432</v>
      </c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8">
        <f t="shared" si="33"/>
        <v>0.0273999999999999</v>
      </c>
      <c r="Z58" s="48">
        <f t="shared" si="34"/>
        <v>0.1981</v>
      </c>
      <c r="AA58" s="48">
        <f t="shared" si="35"/>
        <v>0.1839</v>
      </c>
      <c r="AB58" s="48">
        <f t="shared" si="36"/>
        <v>0.0447</v>
      </c>
      <c r="AC58" s="48">
        <f t="shared" si="37"/>
        <v>0.102</v>
      </c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</row>
    <row r="59" spans="1:40">
      <c r="A59" s="49"/>
      <c r="B59" s="45" t="s">
        <v>78</v>
      </c>
      <c r="C59" s="45">
        <v>1.3</v>
      </c>
      <c r="D59" s="45">
        <v>0.03</v>
      </c>
      <c r="E59" s="45">
        <v>0</v>
      </c>
      <c r="F59" s="45">
        <f t="shared" si="31"/>
        <v>1.33</v>
      </c>
      <c r="G59" s="45">
        <f t="shared" si="32"/>
        <v>1.3</v>
      </c>
      <c r="H59" s="46" t="s">
        <v>26</v>
      </c>
      <c r="I59" s="47">
        <v>1.3865</v>
      </c>
      <c r="J59" s="47">
        <v>1.5068</v>
      </c>
      <c r="K59" s="47">
        <v>1.4102</v>
      </c>
      <c r="L59" s="47">
        <v>1.4335</v>
      </c>
      <c r="M59" s="47">
        <v>1.402</v>
      </c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8">
        <f t="shared" si="33"/>
        <v>0.0565</v>
      </c>
      <c r="Z59" s="48">
        <f t="shared" si="34"/>
        <v>0.1768</v>
      </c>
      <c r="AA59" s="48">
        <f t="shared" si="35"/>
        <v>0.0801999999999999</v>
      </c>
      <c r="AB59" s="48">
        <f t="shared" si="36"/>
        <v>0.1035</v>
      </c>
      <c r="AC59" s="48">
        <f t="shared" si="37"/>
        <v>0.0719999999999999</v>
      </c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</row>
    <row r="60" spans="1:40">
      <c r="A60" s="49"/>
      <c r="B60" s="45" t="s">
        <v>79</v>
      </c>
      <c r="C60" s="45">
        <v>1.3</v>
      </c>
      <c r="D60" s="45">
        <v>0.03</v>
      </c>
      <c r="E60" s="45">
        <v>0</v>
      </c>
      <c r="F60" s="45">
        <f t="shared" ref="F60:F91" si="39">C60+D60</f>
        <v>1.33</v>
      </c>
      <c r="G60" s="45">
        <f t="shared" ref="G60:G91" si="40">C60+E60</f>
        <v>1.3</v>
      </c>
      <c r="H60" s="46" t="s">
        <v>26</v>
      </c>
      <c r="I60" s="47">
        <v>1.3483</v>
      </c>
      <c r="J60" s="47">
        <v>1.3804</v>
      </c>
      <c r="K60" s="47">
        <v>1.4497</v>
      </c>
      <c r="L60" s="47">
        <v>1.434</v>
      </c>
      <c r="M60" s="47">
        <v>1.4303</v>
      </c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8">
        <f t="shared" si="33"/>
        <v>0.0183</v>
      </c>
      <c r="Z60" s="48">
        <f t="shared" si="34"/>
        <v>0.0504</v>
      </c>
      <c r="AA60" s="48">
        <f t="shared" si="35"/>
        <v>0.1197</v>
      </c>
      <c r="AB60" s="48">
        <f t="shared" si="36"/>
        <v>0.104</v>
      </c>
      <c r="AC60" s="48">
        <f t="shared" si="37"/>
        <v>0.1003</v>
      </c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</row>
    <row r="61" spans="1:40">
      <c r="A61" s="49"/>
      <c r="B61" s="45" t="s">
        <v>80</v>
      </c>
      <c r="C61" s="45">
        <v>1.3</v>
      </c>
      <c r="D61" s="45">
        <v>0.03</v>
      </c>
      <c r="E61" s="45">
        <v>0</v>
      </c>
      <c r="F61" s="45">
        <f t="shared" si="39"/>
        <v>1.33</v>
      </c>
      <c r="G61" s="45">
        <f t="shared" si="40"/>
        <v>1.3</v>
      </c>
      <c r="H61" s="46" t="s">
        <v>26</v>
      </c>
      <c r="I61" s="47">
        <v>1.4123</v>
      </c>
      <c r="J61" s="47">
        <v>1.4376</v>
      </c>
      <c r="K61" s="47">
        <v>1.3984</v>
      </c>
      <c r="L61" s="47">
        <v>1.412</v>
      </c>
      <c r="M61" s="47">
        <v>1.4313</v>
      </c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8">
        <f t="shared" si="33"/>
        <v>0.0823000000000001</v>
      </c>
      <c r="Z61" s="48">
        <f t="shared" si="34"/>
        <v>0.1076</v>
      </c>
      <c r="AA61" s="48">
        <f t="shared" si="35"/>
        <v>0.0684</v>
      </c>
      <c r="AB61" s="48">
        <f t="shared" si="36"/>
        <v>0.0819999999999999</v>
      </c>
      <c r="AC61" s="48">
        <f t="shared" si="37"/>
        <v>0.1013</v>
      </c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</row>
    <row r="62" spans="1:40">
      <c r="A62" s="49"/>
      <c r="B62" s="45" t="s">
        <v>81</v>
      </c>
      <c r="C62" s="45">
        <v>1.3</v>
      </c>
      <c r="D62" s="45">
        <v>0.03</v>
      </c>
      <c r="E62" s="45">
        <v>0</v>
      </c>
      <c r="F62" s="45">
        <f t="shared" si="39"/>
        <v>1.33</v>
      </c>
      <c r="G62" s="45">
        <f t="shared" si="40"/>
        <v>1.3</v>
      </c>
      <c r="H62" s="46" t="s">
        <v>26</v>
      </c>
      <c r="I62" s="47">
        <v>1.5188</v>
      </c>
      <c r="J62" s="47">
        <v>1.511</v>
      </c>
      <c r="K62" s="47">
        <v>1.5342</v>
      </c>
      <c r="L62" s="47">
        <v>1.5818</v>
      </c>
      <c r="M62" s="47">
        <v>1.391</v>
      </c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8">
        <f t="shared" si="33"/>
        <v>0.1888</v>
      </c>
      <c r="Z62" s="48">
        <f t="shared" si="34"/>
        <v>0.181</v>
      </c>
      <c r="AA62" s="48">
        <f t="shared" si="35"/>
        <v>0.2042</v>
      </c>
      <c r="AB62" s="48">
        <f t="shared" si="36"/>
        <v>0.2518</v>
      </c>
      <c r="AC62" s="48">
        <f t="shared" si="37"/>
        <v>0.061</v>
      </c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</row>
    <row r="63" spans="1:40">
      <c r="A63" s="49"/>
      <c r="B63" s="45" t="s">
        <v>82</v>
      </c>
      <c r="C63" s="45">
        <v>1.3</v>
      </c>
      <c r="D63" s="45">
        <v>0.03</v>
      </c>
      <c r="E63" s="45">
        <v>0</v>
      </c>
      <c r="F63" s="45">
        <f t="shared" si="39"/>
        <v>1.33</v>
      </c>
      <c r="G63" s="45">
        <f t="shared" si="40"/>
        <v>1.3</v>
      </c>
      <c r="H63" s="46" t="s">
        <v>26</v>
      </c>
      <c r="I63" s="47">
        <v>1.3748</v>
      </c>
      <c r="J63" s="47">
        <v>1.3852</v>
      </c>
      <c r="K63" s="47">
        <v>1.4267</v>
      </c>
      <c r="L63" s="47">
        <v>1.3792</v>
      </c>
      <c r="M63" s="47">
        <v>1.3712</v>
      </c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8">
        <f t="shared" si="33"/>
        <v>0.0448</v>
      </c>
      <c r="Z63" s="48">
        <f t="shared" si="34"/>
        <v>0.0551999999999999</v>
      </c>
      <c r="AA63" s="48">
        <f t="shared" si="35"/>
        <v>0.0967</v>
      </c>
      <c r="AB63" s="48">
        <f t="shared" si="36"/>
        <v>0.0491999999999999</v>
      </c>
      <c r="AC63" s="48">
        <f t="shared" si="37"/>
        <v>0.0411999999999999</v>
      </c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</row>
    <row r="64" spans="1:40">
      <c r="A64" s="49"/>
      <c r="B64" s="45" t="s">
        <v>83</v>
      </c>
      <c r="C64" s="45">
        <v>2.14</v>
      </c>
      <c r="D64" s="45">
        <v>0.05</v>
      </c>
      <c r="E64" s="45">
        <v>0</v>
      </c>
      <c r="F64" s="45">
        <f t="shared" si="39"/>
        <v>2.19</v>
      </c>
      <c r="G64" s="45">
        <f t="shared" si="40"/>
        <v>2.14</v>
      </c>
      <c r="H64" s="46" t="s">
        <v>26</v>
      </c>
      <c r="I64" s="47">
        <v>2.617</v>
      </c>
      <c r="J64" s="47">
        <v>2.6861</v>
      </c>
      <c r="K64" s="47">
        <v>2.6429</v>
      </c>
      <c r="L64" s="47">
        <v>2.6631</v>
      </c>
      <c r="M64" s="47">
        <v>2.6842</v>
      </c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8">
        <f t="shared" si="33"/>
        <v>0.427</v>
      </c>
      <c r="Z64" s="48">
        <f t="shared" si="34"/>
        <v>0.4961</v>
      </c>
      <c r="AA64" s="48">
        <f t="shared" si="35"/>
        <v>0.4529</v>
      </c>
      <c r="AB64" s="48">
        <f t="shared" si="36"/>
        <v>0.4731</v>
      </c>
      <c r="AC64" s="48">
        <f t="shared" si="37"/>
        <v>0.4942</v>
      </c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</row>
    <row r="65" spans="1:40">
      <c r="A65" s="49"/>
      <c r="B65" s="45" t="s">
        <v>84</v>
      </c>
      <c r="C65" s="45">
        <v>2.14</v>
      </c>
      <c r="D65" s="45">
        <v>0.05</v>
      </c>
      <c r="E65" s="45">
        <v>0</v>
      </c>
      <c r="F65" s="45">
        <f t="shared" si="39"/>
        <v>2.19</v>
      </c>
      <c r="G65" s="45">
        <f t="shared" si="40"/>
        <v>2.14</v>
      </c>
      <c r="H65" s="46" t="s">
        <v>26</v>
      </c>
      <c r="I65" s="47">
        <v>2.6487</v>
      </c>
      <c r="J65" s="47">
        <v>2.61</v>
      </c>
      <c r="K65" s="47">
        <v>2.6859</v>
      </c>
      <c r="L65" s="47">
        <v>2.733</v>
      </c>
      <c r="M65" s="47">
        <v>2.7051</v>
      </c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8">
        <f t="shared" si="33"/>
        <v>0.4587</v>
      </c>
      <c r="Z65" s="48">
        <f t="shared" si="34"/>
        <v>0.42</v>
      </c>
      <c r="AA65" s="48">
        <f t="shared" si="35"/>
        <v>0.4959</v>
      </c>
      <c r="AB65" s="48">
        <f t="shared" si="36"/>
        <v>0.543</v>
      </c>
      <c r="AC65" s="48">
        <f t="shared" si="37"/>
        <v>0.5151</v>
      </c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</row>
    <row r="66" spans="1:40">
      <c r="A66" s="49"/>
      <c r="B66" s="45" t="s">
        <v>85</v>
      </c>
      <c r="C66" s="45">
        <v>2.14</v>
      </c>
      <c r="D66" s="45">
        <v>0.05</v>
      </c>
      <c r="E66" s="45">
        <v>0</v>
      </c>
      <c r="F66" s="45">
        <f t="shared" si="39"/>
        <v>2.19</v>
      </c>
      <c r="G66" s="45">
        <f t="shared" si="40"/>
        <v>2.14</v>
      </c>
      <c r="H66" s="46" t="s">
        <v>26</v>
      </c>
      <c r="I66" s="47">
        <v>2.658</v>
      </c>
      <c r="J66" s="47">
        <v>2.6965</v>
      </c>
      <c r="K66" s="47">
        <v>2.6614</v>
      </c>
      <c r="L66" s="47">
        <v>2.7089</v>
      </c>
      <c r="M66" s="47">
        <v>2.6763</v>
      </c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8">
        <f t="shared" si="33"/>
        <v>0.468</v>
      </c>
      <c r="Z66" s="48">
        <f t="shared" si="34"/>
        <v>0.5065</v>
      </c>
      <c r="AA66" s="48">
        <f t="shared" si="35"/>
        <v>0.4714</v>
      </c>
      <c r="AB66" s="48">
        <f t="shared" si="36"/>
        <v>0.5189</v>
      </c>
      <c r="AC66" s="48">
        <f t="shared" si="37"/>
        <v>0.4863</v>
      </c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</row>
    <row r="67" spans="1:40">
      <c r="A67" s="49"/>
      <c r="B67" s="45" t="s">
        <v>86</v>
      </c>
      <c r="C67" s="45">
        <v>2.14</v>
      </c>
      <c r="D67" s="45">
        <v>0.05</v>
      </c>
      <c r="E67" s="45">
        <v>0</v>
      </c>
      <c r="F67" s="45">
        <f t="shared" si="39"/>
        <v>2.19</v>
      </c>
      <c r="G67" s="45">
        <f t="shared" si="40"/>
        <v>2.14</v>
      </c>
      <c r="H67" s="46" t="s">
        <v>26</v>
      </c>
      <c r="I67" s="47">
        <v>2.7201</v>
      </c>
      <c r="J67" s="47">
        <v>2.6818</v>
      </c>
      <c r="K67" s="47">
        <v>2.6662</v>
      </c>
      <c r="L67" s="47">
        <v>2.6764</v>
      </c>
      <c r="M67" s="47">
        <v>2.6133</v>
      </c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8">
        <f t="shared" si="33"/>
        <v>0.5301</v>
      </c>
      <c r="Z67" s="48">
        <f t="shared" si="34"/>
        <v>0.4918</v>
      </c>
      <c r="AA67" s="48">
        <f t="shared" si="35"/>
        <v>0.4762</v>
      </c>
      <c r="AB67" s="48">
        <f t="shared" si="36"/>
        <v>0.4864</v>
      </c>
      <c r="AC67" s="48">
        <f t="shared" si="37"/>
        <v>0.4233</v>
      </c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</row>
    <row r="68" spans="1:40">
      <c r="A68" s="49"/>
      <c r="B68" s="45" t="s">
        <v>87</v>
      </c>
      <c r="C68" s="45">
        <v>2.14</v>
      </c>
      <c r="D68" s="45">
        <v>0.05</v>
      </c>
      <c r="E68" s="45">
        <v>0</v>
      </c>
      <c r="F68" s="45">
        <f t="shared" si="39"/>
        <v>2.19</v>
      </c>
      <c r="G68" s="45">
        <f t="shared" si="40"/>
        <v>2.14</v>
      </c>
      <c r="H68" s="46" t="s">
        <v>26</v>
      </c>
      <c r="I68" s="47">
        <v>2.6538</v>
      </c>
      <c r="J68" s="47">
        <v>2.692</v>
      </c>
      <c r="K68" s="47">
        <v>2.667</v>
      </c>
      <c r="L68" s="47">
        <v>2.6643</v>
      </c>
      <c r="M68" s="47">
        <v>2.6937</v>
      </c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8">
        <f t="shared" si="33"/>
        <v>0.4638</v>
      </c>
      <c r="Z68" s="48">
        <f t="shared" si="34"/>
        <v>0.502</v>
      </c>
      <c r="AA68" s="48">
        <f t="shared" si="35"/>
        <v>0.477</v>
      </c>
      <c r="AB68" s="48">
        <f t="shared" si="36"/>
        <v>0.4743</v>
      </c>
      <c r="AC68" s="48">
        <f t="shared" si="37"/>
        <v>0.5037</v>
      </c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</row>
    <row r="69" spans="1:40">
      <c r="A69" s="49"/>
      <c r="B69" s="45" t="s">
        <v>88</v>
      </c>
      <c r="C69" s="45">
        <v>2.14</v>
      </c>
      <c r="D69" s="45">
        <v>0.05</v>
      </c>
      <c r="E69" s="45">
        <v>0</v>
      </c>
      <c r="F69" s="45">
        <f t="shared" si="39"/>
        <v>2.19</v>
      </c>
      <c r="G69" s="45">
        <f t="shared" si="40"/>
        <v>2.14</v>
      </c>
      <c r="H69" s="46" t="s">
        <v>26</v>
      </c>
      <c r="I69" s="47">
        <v>2.6926</v>
      </c>
      <c r="J69" s="47">
        <v>2.6777</v>
      </c>
      <c r="K69" s="47">
        <v>2.7127</v>
      </c>
      <c r="L69" s="47">
        <v>2.6833</v>
      </c>
      <c r="M69" s="47">
        <v>2.6783</v>
      </c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8">
        <f t="shared" si="33"/>
        <v>0.5026</v>
      </c>
      <c r="Z69" s="48">
        <f t="shared" si="34"/>
        <v>0.4877</v>
      </c>
      <c r="AA69" s="48">
        <f t="shared" si="35"/>
        <v>0.5227</v>
      </c>
      <c r="AB69" s="48">
        <f t="shared" si="36"/>
        <v>0.4933</v>
      </c>
      <c r="AC69" s="48">
        <f t="shared" si="37"/>
        <v>0.4883</v>
      </c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</row>
    <row r="70" spans="1:40">
      <c r="A70" s="49"/>
      <c r="B70" s="45" t="s">
        <v>89</v>
      </c>
      <c r="C70" s="45">
        <v>2.14</v>
      </c>
      <c r="D70" s="45">
        <v>0.05</v>
      </c>
      <c r="E70" s="45">
        <v>0</v>
      </c>
      <c r="F70" s="45">
        <f t="shared" si="39"/>
        <v>2.19</v>
      </c>
      <c r="G70" s="45">
        <f t="shared" si="40"/>
        <v>2.14</v>
      </c>
      <c r="H70" s="46" t="s">
        <v>26</v>
      </c>
      <c r="I70" s="47">
        <v>2.6485</v>
      </c>
      <c r="J70" s="47">
        <v>2.6869</v>
      </c>
      <c r="K70" s="47">
        <v>2.6932</v>
      </c>
      <c r="L70" s="47">
        <v>2.7286</v>
      </c>
      <c r="M70" s="47">
        <v>2.6777</v>
      </c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8">
        <f t="shared" si="33"/>
        <v>0.4585</v>
      </c>
      <c r="Z70" s="48">
        <f t="shared" si="34"/>
        <v>0.4969</v>
      </c>
      <c r="AA70" s="48">
        <f t="shared" si="35"/>
        <v>0.5032</v>
      </c>
      <c r="AB70" s="48">
        <f t="shared" si="36"/>
        <v>0.5386</v>
      </c>
      <c r="AC70" s="48">
        <f t="shared" si="37"/>
        <v>0.4877</v>
      </c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</row>
    <row r="71" spans="1:40">
      <c r="A71" s="49"/>
      <c r="B71" s="45" t="s">
        <v>90</v>
      </c>
      <c r="C71" s="45">
        <v>2.14</v>
      </c>
      <c r="D71" s="45">
        <v>0.05</v>
      </c>
      <c r="E71" s="45">
        <v>0</v>
      </c>
      <c r="F71" s="45">
        <f t="shared" si="39"/>
        <v>2.19</v>
      </c>
      <c r="G71" s="45">
        <f t="shared" si="40"/>
        <v>2.14</v>
      </c>
      <c r="H71" s="46" t="s">
        <v>26</v>
      </c>
      <c r="I71" s="47">
        <v>2.739</v>
      </c>
      <c r="J71" s="47">
        <v>2.6621</v>
      </c>
      <c r="K71" s="47">
        <v>2.6753</v>
      </c>
      <c r="L71" s="47">
        <v>2.7185</v>
      </c>
      <c r="M71" s="47">
        <v>2.6901</v>
      </c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8">
        <f t="shared" si="33"/>
        <v>0.549</v>
      </c>
      <c r="Z71" s="48">
        <f t="shared" si="34"/>
        <v>0.4721</v>
      </c>
      <c r="AA71" s="48">
        <f t="shared" si="35"/>
        <v>0.4853</v>
      </c>
      <c r="AB71" s="48">
        <f t="shared" si="36"/>
        <v>0.5285</v>
      </c>
      <c r="AC71" s="48">
        <f t="shared" si="37"/>
        <v>0.5001</v>
      </c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</row>
    <row r="72" spans="1:40">
      <c r="A72" s="49"/>
      <c r="B72" s="45" t="s">
        <v>91</v>
      </c>
      <c r="C72" s="45">
        <v>2.14</v>
      </c>
      <c r="D72" s="45">
        <v>0.05</v>
      </c>
      <c r="E72" s="45">
        <v>0</v>
      </c>
      <c r="F72" s="45">
        <f t="shared" si="39"/>
        <v>2.19</v>
      </c>
      <c r="G72" s="45">
        <f t="shared" si="40"/>
        <v>2.14</v>
      </c>
      <c r="H72" s="46" t="s">
        <v>26</v>
      </c>
      <c r="I72" s="47">
        <v>2.733</v>
      </c>
      <c r="J72" s="47">
        <v>2.7053</v>
      </c>
      <c r="K72" s="47">
        <v>2.6364</v>
      </c>
      <c r="L72" s="47">
        <v>2.7467</v>
      </c>
      <c r="M72" s="47">
        <v>2.7219</v>
      </c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8">
        <f t="shared" ref="Y72:Y117" si="41">IF(I72="","",IF(I72&gt;($C72+$D72),(I72-$C72-$D72),IF(I72&lt;($C72+$E72),(I72-$C72-$E72),"√")))</f>
        <v>0.543</v>
      </c>
      <c r="Z72" s="48">
        <f t="shared" ref="Z72:Z117" si="42">IF(J72="","",IF(J72&gt;($C72+$D72),(J72-$C72-$D72),IF(J72&lt;($C72+$E72),(J72-$C72-$E72),"√")))</f>
        <v>0.5153</v>
      </c>
      <c r="AA72" s="48">
        <f t="shared" ref="AA72:AA117" si="43">IF(K72="","",IF(K72&gt;($C72+$D72),(K72-$C72-$D72),IF(K72&lt;($C72+$E72),(K72-$C72-$E72),"√")))</f>
        <v>0.4464</v>
      </c>
      <c r="AB72" s="48">
        <f t="shared" ref="AB72:AB117" si="44">IF(L72="","",IF(L72&gt;($C72+$D72),(L72-$C72-$D72),IF(L72&lt;($C72+$E72),(L72-$C72-$E72),"√")))</f>
        <v>0.5567</v>
      </c>
      <c r="AC72" s="48">
        <f t="shared" ref="AC72:AC117" si="45">IF(M72="","",IF(M72&gt;($C72+$D72),(M72-$C72-$D72),IF(M72&lt;($C72+$E72),(M72-$C72-$E72),"√")))</f>
        <v>0.5319</v>
      </c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</row>
    <row r="73" spans="1:40">
      <c r="A73" s="49"/>
      <c r="B73" s="45" t="s">
        <v>92</v>
      </c>
      <c r="C73" s="45">
        <v>2.14</v>
      </c>
      <c r="D73" s="45">
        <v>0.05</v>
      </c>
      <c r="E73" s="45">
        <v>0</v>
      </c>
      <c r="F73" s="45">
        <f t="shared" si="39"/>
        <v>2.19</v>
      </c>
      <c r="G73" s="45">
        <f t="shared" si="40"/>
        <v>2.14</v>
      </c>
      <c r="H73" s="46" t="s">
        <v>26</v>
      </c>
      <c r="I73" s="47">
        <v>2.6494</v>
      </c>
      <c r="J73" s="47">
        <v>2.7306</v>
      </c>
      <c r="K73" s="47">
        <v>2.7972</v>
      </c>
      <c r="L73" s="47">
        <v>2.7083</v>
      </c>
      <c r="M73" s="47">
        <v>2.7015</v>
      </c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8">
        <f t="shared" si="41"/>
        <v>0.4594</v>
      </c>
      <c r="Z73" s="48">
        <f t="shared" si="42"/>
        <v>0.5406</v>
      </c>
      <c r="AA73" s="48">
        <f t="shared" si="43"/>
        <v>0.6072</v>
      </c>
      <c r="AB73" s="48">
        <f t="shared" si="44"/>
        <v>0.5183</v>
      </c>
      <c r="AC73" s="48">
        <f t="shared" si="45"/>
        <v>0.5115</v>
      </c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</row>
    <row r="74" spans="1:40">
      <c r="A74" s="49"/>
      <c r="B74" s="45" t="s">
        <v>93</v>
      </c>
      <c r="C74" s="45">
        <v>2.14</v>
      </c>
      <c r="D74" s="45">
        <v>0.05</v>
      </c>
      <c r="E74" s="45">
        <v>0</v>
      </c>
      <c r="F74" s="45">
        <f t="shared" si="39"/>
        <v>2.19</v>
      </c>
      <c r="G74" s="45">
        <f t="shared" si="40"/>
        <v>2.14</v>
      </c>
      <c r="H74" s="46" t="s">
        <v>26</v>
      </c>
      <c r="I74" s="47">
        <v>2.6726</v>
      </c>
      <c r="J74" s="47">
        <v>2.7043</v>
      </c>
      <c r="K74" s="47">
        <v>2.6592</v>
      </c>
      <c r="L74" s="47">
        <v>2.7379</v>
      </c>
      <c r="M74" s="47">
        <v>2.696</v>
      </c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8">
        <f t="shared" si="41"/>
        <v>0.4826</v>
      </c>
      <c r="Z74" s="48">
        <f t="shared" si="42"/>
        <v>0.5143</v>
      </c>
      <c r="AA74" s="48">
        <f t="shared" si="43"/>
        <v>0.4692</v>
      </c>
      <c r="AB74" s="48">
        <f t="shared" si="44"/>
        <v>0.5479</v>
      </c>
      <c r="AC74" s="48">
        <f t="shared" si="45"/>
        <v>0.506</v>
      </c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</row>
    <row r="75" spans="1:40">
      <c r="A75" s="49"/>
      <c r="B75" s="45" t="s">
        <v>94</v>
      </c>
      <c r="C75" s="45">
        <v>2.14</v>
      </c>
      <c r="D75" s="45">
        <v>0.05</v>
      </c>
      <c r="E75" s="45">
        <v>0</v>
      </c>
      <c r="F75" s="45">
        <f t="shared" si="39"/>
        <v>2.19</v>
      </c>
      <c r="G75" s="45">
        <f t="shared" si="40"/>
        <v>2.14</v>
      </c>
      <c r="H75" s="46" t="s">
        <v>26</v>
      </c>
      <c r="I75" s="47">
        <v>2.7044</v>
      </c>
      <c r="J75" s="47">
        <v>2.6815</v>
      </c>
      <c r="K75" s="47">
        <v>2.6769</v>
      </c>
      <c r="L75" s="47">
        <v>2.7172</v>
      </c>
      <c r="M75" s="47">
        <v>2.6528</v>
      </c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8">
        <f t="shared" si="41"/>
        <v>0.5144</v>
      </c>
      <c r="Z75" s="48">
        <f t="shared" si="42"/>
        <v>0.4915</v>
      </c>
      <c r="AA75" s="48">
        <f t="shared" si="43"/>
        <v>0.4869</v>
      </c>
      <c r="AB75" s="48">
        <f t="shared" si="44"/>
        <v>0.5272</v>
      </c>
      <c r="AC75" s="48">
        <f t="shared" si="45"/>
        <v>0.4628</v>
      </c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</row>
    <row r="76" spans="1:40">
      <c r="A76" s="49"/>
      <c r="B76" s="45" t="s">
        <v>95</v>
      </c>
      <c r="C76" s="45">
        <v>2.14</v>
      </c>
      <c r="D76" s="45">
        <v>0.05</v>
      </c>
      <c r="E76" s="45">
        <v>0</v>
      </c>
      <c r="F76" s="45">
        <f t="shared" si="39"/>
        <v>2.19</v>
      </c>
      <c r="G76" s="45">
        <f t="shared" si="40"/>
        <v>2.14</v>
      </c>
      <c r="H76" s="46" t="s">
        <v>26</v>
      </c>
      <c r="I76" s="47">
        <v>2.6486</v>
      </c>
      <c r="J76" s="47">
        <v>2.6592</v>
      </c>
      <c r="K76" s="47">
        <v>2.6336</v>
      </c>
      <c r="L76" s="47">
        <v>2.7289</v>
      </c>
      <c r="M76" s="47">
        <v>2.6869</v>
      </c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8">
        <f t="shared" si="41"/>
        <v>0.4586</v>
      </c>
      <c r="Z76" s="48">
        <f t="shared" si="42"/>
        <v>0.4692</v>
      </c>
      <c r="AA76" s="48">
        <f t="shared" si="43"/>
        <v>0.4436</v>
      </c>
      <c r="AB76" s="48">
        <f t="shared" si="44"/>
        <v>0.5389</v>
      </c>
      <c r="AC76" s="48">
        <f t="shared" si="45"/>
        <v>0.4969</v>
      </c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</row>
    <row r="77" spans="1:40">
      <c r="A77" s="49"/>
      <c r="B77" s="45" t="s">
        <v>96</v>
      </c>
      <c r="C77" s="45">
        <v>2.14</v>
      </c>
      <c r="D77" s="45">
        <v>0.05</v>
      </c>
      <c r="E77" s="45">
        <v>0</v>
      </c>
      <c r="F77" s="45">
        <f t="shared" si="39"/>
        <v>2.19</v>
      </c>
      <c r="G77" s="45">
        <f t="shared" si="40"/>
        <v>2.14</v>
      </c>
      <c r="H77" s="46" t="s">
        <v>26</v>
      </c>
      <c r="I77" s="47">
        <v>2.6913</v>
      </c>
      <c r="J77" s="47">
        <v>2.6701</v>
      </c>
      <c r="K77" s="47">
        <v>2.6876</v>
      </c>
      <c r="L77" s="47">
        <v>2.7348</v>
      </c>
      <c r="M77" s="47">
        <v>2.6432</v>
      </c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8">
        <f t="shared" si="41"/>
        <v>0.5013</v>
      </c>
      <c r="Z77" s="48">
        <f t="shared" si="42"/>
        <v>0.4801</v>
      </c>
      <c r="AA77" s="48">
        <f t="shared" si="43"/>
        <v>0.4976</v>
      </c>
      <c r="AB77" s="48">
        <f t="shared" si="44"/>
        <v>0.5448</v>
      </c>
      <c r="AC77" s="48">
        <f t="shared" si="45"/>
        <v>0.4532</v>
      </c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</row>
    <row r="78" spans="1:40">
      <c r="A78" s="49"/>
      <c r="B78" s="45" t="s">
        <v>97</v>
      </c>
      <c r="C78" s="45">
        <v>2.14</v>
      </c>
      <c r="D78" s="45">
        <v>0.05</v>
      </c>
      <c r="E78" s="45">
        <v>0</v>
      </c>
      <c r="F78" s="45">
        <f t="shared" si="39"/>
        <v>2.19</v>
      </c>
      <c r="G78" s="45">
        <f t="shared" si="40"/>
        <v>2.14</v>
      </c>
      <c r="H78" s="46" t="s">
        <v>26</v>
      </c>
      <c r="I78" s="47">
        <v>1.2207</v>
      </c>
      <c r="J78" s="47">
        <v>2.6737</v>
      </c>
      <c r="K78" s="47">
        <v>2.58</v>
      </c>
      <c r="L78" s="47">
        <v>2.7442</v>
      </c>
      <c r="M78" s="47">
        <v>2.6793</v>
      </c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8">
        <f t="shared" si="41"/>
        <v>-0.9193</v>
      </c>
      <c r="Z78" s="48">
        <f t="shared" si="42"/>
        <v>0.4837</v>
      </c>
      <c r="AA78" s="48">
        <f t="shared" si="43"/>
        <v>0.39</v>
      </c>
      <c r="AB78" s="48">
        <f t="shared" si="44"/>
        <v>0.5542</v>
      </c>
      <c r="AC78" s="48">
        <f t="shared" si="45"/>
        <v>0.4893</v>
      </c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</row>
    <row r="79" spans="1:40">
      <c r="A79" s="49"/>
      <c r="B79" s="45" t="s">
        <v>98</v>
      </c>
      <c r="C79" s="45">
        <v>2.14</v>
      </c>
      <c r="D79" s="45">
        <v>0.05</v>
      </c>
      <c r="E79" s="45">
        <v>0</v>
      </c>
      <c r="F79" s="45">
        <f t="shared" si="39"/>
        <v>2.19</v>
      </c>
      <c r="G79" s="45">
        <f t="shared" si="40"/>
        <v>2.14</v>
      </c>
      <c r="H79" s="46" t="s">
        <v>26</v>
      </c>
      <c r="I79" s="47">
        <v>2.7265</v>
      </c>
      <c r="J79" s="47">
        <v>2.6821</v>
      </c>
      <c r="K79" s="47">
        <v>2.6906</v>
      </c>
      <c r="L79" s="47">
        <v>2.7017</v>
      </c>
      <c r="M79" s="47">
        <v>2.7158</v>
      </c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8">
        <f t="shared" si="41"/>
        <v>0.5365</v>
      </c>
      <c r="Z79" s="48">
        <f t="shared" si="42"/>
        <v>0.4921</v>
      </c>
      <c r="AA79" s="48">
        <f t="shared" si="43"/>
        <v>0.5006</v>
      </c>
      <c r="AB79" s="48">
        <f t="shared" si="44"/>
        <v>0.5117</v>
      </c>
      <c r="AC79" s="48">
        <f t="shared" si="45"/>
        <v>0.5258</v>
      </c>
      <c r="AD79" s="48" t="str">
        <f t="shared" ref="Y79:AN79" si="46">IF(N79="","",IF(N79&gt;($C79+$D79),(N79-$C79-$D79),IF(N79&lt;($C79+$E79),(N79-$C79-$E79),"√")))</f>
        <v/>
      </c>
      <c r="AE79" s="48" t="str">
        <f t="shared" si="46"/>
        <v/>
      </c>
      <c r="AF79" s="48" t="str">
        <f t="shared" si="46"/>
        <v/>
      </c>
      <c r="AG79" s="48" t="str">
        <f t="shared" si="46"/>
        <v/>
      </c>
      <c r="AH79" s="48" t="str">
        <f t="shared" si="46"/>
        <v/>
      </c>
      <c r="AI79" s="48" t="str">
        <f t="shared" si="46"/>
        <v/>
      </c>
      <c r="AJ79" s="48" t="str">
        <f t="shared" si="46"/>
        <v/>
      </c>
      <c r="AK79" s="48" t="str">
        <f t="shared" si="46"/>
        <v/>
      </c>
      <c r="AL79" s="48" t="str">
        <f t="shared" si="46"/>
        <v/>
      </c>
      <c r="AM79" s="48" t="str">
        <f t="shared" si="46"/>
        <v/>
      </c>
      <c r="AN79" s="48" t="str">
        <f t="shared" si="46"/>
        <v/>
      </c>
    </row>
    <row r="80" spans="1:40">
      <c r="A80" s="49"/>
      <c r="B80" s="45" t="s">
        <v>99</v>
      </c>
      <c r="C80" s="45">
        <v>2.14</v>
      </c>
      <c r="D80" s="45">
        <v>0.05</v>
      </c>
      <c r="E80" s="45">
        <v>0</v>
      </c>
      <c r="F80" s="45">
        <f t="shared" si="39"/>
        <v>2.19</v>
      </c>
      <c r="G80" s="45">
        <f t="shared" si="40"/>
        <v>2.14</v>
      </c>
      <c r="H80" s="46" t="s">
        <v>26</v>
      </c>
      <c r="I80" s="47">
        <v>2.7048</v>
      </c>
      <c r="J80" s="47">
        <v>2.7013</v>
      </c>
      <c r="K80" s="47">
        <v>2.6332</v>
      </c>
      <c r="L80" s="47">
        <v>2.7147</v>
      </c>
      <c r="M80" s="47">
        <v>2.6953</v>
      </c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8">
        <f t="shared" si="41"/>
        <v>0.5148</v>
      </c>
      <c r="Z80" s="48">
        <f t="shared" si="42"/>
        <v>0.5113</v>
      </c>
      <c r="AA80" s="48">
        <f t="shared" si="43"/>
        <v>0.4432</v>
      </c>
      <c r="AB80" s="48">
        <f t="shared" si="44"/>
        <v>0.5247</v>
      </c>
      <c r="AC80" s="48">
        <f t="shared" si="45"/>
        <v>0.5053</v>
      </c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</row>
    <row r="81" spans="1:40">
      <c r="A81" s="49"/>
      <c r="B81" s="45" t="s">
        <v>100</v>
      </c>
      <c r="C81" s="45">
        <v>2.14</v>
      </c>
      <c r="D81" s="45">
        <v>0.05</v>
      </c>
      <c r="E81" s="45">
        <v>0</v>
      </c>
      <c r="F81" s="45">
        <f t="shared" si="39"/>
        <v>2.19</v>
      </c>
      <c r="G81" s="45">
        <f t="shared" si="40"/>
        <v>2.14</v>
      </c>
      <c r="H81" s="46" t="s">
        <v>26</v>
      </c>
      <c r="I81" s="47">
        <v>2.7452</v>
      </c>
      <c r="J81" s="47">
        <v>2.6767</v>
      </c>
      <c r="K81" s="47">
        <v>2.7003</v>
      </c>
      <c r="L81" s="47">
        <v>2.6888</v>
      </c>
      <c r="M81" s="47">
        <v>2.6524</v>
      </c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8">
        <f t="shared" si="41"/>
        <v>0.5552</v>
      </c>
      <c r="Z81" s="48">
        <f t="shared" si="42"/>
        <v>0.4867</v>
      </c>
      <c r="AA81" s="48">
        <f t="shared" si="43"/>
        <v>0.5103</v>
      </c>
      <c r="AB81" s="48">
        <f t="shared" si="44"/>
        <v>0.4988</v>
      </c>
      <c r="AC81" s="48">
        <f t="shared" si="45"/>
        <v>0.4624</v>
      </c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</row>
    <row r="82" spans="1:40">
      <c r="A82" s="49"/>
      <c r="B82" s="45" t="s">
        <v>101</v>
      </c>
      <c r="C82" s="45">
        <v>2.14</v>
      </c>
      <c r="D82" s="45">
        <v>0.05</v>
      </c>
      <c r="E82" s="45">
        <v>0</v>
      </c>
      <c r="F82" s="45">
        <f t="shared" si="39"/>
        <v>2.19</v>
      </c>
      <c r="G82" s="45">
        <f t="shared" si="40"/>
        <v>2.14</v>
      </c>
      <c r="H82" s="46" t="s">
        <v>26</v>
      </c>
      <c r="I82" s="47">
        <v>2.6647</v>
      </c>
      <c r="J82" s="47">
        <v>2.6634</v>
      </c>
      <c r="K82" s="47">
        <v>2.6356</v>
      </c>
      <c r="L82" s="47">
        <v>2.6955</v>
      </c>
      <c r="M82" s="47">
        <v>2.7047</v>
      </c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8">
        <f t="shared" si="41"/>
        <v>0.4747</v>
      </c>
      <c r="Z82" s="48">
        <f t="shared" si="42"/>
        <v>0.4734</v>
      </c>
      <c r="AA82" s="48">
        <f t="shared" si="43"/>
        <v>0.4456</v>
      </c>
      <c r="AB82" s="48">
        <f t="shared" si="44"/>
        <v>0.5055</v>
      </c>
      <c r="AC82" s="48">
        <f t="shared" si="45"/>
        <v>0.5147</v>
      </c>
      <c r="AD82" s="48" t="str">
        <f t="shared" ref="Y82:AN82" si="47">IF(N82="","",IF(N82&gt;($C82+$D82),(N82-$C82-$D82),IF(N82&lt;($C82+$E82),(N82-$C82-$E82),"√")))</f>
        <v/>
      </c>
      <c r="AE82" s="48" t="str">
        <f t="shared" si="47"/>
        <v/>
      </c>
      <c r="AF82" s="48" t="str">
        <f t="shared" si="47"/>
        <v/>
      </c>
      <c r="AG82" s="48" t="str">
        <f t="shared" si="47"/>
        <v/>
      </c>
      <c r="AH82" s="48" t="str">
        <f t="shared" si="47"/>
        <v/>
      </c>
      <c r="AI82" s="48" t="str">
        <f t="shared" si="47"/>
        <v/>
      </c>
      <c r="AJ82" s="48" t="str">
        <f t="shared" si="47"/>
        <v/>
      </c>
      <c r="AK82" s="48" t="str">
        <f t="shared" si="47"/>
        <v/>
      </c>
      <c r="AL82" s="48" t="str">
        <f t="shared" si="47"/>
        <v/>
      </c>
      <c r="AM82" s="48" t="str">
        <f t="shared" si="47"/>
        <v/>
      </c>
      <c r="AN82" s="48" t="str">
        <f t="shared" si="47"/>
        <v/>
      </c>
    </row>
    <row r="83" spans="1:40">
      <c r="A83" s="49"/>
      <c r="B83" s="45" t="s">
        <v>102</v>
      </c>
      <c r="C83" s="45">
        <v>2.14</v>
      </c>
      <c r="D83" s="45">
        <v>0.05</v>
      </c>
      <c r="E83" s="45">
        <v>0</v>
      </c>
      <c r="F83" s="45">
        <f t="shared" si="39"/>
        <v>2.19</v>
      </c>
      <c r="G83" s="45">
        <f t="shared" si="40"/>
        <v>2.14</v>
      </c>
      <c r="H83" s="46" t="s">
        <v>26</v>
      </c>
      <c r="I83" s="47">
        <v>2.6853</v>
      </c>
      <c r="J83" s="47">
        <v>2.6436</v>
      </c>
      <c r="K83" s="47">
        <v>2.6744</v>
      </c>
      <c r="L83" s="47">
        <v>2.6567</v>
      </c>
      <c r="M83" s="47">
        <v>2.6651</v>
      </c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8">
        <f t="shared" si="41"/>
        <v>0.4953</v>
      </c>
      <c r="Z83" s="48">
        <f t="shared" si="42"/>
        <v>0.4536</v>
      </c>
      <c r="AA83" s="48">
        <f t="shared" si="43"/>
        <v>0.4844</v>
      </c>
      <c r="AB83" s="48">
        <f t="shared" si="44"/>
        <v>0.4667</v>
      </c>
      <c r="AC83" s="48">
        <f t="shared" si="45"/>
        <v>0.4751</v>
      </c>
      <c r="AD83" s="48" t="str">
        <f t="shared" ref="Y83:AN83" si="48">IF(N83="","",IF(N83&gt;($C83+$D83),(N83-$C83-$D83),IF(N83&lt;($C83+$E83),(N83-$C83-$E83),"√")))</f>
        <v/>
      </c>
      <c r="AE83" s="48" t="str">
        <f t="shared" si="48"/>
        <v/>
      </c>
      <c r="AF83" s="48" t="str">
        <f t="shared" si="48"/>
        <v/>
      </c>
      <c r="AG83" s="48" t="str">
        <f t="shared" si="48"/>
        <v/>
      </c>
      <c r="AH83" s="48" t="str">
        <f t="shared" si="48"/>
        <v/>
      </c>
      <c r="AI83" s="48" t="str">
        <f t="shared" si="48"/>
        <v/>
      </c>
      <c r="AJ83" s="48" t="str">
        <f t="shared" si="48"/>
        <v/>
      </c>
      <c r="AK83" s="48" t="str">
        <f t="shared" si="48"/>
        <v/>
      </c>
      <c r="AL83" s="48" t="str">
        <f t="shared" si="48"/>
        <v/>
      </c>
      <c r="AM83" s="48" t="str">
        <f t="shared" si="48"/>
        <v/>
      </c>
      <c r="AN83" s="48" t="str">
        <f t="shared" si="48"/>
        <v/>
      </c>
    </row>
    <row r="84" spans="1:40">
      <c r="A84" s="49"/>
      <c r="B84" s="45" t="s">
        <v>103</v>
      </c>
      <c r="C84" s="45">
        <v>2.14</v>
      </c>
      <c r="D84" s="45">
        <v>0.05</v>
      </c>
      <c r="E84" s="45">
        <v>0</v>
      </c>
      <c r="F84" s="45">
        <f t="shared" si="39"/>
        <v>2.19</v>
      </c>
      <c r="G84" s="45">
        <f t="shared" si="40"/>
        <v>2.14</v>
      </c>
      <c r="H84" s="46" t="s">
        <v>26</v>
      </c>
      <c r="I84" s="47">
        <v>2.6228</v>
      </c>
      <c r="J84" s="47">
        <v>2.6332</v>
      </c>
      <c r="K84" s="47">
        <v>2.658</v>
      </c>
      <c r="L84" s="47">
        <v>2.7272</v>
      </c>
      <c r="M84" s="47">
        <v>2.7177</v>
      </c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8">
        <f t="shared" si="41"/>
        <v>0.4328</v>
      </c>
      <c r="Z84" s="48">
        <f t="shared" si="42"/>
        <v>0.4432</v>
      </c>
      <c r="AA84" s="48">
        <f t="shared" si="43"/>
        <v>0.468</v>
      </c>
      <c r="AB84" s="48">
        <f t="shared" si="44"/>
        <v>0.5372</v>
      </c>
      <c r="AC84" s="48">
        <f t="shared" si="45"/>
        <v>0.5277</v>
      </c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</row>
    <row r="85" spans="1:40">
      <c r="A85" s="49"/>
      <c r="B85" s="45" t="s">
        <v>104</v>
      </c>
      <c r="C85" s="45">
        <v>2.14</v>
      </c>
      <c r="D85" s="45">
        <v>0.05</v>
      </c>
      <c r="E85" s="45">
        <v>0</v>
      </c>
      <c r="F85" s="45">
        <f t="shared" si="39"/>
        <v>2.19</v>
      </c>
      <c r="G85" s="45">
        <f t="shared" si="40"/>
        <v>2.14</v>
      </c>
      <c r="H85" s="46" t="s">
        <v>26</v>
      </c>
      <c r="I85" s="47">
        <v>2.682</v>
      </c>
      <c r="J85" s="47">
        <v>2.7083</v>
      </c>
      <c r="K85" s="47">
        <v>2.6605</v>
      </c>
      <c r="L85" s="47">
        <v>2.6832</v>
      </c>
      <c r="M85" s="47">
        <v>2.6853</v>
      </c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8">
        <f t="shared" si="41"/>
        <v>0.492</v>
      </c>
      <c r="Z85" s="48">
        <f t="shared" si="42"/>
        <v>0.5183</v>
      </c>
      <c r="AA85" s="48">
        <f t="shared" si="43"/>
        <v>0.4705</v>
      </c>
      <c r="AB85" s="48">
        <f t="shared" si="44"/>
        <v>0.4932</v>
      </c>
      <c r="AC85" s="48">
        <f t="shared" si="45"/>
        <v>0.4953</v>
      </c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</row>
    <row r="86" spans="1:40">
      <c r="A86" s="49"/>
      <c r="B86" s="45" t="s">
        <v>105</v>
      </c>
      <c r="C86" s="45">
        <v>2.14</v>
      </c>
      <c r="D86" s="45">
        <v>0.05</v>
      </c>
      <c r="E86" s="45">
        <v>0</v>
      </c>
      <c r="F86" s="45">
        <f t="shared" si="39"/>
        <v>2.19</v>
      </c>
      <c r="G86" s="45">
        <f t="shared" si="40"/>
        <v>2.14</v>
      </c>
      <c r="H86" s="46" t="s">
        <v>26</v>
      </c>
      <c r="I86" s="47">
        <v>2.6078</v>
      </c>
      <c r="J86" s="47">
        <v>2.6638</v>
      </c>
      <c r="K86" s="47">
        <v>2.6632</v>
      </c>
      <c r="L86" s="47">
        <v>2.703</v>
      </c>
      <c r="M86" s="47">
        <v>2.6928</v>
      </c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8">
        <f t="shared" si="41"/>
        <v>0.4178</v>
      </c>
      <c r="Z86" s="48">
        <f t="shared" si="42"/>
        <v>0.4738</v>
      </c>
      <c r="AA86" s="48">
        <f t="shared" si="43"/>
        <v>0.4732</v>
      </c>
      <c r="AB86" s="48">
        <f t="shared" si="44"/>
        <v>0.513</v>
      </c>
      <c r="AC86" s="48">
        <f t="shared" si="45"/>
        <v>0.5028</v>
      </c>
      <c r="AD86" s="48" t="str">
        <f t="shared" ref="Y86:AN86" si="49">IF(N86="","",IF(N86&gt;($C86+$D86),(N86-$C86-$D86),IF(N86&lt;($C86+$E86),(N86-$C86-$E86),"√")))</f>
        <v/>
      </c>
      <c r="AE86" s="48" t="str">
        <f t="shared" si="49"/>
        <v/>
      </c>
      <c r="AF86" s="48" t="str">
        <f t="shared" si="49"/>
        <v/>
      </c>
      <c r="AG86" s="48" t="str">
        <f t="shared" si="49"/>
        <v/>
      </c>
      <c r="AH86" s="48" t="str">
        <f t="shared" si="49"/>
        <v/>
      </c>
      <c r="AI86" s="48" t="str">
        <f t="shared" si="49"/>
        <v/>
      </c>
      <c r="AJ86" s="48" t="str">
        <f t="shared" si="49"/>
        <v/>
      </c>
      <c r="AK86" s="48" t="str">
        <f t="shared" si="49"/>
        <v/>
      </c>
      <c r="AL86" s="48" t="str">
        <f t="shared" si="49"/>
        <v/>
      </c>
      <c r="AM86" s="48" t="str">
        <f t="shared" si="49"/>
        <v/>
      </c>
      <c r="AN86" s="48" t="str">
        <f t="shared" si="49"/>
        <v/>
      </c>
    </row>
    <row r="87" spans="1:40">
      <c r="A87" s="49"/>
      <c r="B87" s="45" t="s">
        <v>106</v>
      </c>
      <c r="C87" s="45">
        <v>2.14</v>
      </c>
      <c r="D87" s="45">
        <v>0.05</v>
      </c>
      <c r="E87" s="45">
        <v>0</v>
      </c>
      <c r="F87" s="45">
        <f t="shared" si="39"/>
        <v>2.19</v>
      </c>
      <c r="G87" s="45">
        <f t="shared" si="40"/>
        <v>2.14</v>
      </c>
      <c r="H87" s="46" t="s">
        <v>26</v>
      </c>
      <c r="I87" s="47">
        <v>2.672</v>
      </c>
      <c r="J87" s="47">
        <v>2.6897</v>
      </c>
      <c r="K87" s="47">
        <v>2.6229</v>
      </c>
      <c r="L87" s="47">
        <v>2.7211</v>
      </c>
      <c r="M87" s="47">
        <v>2.6928</v>
      </c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8">
        <f t="shared" si="41"/>
        <v>0.482</v>
      </c>
      <c r="Z87" s="48">
        <f t="shared" si="42"/>
        <v>0.4997</v>
      </c>
      <c r="AA87" s="48">
        <f t="shared" si="43"/>
        <v>0.4329</v>
      </c>
      <c r="AB87" s="48">
        <f t="shared" si="44"/>
        <v>0.5311</v>
      </c>
      <c r="AC87" s="48">
        <f t="shared" si="45"/>
        <v>0.5028</v>
      </c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</row>
    <row r="88" spans="1:40">
      <c r="A88" s="49"/>
      <c r="B88" s="45" t="s">
        <v>107</v>
      </c>
      <c r="C88" s="45">
        <v>2.14</v>
      </c>
      <c r="D88" s="45">
        <v>0.05</v>
      </c>
      <c r="E88" s="45">
        <v>0</v>
      </c>
      <c r="F88" s="45">
        <f t="shared" si="39"/>
        <v>2.19</v>
      </c>
      <c r="G88" s="45">
        <f t="shared" si="40"/>
        <v>2.14</v>
      </c>
      <c r="H88" s="46" t="s">
        <v>26</v>
      </c>
      <c r="I88" s="47">
        <v>2.6906</v>
      </c>
      <c r="J88" s="47">
        <v>2.6885</v>
      </c>
      <c r="K88" s="47">
        <v>2.6759</v>
      </c>
      <c r="L88" s="47">
        <v>2.7161</v>
      </c>
      <c r="M88" s="47">
        <v>2.6925</v>
      </c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8">
        <f t="shared" si="41"/>
        <v>0.5006</v>
      </c>
      <c r="Z88" s="48">
        <f t="shared" si="42"/>
        <v>0.4985</v>
      </c>
      <c r="AA88" s="48">
        <f t="shared" si="43"/>
        <v>0.4859</v>
      </c>
      <c r="AB88" s="48">
        <f t="shared" si="44"/>
        <v>0.5261</v>
      </c>
      <c r="AC88" s="48">
        <f t="shared" si="45"/>
        <v>0.5025</v>
      </c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</row>
    <row r="89" spans="1:40">
      <c r="A89" s="49"/>
      <c r="B89" s="45" t="s">
        <v>108</v>
      </c>
      <c r="C89" s="45">
        <v>2.14</v>
      </c>
      <c r="D89" s="45">
        <v>0.05</v>
      </c>
      <c r="E89" s="45">
        <v>0</v>
      </c>
      <c r="F89" s="45">
        <f t="shared" si="39"/>
        <v>2.19</v>
      </c>
      <c r="G89" s="45">
        <f t="shared" si="40"/>
        <v>2.14</v>
      </c>
      <c r="H89" s="46" t="s">
        <v>26</v>
      </c>
      <c r="I89" s="47">
        <v>2.7214</v>
      </c>
      <c r="J89" s="47">
        <v>2.7037</v>
      </c>
      <c r="K89" s="47">
        <v>2.6831</v>
      </c>
      <c r="L89" s="47">
        <v>2.7068</v>
      </c>
      <c r="M89" s="47">
        <v>2.7039</v>
      </c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8">
        <f t="shared" si="41"/>
        <v>0.5314</v>
      </c>
      <c r="Z89" s="48">
        <f t="shared" si="42"/>
        <v>0.5137</v>
      </c>
      <c r="AA89" s="48">
        <f t="shared" si="43"/>
        <v>0.4931</v>
      </c>
      <c r="AB89" s="48">
        <f t="shared" si="44"/>
        <v>0.5168</v>
      </c>
      <c r="AC89" s="48">
        <f t="shared" si="45"/>
        <v>0.5139</v>
      </c>
      <c r="AD89" s="48" t="str">
        <f t="shared" ref="Y89:AN89" si="50">IF(N89="","",IF(N89&gt;($C89+$D89),(N89-$C89-$D89),IF(N89&lt;($C89+$E89),(N89-$C89-$E89),"√")))</f>
        <v/>
      </c>
      <c r="AE89" s="48" t="str">
        <f t="shared" si="50"/>
        <v/>
      </c>
      <c r="AF89" s="48" t="str">
        <f t="shared" si="50"/>
        <v/>
      </c>
      <c r="AG89" s="48" t="str">
        <f t="shared" si="50"/>
        <v/>
      </c>
      <c r="AH89" s="48" t="str">
        <f t="shared" si="50"/>
        <v/>
      </c>
      <c r="AI89" s="48" t="str">
        <f t="shared" si="50"/>
        <v/>
      </c>
      <c r="AJ89" s="48" t="str">
        <f t="shared" si="50"/>
        <v/>
      </c>
      <c r="AK89" s="48" t="str">
        <f t="shared" si="50"/>
        <v/>
      </c>
      <c r="AL89" s="48" t="str">
        <f t="shared" si="50"/>
        <v/>
      </c>
      <c r="AM89" s="48" t="str">
        <f t="shared" si="50"/>
        <v/>
      </c>
      <c r="AN89" s="48" t="str">
        <f t="shared" si="50"/>
        <v/>
      </c>
    </row>
    <row r="90" spans="1:40">
      <c r="A90" s="49"/>
      <c r="B90" s="45" t="s">
        <v>109</v>
      </c>
      <c r="C90" s="45">
        <v>2.14</v>
      </c>
      <c r="D90" s="45">
        <v>0.05</v>
      </c>
      <c r="E90" s="45">
        <v>0</v>
      </c>
      <c r="F90" s="45">
        <f t="shared" si="39"/>
        <v>2.19</v>
      </c>
      <c r="G90" s="45">
        <f t="shared" si="40"/>
        <v>2.14</v>
      </c>
      <c r="H90" s="46" t="s">
        <v>26</v>
      </c>
      <c r="I90" s="47">
        <v>2.6835</v>
      </c>
      <c r="J90" s="47">
        <v>2.7209</v>
      </c>
      <c r="K90" s="47">
        <v>2.6706</v>
      </c>
      <c r="L90" s="47">
        <v>2.7068</v>
      </c>
      <c r="M90" s="47">
        <v>2.629</v>
      </c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8">
        <f t="shared" si="41"/>
        <v>0.4935</v>
      </c>
      <c r="Z90" s="48">
        <f t="shared" si="42"/>
        <v>0.5309</v>
      </c>
      <c r="AA90" s="48">
        <f t="shared" si="43"/>
        <v>0.4806</v>
      </c>
      <c r="AB90" s="48">
        <f t="shared" si="44"/>
        <v>0.5168</v>
      </c>
      <c r="AC90" s="48">
        <f t="shared" si="45"/>
        <v>0.439</v>
      </c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</row>
    <row r="91" spans="1:40">
      <c r="A91" s="49"/>
      <c r="B91" s="45" t="s">
        <v>110</v>
      </c>
      <c r="C91" s="45">
        <v>2.14</v>
      </c>
      <c r="D91" s="45">
        <v>0.05</v>
      </c>
      <c r="E91" s="45">
        <v>0</v>
      </c>
      <c r="F91" s="45">
        <f t="shared" si="39"/>
        <v>2.19</v>
      </c>
      <c r="G91" s="45">
        <f t="shared" si="40"/>
        <v>2.14</v>
      </c>
      <c r="H91" s="46" t="s">
        <v>26</v>
      </c>
      <c r="I91" s="47">
        <v>2.7127</v>
      </c>
      <c r="J91" s="47">
        <v>2.6259</v>
      </c>
      <c r="K91" s="47">
        <v>2.7118</v>
      </c>
      <c r="L91" s="47">
        <v>2.7668</v>
      </c>
      <c r="M91" s="47">
        <v>2.7042</v>
      </c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8">
        <f t="shared" si="41"/>
        <v>0.5227</v>
      </c>
      <c r="Z91" s="48">
        <f t="shared" si="42"/>
        <v>0.4359</v>
      </c>
      <c r="AA91" s="48">
        <f t="shared" si="43"/>
        <v>0.5218</v>
      </c>
      <c r="AB91" s="48">
        <f t="shared" si="44"/>
        <v>0.5768</v>
      </c>
      <c r="AC91" s="48">
        <f t="shared" si="45"/>
        <v>0.5142</v>
      </c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</row>
    <row r="92" spans="1:40">
      <c r="A92" s="49"/>
      <c r="B92" s="45" t="s">
        <v>111</v>
      </c>
      <c r="C92" s="45">
        <v>2.14</v>
      </c>
      <c r="D92" s="45">
        <v>0.05</v>
      </c>
      <c r="E92" s="45">
        <v>0</v>
      </c>
      <c r="F92" s="45">
        <f t="shared" ref="F92:F117" si="51">C92+D92</f>
        <v>2.19</v>
      </c>
      <c r="G92" s="45">
        <f t="shared" ref="G92:G117" si="52">C92+E92</f>
        <v>2.14</v>
      </c>
      <c r="H92" s="46" t="s">
        <v>26</v>
      </c>
      <c r="I92" s="47">
        <v>2.6176</v>
      </c>
      <c r="J92" s="47">
        <v>2.6885</v>
      </c>
      <c r="K92" s="47">
        <v>2.6544</v>
      </c>
      <c r="L92" s="47">
        <v>2.7095</v>
      </c>
      <c r="M92" s="47">
        <v>2.683</v>
      </c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8">
        <f t="shared" si="41"/>
        <v>0.4276</v>
      </c>
      <c r="Z92" s="48">
        <f t="shared" si="42"/>
        <v>0.4985</v>
      </c>
      <c r="AA92" s="48">
        <f t="shared" si="43"/>
        <v>0.4644</v>
      </c>
      <c r="AB92" s="48">
        <f t="shared" si="44"/>
        <v>0.5195</v>
      </c>
      <c r="AC92" s="48">
        <f t="shared" si="45"/>
        <v>0.493</v>
      </c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</row>
    <row r="93" spans="1:40">
      <c r="A93" s="49"/>
      <c r="B93" s="45" t="s">
        <v>112</v>
      </c>
      <c r="C93" s="45">
        <v>2.14</v>
      </c>
      <c r="D93" s="45">
        <v>0.05</v>
      </c>
      <c r="E93" s="45">
        <v>0</v>
      </c>
      <c r="F93" s="45">
        <f t="shared" si="51"/>
        <v>2.19</v>
      </c>
      <c r="G93" s="45">
        <f t="shared" si="52"/>
        <v>2.14</v>
      </c>
      <c r="H93" s="46" t="s">
        <v>26</v>
      </c>
      <c r="I93" s="47">
        <v>2.7329</v>
      </c>
      <c r="J93" s="47">
        <v>2.687</v>
      </c>
      <c r="K93" s="47">
        <v>2.6409</v>
      </c>
      <c r="L93" s="47">
        <v>2.7077</v>
      </c>
      <c r="M93" s="47">
        <v>2.6487</v>
      </c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8">
        <f t="shared" si="41"/>
        <v>0.5429</v>
      </c>
      <c r="Z93" s="48">
        <f t="shared" si="42"/>
        <v>0.497</v>
      </c>
      <c r="AA93" s="48">
        <f t="shared" si="43"/>
        <v>0.4509</v>
      </c>
      <c r="AB93" s="48">
        <f t="shared" si="44"/>
        <v>0.5177</v>
      </c>
      <c r="AC93" s="48">
        <f t="shared" si="45"/>
        <v>0.4587</v>
      </c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</row>
    <row r="94" spans="1:40">
      <c r="A94" s="49"/>
      <c r="B94" s="45" t="s">
        <v>113</v>
      </c>
      <c r="C94" s="45">
        <v>2.14</v>
      </c>
      <c r="D94" s="45">
        <v>0.05</v>
      </c>
      <c r="E94" s="45">
        <v>0</v>
      </c>
      <c r="F94" s="45">
        <f t="shared" si="51"/>
        <v>2.19</v>
      </c>
      <c r="G94" s="45">
        <f t="shared" si="52"/>
        <v>2.14</v>
      </c>
      <c r="H94" s="46" t="s">
        <v>26</v>
      </c>
      <c r="I94" s="47">
        <v>2.7115</v>
      </c>
      <c r="J94" s="47">
        <v>2.7047</v>
      </c>
      <c r="K94" s="47">
        <v>2.673</v>
      </c>
      <c r="L94" s="47">
        <v>2.7254</v>
      </c>
      <c r="M94" s="47">
        <v>2.6677</v>
      </c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8">
        <f t="shared" si="41"/>
        <v>0.5215</v>
      </c>
      <c r="Z94" s="48">
        <f t="shared" si="42"/>
        <v>0.5147</v>
      </c>
      <c r="AA94" s="48">
        <f t="shared" si="43"/>
        <v>0.483</v>
      </c>
      <c r="AB94" s="48">
        <f t="shared" si="44"/>
        <v>0.5354</v>
      </c>
      <c r="AC94" s="48">
        <f t="shared" si="45"/>
        <v>0.4777</v>
      </c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</row>
    <row r="95" spans="1:40">
      <c r="A95" s="49"/>
      <c r="B95" s="45" t="s">
        <v>114</v>
      </c>
      <c r="C95" s="45">
        <v>2.14</v>
      </c>
      <c r="D95" s="45">
        <v>0.05</v>
      </c>
      <c r="E95" s="45">
        <v>0</v>
      </c>
      <c r="F95" s="45">
        <f t="shared" si="51"/>
        <v>2.19</v>
      </c>
      <c r="G95" s="45">
        <f t="shared" si="52"/>
        <v>2.14</v>
      </c>
      <c r="H95" s="46" t="s">
        <v>26</v>
      </c>
      <c r="I95" s="47">
        <v>2.7021</v>
      </c>
      <c r="J95" s="47">
        <v>2.6781</v>
      </c>
      <c r="K95" s="47">
        <v>2.707</v>
      </c>
      <c r="L95" s="47">
        <v>2.7076</v>
      </c>
      <c r="M95" s="47">
        <v>2.6663</v>
      </c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8">
        <f t="shared" si="41"/>
        <v>0.5121</v>
      </c>
      <c r="Z95" s="48">
        <f t="shared" si="42"/>
        <v>0.4881</v>
      </c>
      <c r="AA95" s="48">
        <f t="shared" si="43"/>
        <v>0.517</v>
      </c>
      <c r="AB95" s="48">
        <f t="shared" si="44"/>
        <v>0.5176</v>
      </c>
      <c r="AC95" s="48">
        <f t="shared" si="45"/>
        <v>0.4763</v>
      </c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</row>
    <row r="96" spans="1:40">
      <c r="A96" s="49"/>
      <c r="B96" s="45" t="s">
        <v>115</v>
      </c>
      <c r="C96" s="45">
        <v>2.14</v>
      </c>
      <c r="D96" s="45">
        <v>0.05</v>
      </c>
      <c r="E96" s="45">
        <v>0</v>
      </c>
      <c r="F96" s="45">
        <f t="shared" si="51"/>
        <v>2.19</v>
      </c>
      <c r="G96" s="45">
        <f t="shared" si="52"/>
        <v>2.14</v>
      </c>
      <c r="H96" s="46" t="s">
        <v>26</v>
      </c>
      <c r="I96" s="47">
        <v>2.6685</v>
      </c>
      <c r="J96" s="47">
        <v>2.6953</v>
      </c>
      <c r="K96" s="47">
        <v>2.7184</v>
      </c>
      <c r="L96" s="47">
        <v>2.7411</v>
      </c>
      <c r="M96" s="47">
        <v>2.6841</v>
      </c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8">
        <f t="shared" si="41"/>
        <v>0.4785</v>
      </c>
      <c r="Z96" s="48">
        <f t="shared" si="42"/>
        <v>0.5053</v>
      </c>
      <c r="AA96" s="48">
        <f t="shared" si="43"/>
        <v>0.5284</v>
      </c>
      <c r="AB96" s="48">
        <f t="shared" si="44"/>
        <v>0.5511</v>
      </c>
      <c r="AC96" s="48">
        <f t="shared" si="45"/>
        <v>0.4941</v>
      </c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</row>
    <row r="97" spans="1:40">
      <c r="A97" s="49"/>
      <c r="B97" s="45" t="s">
        <v>116</v>
      </c>
      <c r="C97" s="45">
        <v>2.14</v>
      </c>
      <c r="D97" s="45">
        <v>0.05</v>
      </c>
      <c r="E97" s="45">
        <v>0</v>
      </c>
      <c r="F97" s="45">
        <f t="shared" si="51"/>
        <v>2.19</v>
      </c>
      <c r="G97" s="45">
        <f t="shared" si="52"/>
        <v>2.14</v>
      </c>
      <c r="H97" s="46" t="s">
        <v>26</v>
      </c>
      <c r="I97" s="47">
        <v>2.7105</v>
      </c>
      <c r="J97" s="47">
        <v>2.7093</v>
      </c>
      <c r="K97" s="47">
        <v>2.6897</v>
      </c>
      <c r="L97" s="47">
        <v>2.7103</v>
      </c>
      <c r="M97" s="47">
        <v>2.6737</v>
      </c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8">
        <f t="shared" si="41"/>
        <v>0.5205</v>
      </c>
      <c r="Z97" s="48">
        <f t="shared" si="42"/>
        <v>0.5193</v>
      </c>
      <c r="AA97" s="48">
        <f t="shared" si="43"/>
        <v>0.4997</v>
      </c>
      <c r="AB97" s="48">
        <f t="shared" si="44"/>
        <v>0.5203</v>
      </c>
      <c r="AC97" s="48">
        <f t="shared" si="45"/>
        <v>0.4837</v>
      </c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</row>
    <row r="98" spans="1:40">
      <c r="A98" s="49"/>
      <c r="B98" s="45" t="s">
        <v>117</v>
      </c>
      <c r="C98" s="45">
        <v>2.14</v>
      </c>
      <c r="D98" s="45">
        <v>0.05</v>
      </c>
      <c r="E98" s="45">
        <v>0</v>
      </c>
      <c r="F98" s="45">
        <f t="shared" si="51"/>
        <v>2.19</v>
      </c>
      <c r="G98" s="45">
        <f t="shared" si="52"/>
        <v>2.14</v>
      </c>
      <c r="H98" s="46" t="s">
        <v>26</v>
      </c>
      <c r="I98" s="47">
        <v>2.7157</v>
      </c>
      <c r="J98" s="47">
        <v>2.7199</v>
      </c>
      <c r="K98" s="47">
        <v>2.6532</v>
      </c>
      <c r="L98" s="47">
        <v>2.74</v>
      </c>
      <c r="M98" s="47">
        <v>2.6807</v>
      </c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8">
        <f t="shared" si="41"/>
        <v>0.5257</v>
      </c>
      <c r="Z98" s="48">
        <f t="shared" si="42"/>
        <v>0.5299</v>
      </c>
      <c r="AA98" s="48">
        <f t="shared" si="43"/>
        <v>0.4632</v>
      </c>
      <c r="AB98" s="48">
        <f t="shared" si="44"/>
        <v>0.55</v>
      </c>
      <c r="AC98" s="48">
        <f t="shared" si="45"/>
        <v>0.4907</v>
      </c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</row>
    <row r="99" spans="1:40">
      <c r="A99" s="49"/>
      <c r="B99" s="45" t="s">
        <v>118</v>
      </c>
      <c r="C99" s="45">
        <v>2.14</v>
      </c>
      <c r="D99" s="45">
        <v>0.05</v>
      </c>
      <c r="E99" s="45">
        <v>0</v>
      </c>
      <c r="F99" s="45">
        <f t="shared" si="51"/>
        <v>2.19</v>
      </c>
      <c r="G99" s="45">
        <f t="shared" si="52"/>
        <v>2.14</v>
      </c>
      <c r="H99" s="46" t="s">
        <v>26</v>
      </c>
      <c r="I99" s="47">
        <v>2.7626</v>
      </c>
      <c r="J99" s="47">
        <v>2.7035</v>
      </c>
      <c r="K99" s="47">
        <v>2.709</v>
      </c>
      <c r="L99" s="47">
        <v>2.6794</v>
      </c>
      <c r="M99" s="47">
        <v>2.7345</v>
      </c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8">
        <f t="shared" si="41"/>
        <v>0.5726</v>
      </c>
      <c r="Z99" s="48">
        <f t="shared" si="42"/>
        <v>0.5135</v>
      </c>
      <c r="AA99" s="48">
        <f t="shared" si="43"/>
        <v>0.519</v>
      </c>
      <c r="AB99" s="48">
        <f t="shared" si="44"/>
        <v>0.4894</v>
      </c>
      <c r="AC99" s="48">
        <f t="shared" si="45"/>
        <v>0.5445</v>
      </c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</row>
    <row r="100" spans="1:40">
      <c r="A100" s="49"/>
      <c r="B100" s="45" t="s">
        <v>119</v>
      </c>
      <c r="C100" s="45">
        <v>2.14</v>
      </c>
      <c r="D100" s="45">
        <v>0.05</v>
      </c>
      <c r="E100" s="45">
        <v>0</v>
      </c>
      <c r="F100" s="45">
        <f t="shared" si="51"/>
        <v>2.19</v>
      </c>
      <c r="G100" s="45">
        <f t="shared" si="52"/>
        <v>2.14</v>
      </c>
      <c r="H100" s="46" t="s">
        <v>26</v>
      </c>
      <c r="I100" s="47">
        <v>2.7092</v>
      </c>
      <c r="J100" s="47">
        <v>2.6516</v>
      </c>
      <c r="K100" s="47">
        <v>2.6784</v>
      </c>
      <c r="L100" s="47">
        <v>2.5802</v>
      </c>
      <c r="M100" s="47">
        <v>2.7113</v>
      </c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8">
        <f t="shared" si="41"/>
        <v>0.5192</v>
      </c>
      <c r="Z100" s="48">
        <f t="shared" si="42"/>
        <v>0.4616</v>
      </c>
      <c r="AA100" s="48">
        <f t="shared" si="43"/>
        <v>0.4884</v>
      </c>
      <c r="AB100" s="48">
        <f t="shared" si="44"/>
        <v>0.3902</v>
      </c>
      <c r="AC100" s="48">
        <f t="shared" si="45"/>
        <v>0.5213</v>
      </c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</row>
    <row r="101" spans="1:40">
      <c r="A101" s="49"/>
      <c r="B101" s="45" t="s">
        <v>120</v>
      </c>
      <c r="C101" s="45">
        <v>2.14</v>
      </c>
      <c r="D101" s="45">
        <v>0.05</v>
      </c>
      <c r="E101" s="45">
        <v>0</v>
      </c>
      <c r="F101" s="45">
        <f t="shared" si="51"/>
        <v>2.19</v>
      </c>
      <c r="G101" s="45">
        <f t="shared" si="52"/>
        <v>2.14</v>
      </c>
      <c r="H101" s="46" t="s">
        <v>26</v>
      </c>
      <c r="I101" s="47">
        <v>2.6798</v>
      </c>
      <c r="J101" s="47">
        <v>2.6187</v>
      </c>
      <c r="K101" s="47">
        <v>2.6705</v>
      </c>
      <c r="L101" s="47">
        <v>2.7107</v>
      </c>
      <c r="M101" s="47">
        <v>2.7294</v>
      </c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8">
        <f t="shared" si="41"/>
        <v>0.4898</v>
      </c>
      <c r="Z101" s="48">
        <f t="shared" si="42"/>
        <v>0.4287</v>
      </c>
      <c r="AA101" s="48">
        <f t="shared" si="43"/>
        <v>0.4805</v>
      </c>
      <c r="AB101" s="48">
        <f t="shared" si="44"/>
        <v>0.5207</v>
      </c>
      <c r="AC101" s="48">
        <f t="shared" si="45"/>
        <v>0.5394</v>
      </c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</row>
    <row r="102" customFormat="1" spans="1:40">
      <c r="A102" s="49"/>
      <c r="B102" s="45" t="s">
        <v>121</v>
      </c>
      <c r="C102" s="45">
        <v>2.14</v>
      </c>
      <c r="D102" s="45">
        <v>0.05</v>
      </c>
      <c r="E102" s="45">
        <v>0</v>
      </c>
      <c r="F102" s="45">
        <f t="shared" si="51"/>
        <v>2.19</v>
      </c>
      <c r="G102" s="45">
        <f t="shared" si="52"/>
        <v>2.14</v>
      </c>
      <c r="H102" s="46" t="s">
        <v>26</v>
      </c>
      <c r="I102" s="47">
        <v>2.65</v>
      </c>
      <c r="J102" s="47">
        <v>2.7229</v>
      </c>
      <c r="K102" s="47">
        <v>2.6368</v>
      </c>
      <c r="L102" s="47">
        <v>2.6973</v>
      </c>
      <c r="M102" s="47">
        <v>2.6794</v>
      </c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8">
        <f t="shared" si="41"/>
        <v>0.46</v>
      </c>
      <c r="Z102" s="48">
        <f t="shared" si="42"/>
        <v>0.5329</v>
      </c>
      <c r="AA102" s="48">
        <f t="shared" si="43"/>
        <v>0.4468</v>
      </c>
      <c r="AB102" s="48">
        <f t="shared" si="44"/>
        <v>0.5073</v>
      </c>
      <c r="AC102" s="48">
        <f t="shared" si="45"/>
        <v>0.4894</v>
      </c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</row>
    <row r="103" customFormat="1" spans="1:40">
      <c r="A103" s="49"/>
      <c r="B103" s="45" t="s">
        <v>122</v>
      </c>
      <c r="C103" s="45">
        <v>2.14</v>
      </c>
      <c r="D103" s="45">
        <v>0.05</v>
      </c>
      <c r="E103" s="45">
        <v>0</v>
      </c>
      <c r="F103" s="45">
        <f t="shared" si="51"/>
        <v>2.19</v>
      </c>
      <c r="G103" s="45">
        <f t="shared" si="52"/>
        <v>2.14</v>
      </c>
      <c r="H103" s="46" t="s">
        <v>26</v>
      </c>
      <c r="I103" s="47">
        <v>2.6855</v>
      </c>
      <c r="J103" s="47">
        <v>2.6678</v>
      </c>
      <c r="K103" s="47">
        <v>2.6697</v>
      </c>
      <c r="L103" s="47">
        <v>2.6902</v>
      </c>
      <c r="M103" s="47">
        <v>2.6618</v>
      </c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8">
        <f t="shared" si="41"/>
        <v>0.4955</v>
      </c>
      <c r="Z103" s="48">
        <f t="shared" si="42"/>
        <v>0.4778</v>
      </c>
      <c r="AA103" s="48">
        <f t="shared" si="43"/>
        <v>0.4797</v>
      </c>
      <c r="AB103" s="48">
        <f t="shared" si="44"/>
        <v>0.5002</v>
      </c>
      <c r="AC103" s="48">
        <f t="shared" si="45"/>
        <v>0.4718</v>
      </c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</row>
    <row r="104" customFormat="1" spans="1:40">
      <c r="A104" s="49"/>
      <c r="B104" s="45" t="s">
        <v>123</v>
      </c>
      <c r="C104" s="45">
        <v>2.14</v>
      </c>
      <c r="D104" s="45">
        <v>0.05</v>
      </c>
      <c r="E104" s="45">
        <v>0</v>
      </c>
      <c r="F104" s="45">
        <f t="shared" si="51"/>
        <v>2.19</v>
      </c>
      <c r="G104" s="45">
        <f t="shared" si="52"/>
        <v>2.14</v>
      </c>
      <c r="H104" s="46" t="s">
        <v>26</v>
      </c>
      <c r="I104" s="47">
        <v>2.6589</v>
      </c>
      <c r="J104" s="47">
        <v>2.7135</v>
      </c>
      <c r="K104" s="47">
        <v>2.6083</v>
      </c>
      <c r="L104" s="47">
        <v>2.7088</v>
      </c>
      <c r="M104" s="47">
        <v>2.6991</v>
      </c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8">
        <f t="shared" si="41"/>
        <v>0.4689</v>
      </c>
      <c r="Z104" s="48">
        <f t="shared" si="42"/>
        <v>0.5235</v>
      </c>
      <c r="AA104" s="48">
        <f t="shared" si="43"/>
        <v>0.4183</v>
      </c>
      <c r="AB104" s="48">
        <f t="shared" si="44"/>
        <v>0.5188</v>
      </c>
      <c r="AC104" s="48">
        <f t="shared" si="45"/>
        <v>0.5091</v>
      </c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</row>
    <row r="105" customFormat="1" spans="1:40">
      <c r="A105" s="49"/>
      <c r="B105" s="45" t="s">
        <v>124</v>
      </c>
      <c r="C105" s="45">
        <v>2.14</v>
      </c>
      <c r="D105" s="45">
        <v>0.05</v>
      </c>
      <c r="E105" s="45">
        <v>0</v>
      </c>
      <c r="F105" s="45">
        <f t="shared" si="51"/>
        <v>2.19</v>
      </c>
      <c r="G105" s="45">
        <f t="shared" si="52"/>
        <v>2.14</v>
      </c>
      <c r="H105" s="46" t="s">
        <v>26</v>
      </c>
      <c r="I105" s="47">
        <v>2.7158</v>
      </c>
      <c r="J105" s="47">
        <v>2.6959</v>
      </c>
      <c r="K105" s="47">
        <v>2.6524</v>
      </c>
      <c r="L105" s="47">
        <v>2.6886</v>
      </c>
      <c r="M105" s="47">
        <v>2.6855</v>
      </c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8">
        <f t="shared" si="41"/>
        <v>0.5258</v>
      </c>
      <c r="Z105" s="48">
        <f t="shared" si="42"/>
        <v>0.5059</v>
      </c>
      <c r="AA105" s="48">
        <f t="shared" si="43"/>
        <v>0.4624</v>
      </c>
      <c r="AB105" s="48">
        <f t="shared" si="44"/>
        <v>0.4986</v>
      </c>
      <c r="AC105" s="48">
        <f t="shared" si="45"/>
        <v>0.4955</v>
      </c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</row>
    <row r="106" customFormat="1" spans="1:40">
      <c r="A106" s="49"/>
      <c r="B106" s="45" t="s">
        <v>125</v>
      </c>
      <c r="C106" s="45">
        <v>2.14</v>
      </c>
      <c r="D106" s="45">
        <v>0.05</v>
      </c>
      <c r="E106" s="45">
        <v>0</v>
      </c>
      <c r="F106" s="45">
        <f t="shared" si="51"/>
        <v>2.19</v>
      </c>
      <c r="G106" s="45">
        <f t="shared" si="52"/>
        <v>2.14</v>
      </c>
      <c r="H106" s="46" t="s">
        <v>26</v>
      </c>
      <c r="I106" s="47">
        <v>2.6076</v>
      </c>
      <c r="J106" s="47">
        <v>2.6965</v>
      </c>
      <c r="K106" s="47">
        <v>2.6173</v>
      </c>
      <c r="L106" s="47">
        <v>2.7272</v>
      </c>
      <c r="M106" s="47">
        <v>2.653</v>
      </c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8">
        <f t="shared" si="41"/>
        <v>0.4176</v>
      </c>
      <c r="Z106" s="48">
        <f t="shared" si="42"/>
        <v>0.5065</v>
      </c>
      <c r="AA106" s="48">
        <f t="shared" si="43"/>
        <v>0.4273</v>
      </c>
      <c r="AB106" s="48">
        <f t="shared" si="44"/>
        <v>0.5372</v>
      </c>
      <c r="AC106" s="48">
        <f t="shared" si="45"/>
        <v>0.463</v>
      </c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</row>
    <row r="107" customFormat="1" spans="1:40">
      <c r="A107" s="49"/>
      <c r="B107" s="45" t="s">
        <v>126</v>
      </c>
      <c r="C107" s="45">
        <v>2.14</v>
      </c>
      <c r="D107" s="45">
        <v>0.05</v>
      </c>
      <c r="E107" s="45">
        <v>0</v>
      </c>
      <c r="F107" s="45">
        <f t="shared" si="51"/>
        <v>2.19</v>
      </c>
      <c r="G107" s="45">
        <f t="shared" si="52"/>
        <v>2.14</v>
      </c>
      <c r="H107" s="46" t="s">
        <v>26</v>
      </c>
      <c r="I107" s="47">
        <v>2.6937</v>
      </c>
      <c r="J107" s="47">
        <v>2.652</v>
      </c>
      <c r="K107" s="47">
        <v>2.6214</v>
      </c>
      <c r="L107" s="47">
        <v>2.6819</v>
      </c>
      <c r="M107" s="47">
        <v>2.7114</v>
      </c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8">
        <f t="shared" si="41"/>
        <v>0.5037</v>
      </c>
      <c r="Z107" s="48">
        <f t="shared" si="42"/>
        <v>0.462</v>
      </c>
      <c r="AA107" s="48">
        <f t="shared" si="43"/>
        <v>0.4314</v>
      </c>
      <c r="AB107" s="48">
        <f t="shared" si="44"/>
        <v>0.4919</v>
      </c>
      <c r="AC107" s="48">
        <f t="shared" si="45"/>
        <v>0.5214</v>
      </c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</row>
    <row r="108" customFormat="1" spans="1:40">
      <c r="A108" s="49"/>
      <c r="B108" s="45" t="s">
        <v>127</v>
      </c>
      <c r="C108" s="45">
        <v>2.14</v>
      </c>
      <c r="D108" s="45">
        <v>0.05</v>
      </c>
      <c r="E108" s="45">
        <v>0</v>
      </c>
      <c r="F108" s="45">
        <f t="shared" si="51"/>
        <v>2.19</v>
      </c>
      <c r="G108" s="45">
        <f t="shared" si="52"/>
        <v>2.14</v>
      </c>
      <c r="H108" s="46" t="s">
        <v>26</v>
      </c>
      <c r="I108" s="47">
        <v>2.5674</v>
      </c>
      <c r="J108" s="47">
        <v>2.7018</v>
      </c>
      <c r="K108" s="47">
        <v>2.6603</v>
      </c>
      <c r="L108" s="47">
        <v>2.7044</v>
      </c>
      <c r="M108" s="47">
        <v>2.7091</v>
      </c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8">
        <f t="shared" si="41"/>
        <v>0.3774</v>
      </c>
      <c r="Z108" s="48">
        <f t="shared" si="42"/>
        <v>0.5118</v>
      </c>
      <c r="AA108" s="48">
        <f t="shared" si="43"/>
        <v>0.4703</v>
      </c>
      <c r="AB108" s="48">
        <f t="shared" si="44"/>
        <v>0.5144</v>
      </c>
      <c r="AC108" s="48">
        <f t="shared" si="45"/>
        <v>0.5191</v>
      </c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</row>
    <row r="109" customFormat="1" spans="1:40">
      <c r="A109" s="49"/>
      <c r="B109" s="45" t="s">
        <v>128</v>
      </c>
      <c r="C109" s="45">
        <v>2.14</v>
      </c>
      <c r="D109" s="45">
        <v>0.05</v>
      </c>
      <c r="E109" s="45">
        <v>0</v>
      </c>
      <c r="F109" s="45">
        <f t="shared" si="51"/>
        <v>2.19</v>
      </c>
      <c r="G109" s="45">
        <f t="shared" si="52"/>
        <v>2.14</v>
      </c>
      <c r="H109" s="46" t="s">
        <v>26</v>
      </c>
      <c r="I109" s="47">
        <v>2.6631</v>
      </c>
      <c r="J109" s="47">
        <v>2.8397</v>
      </c>
      <c r="K109" s="47">
        <v>2.6656</v>
      </c>
      <c r="L109" s="47">
        <v>2.7416</v>
      </c>
      <c r="M109" s="47">
        <v>2.6848</v>
      </c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8">
        <f t="shared" si="41"/>
        <v>0.4731</v>
      </c>
      <c r="Z109" s="48">
        <f t="shared" si="42"/>
        <v>0.6497</v>
      </c>
      <c r="AA109" s="48">
        <f t="shared" si="43"/>
        <v>0.4756</v>
      </c>
      <c r="AB109" s="48">
        <f t="shared" si="44"/>
        <v>0.5516</v>
      </c>
      <c r="AC109" s="48">
        <f t="shared" si="45"/>
        <v>0.4948</v>
      </c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</row>
    <row r="110" customFormat="1" spans="1:40">
      <c r="A110" s="49"/>
      <c r="B110" s="45" t="s">
        <v>129</v>
      </c>
      <c r="C110" s="45">
        <v>2.14</v>
      </c>
      <c r="D110" s="45">
        <v>0.05</v>
      </c>
      <c r="E110" s="45">
        <v>0</v>
      </c>
      <c r="F110" s="45">
        <f t="shared" si="51"/>
        <v>2.19</v>
      </c>
      <c r="G110" s="45">
        <f t="shared" si="52"/>
        <v>2.14</v>
      </c>
      <c r="H110" s="46" t="s">
        <v>26</v>
      </c>
      <c r="I110" s="47">
        <v>2.6265</v>
      </c>
      <c r="J110" s="47">
        <v>2.7181</v>
      </c>
      <c r="K110" s="47">
        <v>2.6601</v>
      </c>
      <c r="L110" s="47">
        <v>2.723</v>
      </c>
      <c r="M110" s="47">
        <v>2.6701</v>
      </c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8">
        <f t="shared" si="41"/>
        <v>0.4365</v>
      </c>
      <c r="Z110" s="48">
        <f t="shared" si="42"/>
        <v>0.5281</v>
      </c>
      <c r="AA110" s="48">
        <f t="shared" si="43"/>
        <v>0.4701</v>
      </c>
      <c r="AB110" s="48">
        <f t="shared" si="44"/>
        <v>0.533</v>
      </c>
      <c r="AC110" s="48">
        <f t="shared" si="45"/>
        <v>0.4801</v>
      </c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</row>
    <row r="111" customFormat="1" spans="1:40">
      <c r="A111" s="49"/>
      <c r="B111" s="45" t="s">
        <v>130</v>
      </c>
      <c r="C111" s="45">
        <v>2.14</v>
      </c>
      <c r="D111" s="45">
        <v>0.05</v>
      </c>
      <c r="E111" s="45">
        <v>0</v>
      </c>
      <c r="F111" s="45">
        <f t="shared" si="51"/>
        <v>2.19</v>
      </c>
      <c r="G111" s="45">
        <f t="shared" si="52"/>
        <v>2.14</v>
      </c>
      <c r="H111" s="46" t="s">
        <v>26</v>
      </c>
      <c r="I111" s="47">
        <v>2.6919</v>
      </c>
      <c r="J111" s="47">
        <v>2.6985</v>
      </c>
      <c r="K111" s="47">
        <v>2.6925</v>
      </c>
      <c r="L111" s="47">
        <v>2.7218</v>
      </c>
      <c r="M111" s="47">
        <v>2.6797</v>
      </c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8">
        <f t="shared" si="41"/>
        <v>0.5019</v>
      </c>
      <c r="Z111" s="48">
        <f t="shared" si="42"/>
        <v>0.5085</v>
      </c>
      <c r="AA111" s="48">
        <f t="shared" si="43"/>
        <v>0.5025</v>
      </c>
      <c r="AB111" s="48">
        <f t="shared" si="44"/>
        <v>0.5318</v>
      </c>
      <c r="AC111" s="48">
        <f t="shared" si="45"/>
        <v>0.4897</v>
      </c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</row>
    <row r="112" customFormat="1" spans="1:40">
      <c r="A112" s="49"/>
      <c r="B112" s="45" t="s">
        <v>131</v>
      </c>
      <c r="C112" s="45">
        <v>2.14</v>
      </c>
      <c r="D112" s="45">
        <v>0.05</v>
      </c>
      <c r="E112" s="45">
        <v>0</v>
      </c>
      <c r="F112" s="45">
        <f t="shared" si="51"/>
        <v>2.19</v>
      </c>
      <c r="G112" s="45">
        <f t="shared" si="52"/>
        <v>2.14</v>
      </c>
      <c r="H112" s="46" t="s">
        <v>26</v>
      </c>
      <c r="I112" s="47">
        <v>2.6622</v>
      </c>
      <c r="J112" s="47">
        <v>2.6699</v>
      </c>
      <c r="K112" s="47">
        <v>2.6198</v>
      </c>
      <c r="L112" s="47">
        <v>2.7054</v>
      </c>
      <c r="M112" s="47">
        <v>2.6621</v>
      </c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8">
        <f t="shared" si="41"/>
        <v>0.4722</v>
      </c>
      <c r="Z112" s="48">
        <f t="shared" si="42"/>
        <v>0.4799</v>
      </c>
      <c r="AA112" s="48">
        <f t="shared" si="43"/>
        <v>0.4298</v>
      </c>
      <c r="AB112" s="48">
        <f t="shared" si="44"/>
        <v>0.5154</v>
      </c>
      <c r="AC112" s="48">
        <f t="shared" si="45"/>
        <v>0.4721</v>
      </c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</row>
    <row r="113" customFormat="1" spans="1:40">
      <c r="A113" s="49"/>
      <c r="B113" s="45" t="s">
        <v>132</v>
      </c>
      <c r="C113" s="45">
        <v>2.14</v>
      </c>
      <c r="D113" s="45">
        <v>0.05</v>
      </c>
      <c r="E113" s="45">
        <v>0</v>
      </c>
      <c r="F113" s="45">
        <f t="shared" si="51"/>
        <v>2.19</v>
      </c>
      <c r="G113" s="45">
        <f t="shared" si="52"/>
        <v>2.14</v>
      </c>
      <c r="H113" s="46" t="s">
        <v>26</v>
      </c>
      <c r="I113" s="47">
        <v>2.6972</v>
      </c>
      <c r="J113" s="47">
        <v>2.7194</v>
      </c>
      <c r="K113" s="47">
        <v>2.7032</v>
      </c>
      <c r="L113" s="47">
        <v>2.6917</v>
      </c>
      <c r="M113" s="47">
        <v>2.6761</v>
      </c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8">
        <f t="shared" si="41"/>
        <v>0.5072</v>
      </c>
      <c r="Z113" s="48">
        <f t="shared" si="42"/>
        <v>0.5294</v>
      </c>
      <c r="AA113" s="48">
        <f t="shared" si="43"/>
        <v>0.5132</v>
      </c>
      <c r="AB113" s="48">
        <f t="shared" si="44"/>
        <v>0.5017</v>
      </c>
      <c r="AC113" s="48">
        <f t="shared" si="45"/>
        <v>0.4861</v>
      </c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</row>
    <row r="114" customFormat="1" spans="1:40">
      <c r="A114" s="49"/>
      <c r="B114" s="45" t="s">
        <v>133</v>
      </c>
      <c r="C114" s="45">
        <v>2.14</v>
      </c>
      <c r="D114" s="45">
        <v>0.05</v>
      </c>
      <c r="E114" s="45">
        <v>0</v>
      </c>
      <c r="F114" s="45">
        <f t="shared" si="51"/>
        <v>2.19</v>
      </c>
      <c r="G114" s="45">
        <f t="shared" si="52"/>
        <v>2.14</v>
      </c>
      <c r="H114" s="46" t="s">
        <v>26</v>
      </c>
      <c r="I114" s="47">
        <v>2.6988</v>
      </c>
      <c r="J114" s="47">
        <v>2.7022</v>
      </c>
      <c r="K114" s="47">
        <v>2.6489</v>
      </c>
      <c r="L114" s="47">
        <v>2.6853</v>
      </c>
      <c r="M114" s="47">
        <v>2.6634</v>
      </c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8">
        <f t="shared" si="41"/>
        <v>0.5088</v>
      </c>
      <c r="Z114" s="48">
        <f t="shared" si="42"/>
        <v>0.5122</v>
      </c>
      <c r="AA114" s="48">
        <f t="shared" si="43"/>
        <v>0.4589</v>
      </c>
      <c r="AB114" s="48">
        <f t="shared" si="44"/>
        <v>0.4953</v>
      </c>
      <c r="AC114" s="48">
        <f t="shared" si="45"/>
        <v>0.4734</v>
      </c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</row>
    <row r="115" customFormat="1" spans="1:40">
      <c r="A115" s="49"/>
      <c r="B115" s="45" t="s">
        <v>134</v>
      </c>
      <c r="C115" s="45">
        <v>2.14</v>
      </c>
      <c r="D115" s="45">
        <v>0.05</v>
      </c>
      <c r="E115" s="45">
        <v>0</v>
      </c>
      <c r="F115" s="45">
        <f t="shared" si="51"/>
        <v>2.19</v>
      </c>
      <c r="G115" s="45">
        <f t="shared" si="52"/>
        <v>2.14</v>
      </c>
      <c r="H115" s="46" t="s">
        <v>26</v>
      </c>
      <c r="I115" s="47">
        <v>2.7135</v>
      </c>
      <c r="J115" s="47">
        <v>2.7027</v>
      </c>
      <c r="K115" s="47">
        <v>2.6841</v>
      </c>
      <c r="L115" s="47">
        <v>2.6459</v>
      </c>
      <c r="M115" s="47">
        <v>2.7063</v>
      </c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8">
        <f t="shared" si="41"/>
        <v>0.5235</v>
      </c>
      <c r="Z115" s="48">
        <f t="shared" si="42"/>
        <v>0.5127</v>
      </c>
      <c r="AA115" s="48">
        <f t="shared" si="43"/>
        <v>0.4941</v>
      </c>
      <c r="AB115" s="48">
        <f t="shared" si="44"/>
        <v>0.4559</v>
      </c>
      <c r="AC115" s="48">
        <f t="shared" si="45"/>
        <v>0.5163</v>
      </c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</row>
    <row r="116" customFormat="1" spans="1:40">
      <c r="A116" s="49"/>
      <c r="B116" s="45" t="s">
        <v>135</v>
      </c>
      <c r="C116" s="45">
        <v>2.14</v>
      </c>
      <c r="D116" s="45">
        <v>0.05</v>
      </c>
      <c r="E116" s="45">
        <v>0</v>
      </c>
      <c r="F116" s="45">
        <f t="shared" si="51"/>
        <v>2.19</v>
      </c>
      <c r="G116" s="45">
        <f t="shared" si="52"/>
        <v>2.14</v>
      </c>
      <c r="H116" s="46" t="s">
        <v>26</v>
      </c>
      <c r="I116" s="47">
        <v>2.6616</v>
      </c>
      <c r="J116" s="47">
        <v>2.7134</v>
      </c>
      <c r="K116" s="47">
        <v>2.7105</v>
      </c>
      <c r="L116" s="47">
        <v>2.693</v>
      </c>
      <c r="M116" s="47">
        <v>2.6937</v>
      </c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8">
        <f t="shared" si="41"/>
        <v>0.4716</v>
      </c>
      <c r="Z116" s="48">
        <f t="shared" si="42"/>
        <v>0.5234</v>
      </c>
      <c r="AA116" s="48">
        <f t="shared" si="43"/>
        <v>0.5205</v>
      </c>
      <c r="AB116" s="48">
        <f t="shared" si="44"/>
        <v>0.503</v>
      </c>
      <c r="AC116" s="48">
        <f t="shared" si="45"/>
        <v>0.5037</v>
      </c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</row>
    <row r="117" customFormat="1" spans="1:40">
      <c r="A117" s="49"/>
      <c r="B117" s="45" t="s">
        <v>136</v>
      </c>
      <c r="C117" s="45">
        <v>2.14</v>
      </c>
      <c r="D117" s="45">
        <v>0.05</v>
      </c>
      <c r="E117" s="45">
        <v>0</v>
      </c>
      <c r="F117" s="45">
        <f t="shared" si="51"/>
        <v>2.19</v>
      </c>
      <c r="G117" s="45">
        <f t="shared" si="52"/>
        <v>2.14</v>
      </c>
      <c r="H117" s="46" t="s">
        <v>26</v>
      </c>
      <c r="I117" s="47">
        <v>2.7054</v>
      </c>
      <c r="J117" s="47">
        <v>2.6599</v>
      </c>
      <c r="K117" s="47">
        <v>2.6832</v>
      </c>
      <c r="L117" s="47">
        <v>2.6896</v>
      </c>
      <c r="M117" s="47">
        <v>2.6725</v>
      </c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8">
        <f t="shared" si="41"/>
        <v>0.5154</v>
      </c>
      <c r="Z117" s="48">
        <f t="shared" si="42"/>
        <v>0.4699</v>
      </c>
      <c r="AA117" s="48">
        <f t="shared" si="43"/>
        <v>0.4932</v>
      </c>
      <c r="AB117" s="48">
        <f t="shared" si="44"/>
        <v>0.4996</v>
      </c>
      <c r="AC117" s="48">
        <f t="shared" si="45"/>
        <v>0.4825</v>
      </c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</row>
    <row r="118" s="1" customFormat="1" ht="13.5" spans="1:40">
      <c r="A118" s="50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2"/>
      <c r="AK118" s="53"/>
      <c r="AL118" s="54"/>
      <c r="AM118" s="55"/>
      <c r="AN118" s="56"/>
    </row>
    <row r="119" spans="1:40">
      <c r="C119"/>
      <c r="D119"/>
      <c r="E119"/>
      <c r="F119"/>
      <c r="G119"/>
      <c r="H119"/>
    </row>
    <row r="120" spans="1:40">
      <c r="C120"/>
      <c r="D120"/>
      <c r="E120"/>
      <c r="F120"/>
      <c r="G120"/>
      <c r="H120"/>
    </row>
    <row r="121" spans="1:40">
      <c r="C121"/>
      <c r="D121"/>
      <c r="E121"/>
      <c r="F121"/>
      <c r="G121"/>
      <c r="H121"/>
    </row>
    <row r="122" spans="1:40">
      <c r="C122"/>
      <c r="D122"/>
      <c r="E122"/>
      <c r="F122"/>
      <c r="G122"/>
      <c r="H122"/>
    </row>
    <row r="123" spans="1:40">
      <c r="C123"/>
      <c r="D123"/>
      <c r="E123"/>
      <c r="F123"/>
      <c r="G123"/>
      <c r="H123"/>
    </row>
    <row r="124" spans="1:40">
      <c r="C124"/>
      <c r="D124"/>
      <c r="E124"/>
      <c r="F124"/>
      <c r="G124"/>
      <c r="H124"/>
    </row>
    <row r="125" spans="1:40">
      <c r="C125"/>
      <c r="D125"/>
      <c r="E125"/>
      <c r="F125"/>
      <c r="G125"/>
      <c r="H125"/>
    </row>
    <row r="126" spans="1:40">
      <c r="C126"/>
      <c r="D126"/>
      <c r="E126"/>
      <c r="F126"/>
      <c r="G126"/>
      <c r="H126"/>
    </row>
    <row r="127" spans="1:40">
      <c r="C127"/>
      <c r="D127"/>
      <c r="E127"/>
      <c r="F127"/>
      <c r="G127"/>
      <c r="H127"/>
    </row>
    <row r="128" spans="1:40">
      <c r="C128"/>
      <c r="D128"/>
      <c r="E128"/>
      <c r="F128"/>
      <c r="G128"/>
      <c r="H128"/>
    </row>
    <row r="129" spans="3:8">
      <c r="C129"/>
      <c r="D129"/>
      <c r="E129"/>
      <c r="F129"/>
      <c r="G129"/>
      <c r="H129"/>
    </row>
    <row r="130" spans="3:8">
      <c r="C130"/>
      <c r="D130"/>
      <c r="E130"/>
      <c r="F130"/>
      <c r="G130"/>
      <c r="H130"/>
    </row>
    <row r="131" spans="3:8">
      <c r="C131"/>
      <c r="D131"/>
      <c r="E131"/>
      <c r="F131"/>
      <c r="G131"/>
      <c r="H131"/>
    </row>
    <row r="132" spans="3:8">
      <c r="C132"/>
      <c r="D132"/>
      <c r="E132"/>
      <c r="F132"/>
      <c r="G132"/>
      <c r="H132"/>
    </row>
    <row r="133" spans="3:8">
      <c r="C133"/>
      <c r="D133"/>
      <c r="E133"/>
      <c r="F133"/>
      <c r="G133"/>
      <c r="H133"/>
    </row>
    <row r="134" spans="3:8">
      <c r="C134"/>
      <c r="D134"/>
      <c r="E134"/>
      <c r="F134"/>
      <c r="G134"/>
      <c r="H134"/>
    </row>
    <row r="135" spans="3:8">
      <c r="C135"/>
      <c r="D135"/>
      <c r="E135"/>
      <c r="F135"/>
      <c r="G135"/>
      <c r="H135"/>
    </row>
    <row r="136" spans="3:8">
      <c r="C136"/>
      <c r="D136"/>
      <c r="E136"/>
      <c r="F136"/>
      <c r="G136"/>
      <c r="H136"/>
    </row>
    <row r="137" spans="3:8">
      <c r="C137"/>
      <c r="D137"/>
      <c r="E137"/>
      <c r="F137"/>
      <c r="G137"/>
      <c r="H137"/>
    </row>
    <row r="138" spans="3:8">
      <c r="C138"/>
      <c r="D138"/>
      <c r="E138"/>
      <c r="F138"/>
      <c r="G138"/>
      <c r="H138"/>
    </row>
    <row r="139" spans="3:8">
      <c r="C139"/>
      <c r="D139"/>
      <c r="E139"/>
      <c r="F139"/>
      <c r="G139"/>
      <c r="H139"/>
    </row>
    <row r="140" spans="3:8">
      <c r="C140"/>
      <c r="D140"/>
      <c r="E140"/>
      <c r="F140"/>
      <c r="G140"/>
      <c r="H140"/>
    </row>
    <row r="141" spans="3:8">
      <c r="C141"/>
      <c r="D141"/>
      <c r="E141"/>
      <c r="F141"/>
      <c r="G141"/>
      <c r="H141"/>
    </row>
    <row r="142" spans="3:8">
      <c r="C142"/>
      <c r="D142"/>
      <c r="E142"/>
      <c r="F142"/>
      <c r="G142"/>
      <c r="H142"/>
    </row>
    <row r="143" spans="3:8">
      <c r="C143"/>
      <c r="D143"/>
      <c r="E143"/>
      <c r="F143"/>
      <c r="G143"/>
      <c r="H143"/>
    </row>
    <row r="144" spans="3:8">
      <c r="C144"/>
      <c r="D144"/>
      <c r="E144"/>
      <c r="F144"/>
      <c r="G144"/>
      <c r="H144"/>
    </row>
    <row r="145" spans="3:8">
      <c r="C145"/>
      <c r="D145"/>
      <c r="E145"/>
      <c r="F145"/>
      <c r="G145"/>
      <c r="H145"/>
    </row>
    <row r="146" spans="3:8">
      <c r="C146"/>
      <c r="D146"/>
      <c r="E146"/>
      <c r="F146"/>
      <c r="G146"/>
      <c r="H146"/>
    </row>
    <row r="147" spans="3:8">
      <c r="C147"/>
      <c r="D147"/>
      <c r="E147"/>
      <c r="F147"/>
      <c r="G147"/>
      <c r="H147"/>
    </row>
    <row r="148" spans="3:8">
      <c r="C148"/>
      <c r="D148"/>
      <c r="E148"/>
      <c r="F148"/>
      <c r="G148"/>
      <c r="H148"/>
    </row>
    <row r="149" spans="3:8">
      <c r="C149"/>
      <c r="D149"/>
      <c r="E149"/>
      <c r="F149"/>
      <c r="G149"/>
      <c r="H149"/>
    </row>
    <row r="150" spans="3:8">
      <c r="C150"/>
      <c r="D150"/>
      <c r="E150"/>
      <c r="F150"/>
      <c r="G150"/>
      <c r="H150"/>
    </row>
    <row r="151" spans="3:8">
      <c r="C151"/>
      <c r="D151"/>
      <c r="E151"/>
      <c r="F151"/>
      <c r="G151"/>
      <c r="H151"/>
    </row>
    <row r="152" spans="3:8">
      <c r="C152"/>
      <c r="D152"/>
      <c r="E152"/>
      <c r="F152"/>
      <c r="G152"/>
      <c r="H152"/>
    </row>
    <row r="153" spans="3:8">
      <c r="C153"/>
      <c r="D153"/>
      <c r="E153"/>
      <c r="F153"/>
      <c r="G153"/>
      <c r="H153"/>
    </row>
    <row r="154" spans="3:8">
      <c r="C154"/>
      <c r="D154"/>
      <c r="E154"/>
      <c r="F154"/>
      <c r="G154"/>
      <c r="H154"/>
    </row>
    <row r="155" spans="3:8">
      <c r="C155"/>
      <c r="D155"/>
      <c r="E155"/>
      <c r="F155"/>
      <c r="G155"/>
      <c r="H155"/>
    </row>
    <row r="156" spans="3:8">
      <c r="C156"/>
      <c r="D156"/>
      <c r="E156"/>
      <c r="F156"/>
      <c r="G156"/>
      <c r="H156"/>
    </row>
    <row r="157" spans="3:8">
      <c r="C157"/>
      <c r="D157"/>
      <c r="E157"/>
      <c r="F157"/>
      <c r="G157"/>
      <c r="H157"/>
    </row>
    <row r="158" spans="3:8">
      <c r="C158"/>
      <c r="D158"/>
      <c r="E158"/>
      <c r="F158"/>
      <c r="G158"/>
      <c r="H158"/>
    </row>
    <row r="159" spans="3:8">
      <c r="C159"/>
      <c r="D159"/>
      <c r="E159"/>
      <c r="F159"/>
      <c r="G159"/>
      <c r="H159"/>
    </row>
    <row r="160" spans="3:8">
      <c r="C160"/>
      <c r="D160"/>
      <c r="E160"/>
      <c r="F160"/>
      <c r="G160"/>
      <c r="H160"/>
    </row>
    <row r="161" spans="3:8">
      <c r="C161"/>
      <c r="D161"/>
      <c r="E161"/>
      <c r="F161"/>
      <c r="G161"/>
      <c r="H161"/>
    </row>
    <row r="162" spans="3:8">
      <c r="C162"/>
      <c r="D162"/>
      <c r="E162"/>
      <c r="F162"/>
      <c r="G162"/>
      <c r="H162"/>
    </row>
    <row r="163" spans="3:8">
      <c r="C163"/>
      <c r="D163"/>
      <c r="E163"/>
      <c r="F163"/>
      <c r="G163"/>
      <c r="H163"/>
    </row>
    <row r="164" spans="3:8">
      <c r="C164"/>
      <c r="D164"/>
      <c r="E164"/>
      <c r="F164"/>
      <c r="G164"/>
      <c r="H164"/>
    </row>
    <row r="165" spans="3:8">
      <c r="C165"/>
      <c r="D165"/>
      <c r="E165"/>
      <c r="F165"/>
      <c r="G165"/>
      <c r="H165"/>
    </row>
    <row r="166" spans="3:8">
      <c r="C166"/>
      <c r="D166"/>
      <c r="E166"/>
      <c r="F166"/>
      <c r="G166"/>
      <c r="H166"/>
    </row>
    <row r="167" spans="3:8">
      <c r="C167"/>
      <c r="D167"/>
      <c r="E167"/>
      <c r="F167"/>
      <c r="G167"/>
      <c r="H167"/>
    </row>
    <row r="168" spans="3:8">
      <c r="C168"/>
      <c r="D168"/>
      <c r="E168"/>
      <c r="F168"/>
      <c r="G168"/>
      <c r="H168"/>
    </row>
    <row r="169" spans="3:8">
      <c r="C169"/>
      <c r="D169"/>
      <c r="E169"/>
      <c r="F169"/>
      <c r="G169"/>
      <c r="H169"/>
    </row>
    <row r="170" spans="3:8">
      <c r="C170"/>
      <c r="D170"/>
      <c r="E170"/>
      <c r="F170"/>
      <c r="G170"/>
      <c r="H170"/>
    </row>
    <row r="171" spans="3:8">
      <c r="C171"/>
      <c r="D171"/>
      <c r="E171"/>
      <c r="F171"/>
      <c r="G171"/>
      <c r="H171"/>
    </row>
    <row r="172" spans="3:8">
      <c r="C172"/>
      <c r="D172"/>
      <c r="E172"/>
      <c r="F172"/>
      <c r="G172"/>
      <c r="H172"/>
    </row>
    <row r="173" spans="3:8">
      <c r="C173"/>
      <c r="D173"/>
      <c r="E173"/>
      <c r="F173"/>
      <c r="G173"/>
      <c r="H173"/>
    </row>
    <row r="174" spans="3:8">
      <c r="C174"/>
      <c r="D174"/>
      <c r="E174"/>
      <c r="F174"/>
      <c r="G174"/>
      <c r="H174"/>
    </row>
    <row r="175" spans="3:8">
      <c r="C175"/>
      <c r="D175"/>
      <c r="E175"/>
      <c r="F175"/>
      <c r="G175"/>
      <c r="H175"/>
    </row>
    <row r="176" spans="3:8">
      <c r="C176"/>
      <c r="D176"/>
      <c r="E176"/>
      <c r="F176"/>
      <c r="G176"/>
      <c r="H176"/>
    </row>
    <row r="177" spans="3:8">
      <c r="C177"/>
      <c r="D177"/>
      <c r="E177"/>
      <c r="F177"/>
      <c r="G177"/>
      <c r="H177"/>
    </row>
    <row r="178" spans="3:8">
      <c r="C178"/>
      <c r="D178"/>
      <c r="E178"/>
      <c r="F178"/>
      <c r="G178"/>
      <c r="H178"/>
    </row>
    <row r="179" spans="3:8">
      <c r="C179"/>
      <c r="D179"/>
      <c r="E179"/>
      <c r="F179"/>
      <c r="G179"/>
      <c r="H179"/>
    </row>
    <row r="180" spans="3:8">
      <c r="C180"/>
      <c r="D180"/>
      <c r="E180"/>
      <c r="F180"/>
      <c r="G180"/>
      <c r="H180"/>
    </row>
    <row r="181" spans="3:8">
      <c r="C181"/>
      <c r="D181"/>
      <c r="E181"/>
      <c r="F181"/>
      <c r="G181"/>
      <c r="H181"/>
    </row>
    <row r="182" spans="3:8">
      <c r="C182"/>
      <c r="D182"/>
      <c r="E182"/>
      <c r="F182"/>
      <c r="G182"/>
      <c r="H182"/>
    </row>
    <row r="183" spans="3:8">
      <c r="C183"/>
      <c r="D183"/>
      <c r="E183"/>
      <c r="F183"/>
      <c r="G183"/>
      <c r="H183"/>
    </row>
    <row r="184" spans="3:8">
      <c r="C184"/>
      <c r="D184"/>
      <c r="E184"/>
      <c r="F184"/>
      <c r="G184"/>
      <c r="H184"/>
    </row>
    <row r="185" spans="3:8">
      <c r="C185"/>
      <c r="D185"/>
      <c r="E185"/>
      <c r="F185"/>
      <c r="G185"/>
      <c r="H185"/>
    </row>
    <row r="186" spans="3:8">
      <c r="C186"/>
      <c r="D186"/>
      <c r="E186"/>
      <c r="F186"/>
      <c r="G186"/>
      <c r="H186"/>
    </row>
    <row r="187" spans="3:8">
      <c r="C187"/>
      <c r="D187"/>
      <c r="E187"/>
      <c r="F187"/>
      <c r="G187"/>
      <c r="H187"/>
    </row>
    <row r="188" spans="3:8">
      <c r="C188"/>
      <c r="D188"/>
      <c r="E188"/>
      <c r="F188"/>
      <c r="G188"/>
      <c r="H188"/>
    </row>
    <row r="189" spans="3:8">
      <c r="C189"/>
      <c r="D189"/>
      <c r="E189"/>
      <c r="F189"/>
      <c r="G189"/>
      <c r="H189"/>
    </row>
    <row r="190" spans="3:8">
      <c r="C190"/>
      <c r="D190"/>
      <c r="E190"/>
      <c r="F190"/>
      <c r="G190"/>
      <c r="H190"/>
    </row>
  </sheetData>
  <mergeCells count="31">
    <mergeCell ref="A1:AN1"/>
    <mergeCell ref="R2:W2"/>
    <mergeCell ref="X2:AC2"/>
    <mergeCell ref="AD2:AH2"/>
    <mergeCell ref="AI2:AL2"/>
    <mergeCell ref="AM2:AN2"/>
    <mergeCell ref="R3:W3"/>
    <mergeCell ref="X3:AC3"/>
    <mergeCell ref="AD3:AH3"/>
    <mergeCell ref="AI3:AL3"/>
    <mergeCell ref="AM3:AN3"/>
    <mergeCell ref="I4:X4"/>
    <mergeCell ref="Y4:AN4"/>
    <mergeCell ref="I5:X5"/>
    <mergeCell ref="Y5:AN5"/>
    <mergeCell ref="A118:AJ118"/>
    <mergeCell ref="AK118:AL118"/>
    <mergeCell ref="AM118:AN118"/>
    <mergeCell ref="A2:A3"/>
    <mergeCell ref="A4:A6"/>
    <mergeCell ref="A7:A101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22:X22">
    <cfRule type="cellIs" dxfId="0" priority="4" stopIfTrue="1" operator="notBetween">
      <formula>$F22</formula>
      <formula>$G22</formula>
    </cfRule>
  </conditionalFormatting>
  <conditionalFormatting sqref="I79:X79">
    <cfRule type="cellIs" dxfId="0" priority="10" stopIfTrue="1" operator="notBetween">
      <formula>$F79</formula>
      <formula>$G79</formula>
    </cfRule>
  </conditionalFormatting>
  <conditionalFormatting sqref="I82:X82">
    <cfRule type="cellIs" dxfId="0" priority="6" stopIfTrue="1" operator="notBetween">
      <formula>$F82</formula>
      <formula>$G82</formula>
    </cfRule>
  </conditionalFormatting>
  <conditionalFormatting sqref="I7:X14">
    <cfRule type="cellIs" dxfId="0" priority="8" stopIfTrue="1" operator="notBetween">
      <formula>$F7</formula>
      <formula>$G7</formula>
    </cfRule>
  </conditionalFormatting>
  <conditionalFormatting sqref="I15:X16">
    <cfRule type="cellIs" dxfId="0" priority="11" stopIfTrue="1" operator="notBetween">
      <formula>$F15</formula>
      <formula>$G15</formula>
    </cfRule>
  </conditionalFormatting>
  <conditionalFormatting sqref="I17:X18">
    <cfRule type="cellIs" dxfId="0" priority="9" stopIfTrue="1" operator="notBetween">
      <formula>$F17</formula>
      <formula>$G17</formula>
    </cfRule>
  </conditionalFormatting>
  <conditionalFormatting sqref="I19:X21">
    <cfRule type="cellIs" dxfId="0" priority="2" stopIfTrue="1" operator="notBetween">
      <formula>$F19</formula>
      <formula>$G19</formula>
    </cfRule>
  </conditionalFormatting>
  <conditionalFormatting sqref="I23:X24">
    <cfRule type="cellIs" dxfId="0" priority="3" stopIfTrue="1" operator="notBetween">
      <formula>$F23</formula>
      <formula>$G23</formula>
    </cfRule>
  </conditionalFormatting>
  <conditionalFormatting sqref="I25:X26">
    <cfRule type="cellIs" dxfId="0" priority="1" stopIfTrue="1" operator="notBetween">
      <formula>$F25</formula>
      <formula>$G25</formula>
    </cfRule>
  </conditionalFormatting>
  <conditionalFormatting sqref="I27:X27 I52:X52 I89:X89">
    <cfRule type="cellIs" dxfId="0" priority="12" stopIfTrue="1" operator="notBetween">
      <formula>$F27</formula>
      <formula>$G27</formula>
    </cfRule>
  </conditionalFormatting>
  <conditionalFormatting sqref="I83:X83 I86:X86">
    <cfRule type="cellIs" dxfId="0" priority="5" stopIfTrue="1" operator="notBetween">
      <formula>$F83</formula>
      <formula>$G83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X511-512-562-563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2026-06-25T13:24:01Z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AC6F37D1E89B4081AC6EFA8977A30211_13</vt:lpwstr>
  </property>
  <property fmtid="{D5CDD505-2E9C-101B-9397-08002B2CF9AE}" pid="4" name="CalculationRule">
    <vt:i4>0</vt:i4>
  </property>
</Properties>
</file>