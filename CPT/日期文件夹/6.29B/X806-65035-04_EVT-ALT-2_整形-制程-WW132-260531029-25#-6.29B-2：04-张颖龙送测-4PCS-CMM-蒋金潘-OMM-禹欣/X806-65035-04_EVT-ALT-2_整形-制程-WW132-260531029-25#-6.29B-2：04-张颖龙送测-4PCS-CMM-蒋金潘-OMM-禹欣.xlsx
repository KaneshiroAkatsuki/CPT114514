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5035" sheetId="8" r:id="rId1"/>
  </sheets>
  <definedNames>
    <definedName name="_xlnm.Print_Area" localSheetId="0">'806-65035'!$B$1:$AE$6</definedName>
    <definedName name="_xlnm.Print_Titles" localSheetId="0">'806-65035'!$1:$6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<sst xmlns="http://schemas.openxmlformats.org/spreadsheetml/2006/main" count="36" uniqueCount="35">
  <si>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安徽中耀智能科技有限公司首件尺寸报告</t>
  </si>
  <si>
    <t>料号</t>
  </si>
  <si>
    <t>806-65035</t>
  </si>
  <si>
    <t>工单号</t>
  </si>
  <si>
    <t>WW132-260531029</t>
  </si>
  <si>
    <t>工站</t>
  </si>
  <si>
    <t>整形机台号</t>
  </si>
  <si>
    <t>测量机台号</t>
  </si>
  <si>
    <t>测量人员</t>
  </si>
  <si>
    <t>审核</t>
  </si>
  <si>
    <t>整形</t>
  </si>
  <si>
    <t>25#</t>
  </si>
  <si>
    <t>CMM4#/OMM5#</t>
  </si>
  <si>
    <t>蒋金潘/禹欣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</si>
  <si>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</si>
  <si>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</si>
  <si>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</si>
  <si>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</si>
  <si>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</si>
  <si>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</si>
  <si>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</si>
  <si>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</si>
  <si>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</si>
  <si>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</si>
  <si>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</si>
  <si>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</si>
  <si>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</si>
  <si>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</si>
  <si>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FAI36</t>
  </si>
  <si>
    <t>AJ</t>
  </si>
  <si>
    <t>OMM</t>
  </si>
  <si>
    <t>FAI6</t>
  </si>
  <si>
    <t>CMM</t>
  </si>
  <si>
    <t>FAI38</t>
  </si>
  <si>
    <t>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</si>
</sst>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7" xfId="53" applyFont="1" applyFill="1" applyBorder="1" applyAlignment="1">
      <alignment horizontal="center" vertical="center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246380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6080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9"/>
  <sheetViews>
    <sheetView tabSelected="1" workbookViewId="0">
      <selection activeCell="J7" sqref="J7:M7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 t="s">
        <v>11</v>
      </c>
      <c r="Z3" s="14"/>
      <c r="AA3" s="14"/>
      <c r="AB3" s="14"/>
      <c r="AC3" s="14"/>
      <c r="AD3" s="15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/>
      <c r="O6" s="46"/>
      <c r="P6" s="46"/>
      <c r="Q6" s="46"/>
      <c r="R6" s="46"/>
      <c r="S6" s="46"/>
      <c r="T6" s="46"/>
      <c r="U6" s="46"/>
      <c r="V6" s="46"/>
      <c r="W6" s="37"/>
      <c r="X6" s="46"/>
      <c r="Y6" s="46"/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0</v>
      </c>
      <c r="AE6" s="47">
        <f t="shared" si="0"/>
        <v>0</v>
      </c>
      <c r="AF6" s="47">
        <f t="shared" si="0"/>
        <v>0</v>
      </c>
      <c r="AG6" s="47">
        <f t="shared" si="0"/>
        <v>0</v>
      </c>
      <c r="AH6" s="47">
        <f t="shared" si="0"/>
        <v>0</v>
      </c>
      <c r="AI6" s="47">
        <f t="shared" si="0"/>
        <v>0</v>
      </c>
      <c r="AJ6" s="47">
        <f t="shared" si="0"/>
        <v>0</v>
      </c>
      <c r="AK6" s="47">
        <f t="shared" si="0"/>
        <v>0</v>
      </c>
      <c r="AL6" s="47">
        <f t="shared" si="0"/>
        <v>0</v>
      </c>
      <c r="AM6" s="47">
        <f t="shared" si="0"/>
        <v>0</v>
      </c>
      <c r="AN6" s="47">
        <f t="shared" si="0"/>
        <v>0</v>
      </c>
      <c r="AO6" s="47">
        <f t="shared" si="0"/>
        <v>0</v>
      </c>
    </row>
    <row r="7" ht="15" customHeight="1" spans="1:41">
      <c r="A7" s="48">
        <v>46202</v>
      </c>
      <c r="B7" s="49" t="s">
        <v>28</v>
      </c>
      <c r="C7" s="50" t="s">
        <v>29</v>
      </c>
      <c r="D7" s="51">
        <v>0.59</v>
      </c>
      <c r="E7" s="51">
        <v>0.03</v>
      </c>
      <c r="F7" s="51">
        <v>-0.03</v>
      </c>
      <c r="G7" s="51">
        <f>D7+E7</f>
        <v>0.62</v>
      </c>
      <c r="H7" s="51">
        <f>D7+F7</f>
        <v>0.56</v>
      </c>
      <c r="I7" s="51" t="s">
        <v>30</v>
      </c>
      <c r="J7" s="52">
        <v>0.6103</v>
      </c>
      <c r="K7" s="52">
        <v>0.612</v>
      </c>
      <c r="L7" s="52">
        <v>0.6044</v>
      </c>
      <c r="M7" s="52">
        <v>0.613</v>
      </c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3" t="str">
        <f t="shared" ref="Z7:Z9" si="1">IF(J7="","",IF(J7&gt;($D7+$E7),(J7-$D7-$E7),IF(J7&lt;($D7+$F7),(J7-$D7-$F7),"√")))</f>
        <v>√</v>
      </c>
      <c r="AA7" s="53" t="str">
        <f t="shared" ref="AA7" si="2">IF(K7="","",IF(K7&gt;($D7+$E7),(K7-$D7-$E7),IF(K7&lt;($D7+$F7),(K7-$D7-$F7),"√")))</f>
        <v>√</v>
      </c>
      <c r="AB7" s="53" t="str">
        <f t="shared" ref="AB7" si="3">IF(L7="","",IF(L7&gt;($D7+$E7),(L7-$D7-$E7),IF(L7&lt;($D7+$F7),(L7-$D7-$F7),"√")))</f>
        <v>√</v>
      </c>
      <c r="AC7" s="53" t="str">
        <f t="shared" ref="AC7" si="4">IF(M7="","",IF(M7&gt;($D7+$E7),(M7-$D7-$E7),IF(M7&lt;($D7+$F7),(M7-$D7-$F7),"√")))</f>
        <v>√</v>
      </c>
      <c r="AD7" s="53" t="str">
        <f t="shared" ref="AD7" si="5">IF(N7="","",IF(N7&gt;($D7+$E7),(N7-$D7-$E7),IF(N7&lt;($D7+$F7),(N7-$D7-$F7),"√")))</f>
        <v/>
      </c>
      <c r="AE7" s="53" t="str">
        <f t="shared" ref="AE7" si="6">IF(O7="","",IF(O7&gt;($D7+$E7),(O7-$D7-$E7),IF(O7&lt;($D7+$F7),(O7-$D7-$F7),"√")))</f>
        <v/>
      </c>
      <c r="AF7" s="53" t="str">
        <f t="shared" ref="AF7" si="7">IF(P7="","",IF(P7&gt;($D7+$E7),(P7-$D7-$E7),IF(P7&lt;($D7+$F7),(P7-$D7-$F7),"√")))</f>
        <v/>
      </c>
      <c r="AG7" s="53" t="str">
        <f t="shared" ref="AG7" si="8">IF(Q7="","",IF(Q7&gt;($D7+$E7),(Q7-$D7-$E7),IF(Q7&lt;($D7+$F7),(Q7-$D7-$F7),"√")))</f>
        <v/>
      </c>
      <c r="AH7" s="53" t="str">
        <f t="shared" ref="AH7" si="9">IF(R7="","",IF(R7&gt;($D7+$E7),(R7-$D7-$E7),IF(R7&lt;($D7+$F7),(R7-$D7-$F7),"√")))</f>
        <v/>
      </c>
      <c r="AI7" s="53" t="str">
        <f t="shared" ref="AI7" si="10">IF(S7="","",IF(S7&gt;($D7+$E7),(S7-$D7-$E7),IF(S7&lt;($D7+$F7),(S7-$D7-$F7),"√")))</f>
        <v/>
      </c>
      <c r="AJ7" s="53" t="str">
        <f t="shared" ref="AJ7" si="11">IF(T7="","",IF(T7&gt;($D7+$E7),(T7-$D7-$E7),IF(T7&lt;($D7+$F7),(T7-$D7-$F7),"√")))</f>
        <v/>
      </c>
      <c r="AK7" s="53" t="str">
        <f t="shared" ref="AK7" si="12">IF(U7="","",IF(U7&gt;($D7+$E7),(U7-$D7-$E7),IF(U7&lt;($D7+$F7),(U7-$D7-$F7),"√")))</f>
        <v/>
      </c>
      <c r="AL7" s="53" t="str">
        <f t="shared" ref="AL7" si="13">IF(V7="","",IF(V7&gt;($D7+$E7),(V7-$D7-$E7),IF(V7&lt;($D7+$F7),(V7-$D7-$F7),"√")))</f>
        <v/>
      </c>
      <c r="AM7" s="53" t="str">
        <f t="shared" ref="AM7" si="14">IF(W7="","",IF(W7&gt;($D7+$E7),(W7-$D7-$E7),IF(W7&lt;($D7+$F7),(W7-$D7-$F7),"√")))</f>
        <v/>
      </c>
      <c r="AN7" s="53" t="str">
        <f t="shared" ref="AN7" si="15">IF(X7="","",IF(X7&gt;($D7+$E7),(X7-$D7-$E7),IF(X7&lt;($D7+$F7),(X7-$D7-$F7),"√")))</f>
        <v/>
      </c>
      <c r="AO7" s="53" t="str">
        <f t="shared" ref="AO7" si="16">IF(Y7="","",IF(Y7&gt;($D7+$E7),(Y7-$D7-$E7),IF(Y7&lt;($D7+$F7),(Y7-$D7-$F7),"√")))</f>
        <v/>
      </c>
    </row>
    <row r="8" ht="15" customHeight="1" spans="1:41">
      <c r="A8" s="54"/>
      <c r="B8" s="49" t="s">
        <v>31</v>
      </c>
      <c r="C8" s="50"/>
      <c r="D8" s="51">
        <v>1.3</v>
      </c>
      <c r="E8" s="51">
        <v>0.03</v>
      </c>
      <c r="F8" s="51">
        <v>-0.03</v>
      </c>
      <c r="G8" s="51">
        <f>D8+E8</f>
        <v>1.33</v>
      </c>
      <c r="H8" s="51">
        <f>D8+F8</f>
        <v>1.27</v>
      </c>
      <c r="I8" s="51" t="s">
        <v>32</v>
      </c>
      <c r="J8" s="52">
        <v>1.298</v>
      </c>
      <c r="K8" s="52">
        <v>1.3144</v>
      </c>
      <c r="L8" s="52">
        <v>1.3149</v>
      </c>
      <c r="M8" s="52">
        <v>1.3083</v>
      </c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3" t="str">
        <f t="shared" si="1"/>
        <v>√</v>
      </c>
      <c r="AA8" s="53" t="str">
        <f t="shared" ref="AA8:AO8" si="17">IF(K8="","",IF(K8&gt;($D8+$E8),(K8-$D8-$E8),IF(K8&lt;($D8+$F8),(K8-$D8-$F8),"√")))</f>
        <v>√</v>
      </c>
      <c r="AB8" s="53" t="str">
        <f t="shared" si="17"/>
        <v>√</v>
      </c>
      <c r="AC8" s="53" t="str">
        <f t="shared" si="17"/>
        <v>√</v>
      </c>
      <c r="AD8" s="53" t="str">
        <f t="shared" si="17"/>
        <v/>
      </c>
      <c r="AE8" s="53" t="str">
        <f t="shared" si="17"/>
        <v/>
      </c>
      <c r="AF8" s="53" t="str">
        <f t="shared" si="17"/>
        <v/>
      </c>
      <c r="AG8" s="53" t="str">
        <f t="shared" si="17"/>
        <v/>
      </c>
      <c r="AH8" s="53" t="str">
        <f t="shared" si="17"/>
        <v/>
      </c>
      <c r="AI8" s="53" t="str">
        <f t="shared" si="17"/>
        <v/>
      </c>
      <c r="AJ8" s="53" t="str">
        <f t="shared" si="17"/>
        <v/>
      </c>
      <c r="AK8" s="53" t="str">
        <f t="shared" si="17"/>
        <v/>
      </c>
      <c r="AL8" s="53" t="str">
        <f t="shared" si="17"/>
        <v/>
      </c>
      <c r="AM8" s="53" t="str">
        <f t="shared" si="17"/>
        <v/>
      </c>
      <c r="AN8" s="53" t="str">
        <f t="shared" si="17"/>
        <v/>
      </c>
      <c r="AO8" s="53" t="str">
        <f t="shared" si="17"/>
        <v/>
      </c>
    </row>
    <row r="9" ht="15" customHeight="1" spans="1:41">
      <c r="A9" s="54"/>
      <c r="B9" s="49" t="s">
        <v>33</v>
      </c>
      <c r="C9" s="50" t="s">
        <v>34</v>
      </c>
      <c r="D9" s="51">
        <v>1.57</v>
      </c>
      <c r="E9" s="51">
        <v>0.03</v>
      </c>
      <c r="F9" s="51">
        <v>-0.03</v>
      </c>
      <c r="G9" s="51">
        <f t="shared" ref="G9" si="18">D9+E9</f>
        <v>1.6</v>
      </c>
      <c r="H9" s="51">
        <f t="shared" ref="H9" si="19">D9+F9</f>
        <v>1.54</v>
      </c>
      <c r="I9" s="51" t="s">
        <v>32</v>
      </c>
      <c r="J9" s="52">
        <v>1.5474</v>
      </c>
      <c r="K9" s="52">
        <v>1.5655</v>
      </c>
      <c r="L9" s="52">
        <v>1.5701</v>
      </c>
      <c r="M9" s="52">
        <v>1.5664</v>
      </c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3" t="str">
        <f t="shared" si="1"/>
        <v>√</v>
      </c>
      <c r="AA9" s="53" t="str">
        <f t="shared" ref="AA9:AO9" si="20">IF(K9="","",IF(K9&gt;($D9+$E9),(K9-$D9-$E9),IF(K9&lt;($D9+$F9),(K9-$D9-$F9),"√")))</f>
        <v>√</v>
      </c>
      <c r="AB9" s="53" t="str">
        <f t="shared" si="20"/>
        <v>√</v>
      </c>
      <c r="AC9" s="53" t="str">
        <f t="shared" si="20"/>
        <v>√</v>
      </c>
      <c r="AD9" s="53" t="str">
        <f t="shared" si="20"/>
        <v/>
      </c>
      <c r="AE9" s="53" t="str">
        <f t="shared" si="20"/>
        <v/>
      </c>
      <c r="AF9" s="53" t="str">
        <f t="shared" si="20"/>
        <v/>
      </c>
      <c r="AG9" s="53" t="str">
        <f t="shared" si="20"/>
        <v/>
      </c>
      <c r="AH9" s="53" t="str">
        <f t="shared" si="20"/>
        <v/>
      </c>
      <c r="AI9" s="53" t="str">
        <f t="shared" si="20"/>
        <v/>
      </c>
      <c r="AJ9" s="53" t="str">
        <f t="shared" si="20"/>
        <v/>
      </c>
      <c r="AK9" s="53" t="str">
        <f t="shared" si="20"/>
        <v/>
      </c>
      <c r="AL9" s="53" t="str">
        <f t="shared" si="20"/>
        <v/>
      </c>
      <c r="AM9" s="53" t="str">
        <f t="shared" si="20"/>
        <v/>
      </c>
      <c r="AN9" s="53" t="str">
        <f t="shared" si="20"/>
        <v/>
      </c>
      <c r="AO9" s="53" t="str">
        <f t="shared" si="20"/>
        <v/>
      </c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9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7:Y7">
    <cfRule type="cellIs" dxfId="0" priority="29" operator="notBetween">
      <formula>$G7</formula>
      <formula>$H7</formula>
    </cfRule>
  </conditionalFormatting>
  <conditionalFormatting sqref="J8">
    <cfRule type="cellIs" dxfId="0" priority="269" operator="notBetween">
      <formula>$G8</formula>
      <formula>$H8</formula>
    </cfRule>
  </conditionalFormatting>
  <conditionalFormatting sqref="K8">
    <cfRule type="cellIs" dxfId="0" priority="126" operator="notBetween">
      <formula>$G8</formula>
      <formula>$H8</formula>
    </cfRule>
  </conditionalFormatting>
  <conditionalFormatting sqref="L8">
    <cfRule type="cellIs" dxfId="0" priority="125" operator="notBetween">
      <formula>$G8</formula>
      <formula>$H8</formula>
    </cfRule>
  </conditionalFormatting>
  <conditionalFormatting sqref="M8">
    <cfRule type="cellIs" dxfId="0" priority="124" operator="notBetween">
      <formula>$G8</formula>
      <formula>$H8</formula>
    </cfRule>
  </conditionalFormatting>
  <conditionalFormatting sqref="N8">
    <cfRule type="cellIs" dxfId="0" priority="123" operator="notBetween">
      <formula>$G8</formula>
      <formula>$H8</formula>
    </cfRule>
  </conditionalFormatting>
  <conditionalFormatting sqref="O8">
    <cfRule type="cellIs" dxfId="0" priority="122" operator="notBetween">
      <formula>$G8</formula>
      <formula>$H8</formula>
    </cfRule>
  </conditionalFormatting>
  <conditionalFormatting sqref="P8">
    <cfRule type="cellIs" dxfId="0" priority="121" operator="notBetween">
      <formula>$G8</formula>
      <formula>$H8</formula>
    </cfRule>
  </conditionalFormatting>
  <conditionalFormatting sqref="Q8">
    <cfRule type="cellIs" dxfId="0" priority="120" operator="notBetween">
      <formula>$G8</formula>
      <formula>$H8</formula>
    </cfRule>
  </conditionalFormatting>
  <conditionalFormatting sqref="R8">
    <cfRule type="cellIs" dxfId="0" priority="119" operator="notBetween">
      <formula>$G8</formula>
      <formula>$H8</formula>
    </cfRule>
  </conditionalFormatting>
  <conditionalFormatting sqref="S8">
    <cfRule type="cellIs" dxfId="0" priority="118" operator="notBetween">
      <formula>$G8</formula>
      <formula>$H8</formula>
    </cfRule>
  </conditionalFormatting>
  <conditionalFormatting sqref="T8">
    <cfRule type="cellIs" dxfId="0" priority="117" operator="notBetween">
      <formula>$G8</formula>
      <formula>$H8</formula>
    </cfRule>
  </conditionalFormatting>
  <conditionalFormatting sqref="U8">
    <cfRule type="cellIs" dxfId="0" priority="116" operator="notBetween">
      <formula>$G8</formula>
      <formula>$H8</formula>
    </cfRule>
  </conditionalFormatting>
  <conditionalFormatting sqref="V8">
    <cfRule type="cellIs" dxfId="0" priority="115" operator="notBetween">
      <formula>$G8</formula>
      <formula>$H8</formula>
    </cfRule>
  </conditionalFormatting>
  <conditionalFormatting sqref="W8">
    <cfRule type="cellIs" dxfId="0" priority="114" operator="notBetween">
      <formula>$G8</formula>
      <formula>$H8</formula>
    </cfRule>
  </conditionalFormatting>
  <conditionalFormatting sqref="X8">
    <cfRule type="cellIs" dxfId="0" priority="113" operator="notBetween">
      <formula>$G8</formula>
      <formula>$H8</formula>
    </cfRule>
  </conditionalFormatting>
  <conditionalFormatting sqref="Y8">
    <cfRule type="cellIs" dxfId="0" priority="112" operator="notBetween">
      <formula>$G8</formula>
      <formula>$H8</formula>
    </cfRule>
  </conditionalFormatting>
  <conditionalFormatting sqref="J9">
    <cfRule type="cellIs" dxfId="0" priority="51" operator="notBetween">
      <formula>$G9</formula>
      <formula>$H9</formula>
    </cfRule>
  </conditionalFormatting>
  <conditionalFormatting sqref="K9">
    <cfRule type="cellIs" dxfId="0" priority="50" operator="notBetween">
      <formula>$G9</formula>
      <formula>$H9</formula>
    </cfRule>
  </conditionalFormatting>
  <conditionalFormatting sqref="L9">
    <cfRule type="cellIs" dxfId="0" priority="49" operator="notBetween">
      <formula>$G9</formula>
      <formula>$H9</formula>
    </cfRule>
  </conditionalFormatting>
  <conditionalFormatting sqref="M9">
    <cfRule type="cellIs" dxfId="0" priority="48" operator="notBetween">
      <formula>$G9</formula>
      <formula>$H9</formula>
    </cfRule>
  </conditionalFormatting>
  <conditionalFormatting sqref="N9">
    <cfRule type="cellIs" dxfId="0" priority="47" operator="notBetween">
      <formula>$G9</formula>
      <formula>$H9</formula>
    </cfRule>
  </conditionalFormatting>
  <conditionalFormatting sqref="O9">
    <cfRule type="cellIs" dxfId="0" priority="46" operator="notBetween">
      <formula>$G9</formula>
      <formula>$H9</formula>
    </cfRule>
  </conditionalFormatting>
  <conditionalFormatting sqref="P9">
    <cfRule type="cellIs" dxfId="0" priority="45" operator="notBetween">
      <formula>$G9</formula>
      <formula>$H9</formula>
    </cfRule>
  </conditionalFormatting>
  <conditionalFormatting sqref="Q9">
    <cfRule type="cellIs" dxfId="0" priority="44" operator="notBetween">
      <formula>$G9</formula>
      <formula>$H9</formula>
    </cfRule>
  </conditionalFormatting>
  <conditionalFormatting sqref="R9">
    <cfRule type="cellIs" dxfId="0" priority="43" operator="notBetween">
      <formula>$G9</formula>
      <formula>$H9</formula>
    </cfRule>
  </conditionalFormatting>
  <conditionalFormatting sqref="S9">
    <cfRule type="cellIs" dxfId="0" priority="42" operator="notBetween">
      <formula>$G9</formula>
      <formula>$H9</formula>
    </cfRule>
  </conditionalFormatting>
  <conditionalFormatting sqref="T9">
    <cfRule type="cellIs" dxfId="0" priority="41" operator="notBetween">
      <formula>$G9</formula>
      <formula>$H9</formula>
    </cfRule>
  </conditionalFormatting>
  <conditionalFormatting sqref="U9">
    <cfRule type="cellIs" dxfId="0" priority="40" operator="notBetween">
      <formula>$G9</formula>
      <formula>$H9</formula>
    </cfRule>
  </conditionalFormatting>
  <conditionalFormatting sqref="V9">
    <cfRule type="cellIs" dxfId="0" priority="39" operator="notBetween">
      <formula>$G9</formula>
      <formula>$H9</formula>
    </cfRule>
  </conditionalFormatting>
  <conditionalFormatting sqref="W9">
    <cfRule type="cellIs" dxfId="0" priority="38" operator="notBetween">
      <formula>$G9</formula>
      <formula>$H9</formula>
    </cfRule>
  </conditionalFormatting>
  <conditionalFormatting sqref="X9">
    <cfRule type="cellIs" dxfId="0" priority="37" operator="notBetween">
      <formula>$G9</formula>
      <formula>$H9</formula>
    </cfRule>
  </conditionalFormatting>
  <conditionalFormatting sqref="Y9">
    <cfRule type="cellIs" dxfId="0" priority="36" operator="notBetween">
      <formula>$G9</formula>
      <formula>$H9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2026-06-29T20:10:53Z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