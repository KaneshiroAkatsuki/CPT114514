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806-65037" sheetId="8" r:id="rId1"/>
  </sheets>
  <definedNames>
    <definedName name="_xlnm.Print_Area" localSheetId="0">'806-65037'!$B$1:$AD$6</definedName>
    <definedName name="_xlnm.Print_Titles" localSheetId="0">'806-65037'!$1:$6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<sst xmlns="http://schemas.openxmlformats.org/spreadsheetml/2006/main" count="34" uniqueCount="33">
  <si>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安徽中耀智能科技有限公司巡检尺寸报告</t>
  </si>
  <si>
    <t>料号</t>
  </si>
  <si>
    <t>806-65037</t>
  </si>
  <si>
    <t>工单号</t>
  </si>
  <si>
    <t>WW132-260611059</t>
  </si>
  <si>
    <t>工站</t>
  </si>
  <si>
    <t>整形机台号</t>
  </si>
  <si>
    <t>测量机台号</t>
  </si>
  <si>
    <t>测量人员</t>
  </si>
  <si>
    <t>审核</t>
  </si>
  <si>
    <t>整形-制程</t>
  </si>
  <si>
    <t>4#</t>
  </si>
  <si>
    <t>CMM4#/OMM5#</t>
  </si>
  <si>
    <t>蒋金潘/禹欣</t>
  </si>
  <si>
    <t>陈跃进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</si>
  <si>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</si>
  <si>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</si>
  <si>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</si>
  <si>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</si>
  <si>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</si>
  <si>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</si>
  <si>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</si>
  <si>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</si>
  <si>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</si>
  <si>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</si>
  <si>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</si>
  <si>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</si>
  <si>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r>
      <t>复测</t>
    </r>
    <r>
      <rPr>
        <b/>
        <sz val="11"/>
        <rFont val="Arial"/>
        <charset val="134"/>
      </rPr>
      <t>1</t>
    </r>
  </si>
  <si>
    <t>FAI-36</t>
  </si>
  <si>
    <t>OMM</t>
  </si>
  <si>
    <t>FAI 6</t>
  </si>
  <si>
    <t>CMM</t>
  </si>
  <si>
    <t>FAI-38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</si>
</sst>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6805932798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1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4" applyNumberFormat="0" applyAlignment="0" applyProtection="0">
      <alignment vertical="center"/>
    </xf>
    <xf numFmtId="0" fontId="22" fillId="6" borderId="15" applyNumberFormat="0" applyAlignment="0" applyProtection="0">
      <alignment vertical="center"/>
    </xf>
    <xf numFmtId="0" fontId="23" fillId="6" borderId="14" applyNumberFormat="0" applyAlignment="0" applyProtection="0">
      <alignment vertical="center"/>
    </xf>
    <xf numFmtId="0" fontId="24" fillId="7" borderId="16" applyNumberFormat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50">
    <xf numFmtId="0" fontId="0" fillId="0" borderId="0" xfId="0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79" applyNumberFormat="1" applyFont="1" applyBorder="1" applyAlignment="1">
      <alignment horizontal="center" vertical="center"/>
    </xf>
    <xf numFmtId="49" fontId="3" fillId="0" borderId="6" xfId="79" applyNumberFormat="1" applyFont="1" applyBorder="1" applyAlignment="1">
      <alignment horizontal="center" vertical="center"/>
    </xf>
    <xf numFmtId="49" fontId="3" fillId="0" borderId="7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79" applyNumberFormat="1" applyFont="1" applyBorder="1" applyAlignment="1">
      <alignment horizontal="center" vertical="center"/>
    </xf>
    <xf numFmtId="176" fontId="3" fillId="0" borderId="6" xfId="79" applyNumberFormat="1" applyFont="1" applyBorder="1" applyAlignment="1">
      <alignment horizontal="center" vertical="center"/>
    </xf>
    <xf numFmtId="176" fontId="3" fillId="0" borderId="7" xfId="79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0" fontId="6" fillId="3" borderId="1" xfId="60" applyFont="1" applyFill="1" applyBorder="1" applyAlignment="1">
      <alignment horizontal="center" vertical="center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 wrapText="1"/>
    </xf>
    <xf numFmtId="0" fontId="10" fillId="0" borderId="7" xfId="53" applyFont="1" applyFill="1" applyBorder="1" applyAlignment="1">
      <alignment horizontal="center" vertical="center"/>
    </xf>
    <xf numFmtId="0" fontId="11" fillId="0" borderId="1" xfId="59" applyFont="1" applyBorder="1" applyAlignment="1">
      <alignment horizontal="center" vertical="center"/>
    </xf>
    <xf numFmtId="177" fontId="10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1</xdr:col>
      <xdr:colOff>942975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57350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9"/>
  <sheetViews>
    <sheetView tabSelected="1" topLeftCell="F1" workbookViewId="0">
      <selection activeCell="M6" sqref="M6"/>
    </sheetView>
  </sheetViews>
  <sheetFormatPr defaultColWidth="9" defaultRowHeight="14.25"/>
  <cols>
    <col min="1" max="1" width="9.375" customWidth="1"/>
    <col min="2" max="2" width="13" customWidth="1"/>
    <col min="3" max="3" width="9.625" customWidth="1"/>
    <col min="4" max="4" width="5.625" customWidth="1"/>
    <col min="5" max="7" width="7.5" customWidth="1"/>
    <col min="8" max="8" width="4.5" customWidth="1"/>
    <col min="9" max="40" width="6.5" customWidth="1"/>
  </cols>
  <sheetData>
    <row r="1" ht="70.5" customHeight="1" spans="1:4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ht="15" customHeight="1" spans="1:40">
      <c r="A2" s="2" t="s">
        <v>1</v>
      </c>
      <c r="B2" s="3" t="s">
        <v>2</v>
      </c>
      <c r="C2" s="4"/>
      <c r="D2" s="4"/>
      <c r="E2" s="4"/>
      <c r="F2" s="5"/>
      <c r="G2" s="6" t="s">
        <v>3</v>
      </c>
      <c r="H2" s="7"/>
      <c r="I2" s="7"/>
      <c r="J2" s="8"/>
      <c r="K2" s="9" t="s">
        <v>4</v>
      </c>
      <c r="L2" s="9"/>
      <c r="M2" s="9"/>
      <c r="N2" s="9"/>
      <c r="O2" s="9"/>
      <c r="P2" s="9"/>
      <c r="Q2" s="9"/>
      <c r="R2" s="10" t="s">
        <v>5</v>
      </c>
      <c r="S2" s="11"/>
      <c r="T2" s="11"/>
      <c r="U2" s="11"/>
      <c r="V2" s="11"/>
      <c r="W2" s="12"/>
      <c r="X2" s="13" t="s">
        <v>6</v>
      </c>
      <c r="Y2" s="14"/>
      <c r="Z2" s="14"/>
      <c r="AA2" s="14"/>
      <c r="AB2" s="14"/>
      <c r="AC2" s="15"/>
      <c r="AD2" s="13" t="s">
        <v>7</v>
      </c>
      <c r="AE2" s="14"/>
      <c r="AF2" s="14"/>
      <c r="AG2" s="14"/>
      <c r="AH2" s="15"/>
      <c r="AI2" s="16" t="s">
        <v>8</v>
      </c>
      <c r="AJ2" s="17"/>
      <c r="AK2" s="17"/>
      <c r="AL2" s="18"/>
      <c r="AM2" s="16" t="s">
        <v>9</v>
      </c>
      <c r="AN2" s="18"/>
    </row>
    <row r="3" ht="15" customHeight="1" spans="1:40">
      <c r="A3" s="2"/>
      <c r="B3" s="19"/>
      <c r="C3" s="20"/>
      <c r="D3" s="20"/>
      <c r="E3" s="20"/>
      <c r="F3" s="21"/>
      <c r="G3" s="22"/>
      <c r="H3" s="23"/>
      <c r="I3" s="23"/>
      <c r="J3" s="24"/>
      <c r="K3" s="9"/>
      <c r="L3" s="9"/>
      <c r="M3" s="9"/>
      <c r="N3" s="9"/>
      <c r="O3" s="9"/>
      <c r="P3" s="9"/>
      <c r="Q3" s="9"/>
      <c r="R3" s="25" t="s">
        <v>10</v>
      </c>
      <c r="S3" s="26"/>
      <c r="T3" s="26"/>
      <c r="U3" s="26"/>
      <c r="V3" s="26"/>
      <c r="W3" s="27"/>
      <c r="X3" s="13" t="s">
        <v>11</v>
      </c>
      <c r="Y3" s="14"/>
      <c r="Z3" s="14"/>
      <c r="AA3" s="14"/>
      <c r="AB3" s="14"/>
      <c r="AC3" s="15"/>
      <c r="AD3" s="28" t="s">
        <v>12</v>
      </c>
      <c r="AE3" s="29"/>
      <c r="AF3" s="29"/>
      <c r="AG3" s="29"/>
      <c r="AH3" s="30"/>
      <c r="AI3" s="28" t="s">
        <v>13</v>
      </c>
      <c r="AJ3" s="29"/>
      <c r="AK3" s="29"/>
      <c r="AL3" s="30"/>
      <c r="AM3" s="28" t="s">
        <v>14</v>
      </c>
      <c r="AN3" s="30"/>
    </row>
    <row r="4" customHeight="1" spans="1:40">
      <c r="A4" s="31" t="s">
        <v>15</v>
      </c>
      <c r="B4" s="31" t="s">
        <v>16</v>
      </c>
      <c r="C4" s="32" t="s">
        <v>17</v>
      </c>
      <c r="D4" s="33" t="s">
        <v>18</v>
      </c>
      <c r="E4" s="34" t="s">
        <v>19</v>
      </c>
      <c r="F4" s="34" t="s">
        <v>20</v>
      </c>
      <c r="G4" s="34" t="s">
        <v>21</v>
      </c>
      <c r="H4" s="35" t="s">
        <v>22</v>
      </c>
      <c r="I4" s="36" t="s">
        <v>23</v>
      </c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7" t="s">
        <v>24</v>
      </c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9"/>
    </row>
    <row r="5" ht="13.5" customHeight="1" spans="1:40">
      <c r="A5" s="40"/>
      <c r="B5" s="41"/>
      <c r="C5" s="32"/>
      <c r="D5" s="33"/>
      <c r="E5" s="34"/>
      <c r="F5" s="34"/>
      <c r="G5" s="34"/>
      <c r="H5" s="32"/>
      <c r="I5" s="36" t="s">
        <v>25</v>
      </c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42" t="s">
        <v>26</v>
      </c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</row>
    <row r="6" customHeight="1" spans="1:40">
      <c r="A6" s="40"/>
      <c r="B6" s="41"/>
      <c r="C6" s="32"/>
      <c r="D6" s="33"/>
      <c r="E6" s="34"/>
      <c r="F6" s="34"/>
      <c r="G6" s="34"/>
      <c r="H6" s="32"/>
      <c r="I6" s="43">
        <v>1</v>
      </c>
      <c r="J6" s="43">
        <v>2</v>
      </c>
      <c r="K6" s="43">
        <v>3</v>
      </c>
      <c r="L6" s="43">
        <v>4</v>
      </c>
      <c r="M6" s="36" t="s">
        <v>27</v>
      </c>
      <c r="N6" s="43"/>
      <c r="O6" s="43"/>
      <c r="P6" s="43"/>
      <c r="Q6" s="43"/>
      <c r="R6" s="43"/>
      <c r="S6" s="43"/>
      <c r="T6" s="43"/>
      <c r="U6" s="43"/>
      <c r="V6" s="36"/>
      <c r="W6" s="43"/>
      <c r="X6" s="43"/>
      <c r="Y6" s="44">
        <f t="shared" ref="Y6:AN6" si="0">I6</f>
        <v>1</v>
      </c>
      <c r="Z6" s="44">
        <f t="shared" si="0"/>
        <v>2</v>
      </c>
      <c r="AA6" s="44">
        <f t="shared" si="0"/>
        <v>3</v>
      </c>
      <c r="AB6" s="44">
        <f t="shared" si="0"/>
        <v>4</v>
      </c>
      <c r="AC6" s="44" t="str">
        <f t="shared" si="0"/>
        <v>复测1</v>
      </c>
      <c r="AD6" s="44">
        <f t="shared" si="0"/>
        <v>0</v>
      </c>
      <c r="AE6" s="44">
        <f t="shared" si="0"/>
        <v>0</v>
      </c>
      <c r="AF6" s="44">
        <f t="shared" si="0"/>
        <v>0</v>
      </c>
      <c r="AG6" s="44">
        <f t="shared" si="0"/>
        <v>0</v>
      </c>
      <c r="AH6" s="44">
        <f t="shared" si="0"/>
        <v>0</v>
      </c>
      <c r="AI6" s="44">
        <f t="shared" si="0"/>
        <v>0</v>
      </c>
      <c r="AJ6" s="44">
        <f t="shared" si="0"/>
        <v>0</v>
      </c>
      <c r="AK6" s="44">
        <f t="shared" si="0"/>
        <v>0</v>
      </c>
      <c r="AL6" s="44">
        <f t="shared" si="0"/>
        <v>0</v>
      </c>
      <c r="AM6" s="44">
        <f t="shared" si="0"/>
        <v>0</v>
      </c>
      <c r="AN6" s="44">
        <f t="shared" si="0"/>
        <v>0</v>
      </c>
    </row>
    <row r="7" ht="15" customHeight="1" spans="1:40">
      <c r="A7" s="45">
        <v>46202</v>
      </c>
      <c r="B7" s="46" t="s">
        <v>28</v>
      </c>
      <c r="C7" s="47">
        <v>0.59</v>
      </c>
      <c r="D7" s="47">
        <v>0.03</v>
      </c>
      <c r="E7" s="47">
        <v>-0.03</v>
      </c>
      <c r="F7" s="47">
        <f>C7+D7</f>
        <v>0.62</v>
      </c>
      <c r="G7" s="47">
        <f>C7+E7</f>
        <v>0.56</v>
      </c>
      <c r="H7" s="47" t="s">
        <v>29</v>
      </c>
      <c r="I7" s="48">
        <v>0.6226</v>
      </c>
      <c r="J7" s="48">
        <v>0.6048</v>
      </c>
      <c r="K7" s="48">
        <v>0.6111</v>
      </c>
      <c r="L7" s="48">
        <v>0.6122</v>
      </c>
      <c r="M7" s="48">
        <v>0.6222</v>
      </c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9">
        <f t="shared" ref="Y7:AN7" si="1">IF(I7="","",IF(I7&gt;($C7+$D7),(I7-$C7-$D7),IF(I7&lt;($C7+$E7),(I7-$C7-$E7),"√")))</f>
        <v>0.00260000000000007</v>
      </c>
      <c r="Z7" s="49" t="str">
        <f t="shared" si="1"/>
        <v>√</v>
      </c>
      <c r="AA7" s="49" t="str">
        <f t="shared" si="1"/>
        <v>√</v>
      </c>
      <c r="AB7" s="49" t="str">
        <f t="shared" si="1"/>
        <v>√</v>
      </c>
      <c r="AC7" s="49">
        <f t="shared" si="1"/>
        <v>0.00220000000000001</v>
      </c>
      <c r="AD7" s="49" t="str">
        <f t="shared" si="1"/>
        <v/>
      </c>
      <c r="AE7" s="49" t="str">
        <f t="shared" si="1"/>
        <v/>
      </c>
      <c r="AF7" s="49" t="str">
        <f t="shared" si="1"/>
        <v/>
      </c>
      <c r="AG7" s="49" t="str">
        <f t="shared" si="1"/>
        <v/>
      </c>
      <c r="AH7" s="49" t="str">
        <f t="shared" si="1"/>
        <v/>
      </c>
      <c r="AI7" s="49" t="str">
        <f t="shared" si="1"/>
        <v/>
      </c>
      <c r="AJ7" s="49" t="str">
        <f t="shared" si="1"/>
        <v/>
      </c>
      <c r="AK7" s="49" t="str">
        <f t="shared" si="1"/>
        <v/>
      </c>
      <c r="AL7" s="49" t="str">
        <f t="shared" si="1"/>
        <v/>
      </c>
      <c r="AM7" s="49" t="str">
        <f t="shared" si="1"/>
        <v/>
      </c>
      <c r="AN7" s="49" t="str">
        <f t="shared" si="1"/>
        <v/>
      </c>
    </row>
    <row r="8" ht="15" customHeight="1" spans="1:40">
      <c r="A8" s="45"/>
      <c r="B8" s="46" t="s">
        <v>30</v>
      </c>
      <c r="C8" s="47">
        <v>1.3</v>
      </c>
      <c r="D8" s="47">
        <v>0.03</v>
      </c>
      <c r="E8" s="47">
        <v>-0.03</v>
      </c>
      <c r="F8" s="47">
        <f>C8+D8</f>
        <v>1.33</v>
      </c>
      <c r="G8" s="47">
        <f>C8+E8</f>
        <v>1.27</v>
      </c>
      <c r="H8" s="47" t="s">
        <v>31</v>
      </c>
      <c r="I8" s="48">
        <v>1.292</v>
      </c>
      <c r="J8" s="48">
        <v>1.3176</v>
      </c>
      <c r="K8" s="48">
        <v>1.2793</v>
      </c>
      <c r="L8" s="48">
        <v>1.2924</v>
      </c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9" t="str">
        <f t="shared" ref="Y8:AN8" si="2">IF(I8="","",IF(I8&gt;($C8+$D8),(I8-$C8-$D8),IF(I8&lt;($C8+$E8),(I8-$C8-$E8),"√")))</f>
        <v>√</v>
      </c>
      <c r="Z8" s="49" t="str">
        <f t="shared" si="2"/>
        <v>√</v>
      </c>
      <c r="AA8" s="49" t="str">
        <f t="shared" si="2"/>
        <v>√</v>
      </c>
      <c r="AB8" s="49" t="str">
        <f t="shared" si="2"/>
        <v>√</v>
      </c>
      <c r="AC8" s="49" t="str">
        <f t="shared" si="2"/>
        <v/>
      </c>
      <c r="AD8" s="49" t="str">
        <f t="shared" si="2"/>
        <v/>
      </c>
      <c r="AE8" s="49" t="str">
        <f t="shared" si="2"/>
        <v/>
      </c>
      <c r="AF8" s="49" t="str">
        <f t="shared" si="2"/>
        <v/>
      </c>
      <c r="AG8" s="49" t="str">
        <f t="shared" si="2"/>
        <v/>
      </c>
      <c r="AH8" s="49" t="str">
        <f t="shared" si="2"/>
        <v/>
      </c>
      <c r="AI8" s="49" t="str">
        <f t="shared" si="2"/>
        <v/>
      </c>
      <c r="AJ8" s="49" t="str">
        <f t="shared" si="2"/>
        <v/>
      </c>
      <c r="AK8" s="49" t="str">
        <f t="shared" si="2"/>
        <v/>
      </c>
      <c r="AL8" s="49" t="str">
        <f t="shared" si="2"/>
        <v/>
      </c>
      <c r="AM8" s="49" t="str">
        <f t="shared" si="2"/>
        <v/>
      </c>
      <c r="AN8" s="49" t="str">
        <f t="shared" si="2"/>
        <v/>
      </c>
    </row>
    <row r="9" ht="15" customHeight="1" spans="1:40">
      <c r="A9" s="45"/>
      <c r="B9" s="46" t="s">
        <v>32</v>
      </c>
      <c r="C9" s="47">
        <v>1.57</v>
      </c>
      <c r="D9" s="47">
        <v>0.03</v>
      </c>
      <c r="E9" s="47">
        <v>-0.03</v>
      </c>
      <c r="F9" s="47">
        <f>C9+D9</f>
        <v>1.6</v>
      </c>
      <c r="G9" s="47">
        <f>C9+E9</f>
        <v>1.54</v>
      </c>
      <c r="H9" s="47" t="s">
        <v>31</v>
      </c>
      <c r="I9" s="48">
        <v>1.5485</v>
      </c>
      <c r="J9" s="48">
        <v>1.5556</v>
      </c>
      <c r="K9" s="48">
        <v>1.5493</v>
      </c>
      <c r="L9" s="48">
        <v>1.5534</v>
      </c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9" t="str">
        <f t="shared" ref="Y9:AN9" si="3">IF(I9="","",IF(I9&gt;($C9+$D9),(I9-$C9-$D9),IF(I9&lt;($C9+$E9),(I9-$C9-$E9),"√")))</f>
        <v>√</v>
      </c>
      <c r="Z9" s="49" t="str">
        <f t="shared" si="3"/>
        <v>√</v>
      </c>
      <c r="AA9" s="49" t="str">
        <f t="shared" si="3"/>
        <v>√</v>
      </c>
      <c r="AB9" s="49" t="str">
        <f t="shared" si="3"/>
        <v>√</v>
      </c>
      <c r="AC9" s="49" t="str">
        <f t="shared" si="3"/>
        <v/>
      </c>
      <c r="AD9" s="49" t="str">
        <f t="shared" si="3"/>
        <v/>
      </c>
      <c r="AE9" s="49" t="str">
        <f t="shared" si="3"/>
        <v/>
      </c>
      <c r="AF9" s="49" t="str">
        <f t="shared" si="3"/>
        <v/>
      </c>
      <c r="AG9" s="49" t="str">
        <f t="shared" si="3"/>
        <v/>
      </c>
      <c r="AH9" s="49" t="str">
        <f t="shared" si="3"/>
        <v/>
      </c>
      <c r="AI9" s="49" t="str">
        <f t="shared" si="3"/>
        <v/>
      </c>
      <c r="AJ9" s="49" t="str">
        <f t="shared" si="3"/>
        <v/>
      </c>
      <c r="AK9" s="49" t="str">
        <f t="shared" si="3"/>
        <v/>
      </c>
      <c r="AL9" s="49" t="str">
        <f t="shared" si="3"/>
        <v/>
      </c>
      <c r="AM9" s="49" t="str">
        <f t="shared" si="3"/>
        <v/>
      </c>
      <c r="AN9" s="49" t="str">
        <f t="shared" si="3"/>
        <v/>
      </c>
    </row>
  </sheetData>
  <mergeCells count="28">
    <mergeCell ref="A1:AN1"/>
    <mergeCell ref="R2:W2"/>
    <mergeCell ref="X2:AC2"/>
    <mergeCell ref="AD2:AH2"/>
    <mergeCell ref="AI2:AL2"/>
    <mergeCell ref="AM2:AN2"/>
    <mergeCell ref="R3:W3"/>
    <mergeCell ref="X3:AC3"/>
    <mergeCell ref="AD3:AH3"/>
    <mergeCell ref="AI3:AL3"/>
    <mergeCell ref="AM3:AN3"/>
    <mergeCell ref="I4:X4"/>
    <mergeCell ref="Y4:AN4"/>
    <mergeCell ref="I5:X5"/>
    <mergeCell ref="Y5:AN5"/>
    <mergeCell ref="A2:A3"/>
    <mergeCell ref="A4:A6"/>
    <mergeCell ref="A7:A9"/>
    <mergeCell ref="B4:B6"/>
    <mergeCell ref="C4:C6"/>
    <mergeCell ref="D4:D6"/>
    <mergeCell ref="E4:E6"/>
    <mergeCell ref="F4:F6"/>
    <mergeCell ref="G4:G6"/>
    <mergeCell ref="H4:H6"/>
    <mergeCell ref="G2:J3"/>
    <mergeCell ref="K2:Q3"/>
    <mergeCell ref="B2:F3"/>
  </mergeCells>
  <conditionalFormatting sqref="I9:X9">
    <cfRule type="cellIs" dxfId="0" priority="12" operator="notBetween">
      <formula>$F9</formula>
      <formula>$G9</formula>
    </cfRule>
  </conditionalFormatting>
  <conditionalFormatting sqref="I7:X8">
    <cfRule type="cellIs" dxfId="0" priority="14" operator="notBetween">
      <formula>$F7</formula>
      <formula>$G7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806-65037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2026-06-29T20:37:20Z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