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806-64563" sheetId="8" r:id="rId1"/>
  </sheets>
  <definedNames>
    <definedName name="_xlnm.Print_Area" localSheetId="0">'806-64563'!$B$1:$AE$6</definedName>
    <definedName name="_xlnm.Print_Titles" localSheetId="0">'806-64563'!$1:$6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<sst xmlns="http://schemas.openxmlformats.org/spreadsheetml/2006/main" count="107" uniqueCount="55">
  <si>
    <t>安徽中耀智能科技有限公司首件尺寸报告</t>
  </si>
  <si>
    <t>料号</t>
  </si>
  <si>
    <t>X806-64563</t>
  </si>
  <si>
    <t>工单号</t>
  </si>
  <si>
    <t>ww115-260617013</t>
  </si>
  <si>
    <t>工站</t>
  </si>
  <si>
    <t>射出机台号</t>
  </si>
  <si>
    <t>测量机台</t>
  </si>
  <si>
    <t>测量人员</t>
  </si>
  <si>
    <t>审核</t>
  </si>
  <si>
    <t>射出</t>
  </si>
  <si>
    <t>A16#</t>
  </si>
  <si>
    <t>OMM5#</t>
  </si>
  <si>
    <t>禹欣</t>
  </si>
  <si>
    <t>陈跃进</t>
  </si>
  <si>
    <t>日期</t>
  </si>
  <si>
    <t>尺寸编号</t>
  </si>
  <si>
    <t>SPC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</si>
  <si>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</si>
  <si>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</si>
  <si>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</si>
  <si>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</si>
  <si>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</si>
  <si>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</si>
  <si>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</si>
  <si>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</si>
  <si>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</si>
  <si>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</si>
  <si>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1-1</t>
  </si>
  <si>
    <t>1-2</t>
  </si>
  <si>
    <t>1-3</t>
  </si>
  <si>
    <t>1-4</t>
  </si>
  <si>
    <t>1-5</t>
  </si>
  <si>
    <t>1-6</t>
  </si>
  <si>
    <t>1-7</t>
  </si>
  <si>
    <t>1-8</t>
  </si>
  <si>
    <t>1-9</t>
  </si>
  <si>
    <t>1-10</t>
  </si>
  <si>
    <t>1-11</t>
  </si>
  <si>
    <t>1-12</t>
  </si>
  <si>
    <t>1-13</t>
  </si>
  <si>
    <t>1-14</t>
  </si>
  <si>
    <t>1-15</t>
  </si>
  <si>
    <t>1-16</t>
  </si>
  <si>
    <t>FAI15</t>
  </si>
  <si>
    <t>O</t>
  </si>
  <si>
    <t>OMM</t>
  </si>
  <si>
    <t>FAI13_1</t>
  </si>
  <si>
    <t>AD</t>
  </si>
  <si>
    <t>FAI13_2</t>
  </si>
  <si>
    <t>FAI2_1</t>
  </si>
  <si>
    <t>FAI2_2</t>
  </si>
  <si>
    <t>FAI5_1</t>
  </si>
  <si>
    <t>FAI5_2</t>
  </si>
  <si>
    <r>
      <t>复测</t>
    </r>
    <r>
      <rPr>
        <b/>
        <sz val="11"/>
        <rFont val="Arial"/>
        <charset val="134"/>
      </rPr>
      <t>1-10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</si>
</sst>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5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等线"/>
      <charset val="134"/>
    </font>
    <font>
      <sz val="12"/>
      <name val="新細明體"/>
      <charset val="134"/>
    </font>
    <font>
      <sz val="12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8290963469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1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17" applyNumberFormat="0" applyAlignment="0" applyProtection="0">
      <alignment vertical="center"/>
    </xf>
    <xf numFmtId="0" fontId="22" fillId="6" borderId="18" applyNumberFormat="0" applyAlignment="0" applyProtection="0">
      <alignment vertical="center"/>
    </xf>
    <xf numFmtId="0" fontId="23" fillId="6" borderId="17" applyNumberFormat="0" applyAlignment="0" applyProtection="0">
      <alignment vertical="center"/>
    </xf>
    <xf numFmtId="0" fontId="24" fillId="7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33" fillId="0" borderId="0"/>
    <xf numFmtId="0" fontId="33" fillId="0" borderId="0"/>
    <xf numFmtId="0" fontId="33" fillId="0" borderId="0">
      <alignment vertical="center"/>
    </xf>
    <xf numFmtId="0" fontId="33" fillId="0" borderId="0"/>
    <xf numFmtId="0" fontId="33" fillId="0" borderId="0">
      <alignment vertical="center"/>
    </xf>
    <xf numFmtId="0" fontId="33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/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34" fillId="0" borderId="0">
      <alignment vertical="center"/>
    </xf>
  </cellStyleXfs>
  <cellXfs count="57">
    <xf numFmtId="0" fontId="0" fillId="0" borderId="0" xfId="0">
      <alignment vertical="center"/>
    </xf>
    <xf numFmtId="0" fontId="1" fillId="0" borderId="1" xfId="70" applyFont="1" applyFill="1" applyBorder="1" applyAlignment="1" applyProtection="1">
      <alignment horizontal="center" vertical="center"/>
      <protection locked="0"/>
    </xf>
    <xf numFmtId="0" fontId="2" fillId="0" borderId="1" xfId="70" applyFont="1" applyFill="1" applyBorder="1" applyAlignment="1" applyProtection="1">
      <alignment horizontal="center" vertical="center"/>
      <protection locked="0"/>
    </xf>
    <xf numFmtId="0" fontId="3" fillId="0" borderId="2" xfId="70" applyFont="1" applyFill="1" applyBorder="1" applyAlignment="1" applyProtection="1">
      <alignment horizontal="center" vertical="center"/>
      <protection locked="0"/>
    </xf>
    <xf numFmtId="0" fontId="3" fillId="0" borderId="3" xfId="70" applyFont="1" applyFill="1" applyBorder="1" applyAlignment="1" applyProtection="1">
      <alignment horizontal="center" vertical="center"/>
      <protection locked="0"/>
    </xf>
    <xf numFmtId="0" fontId="3" fillId="0" borderId="4" xfId="70" applyFont="1" applyFill="1" applyBorder="1" applyAlignment="1" applyProtection="1">
      <alignment horizontal="center" vertical="center"/>
      <protection locked="0"/>
    </xf>
    <xf numFmtId="49" fontId="2" fillId="0" borderId="2" xfId="70" applyNumberFormat="1" applyFont="1" applyFill="1" applyBorder="1" applyAlignment="1">
      <alignment horizontal="center" vertical="center"/>
    </xf>
    <xf numFmtId="49" fontId="2" fillId="0" borderId="3" xfId="70" applyNumberFormat="1" applyFont="1" applyFill="1" applyBorder="1" applyAlignment="1">
      <alignment horizontal="center" vertical="center"/>
    </xf>
    <xf numFmtId="49" fontId="2" fillId="0" borderId="4" xfId="70" applyNumberFormat="1" applyFont="1" applyFill="1" applyBorder="1" applyAlignment="1">
      <alignment horizontal="center" vertical="center"/>
    </xf>
    <xf numFmtId="49" fontId="3" fillId="0" borderId="1" xfId="70" applyNumberFormat="1" applyFont="1" applyFill="1" applyBorder="1" applyAlignment="1">
      <alignment horizontal="center" vertical="center"/>
    </xf>
    <xf numFmtId="49" fontId="3" fillId="0" borderId="5" xfId="70" applyNumberFormat="1" applyFont="1" applyFill="1" applyBorder="1" applyAlignment="1">
      <alignment horizontal="center" vertical="center"/>
    </xf>
    <xf numFmtId="49" fontId="3" fillId="0" borderId="6" xfId="70" applyNumberFormat="1" applyFont="1" applyFill="1" applyBorder="1" applyAlignment="1">
      <alignment horizontal="center" vertical="center"/>
    </xf>
    <xf numFmtId="49" fontId="3" fillId="0" borderId="7" xfId="70" applyNumberFormat="1" applyFont="1" applyFill="1" applyBorder="1" applyAlignment="1">
      <alignment horizontal="center" vertical="center"/>
    </xf>
    <xf numFmtId="49" fontId="4" fillId="0" borderId="5" xfId="70" applyNumberFormat="1" applyFont="1" applyFill="1" applyBorder="1" applyAlignment="1" applyProtection="1">
      <alignment horizontal="center" vertical="center"/>
      <protection locked="0"/>
    </xf>
    <xf numFmtId="49" fontId="4" fillId="0" borderId="6" xfId="70" applyNumberFormat="1" applyFont="1" applyFill="1" applyBorder="1" applyAlignment="1" applyProtection="1">
      <alignment horizontal="center" vertical="center"/>
      <protection locked="0"/>
    </xf>
    <xf numFmtId="49" fontId="4" fillId="0" borderId="7" xfId="70" applyNumberFormat="1" applyFont="1" applyFill="1" applyBorder="1" applyAlignment="1" applyProtection="1">
      <alignment horizontal="center" vertical="center"/>
      <protection locked="0"/>
    </xf>
    <xf numFmtId="49" fontId="3" fillId="0" borderId="5" xfId="111" applyNumberFormat="1" applyFont="1" applyFill="1" applyBorder="1" applyAlignment="1">
      <alignment horizontal="center" vertical="center"/>
    </xf>
    <xf numFmtId="49" fontId="3" fillId="0" borderId="6" xfId="111" applyNumberFormat="1" applyFont="1" applyFill="1" applyBorder="1" applyAlignment="1">
      <alignment horizontal="center" vertical="center"/>
    </xf>
    <xf numFmtId="49" fontId="3" fillId="0" borderId="7" xfId="111" applyNumberFormat="1" applyFont="1" applyFill="1" applyBorder="1" applyAlignment="1">
      <alignment horizontal="center" vertical="center"/>
    </xf>
    <xf numFmtId="0" fontId="3" fillId="0" borderId="8" xfId="70" applyFont="1" applyFill="1" applyBorder="1" applyAlignment="1" applyProtection="1">
      <alignment horizontal="center" vertical="center"/>
      <protection locked="0"/>
    </xf>
    <xf numFmtId="0" fontId="3" fillId="0" borderId="9" xfId="70" applyFont="1" applyFill="1" applyBorder="1" applyAlignment="1" applyProtection="1">
      <alignment horizontal="center" vertical="center"/>
      <protection locked="0"/>
    </xf>
    <xf numFmtId="0" fontId="3" fillId="0" borderId="10" xfId="70" applyFont="1" applyFill="1" applyBorder="1" applyAlignment="1" applyProtection="1">
      <alignment horizontal="center" vertical="center"/>
      <protection locked="0"/>
    </xf>
    <xf numFmtId="49" fontId="2" fillId="0" borderId="8" xfId="70" applyNumberFormat="1" applyFont="1" applyFill="1" applyBorder="1" applyAlignment="1">
      <alignment horizontal="center" vertical="center"/>
    </xf>
    <xf numFmtId="49" fontId="2" fillId="0" borderId="9" xfId="70" applyNumberFormat="1" applyFont="1" applyFill="1" applyBorder="1" applyAlignment="1">
      <alignment horizontal="center" vertical="center"/>
    </xf>
    <xf numFmtId="49" fontId="2" fillId="0" borderId="10" xfId="70" applyNumberFormat="1" applyFont="1" applyFill="1" applyBorder="1" applyAlignment="1">
      <alignment horizontal="center" vertical="center"/>
    </xf>
    <xf numFmtId="0" fontId="3" fillId="0" borderId="5" xfId="70" applyFont="1" applyFill="1" applyBorder="1" applyAlignment="1" applyProtection="1">
      <alignment horizontal="center" vertical="center"/>
      <protection locked="0"/>
    </xf>
    <xf numFmtId="0" fontId="3" fillId="0" borderId="6" xfId="70" applyFont="1" applyFill="1" applyBorder="1" applyAlignment="1" applyProtection="1">
      <alignment horizontal="center" vertical="center"/>
      <protection locked="0"/>
    </xf>
    <xf numFmtId="0" fontId="3" fillId="0" borderId="7" xfId="70" applyFont="1" applyFill="1" applyBorder="1" applyAlignment="1" applyProtection="1">
      <alignment horizontal="center" vertical="center"/>
      <protection locked="0"/>
    </xf>
    <xf numFmtId="176" fontId="3" fillId="0" borderId="5" xfId="111" applyNumberFormat="1" applyFont="1" applyFill="1" applyBorder="1" applyAlignment="1">
      <alignment horizontal="center" vertical="center"/>
    </xf>
    <xf numFmtId="176" fontId="3" fillId="0" borderId="6" xfId="111" applyNumberFormat="1" applyFont="1" applyFill="1" applyBorder="1" applyAlignment="1">
      <alignment horizontal="center" vertical="center"/>
    </xf>
    <xf numFmtId="176" fontId="3" fillId="0" borderId="7" xfId="111" applyNumberFormat="1" applyFont="1" applyFill="1" applyBorder="1" applyAlignment="1">
      <alignment horizontal="center" vertical="center"/>
    </xf>
    <xf numFmtId="49" fontId="5" fillId="0" borderId="1" xfId="70" applyNumberFormat="1" applyFont="1" applyFill="1" applyBorder="1" applyAlignment="1" applyProtection="1">
      <alignment horizontal="center" vertical="center" wrapText="1"/>
      <protection locked="0"/>
    </xf>
    <xf numFmtId="49" fontId="5" fillId="0" borderId="11" xfId="70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70" applyFont="1" applyFill="1" applyBorder="1" applyAlignment="1" applyProtection="1">
      <alignment horizontal="center" vertical="center"/>
      <protection locked="0"/>
    </xf>
    <xf numFmtId="177" fontId="5" fillId="0" borderId="1" xfId="70" applyNumberFormat="1" applyFont="1" applyFill="1" applyBorder="1" applyAlignment="1">
      <alignment horizontal="center" vertical="center"/>
    </xf>
    <xf numFmtId="177" fontId="5" fillId="0" borderId="1" xfId="70" applyNumberFormat="1" applyFont="1" applyFill="1" applyBorder="1" applyAlignment="1" applyProtection="1">
      <alignment horizontal="center" vertical="center"/>
      <protection locked="0"/>
    </xf>
    <xf numFmtId="0" fontId="5" fillId="0" borderId="1" xfId="70" applyFont="1" applyFill="1" applyBorder="1" applyAlignment="1" applyProtection="1">
      <alignment horizontal="center" vertical="center" wrapText="1"/>
      <protection locked="0"/>
    </xf>
    <xf numFmtId="0" fontId="6" fillId="2" borderId="1" xfId="70" applyFont="1" applyFill="1" applyBorder="1" applyAlignment="1" applyProtection="1">
      <alignment horizontal="center" vertical="center"/>
      <protection locked="0"/>
    </xf>
    <xf numFmtId="0" fontId="6" fillId="3" borderId="5" xfId="70" applyFont="1" applyFill="1" applyBorder="1" applyAlignment="1">
      <alignment horizontal="center" vertical="center"/>
    </xf>
    <xf numFmtId="0" fontId="6" fillId="3" borderId="6" xfId="70" applyFont="1" applyFill="1" applyBorder="1" applyAlignment="1">
      <alignment horizontal="center" vertical="center"/>
    </xf>
    <xf numFmtId="0" fontId="6" fillId="3" borderId="7" xfId="70" applyFont="1" applyFill="1" applyBorder="1" applyAlignment="1">
      <alignment horizontal="center" vertical="center"/>
    </xf>
    <xf numFmtId="49" fontId="7" fillId="0" borderId="1" xfId="70" applyNumberFormat="1" applyFont="1" applyFill="1" applyBorder="1" applyAlignment="1" applyProtection="1">
      <alignment horizontal="center" vertical="center" wrapText="1"/>
      <protection locked="0"/>
    </xf>
    <xf numFmtId="49" fontId="7" fillId="0" borderId="1" xfId="70" applyNumberFormat="1" applyFont="1" applyFill="1" applyBorder="1" applyAlignment="1" applyProtection="1">
      <alignment horizontal="center" vertical="center"/>
      <protection locked="0"/>
    </xf>
    <xf numFmtId="49" fontId="5" fillId="0" borderId="12" xfId="70" applyNumberFormat="1" applyFont="1" applyFill="1" applyBorder="1" applyAlignment="1" applyProtection="1">
      <alignment horizontal="center" vertical="center" wrapText="1"/>
      <protection locked="0"/>
    </xf>
    <xf numFmtId="0" fontId="6" fillId="3" borderId="1" xfId="70" applyFont="1" applyFill="1" applyBorder="1" applyAlignment="1">
      <alignment horizontal="center" vertical="center"/>
    </xf>
    <xf numFmtId="49" fontId="5" fillId="0" borderId="13" xfId="70" applyNumberFormat="1" applyFont="1" applyFill="1" applyBorder="1" applyAlignment="1" applyProtection="1">
      <alignment horizontal="center" vertical="center" wrapText="1"/>
      <protection locked="0"/>
    </xf>
    <xf numFmtId="49" fontId="8" fillId="2" borderId="1" xfId="70" applyNumberFormat="1" applyFont="1" applyFill="1" applyBorder="1" applyAlignment="1" applyProtection="1">
      <alignment horizontal="center" vertical="center" wrapText="1"/>
      <protection locked="0"/>
    </xf>
    <xf numFmtId="0" fontId="8" fillId="3" borderId="1" xfId="70" applyFont="1" applyFill="1" applyBorder="1" applyAlignment="1">
      <alignment horizontal="center" vertical="center"/>
    </xf>
    <xf numFmtId="14" fontId="9" fillId="0" borderId="11" xfId="0" applyNumberFormat="1" applyFont="1" applyBorder="1" applyAlignment="1">
      <alignment horizontal="center" vertical="center" wrapText="1"/>
    </xf>
    <xf numFmtId="0" fontId="10" fillId="0" borderId="7" xfId="57" applyFont="1" applyBorder="1" applyAlignment="1">
      <alignment horizontal="center" vertical="center"/>
    </xf>
    <xf numFmtId="0" fontId="11" fillId="0" borderId="1" xfId="69" applyFont="1" applyBorder="1" applyAlignment="1">
      <alignment horizontal="center" vertical="center"/>
    </xf>
    <xf numFmtId="0" fontId="11" fillId="0" borderId="1" xfId="69" applyFont="1" applyFill="1" applyBorder="1" applyAlignment="1">
      <alignment horizontal="center" vertical="center"/>
    </xf>
    <xf numFmtId="177" fontId="10" fillId="2" borderId="1" xfId="72" applyNumberFormat="1" applyFont="1" applyFill="1" applyBorder="1" applyAlignment="1">
      <alignment horizontal="center" vertical="center"/>
    </xf>
    <xf numFmtId="0" fontId="12" fillId="3" borderId="1" xfId="70" applyFont="1" applyFill="1" applyBorder="1" applyAlignment="1">
      <alignment horizontal="center" vertical="center"/>
    </xf>
    <xf numFmtId="14" fontId="9" fillId="0" borderId="12" xfId="0" applyNumberFormat="1" applyFont="1" applyBorder="1" applyAlignment="1">
      <alignment horizontal="center" vertical="center" wrapText="1"/>
    </xf>
    <xf numFmtId="14" fontId="9" fillId="0" borderId="13" xfId="0" applyNumberFormat="1" applyFont="1" applyBorder="1" applyAlignment="1">
      <alignment horizontal="center" vertical="center" wrapText="1"/>
    </xf>
    <xf numFmtId="49" fontId="6" fillId="2" borderId="1" xfId="70" applyNumberFormat="1" applyFont="1" applyFill="1" applyBorder="1" applyAlignment="1" applyProtection="1">
      <alignment horizontal="center" vertical="center" wrapText="1"/>
      <protection locked="0"/>
    </xf>
  </cellXfs>
  <cellStyles count="11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0 2" xfId="50"/>
    <cellStyle name="常规 11" xfId="51"/>
    <cellStyle name="常规 11 2" xfId="52"/>
    <cellStyle name="常规 12" xfId="53"/>
    <cellStyle name="常规 12 2" xfId="54"/>
    <cellStyle name="常规 13" xfId="55"/>
    <cellStyle name="常规 13 2" xfId="56"/>
    <cellStyle name="常规 14" xfId="57"/>
    <cellStyle name="常规 14 2" xfId="58"/>
    <cellStyle name="常规 15" xfId="59"/>
    <cellStyle name="常规 15 2" xfId="60"/>
    <cellStyle name="常规 16" xfId="61"/>
    <cellStyle name="常规 16 2" xfId="62"/>
    <cellStyle name="常规 17" xfId="63"/>
    <cellStyle name="常规 17 2" xfId="64"/>
    <cellStyle name="常规 18" xfId="65"/>
    <cellStyle name="常规 18 2" xfId="66"/>
    <cellStyle name="常规 19" xfId="67"/>
    <cellStyle name="常规 19 2" xfId="68"/>
    <cellStyle name="常规 2" xfId="69"/>
    <cellStyle name="常规 2 2" xfId="70"/>
    <cellStyle name="常规 2 2 2" xfId="71"/>
    <cellStyle name="常规 2 2 2 4" xfId="72"/>
    <cellStyle name="常规 2 2 2 4 2" xfId="73"/>
    <cellStyle name="常规 2 3" xfId="74"/>
    <cellStyle name="常规 20" xfId="75"/>
    <cellStyle name="常规 20 2" xfId="76"/>
    <cellStyle name="常规 21" xfId="77"/>
    <cellStyle name="常规 21 2" xfId="78"/>
    <cellStyle name="常规 22" xfId="79"/>
    <cellStyle name="常规 22 2" xfId="80"/>
    <cellStyle name="常规 23" xfId="81"/>
    <cellStyle name="常规 23 2" xfId="82"/>
    <cellStyle name="常规 24" xfId="83"/>
    <cellStyle name="常规 24 2" xfId="84"/>
    <cellStyle name="常规 25" xfId="85"/>
    <cellStyle name="常规 25 2" xfId="86"/>
    <cellStyle name="常规 26" xfId="87"/>
    <cellStyle name="常规 26 2" xfId="88"/>
    <cellStyle name="常规 27" xfId="89"/>
    <cellStyle name="常规 27 2" xfId="90"/>
    <cellStyle name="常规 28" xfId="91"/>
    <cellStyle name="常规 28 2" xfId="92"/>
    <cellStyle name="常规 29" xfId="93"/>
    <cellStyle name="常规 29 2" xfId="94"/>
    <cellStyle name="常规 3" xfId="95"/>
    <cellStyle name="常规 3 2" xfId="96"/>
    <cellStyle name="常规 30" xfId="97"/>
    <cellStyle name="常规 31" xfId="98"/>
    <cellStyle name="常规 4" xfId="99"/>
    <cellStyle name="常规 4 2" xfId="100"/>
    <cellStyle name="常规 5" xfId="101"/>
    <cellStyle name="常规 5 2" xfId="102"/>
    <cellStyle name="常规 6" xfId="103"/>
    <cellStyle name="常规 6 2" xfId="104"/>
    <cellStyle name="常规 7" xfId="105"/>
    <cellStyle name="常规 7 2" xfId="106"/>
    <cellStyle name="常规 8" xfId="107"/>
    <cellStyle name="常规 8 2" xfId="108"/>
    <cellStyle name="常规 9" xfId="109"/>
    <cellStyle name="常规 9 2" xfId="110"/>
    <cellStyle name="普通 2" xfId="111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195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26"/>
  <sheetViews>
    <sheetView tabSelected="1" workbookViewId="0">
      <selection activeCell="O15" sqref="O15"/>
    </sheetView>
  </sheetViews>
  <sheetFormatPr defaultColWidth="9" defaultRowHeight="14.25"/>
  <cols>
    <col min="1" max="41" width="9.2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 t="s">
        <v>4</v>
      </c>
      <c r="M2" s="9"/>
      <c r="N2" s="9"/>
      <c r="O2" s="9"/>
      <c r="P2" s="9"/>
      <c r="Q2" s="9"/>
      <c r="R2" s="9"/>
      <c r="S2" s="10" t="s">
        <v>5</v>
      </c>
      <c r="T2" s="11"/>
      <c r="U2" s="11"/>
      <c r="V2" s="11"/>
      <c r="W2" s="11"/>
      <c r="X2" s="12"/>
      <c r="Y2" s="13" t="s">
        <v>6</v>
      </c>
      <c r="Z2" s="14"/>
      <c r="AA2" s="14"/>
      <c r="AB2" s="14"/>
      <c r="AC2" s="14"/>
      <c r="AD2" s="15"/>
      <c r="AE2" s="13" t="s">
        <v>7</v>
      </c>
      <c r="AF2" s="14"/>
      <c r="AG2" s="14"/>
      <c r="AH2" s="14"/>
      <c r="AI2" s="15"/>
      <c r="AJ2" s="16" t="s">
        <v>8</v>
      </c>
      <c r="AK2" s="17"/>
      <c r="AL2" s="17"/>
      <c r="AM2" s="18"/>
      <c r="AN2" s="16" t="s">
        <v>9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10</v>
      </c>
      <c r="T3" s="26"/>
      <c r="U3" s="26"/>
      <c r="V3" s="26"/>
      <c r="W3" s="26"/>
      <c r="X3" s="27"/>
      <c r="Y3" s="25" t="s">
        <v>11</v>
      </c>
      <c r="Z3" s="26"/>
      <c r="AA3" s="26"/>
      <c r="AB3" s="26"/>
      <c r="AC3" s="26"/>
      <c r="AD3" s="27"/>
      <c r="AE3" s="28" t="s">
        <v>12</v>
      </c>
      <c r="AF3" s="29"/>
      <c r="AG3" s="29"/>
      <c r="AH3" s="29"/>
      <c r="AI3" s="30"/>
      <c r="AJ3" s="28" t="s">
        <v>13</v>
      </c>
      <c r="AK3" s="29"/>
      <c r="AL3" s="29"/>
      <c r="AM3" s="30"/>
      <c r="AN3" s="28" t="s">
        <v>14</v>
      </c>
      <c r="AO3" s="30"/>
    </row>
    <row r="4" customHeight="1" spans="1:41">
      <c r="A4" s="31" t="s">
        <v>15</v>
      </c>
      <c r="B4" s="31" t="s">
        <v>16</v>
      </c>
      <c r="C4" s="32" t="s">
        <v>17</v>
      </c>
      <c r="D4" s="33" t="s">
        <v>18</v>
      </c>
      <c r="E4" s="34" t="s">
        <v>19</v>
      </c>
      <c r="F4" s="35" t="s">
        <v>20</v>
      </c>
      <c r="G4" s="35" t="s">
        <v>21</v>
      </c>
      <c r="H4" s="35" t="s">
        <v>22</v>
      </c>
      <c r="I4" s="36" t="s">
        <v>23</v>
      </c>
      <c r="J4" s="37" t="s">
        <v>24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25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37" t="s">
        <v>26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4" t="s">
        <v>27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customHeight="1" spans="1:41">
      <c r="A6" s="41"/>
      <c r="B6" s="42"/>
      <c r="C6" s="45"/>
      <c r="D6" s="33"/>
      <c r="E6" s="34"/>
      <c r="F6" s="35"/>
      <c r="G6" s="35"/>
      <c r="H6" s="35"/>
      <c r="I6" s="33"/>
      <c r="J6" s="46" t="s">
        <v>28</v>
      </c>
      <c r="K6" s="46" t="s">
        <v>29</v>
      </c>
      <c r="L6" s="46" t="s">
        <v>30</v>
      </c>
      <c r="M6" s="46" t="s">
        <v>31</v>
      </c>
      <c r="N6" s="46" t="s">
        <v>32</v>
      </c>
      <c r="O6" s="46" t="s">
        <v>33</v>
      </c>
      <c r="P6" s="46" t="s">
        <v>34</v>
      </c>
      <c r="Q6" s="46" t="s">
        <v>35</v>
      </c>
      <c r="R6" s="46" t="s">
        <v>36</v>
      </c>
      <c r="S6" s="46" t="s">
        <v>37</v>
      </c>
      <c r="T6" s="46" t="s">
        <v>38</v>
      </c>
      <c r="U6" s="46" t="s">
        <v>39</v>
      </c>
      <c r="V6" s="46" t="s">
        <v>40</v>
      </c>
      <c r="W6" s="46" t="s">
        <v>41</v>
      </c>
      <c r="X6" s="46" t="s">
        <v>42</v>
      </c>
      <c r="Y6" s="46" t="s">
        <v>43</v>
      </c>
      <c r="Z6" s="47" t="str">
        <f t="shared" ref="Z6:AO6" si="0">J6</f>
        <v>1-1</v>
      </c>
      <c r="AA6" s="47" t="str">
        <f t="shared" si="0"/>
        <v>1-2</v>
      </c>
      <c r="AB6" s="47" t="str">
        <f t="shared" si="0"/>
        <v>1-3</v>
      </c>
      <c r="AC6" s="47" t="str">
        <f t="shared" si="0"/>
        <v>1-4</v>
      </c>
      <c r="AD6" s="47" t="str">
        <f t="shared" si="0"/>
        <v>1-5</v>
      </c>
      <c r="AE6" s="47" t="str">
        <f t="shared" si="0"/>
        <v>1-6</v>
      </c>
      <c r="AF6" s="47" t="str">
        <f t="shared" si="0"/>
        <v>1-7</v>
      </c>
      <c r="AG6" s="47" t="str">
        <f t="shared" si="0"/>
        <v>1-8</v>
      </c>
      <c r="AH6" s="47" t="str">
        <f t="shared" si="0"/>
        <v>1-9</v>
      </c>
      <c r="AI6" s="47" t="str">
        <f t="shared" si="0"/>
        <v>1-10</v>
      </c>
      <c r="AJ6" s="47" t="str">
        <f t="shared" si="0"/>
        <v>1-11</v>
      </c>
      <c r="AK6" s="47" t="str">
        <f t="shared" si="0"/>
        <v>1-12</v>
      </c>
      <c r="AL6" s="47" t="str">
        <f t="shared" si="0"/>
        <v>1-13</v>
      </c>
      <c r="AM6" s="47" t="str">
        <f t="shared" si="0"/>
        <v>1-14</v>
      </c>
      <c r="AN6" s="47" t="str">
        <f t="shared" si="0"/>
        <v>1-15</v>
      </c>
      <c r="AO6" s="47" t="str">
        <f t="shared" si="0"/>
        <v>1-16</v>
      </c>
    </row>
    <row r="7" ht="15" customHeight="1" spans="1:41">
      <c r="A7" s="48">
        <v>46202</v>
      </c>
      <c r="B7" s="49" t="s">
        <v>44</v>
      </c>
      <c r="C7" s="49" t="s">
        <v>45</v>
      </c>
      <c r="D7" s="50">
        <v>6.26</v>
      </c>
      <c r="E7" s="50">
        <v>0.025</v>
      </c>
      <c r="F7" s="50">
        <v>-0.025</v>
      </c>
      <c r="G7" s="51">
        <f t="shared" ref="G7:G13" si="1">D7+E7</f>
        <v>6.285</v>
      </c>
      <c r="H7" s="51">
        <f t="shared" ref="H7:H13" si="2">D7+F7</f>
        <v>6.235</v>
      </c>
      <c r="I7" s="50" t="s">
        <v>46</v>
      </c>
      <c r="J7" s="52">
        <v>6.2714</v>
      </c>
      <c r="K7" s="52">
        <v>6.2805</v>
      </c>
      <c r="L7" s="52">
        <v>6.2928</v>
      </c>
      <c r="M7" s="52">
        <v>6.2849</v>
      </c>
      <c r="N7" s="52">
        <v>6.278</v>
      </c>
      <c r="O7" s="52">
        <v>6.2865</v>
      </c>
      <c r="P7" s="52">
        <v>6.2921</v>
      </c>
      <c r="Q7" s="52">
        <v>6.2736</v>
      </c>
      <c r="R7" s="52">
        <v>6.28</v>
      </c>
      <c r="S7" s="52">
        <v>6.3178</v>
      </c>
      <c r="T7" s="52">
        <v>6.2792</v>
      </c>
      <c r="U7" s="52">
        <v>6.2817</v>
      </c>
      <c r="V7" s="52">
        <v>6.2845</v>
      </c>
      <c r="W7" s="52">
        <v>6.2819</v>
      </c>
      <c r="X7" s="52">
        <v>6.3083</v>
      </c>
      <c r="Y7" s="52">
        <v>6.2903</v>
      </c>
      <c r="Z7" s="53" t="str">
        <f t="shared" ref="Z7:Z13" si="3">IF(J7="","",IF(J7&gt;($D7+$E7),(J7-$D7-$E7),IF(J7&lt;($D7+$F7),(J7-$D7-$F7),"√")))</f>
        <v>√</v>
      </c>
      <c r="AA7" s="53" t="str">
        <f t="shared" ref="AA7:AA13" si="4">IF(K7="","",IF(K7&gt;($D7+$E7),(K7-$D7-$E7),IF(K7&lt;($D7+$F7),(K7-$D7-$F7),"√")))</f>
        <v>√</v>
      </c>
      <c r="AB7" s="53">
        <f t="shared" ref="AB7:AO11" si="5">IF(L7="","",IF(L7&gt;($D7+$E7),(L7-$D7-$E7),IF(L7&lt;($D7+$F7),(L7-$D7-$F7),"√")))</f>
        <v>0.00779999999999994</v>
      </c>
      <c r="AC7" s="53" t="str">
        <f t="shared" si="5"/>
        <v>√</v>
      </c>
      <c r="AD7" s="53" t="str">
        <f t="shared" si="5"/>
        <v>√</v>
      </c>
      <c r="AE7" s="53">
        <f t="shared" si="5"/>
        <v>0.00150000000000041</v>
      </c>
      <c r="AF7" s="53">
        <f t="shared" si="5"/>
        <v>0.00709999999999979</v>
      </c>
      <c r="AG7" s="53" t="str">
        <f t="shared" si="5"/>
        <v>√</v>
      </c>
      <c r="AH7" s="53" t="str">
        <f t="shared" si="5"/>
        <v>√</v>
      </c>
      <c r="AI7" s="53">
        <f t="shared" si="5"/>
        <v>0.0328000000000003</v>
      </c>
      <c r="AJ7" s="53" t="str">
        <f t="shared" si="5"/>
        <v>√</v>
      </c>
      <c r="AK7" s="53" t="str">
        <f t="shared" si="5"/>
        <v>√</v>
      </c>
      <c r="AL7" s="53" t="str">
        <f t="shared" si="5"/>
        <v>√</v>
      </c>
      <c r="AM7" s="53" t="str">
        <f t="shared" si="5"/>
        <v>√</v>
      </c>
      <c r="AN7" s="53">
        <f t="shared" si="5"/>
        <v>0.0233000000000002</v>
      </c>
      <c r="AO7" s="53">
        <f t="shared" si="5"/>
        <v>0.00530000000000044</v>
      </c>
    </row>
    <row r="8" ht="15" customHeight="1" spans="1:41">
      <c r="A8" s="54"/>
      <c r="B8" s="49" t="s">
        <v>47</v>
      </c>
      <c r="C8" s="49" t="s">
        <v>48</v>
      </c>
      <c r="D8" s="50">
        <v>2.44</v>
      </c>
      <c r="E8" s="50">
        <v>0.03</v>
      </c>
      <c r="F8" s="50">
        <v>-0.03</v>
      </c>
      <c r="G8" s="51">
        <f t="shared" si="1"/>
        <v>2.47</v>
      </c>
      <c r="H8" s="51">
        <f t="shared" si="2"/>
        <v>2.41</v>
      </c>
      <c r="I8" s="50" t="s">
        <v>46</v>
      </c>
      <c r="J8" s="52">
        <v>2.4355</v>
      </c>
      <c r="K8" s="52">
        <v>2.4195</v>
      </c>
      <c r="L8" s="52">
        <v>2.4125</v>
      </c>
      <c r="M8" s="52">
        <v>2.4252</v>
      </c>
      <c r="N8" s="52">
        <v>2.4074</v>
      </c>
      <c r="O8" s="52">
        <v>2.4192</v>
      </c>
      <c r="P8" s="52">
        <v>2.4191</v>
      </c>
      <c r="Q8" s="52">
        <v>2.4334</v>
      </c>
      <c r="R8" s="52">
        <v>2.4191</v>
      </c>
      <c r="S8" s="52">
        <v>2.4207</v>
      </c>
      <c r="T8" s="52">
        <v>2.4334</v>
      </c>
      <c r="U8" s="52">
        <v>2.4185</v>
      </c>
      <c r="V8" s="52">
        <v>2.418</v>
      </c>
      <c r="W8" s="52">
        <v>2.4172</v>
      </c>
      <c r="X8" s="52">
        <v>2.4181</v>
      </c>
      <c r="Y8" s="52">
        <v>2.418</v>
      </c>
      <c r="Z8" s="53" t="str">
        <f t="shared" si="3"/>
        <v>√</v>
      </c>
      <c r="AA8" s="53" t="str">
        <f t="shared" si="4"/>
        <v>√</v>
      </c>
      <c r="AB8" s="53" t="str">
        <f t="shared" ref="AB8:AO8" si="6">IF(L8="","",IF(L8&gt;($D8+$E8),(L8-$D8-$E8),IF(L8&lt;($D8+$F8),(L8-$D8-$F8),"√")))</f>
        <v>√</v>
      </c>
      <c r="AC8" s="53" t="str">
        <f t="shared" si="6"/>
        <v>√</v>
      </c>
      <c r="AD8" s="53">
        <f t="shared" si="6"/>
        <v>-0.00259999999999996</v>
      </c>
      <c r="AE8" s="53" t="str">
        <f t="shared" si="6"/>
        <v>√</v>
      </c>
      <c r="AF8" s="53" t="str">
        <f t="shared" si="6"/>
        <v>√</v>
      </c>
      <c r="AG8" s="53" t="str">
        <f t="shared" si="6"/>
        <v>√</v>
      </c>
      <c r="AH8" s="53" t="str">
        <f t="shared" si="6"/>
        <v>√</v>
      </c>
      <c r="AI8" s="53" t="str">
        <f t="shared" si="6"/>
        <v>√</v>
      </c>
      <c r="AJ8" s="53" t="str">
        <f t="shared" si="6"/>
        <v>√</v>
      </c>
      <c r="AK8" s="53" t="str">
        <f t="shared" si="6"/>
        <v>√</v>
      </c>
      <c r="AL8" s="53" t="str">
        <f t="shared" si="6"/>
        <v>√</v>
      </c>
      <c r="AM8" s="53" t="str">
        <f t="shared" si="6"/>
        <v>√</v>
      </c>
      <c r="AN8" s="53" t="str">
        <f t="shared" si="6"/>
        <v>√</v>
      </c>
      <c r="AO8" s="53" t="str">
        <f t="shared" si="6"/>
        <v>√</v>
      </c>
    </row>
    <row r="9" ht="15" customHeight="1" spans="1:41">
      <c r="A9" s="54"/>
      <c r="B9" s="49" t="s">
        <v>49</v>
      </c>
      <c r="C9" s="49" t="s">
        <v>48</v>
      </c>
      <c r="D9" s="50">
        <v>2.44</v>
      </c>
      <c r="E9" s="50">
        <v>0.03</v>
      </c>
      <c r="F9" s="50">
        <v>-0.03</v>
      </c>
      <c r="G9" s="51">
        <f t="shared" si="1"/>
        <v>2.47</v>
      </c>
      <c r="H9" s="51">
        <f t="shared" si="2"/>
        <v>2.41</v>
      </c>
      <c r="I9" s="50" t="s">
        <v>46</v>
      </c>
      <c r="J9" s="52">
        <v>2.4334</v>
      </c>
      <c r="K9" s="52">
        <v>2.4224</v>
      </c>
      <c r="L9" s="52">
        <v>2.4207</v>
      </c>
      <c r="M9" s="52">
        <v>2.4234</v>
      </c>
      <c r="N9" s="52">
        <v>2.4224</v>
      </c>
      <c r="O9" s="52">
        <v>2.416</v>
      </c>
      <c r="P9" s="52">
        <v>2.4231</v>
      </c>
      <c r="Q9" s="52">
        <v>2.4313</v>
      </c>
      <c r="R9" s="52">
        <v>2.4209</v>
      </c>
      <c r="S9" s="52">
        <v>2.4121</v>
      </c>
      <c r="T9" s="52">
        <v>2.4225</v>
      </c>
      <c r="U9" s="52">
        <v>2.4187</v>
      </c>
      <c r="V9" s="52">
        <v>2.4187</v>
      </c>
      <c r="W9" s="52">
        <v>2.4181</v>
      </c>
      <c r="X9" s="52">
        <v>2.4138</v>
      </c>
      <c r="Y9" s="52">
        <v>2.419</v>
      </c>
      <c r="Z9" s="53" t="str">
        <f t="shared" si="3"/>
        <v>√</v>
      </c>
      <c r="AA9" s="53" t="str">
        <f t="shared" si="4"/>
        <v>√</v>
      </c>
      <c r="AB9" s="53" t="str">
        <f t="shared" ref="AB9:AO9" si="7">IF(L9="","",IF(L9&gt;($D9+$E9),(L9-$D9-$E9),IF(L9&lt;($D9+$F9),(L9-$D9-$F9),"√")))</f>
        <v>√</v>
      </c>
      <c r="AC9" s="53" t="str">
        <f t="shared" si="7"/>
        <v>√</v>
      </c>
      <c r="AD9" s="53" t="str">
        <f t="shared" si="7"/>
        <v>√</v>
      </c>
      <c r="AE9" s="53" t="str">
        <f t="shared" si="7"/>
        <v>√</v>
      </c>
      <c r="AF9" s="53" t="str">
        <f t="shared" si="7"/>
        <v>√</v>
      </c>
      <c r="AG9" s="53" t="str">
        <f t="shared" si="7"/>
        <v>√</v>
      </c>
      <c r="AH9" s="53" t="str">
        <f t="shared" si="7"/>
        <v>√</v>
      </c>
      <c r="AI9" s="53" t="str">
        <f t="shared" si="7"/>
        <v>√</v>
      </c>
      <c r="AJ9" s="53" t="str">
        <f t="shared" si="7"/>
        <v>√</v>
      </c>
      <c r="AK9" s="53" t="str">
        <f t="shared" si="7"/>
        <v>√</v>
      </c>
      <c r="AL9" s="53" t="str">
        <f t="shared" si="7"/>
        <v>√</v>
      </c>
      <c r="AM9" s="53" t="str">
        <f t="shared" si="7"/>
        <v>√</v>
      </c>
      <c r="AN9" s="53" t="str">
        <f t="shared" si="7"/>
        <v>√</v>
      </c>
      <c r="AO9" s="53" t="str">
        <f t="shared" si="7"/>
        <v>√</v>
      </c>
    </row>
    <row r="10" ht="15" customHeight="1" spans="1:41">
      <c r="A10" s="54"/>
      <c r="B10" s="49" t="s">
        <v>50</v>
      </c>
      <c r="C10" s="49"/>
      <c r="D10" s="50">
        <v>0.81</v>
      </c>
      <c r="E10" s="50">
        <v>0.03</v>
      </c>
      <c r="F10" s="50">
        <v>-0.03</v>
      </c>
      <c r="G10" s="51">
        <f t="shared" ref="G10:G11" si="8">D10+E10</f>
        <v>0.84</v>
      </c>
      <c r="H10" s="51">
        <f t="shared" ref="H10:H11" si="9">D10+F10</f>
        <v>0.78</v>
      </c>
      <c r="I10" s="50" t="s">
        <v>46</v>
      </c>
      <c r="J10" s="52">
        <v>0.795</v>
      </c>
      <c r="K10" s="52">
        <v>0.7893</v>
      </c>
      <c r="L10" s="52">
        <v>0.7839</v>
      </c>
      <c r="M10" s="52">
        <v>0.7932</v>
      </c>
      <c r="N10" s="52">
        <v>0.7925</v>
      </c>
      <c r="O10" s="52">
        <v>0.7938</v>
      </c>
      <c r="P10" s="52">
        <v>0.7949</v>
      </c>
      <c r="Q10" s="52">
        <v>0.7949</v>
      </c>
      <c r="R10" s="52">
        <v>0.7847</v>
      </c>
      <c r="S10" s="52">
        <v>0.7811</v>
      </c>
      <c r="T10" s="52">
        <v>0.7853</v>
      </c>
      <c r="U10" s="52">
        <v>0.7831</v>
      </c>
      <c r="V10" s="52">
        <v>0.7805</v>
      </c>
      <c r="W10" s="52">
        <v>0.7801</v>
      </c>
      <c r="X10" s="52">
        <v>0.7878</v>
      </c>
      <c r="Y10" s="52">
        <v>0.7971</v>
      </c>
      <c r="Z10" s="53" t="str">
        <f t="shared" ref="Z10:Z11" si="10">IF(J10="","",IF(J10&gt;($D10+$E10),(J10-$D10-$E10),IF(J10&lt;($D10+$F10),(J10-$D10-$F10),"√")))</f>
        <v>√</v>
      </c>
      <c r="AA10" s="53" t="str">
        <f t="shared" ref="AA10:AA11" si="11">IF(K10="","",IF(K10&gt;($D10+$E10),(K10-$D10-$E10),IF(K10&lt;($D10+$F10),(K10-$D10-$F10),"√")))</f>
        <v>√</v>
      </c>
      <c r="AB10" s="53" t="str">
        <f t="shared" ref="AB10:AB13" si="12">IF(L10="","",IF(L10&gt;($D10+$E10),(L10-$D10-$E10),IF(L10&lt;($D10+$F10),(L10-$D10-$F10),"√")))</f>
        <v>√</v>
      </c>
      <c r="AC10" s="53" t="str">
        <f t="shared" si="5"/>
        <v>√</v>
      </c>
      <c r="AD10" s="53" t="str">
        <f t="shared" si="5"/>
        <v>√</v>
      </c>
      <c r="AE10" s="53" t="str">
        <f t="shared" si="5"/>
        <v>√</v>
      </c>
      <c r="AF10" s="53" t="str">
        <f t="shared" si="5"/>
        <v>√</v>
      </c>
      <c r="AG10" s="53" t="str">
        <f t="shared" si="5"/>
        <v>√</v>
      </c>
      <c r="AH10" s="53" t="str">
        <f t="shared" si="5"/>
        <v>√</v>
      </c>
      <c r="AI10" s="53" t="str">
        <f t="shared" si="5"/>
        <v>√</v>
      </c>
      <c r="AJ10" s="53" t="str">
        <f t="shared" si="5"/>
        <v>√</v>
      </c>
      <c r="AK10" s="53" t="str">
        <f t="shared" si="5"/>
        <v>√</v>
      </c>
      <c r="AL10" s="53" t="str">
        <f t="shared" si="5"/>
        <v>√</v>
      </c>
      <c r="AM10" s="53" t="str">
        <f t="shared" si="5"/>
        <v>√</v>
      </c>
      <c r="AN10" s="53" t="str">
        <f t="shared" si="5"/>
        <v>√</v>
      </c>
      <c r="AO10" s="53" t="str">
        <f t="shared" si="5"/>
        <v>√</v>
      </c>
    </row>
    <row r="11" ht="15" customHeight="1" spans="1:41">
      <c r="A11" s="54"/>
      <c r="B11" s="49" t="s">
        <v>51</v>
      </c>
      <c r="C11" s="49"/>
      <c r="D11" s="50">
        <v>0.81</v>
      </c>
      <c r="E11" s="50">
        <v>0.03</v>
      </c>
      <c r="F11" s="50">
        <v>-0.03</v>
      </c>
      <c r="G11" s="51">
        <f t="shared" si="8"/>
        <v>0.84</v>
      </c>
      <c r="H11" s="51">
        <f t="shared" si="9"/>
        <v>0.78</v>
      </c>
      <c r="I11" s="50" t="s">
        <v>46</v>
      </c>
      <c r="J11" s="52">
        <v>0.797</v>
      </c>
      <c r="K11" s="52">
        <v>0.7886</v>
      </c>
      <c r="L11" s="52">
        <v>0.7868</v>
      </c>
      <c r="M11" s="52">
        <v>0.7957</v>
      </c>
      <c r="N11" s="52">
        <v>0.7959</v>
      </c>
      <c r="O11" s="52">
        <v>0.7873</v>
      </c>
      <c r="P11" s="52">
        <v>0.7872</v>
      </c>
      <c r="Q11" s="52">
        <v>0.7935</v>
      </c>
      <c r="R11" s="52">
        <v>0.7837</v>
      </c>
      <c r="S11" s="52">
        <v>0.7838</v>
      </c>
      <c r="T11" s="52">
        <v>0.7837</v>
      </c>
      <c r="U11" s="52">
        <v>0.7906</v>
      </c>
      <c r="V11" s="52">
        <v>0.7828</v>
      </c>
      <c r="W11" s="52">
        <v>0.785</v>
      </c>
      <c r="X11" s="52">
        <v>0.7853</v>
      </c>
      <c r="Y11" s="52">
        <v>0.7979</v>
      </c>
      <c r="Z11" s="53" t="str">
        <f t="shared" si="10"/>
        <v>√</v>
      </c>
      <c r="AA11" s="53" t="str">
        <f t="shared" si="11"/>
        <v>√</v>
      </c>
      <c r="AB11" s="53" t="str">
        <f t="shared" si="12"/>
        <v>√</v>
      </c>
      <c r="AC11" s="53" t="str">
        <f t="shared" si="5"/>
        <v>√</v>
      </c>
      <c r="AD11" s="53" t="str">
        <f t="shared" si="5"/>
        <v>√</v>
      </c>
      <c r="AE11" s="53" t="str">
        <f t="shared" si="5"/>
        <v>√</v>
      </c>
      <c r="AF11" s="53" t="str">
        <f t="shared" si="5"/>
        <v>√</v>
      </c>
      <c r="AG11" s="53" t="str">
        <f t="shared" si="5"/>
        <v>√</v>
      </c>
      <c r="AH11" s="53" t="str">
        <f t="shared" si="5"/>
        <v>√</v>
      </c>
      <c r="AI11" s="53" t="str">
        <f t="shared" si="5"/>
        <v>√</v>
      </c>
      <c r="AJ11" s="53" t="str">
        <f t="shared" si="5"/>
        <v>√</v>
      </c>
      <c r="AK11" s="53" t="str">
        <f t="shared" si="5"/>
        <v>√</v>
      </c>
      <c r="AL11" s="53" t="str">
        <f t="shared" si="5"/>
        <v>√</v>
      </c>
      <c r="AM11" s="53" t="str">
        <f t="shared" si="5"/>
        <v>√</v>
      </c>
      <c r="AN11" s="53" t="str">
        <f t="shared" si="5"/>
        <v>√</v>
      </c>
      <c r="AO11" s="53" t="str">
        <f t="shared" si="5"/>
        <v>√</v>
      </c>
    </row>
    <row r="12" ht="15" customHeight="1" spans="1:41">
      <c r="A12" s="54"/>
      <c r="B12" s="49" t="s">
        <v>52</v>
      </c>
      <c r="C12" s="49"/>
      <c r="D12" s="50">
        <v>2.03</v>
      </c>
      <c r="E12" s="50">
        <v>0.05</v>
      </c>
      <c r="F12" s="50">
        <v>-0.05</v>
      </c>
      <c r="G12" s="51">
        <f t="shared" si="1"/>
        <v>2.08</v>
      </c>
      <c r="H12" s="51">
        <f t="shared" si="2"/>
        <v>1.98</v>
      </c>
      <c r="I12" s="50" t="s">
        <v>46</v>
      </c>
      <c r="J12" s="52">
        <v>2.0059</v>
      </c>
      <c r="K12" s="52">
        <v>2.0023</v>
      </c>
      <c r="L12" s="52">
        <v>2.0138</v>
      </c>
      <c r="M12" s="52">
        <v>1.9832</v>
      </c>
      <c r="N12" s="52">
        <v>1.984</v>
      </c>
      <c r="O12" s="52">
        <v>1.9983</v>
      </c>
      <c r="P12" s="52">
        <v>1.9979</v>
      </c>
      <c r="Q12" s="52">
        <v>2.0084</v>
      </c>
      <c r="R12" s="52">
        <v>2.0164</v>
      </c>
      <c r="S12" s="52">
        <v>2.0053</v>
      </c>
      <c r="T12" s="52">
        <v>1.9964</v>
      </c>
      <c r="U12" s="52">
        <v>1.9848</v>
      </c>
      <c r="V12" s="52">
        <v>1.9929</v>
      </c>
      <c r="W12" s="52">
        <v>1.9808</v>
      </c>
      <c r="X12" s="52">
        <v>1.9862</v>
      </c>
      <c r="Y12" s="52">
        <v>1.9987</v>
      </c>
      <c r="Z12" s="53" t="str">
        <f t="shared" si="3"/>
        <v>√</v>
      </c>
      <c r="AA12" s="53" t="str">
        <f t="shared" si="4"/>
        <v>√</v>
      </c>
      <c r="AB12" s="53" t="str">
        <f t="shared" si="12"/>
        <v>√</v>
      </c>
      <c r="AC12" s="53" t="str">
        <f t="shared" ref="AC12:AO12" si="13">IF(M12="","",IF(M12&gt;($D12+$E12),(M12-$D12-$E12),IF(M12&lt;($D12+$F12),(M12-$D12-$F12),"√")))</f>
        <v>√</v>
      </c>
      <c r="AD12" s="53" t="str">
        <f t="shared" si="13"/>
        <v>√</v>
      </c>
      <c r="AE12" s="53" t="str">
        <f t="shared" si="13"/>
        <v>√</v>
      </c>
      <c r="AF12" s="53" t="str">
        <f t="shared" si="13"/>
        <v>√</v>
      </c>
      <c r="AG12" s="53" t="str">
        <f t="shared" si="13"/>
        <v>√</v>
      </c>
      <c r="AH12" s="53" t="str">
        <f t="shared" si="13"/>
        <v>√</v>
      </c>
      <c r="AI12" s="53" t="str">
        <f t="shared" si="13"/>
        <v>√</v>
      </c>
      <c r="AJ12" s="53" t="str">
        <f t="shared" si="13"/>
        <v>√</v>
      </c>
      <c r="AK12" s="53" t="str">
        <f t="shared" si="13"/>
        <v>√</v>
      </c>
      <c r="AL12" s="53" t="str">
        <f t="shared" si="13"/>
        <v>√</v>
      </c>
      <c r="AM12" s="53" t="str">
        <f t="shared" si="13"/>
        <v>√</v>
      </c>
      <c r="AN12" s="53" t="str">
        <f t="shared" si="13"/>
        <v>√</v>
      </c>
      <c r="AO12" s="53" t="str">
        <f t="shared" si="13"/>
        <v>√</v>
      </c>
    </row>
    <row r="13" ht="15" customHeight="1" spans="1:41">
      <c r="A13" s="55"/>
      <c r="B13" s="49" t="s">
        <v>53</v>
      </c>
      <c r="C13" s="49"/>
      <c r="D13" s="50">
        <v>2.03</v>
      </c>
      <c r="E13" s="50">
        <v>0.05</v>
      </c>
      <c r="F13" s="50">
        <v>-0.05</v>
      </c>
      <c r="G13" s="51">
        <f t="shared" si="1"/>
        <v>2.08</v>
      </c>
      <c r="H13" s="51">
        <f t="shared" si="2"/>
        <v>1.98</v>
      </c>
      <c r="I13" s="50" t="s">
        <v>46</v>
      </c>
      <c r="J13" s="52">
        <v>2.0019</v>
      </c>
      <c r="K13" s="52">
        <v>1.9929</v>
      </c>
      <c r="L13" s="52">
        <v>2.0069</v>
      </c>
      <c r="M13" s="52">
        <v>1.9842</v>
      </c>
      <c r="N13" s="52">
        <v>1.985</v>
      </c>
      <c r="O13" s="52">
        <v>1.9956</v>
      </c>
      <c r="P13" s="52">
        <v>1.9945</v>
      </c>
      <c r="Q13" s="52">
        <v>1.9973</v>
      </c>
      <c r="R13" s="52">
        <v>1.9937</v>
      </c>
      <c r="S13" s="52">
        <v>2.0105</v>
      </c>
      <c r="T13" s="52">
        <v>1.9909</v>
      </c>
      <c r="U13" s="52">
        <v>1.9863</v>
      </c>
      <c r="V13" s="52">
        <v>1.9963</v>
      </c>
      <c r="W13" s="52">
        <v>1.9815</v>
      </c>
      <c r="X13" s="52">
        <v>1.9918</v>
      </c>
      <c r="Y13" s="52">
        <v>2.0031</v>
      </c>
      <c r="Z13" s="53" t="str">
        <f t="shared" si="3"/>
        <v>√</v>
      </c>
      <c r="AA13" s="53" t="str">
        <f t="shared" si="4"/>
        <v>√</v>
      </c>
      <c r="AB13" s="53" t="str">
        <f t="shared" si="12"/>
        <v>√</v>
      </c>
      <c r="AC13" s="53" t="str">
        <f t="shared" ref="AC13:AO13" si="14">IF(M13="","",IF(M13&gt;($D13+$E13),(M13-$D13-$E13),IF(M13&lt;($D13+$F13),(M13-$D13-$F13),"√")))</f>
        <v>√</v>
      </c>
      <c r="AD13" s="53" t="str">
        <f t="shared" si="14"/>
        <v>√</v>
      </c>
      <c r="AE13" s="53" t="str">
        <f t="shared" si="14"/>
        <v>√</v>
      </c>
      <c r="AF13" s="53" t="str">
        <f t="shared" si="14"/>
        <v>√</v>
      </c>
      <c r="AG13" s="53" t="str">
        <f t="shared" si="14"/>
        <v>√</v>
      </c>
      <c r="AH13" s="53" t="str">
        <f t="shared" si="14"/>
        <v>√</v>
      </c>
      <c r="AI13" s="53" t="str">
        <f t="shared" si="14"/>
        <v>√</v>
      </c>
      <c r="AJ13" s="53" t="str">
        <f t="shared" si="14"/>
        <v>√</v>
      </c>
      <c r="AK13" s="53" t="str">
        <f t="shared" si="14"/>
        <v>√</v>
      </c>
      <c r="AL13" s="53" t="str">
        <f t="shared" si="14"/>
        <v>√</v>
      </c>
      <c r="AM13" s="53" t="str">
        <f t="shared" si="14"/>
        <v>√</v>
      </c>
      <c r="AN13" s="53" t="str">
        <f t="shared" si="14"/>
        <v>√</v>
      </c>
      <c r="AO13" s="53" t="str">
        <f t="shared" si="14"/>
        <v>√</v>
      </c>
    </row>
    <row r="17" customHeight="1" spans="1:41">
      <c r="A17" s="31" t="s">
        <v>15</v>
      </c>
      <c r="B17" s="31" t="s">
        <v>16</v>
      </c>
      <c r="C17" s="32" t="s">
        <v>17</v>
      </c>
      <c r="D17" s="33" t="s">
        <v>18</v>
      </c>
      <c r="E17" s="34" t="s">
        <v>19</v>
      </c>
      <c r="F17" s="35" t="s">
        <v>20</v>
      </c>
      <c r="G17" s="35" t="s">
        <v>21</v>
      </c>
      <c r="H17" s="35" t="s">
        <v>22</v>
      </c>
      <c r="I17" s="36" t="s">
        <v>23</v>
      </c>
      <c r="J17" s="37" t="s">
        <v>24</v>
      </c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8" t="s">
        <v>25</v>
      </c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40"/>
    </row>
    <row r="18" ht="13.5" customHeight="1" spans="1:41">
      <c r="A18" s="41"/>
      <c r="B18" s="42"/>
      <c r="C18" s="43"/>
      <c r="D18" s="33"/>
      <c r="E18" s="34"/>
      <c r="F18" s="35"/>
      <c r="G18" s="35"/>
      <c r="H18" s="35"/>
      <c r="I18" s="33"/>
      <c r="J18" s="37" t="s">
        <v>26</v>
      </c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44" t="s">
        <v>27</v>
      </c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</row>
    <row r="19" customHeight="1" spans="1:41">
      <c r="A19" s="41"/>
      <c r="B19" s="42"/>
      <c r="C19" s="45"/>
      <c r="D19" s="33"/>
      <c r="E19" s="34"/>
      <c r="F19" s="35"/>
      <c r="G19" s="35"/>
      <c r="H19" s="35"/>
      <c r="I19" s="33"/>
      <c r="J19" s="56" t="s">
        <v>54</v>
      </c>
      <c r="K19" s="46" t="s">
        <v>29</v>
      </c>
      <c r="L19" s="46" t="s">
        <v>30</v>
      </c>
      <c r="M19" s="46" t="s">
        <v>31</v>
      </c>
      <c r="N19" s="46" t="s">
        <v>32</v>
      </c>
      <c r="O19" s="46" t="s">
        <v>33</v>
      </c>
      <c r="P19" s="46" t="s">
        <v>34</v>
      </c>
      <c r="Q19" s="46" t="s">
        <v>35</v>
      </c>
      <c r="R19" s="46" t="s">
        <v>36</v>
      </c>
      <c r="S19" s="46" t="s">
        <v>37</v>
      </c>
      <c r="T19" s="46" t="s">
        <v>38</v>
      </c>
      <c r="U19" s="46" t="s">
        <v>39</v>
      </c>
      <c r="V19" s="46" t="s">
        <v>40</v>
      </c>
      <c r="W19" s="46" t="s">
        <v>41</v>
      </c>
      <c r="X19" s="46" t="s">
        <v>42</v>
      </c>
      <c r="Y19" s="46" t="s">
        <v>43</v>
      </c>
      <c r="Z19" s="47" t="str">
        <f t="shared" ref="Z19:AO19" si="15">J19</f>
        <v>复测1-10</v>
      </c>
      <c r="AA19" s="47" t="str">
        <f t="shared" si="15"/>
        <v>1-2</v>
      </c>
      <c r="AB19" s="47" t="str">
        <f t="shared" si="15"/>
        <v>1-3</v>
      </c>
      <c r="AC19" s="47" t="str">
        <f t="shared" si="15"/>
        <v>1-4</v>
      </c>
      <c r="AD19" s="47" t="str">
        <f t="shared" si="15"/>
        <v>1-5</v>
      </c>
      <c r="AE19" s="47" t="str">
        <f t="shared" si="15"/>
        <v>1-6</v>
      </c>
      <c r="AF19" s="47" t="str">
        <f t="shared" si="15"/>
        <v>1-7</v>
      </c>
      <c r="AG19" s="47" t="str">
        <f t="shared" si="15"/>
        <v>1-8</v>
      </c>
      <c r="AH19" s="47" t="str">
        <f t="shared" si="15"/>
        <v>1-9</v>
      </c>
      <c r="AI19" s="47" t="str">
        <f t="shared" si="15"/>
        <v>1-10</v>
      </c>
      <c r="AJ19" s="47" t="str">
        <f t="shared" si="15"/>
        <v>1-11</v>
      </c>
      <c r="AK19" s="47" t="str">
        <f t="shared" si="15"/>
        <v>1-12</v>
      </c>
      <c r="AL19" s="47" t="str">
        <f t="shared" si="15"/>
        <v>1-13</v>
      </c>
      <c r="AM19" s="47" t="str">
        <f t="shared" si="15"/>
        <v>1-14</v>
      </c>
      <c r="AN19" s="47" t="str">
        <f t="shared" si="15"/>
        <v>1-15</v>
      </c>
      <c r="AO19" s="47" t="str">
        <f t="shared" si="15"/>
        <v>1-16</v>
      </c>
    </row>
    <row r="20" ht="15" customHeight="1" spans="1:41">
      <c r="A20" s="48">
        <v>46202</v>
      </c>
      <c r="B20" s="49" t="s">
        <v>44</v>
      </c>
      <c r="C20" s="49" t="s">
        <v>45</v>
      </c>
      <c r="D20" s="50">
        <v>6.26</v>
      </c>
      <c r="E20" s="50">
        <v>0.025</v>
      </c>
      <c r="F20" s="50">
        <v>-0.025</v>
      </c>
      <c r="G20" s="51">
        <f t="shared" ref="G20:G26" si="16">D20+E20</f>
        <v>6.285</v>
      </c>
      <c r="H20" s="51">
        <f t="shared" ref="H20:H26" si="17">D20+F20</f>
        <v>6.235</v>
      </c>
      <c r="I20" s="50" t="s">
        <v>46</v>
      </c>
      <c r="J20" s="52">
        <v>6.3185</v>
      </c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3">
        <f t="shared" ref="Z20:AO20" si="18">IF(J20="","",IF(J20&gt;($D20+$E20),(J20-$D20-$E20),IF(J20&lt;($D20+$F20),(J20-$D20-$F20),"√")))</f>
        <v>0.0335000000000004</v>
      </c>
      <c r="AA20" s="53" t="str">
        <f t="shared" si="18"/>
        <v/>
      </c>
      <c r="AB20" s="53" t="str">
        <f t="shared" si="18"/>
        <v/>
      </c>
      <c r="AC20" s="53" t="str">
        <f t="shared" si="18"/>
        <v/>
      </c>
      <c r="AD20" s="53" t="str">
        <f t="shared" si="18"/>
        <v/>
      </c>
      <c r="AE20" s="53" t="str">
        <f t="shared" si="18"/>
        <v/>
      </c>
      <c r="AF20" s="53" t="str">
        <f t="shared" si="18"/>
        <v/>
      </c>
      <c r="AG20" s="53" t="str">
        <f t="shared" si="18"/>
        <v/>
      </c>
      <c r="AH20" s="53" t="str">
        <f t="shared" si="18"/>
        <v/>
      </c>
      <c r="AI20" s="53" t="str">
        <f t="shared" si="18"/>
        <v/>
      </c>
      <c r="AJ20" s="53" t="str">
        <f t="shared" si="18"/>
        <v/>
      </c>
      <c r="AK20" s="53" t="str">
        <f t="shared" si="18"/>
        <v/>
      </c>
      <c r="AL20" s="53" t="str">
        <f t="shared" si="18"/>
        <v/>
      </c>
      <c r="AM20" s="53" t="str">
        <f t="shared" si="18"/>
        <v/>
      </c>
      <c r="AN20" s="53" t="str">
        <f t="shared" si="18"/>
        <v/>
      </c>
      <c r="AO20" s="53" t="str">
        <f t="shared" si="18"/>
        <v/>
      </c>
    </row>
    <row r="21" ht="15" customHeight="1" spans="1:41">
      <c r="A21" s="54"/>
      <c r="B21" s="49" t="s">
        <v>47</v>
      </c>
      <c r="C21" s="49" t="s">
        <v>48</v>
      </c>
      <c r="D21" s="50">
        <v>2.44</v>
      </c>
      <c r="E21" s="50">
        <v>0.03</v>
      </c>
      <c r="F21" s="50">
        <v>-0.03</v>
      </c>
      <c r="G21" s="51">
        <f t="shared" si="16"/>
        <v>2.47</v>
      </c>
      <c r="H21" s="51">
        <f t="shared" si="17"/>
        <v>2.41</v>
      </c>
      <c r="I21" s="50" t="s">
        <v>46</v>
      </c>
      <c r="J21" s="52">
        <v>2.4216</v>
      </c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3" t="str">
        <f t="shared" ref="Z21:AO21" si="19">IF(J21="","",IF(J21&gt;($D21+$E21),(J21-$D21-$E21),IF(J21&lt;($D21+$F21),(J21-$D21-$F21),"√")))</f>
        <v>√</v>
      </c>
      <c r="AA21" s="53" t="str">
        <f t="shared" si="19"/>
        <v/>
      </c>
      <c r="AB21" s="53" t="str">
        <f t="shared" si="19"/>
        <v/>
      </c>
      <c r="AC21" s="53" t="str">
        <f t="shared" si="19"/>
        <v/>
      </c>
      <c r="AD21" s="53" t="str">
        <f t="shared" si="19"/>
        <v/>
      </c>
      <c r="AE21" s="53" t="str">
        <f t="shared" si="19"/>
        <v/>
      </c>
      <c r="AF21" s="53" t="str">
        <f t="shared" si="19"/>
        <v/>
      </c>
      <c r="AG21" s="53" t="str">
        <f t="shared" si="19"/>
        <v/>
      </c>
      <c r="AH21" s="53" t="str">
        <f t="shared" si="19"/>
        <v/>
      </c>
      <c r="AI21" s="53" t="str">
        <f t="shared" si="19"/>
        <v/>
      </c>
      <c r="AJ21" s="53" t="str">
        <f t="shared" si="19"/>
        <v/>
      </c>
      <c r="AK21" s="53" t="str">
        <f t="shared" si="19"/>
        <v/>
      </c>
      <c r="AL21" s="53" t="str">
        <f t="shared" si="19"/>
        <v/>
      </c>
      <c r="AM21" s="53" t="str">
        <f t="shared" si="19"/>
        <v/>
      </c>
      <c r="AN21" s="53" t="str">
        <f t="shared" si="19"/>
        <v/>
      </c>
      <c r="AO21" s="53" t="str">
        <f t="shared" si="19"/>
        <v/>
      </c>
    </row>
    <row r="22" ht="15" customHeight="1" spans="1:41">
      <c r="A22" s="54"/>
      <c r="B22" s="49" t="s">
        <v>49</v>
      </c>
      <c r="C22" s="49" t="s">
        <v>48</v>
      </c>
      <c r="D22" s="50">
        <v>2.44</v>
      </c>
      <c r="E22" s="50">
        <v>0.03</v>
      </c>
      <c r="F22" s="50">
        <v>-0.03</v>
      </c>
      <c r="G22" s="51">
        <f t="shared" si="16"/>
        <v>2.47</v>
      </c>
      <c r="H22" s="51">
        <f t="shared" si="17"/>
        <v>2.41</v>
      </c>
      <c r="I22" s="50" t="s">
        <v>46</v>
      </c>
      <c r="J22" s="52">
        <v>2.4129</v>
      </c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3" t="str">
        <f t="shared" ref="Z22:AO22" si="20">IF(J22="","",IF(J22&gt;($D22+$E22),(J22-$D22-$E22),IF(J22&lt;($D22+$F22),(J22-$D22-$F22),"√")))</f>
        <v>√</v>
      </c>
      <c r="AA22" s="53" t="str">
        <f t="shared" si="20"/>
        <v/>
      </c>
      <c r="AB22" s="53" t="str">
        <f t="shared" si="20"/>
        <v/>
      </c>
      <c r="AC22" s="53" t="str">
        <f t="shared" si="20"/>
        <v/>
      </c>
      <c r="AD22" s="53" t="str">
        <f t="shared" si="20"/>
        <v/>
      </c>
      <c r="AE22" s="53" t="str">
        <f t="shared" si="20"/>
        <v/>
      </c>
      <c r="AF22" s="53" t="str">
        <f t="shared" si="20"/>
        <v/>
      </c>
      <c r="AG22" s="53" t="str">
        <f t="shared" si="20"/>
        <v/>
      </c>
      <c r="AH22" s="53" t="str">
        <f t="shared" si="20"/>
        <v/>
      </c>
      <c r="AI22" s="53" t="str">
        <f t="shared" si="20"/>
        <v/>
      </c>
      <c r="AJ22" s="53" t="str">
        <f t="shared" si="20"/>
        <v/>
      </c>
      <c r="AK22" s="53" t="str">
        <f t="shared" si="20"/>
        <v/>
      </c>
      <c r="AL22" s="53" t="str">
        <f t="shared" si="20"/>
        <v/>
      </c>
      <c r="AM22" s="53" t="str">
        <f t="shared" si="20"/>
        <v/>
      </c>
      <c r="AN22" s="53" t="str">
        <f t="shared" si="20"/>
        <v/>
      </c>
      <c r="AO22" s="53" t="str">
        <f t="shared" si="20"/>
        <v/>
      </c>
    </row>
    <row r="23" ht="15" customHeight="1" spans="1:41">
      <c r="A23" s="54"/>
      <c r="B23" s="49" t="s">
        <v>50</v>
      </c>
      <c r="C23" s="49"/>
      <c r="D23" s="50">
        <v>0.81</v>
      </c>
      <c r="E23" s="50">
        <v>0.03</v>
      </c>
      <c r="F23" s="50">
        <v>-0.03</v>
      </c>
      <c r="G23" s="51">
        <f t="shared" si="16"/>
        <v>0.84</v>
      </c>
      <c r="H23" s="51">
        <f t="shared" si="17"/>
        <v>0.78</v>
      </c>
      <c r="I23" s="50" t="s">
        <v>46</v>
      </c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3" t="str">
        <f t="shared" ref="Z23:AO23" si="21">IF(J23="","",IF(J23&gt;($D23+$E23),(J23-$D23-$E23),IF(J23&lt;($D23+$F23),(J23-$D23-$F23),"√")))</f>
        <v/>
      </c>
      <c r="AA23" s="53" t="str">
        <f t="shared" si="21"/>
        <v/>
      </c>
      <c r="AB23" s="53" t="str">
        <f t="shared" si="21"/>
        <v/>
      </c>
      <c r="AC23" s="53" t="str">
        <f t="shared" si="21"/>
        <v/>
      </c>
      <c r="AD23" s="53" t="str">
        <f t="shared" si="21"/>
        <v/>
      </c>
      <c r="AE23" s="53" t="str">
        <f t="shared" si="21"/>
        <v/>
      </c>
      <c r="AF23" s="53" t="str">
        <f t="shared" si="21"/>
        <v/>
      </c>
      <c r="AG23" s="53" t="str">
        <f t="shared" si="21"/>
        <v/>
      </c>
      <c r="AH23" s="53" t="str">
        <f t="shared" si="21"/>
        <v/>
      </c>
      <c r="AI23" s="53" t="str">
        <f t="shared" si="21"/>
        <v/>
      </c>
      <c r="AJ23" s="53" t="str">
        <f t="shared" si="21"/>
        <v/>
      </c>
      <c r="AK23" s="53" t="str">
        <f t="shared" si="21"/>
        <v/>
      </c>
      <c r="AL23" s="53" t="str">
        <f t="shared" si="21"/>
        <v/>
      </c>
      <c r="AM23" s="53" t="str">
        <f t="shared" si="21"/>
        <v/>
      </c>
      <c r="AN23" s="53" t="str">
        <f t="shared" si="21"/>
        <v/>
      </c>
      <c r="AO23" s="53" t="str">
        <f t="shared" si="21"/>
        <v/>
      </c>
    </row>
    <row r="24" ht="15" customHeight="1" spans="1:41">
      <c r="A24" s="54"/>
      <c r="B24" s="49" t="s">
        <v>51</v>
      </c>
      <c r="C24" s="49"/>
      <c r="D24" s="50">
        <v>0.81</v>
      </c>
      <c r="E24" s="50">
        <v>0.03</v>
      </c>
      <c r="F24" s="50">
        <v>-0.03</v>
      </c>
      <c r="G24" s="51">
        <f t="shared" si="16"/>
        <v>0.84</v>
      </c>
      <c r="H24" s="51">
        <f t="shared" si="17"/>
        <v>0.78</v>
      </c>
      <c r="I24" s="50" t="s">
        <v>46</v>
      </c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3" t="str">
        <f t="shared" ref="Z24:AO24" si="22">IF(J24="","",IF(J24&gt;($D24+$E24),(J24-$D24-$E24),IF(J24&lt;($D24+$F24),(J24-$D24-$F24),"√")))</f>
        <v/>
      </c>
      <c r="AA24" s="53" t="str">
        <f t="shared" si="22"/>
        <v/>
      </c>
      <c r="AB24" s="53" t="str">
        <f t="shared" si="22"/>
        <v/>
      </c>
      <c r="AC24" s="53" t="str">
        <f t="shared" si="22"/>
        <v/>
      </c>
      <c r="AD24" s="53" t="str">
        <f t="shared" si="22"/>
        <v/>
      </c>
      <c r="AE24" s="53" t="str">
        <f t="shared" si="22"/>
        <v/>
      </c>
      <c r="AF24" s="53" t="str">
        <f t="shared" si="22"/>
        <v/>
      </c>
      <c r="AG24" s="53" t="str">
        <f t="shared" si="22"/>
        <v/>
      </c>
      <c r="AH24" s="53" t="str">
        <f t="shared" si="22"/>
        <v/>
      </c>
      <c r="AI24" s="53" t="str">
        <f t="shared" si="22"/>
        <v/>
      </c>
      <c r="AJ24" s="53" t="str">
        <f t="shared" si="22"/>
        <v/>
      </c>
      <c r="AK24" s="53" t="str">
        <f t="shared" si="22"/>
        <v/>
      </c>
      <c r="AL24" s="53" t="str">
        <f t="shared" si="22"/>
        <v/>
      </c>
      <c r="AM24" s="53" t="str">
        <f t="shared" si="22"/>
        <v/>
      </c>
      <c r="AN24" s="53" t="str">
        <f t="shared" si="22"/>
        <v/>
      </c>
      <c r="AO24" s="53" t="str">
        <f t="shared" si="22"/>
        <v/>
      </c>
    </row>
    <row r="25" ht="15" customHeight="1" spans="1:41">
      <c r="A25" s="54"/>
      <c r="B25" s="49" t="s">
        <v>52</v>
      </c>
      <c r="C25" s="49"/>
      <c r="D25" s="50">
        <v>2.03</v>
      </c>
      <c r="E25" s="50">
        <v>0.05</v>
      </c>
      <c r="F25" s="50">
        <v>-0.05</v>
      </c>
      <c r="G25" s="51">
        <f t="shared" si="16"/>
        <v>2.08</v>
      </c>
      <c r="H25" s="51">
        <f t="shared" si="17"/>
        <v>1.98</v>
      </c>
      <c r="I25" s="50" t="s">
        <v>46</v>
      </c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3" t="str">
        <f t="shared" ref="Z25:AO25" si="23">IF(J25="","",IF(J25&gt;($D25+$E25),(J25-$D25-$E25),IF(J25&lt;($D25+$F25),(J25-$D25-$F25),"√")))</f>
        <v/>
      </c>
      <c r="AA25" s="53" t="str">
        <f t="shared" si="23"/>
        <v/>
      </c>
      <c r="AB25" s="53" t="str">
        <f t="shared" si="23"/>
        <v/>
      </c>
      <c r="AC25" s="53" t="str">
        <f t="shared" si="23"/>
        <v/>
      </c>
      <c r="AD25" s="53" t="str">
        <f t="shared" si="23"/>
        <v/>
      </c>
      <c r="AE25" s="53" t="str">
        <f t="shared" si="23"/>
        <v/>
      </c>
      <c r="AF25" s="53" t="str">
        <f t="shared" si="23"/>
        <v/>
      </c>
      <c r="AG25" s="53" t="str">
        <f t="shared" si="23"/>
        <v/>
      </c>
      <c r="AH25" s="53" t="str">
        <f t="shared" si="23"/>
        <v/>
      </c>
      <c r="AI25" s="53" t="str">
        <f t="shared" si="23"/>
        <v/>
      </c>
      <c r="AJ25" s="53" t="str">
        <f t="shared" si="23"/>
        <v/>
      </c>
      <c r="AK25" s="53" t="str">
        <f t="shared" si="23"/>
        <v/>
      </c>
      <c r="AL25" s="53" t="str">
        <f t="shared" si="23"/>
        <v/>
      </c>
      <c r="AM25" s="53" t="str">
        <f t="shared" si="23"/>
        <v/>
      </c>
      <c r="AN25" s="53" t="str">
        <f t="shared" si="23"/>
        <v/>
      </c>
      <c r="AO25" s="53" t="str">
        <f t="shared" si="23"/>
        <v/>
      </c>
    </row>
    <row r="26" ht="15" customHeight="1" spans="1:41">
      <c r="A26" s="55"/>
      <c r="B26" s="49" t="s">
        <v>53</v>
      </c>
      <c r="C26" s="49"/>
      <c r="D26" s="50">
        <v>2.03</v>
      </c>
      <c r="E26" s="50">
        <v>0.05</v>
      </c>
      <c r="F26" s="50">
        <v>-0.05</v>
      </c>
      <c r="G26" s="51">
        <f t="shared" si="16"/>
        <v>2.08</v>
      </c>
      <c r="H26" s="51">
        <f t="shared" si="17"/>
        <v>1.98</v>
      </c>
      <c r="I26" s="50" t="s">
        <v>46</v>
      </c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3" t="str">
        <f t="shared" ref="Z26:AO26" si="24">IF(J26="","",IF(J26&gt;($D26+$E26),(J26-$D26-$E26),IF(J26&lt;($D26+$F26),(J26-$D26-$F26),"√")))</f>
        <v/>
      </c>
      <c r="AA26" s="53" t="str">
        <f t="shared" si="24"/>
        <v/>
      </c>
      <c r="AB26" s="53" t="str">
        <f t="shared" si="24"/>
        <v/>
      </c>
      <c r="AC26" s="53" t="str">
        <f t="shared" si="24"/>
        <v/>
      </c>
      <c r="AD26" s="53" t="str">
        <f t="shared" si="24"/>
        <v/>
      </c>
      <c r="AE26" s="53" t="str">
        <f t="shared" si="24"/>
        <v/>
      </c>
      <c r="AF26" s="53" t="str">
        <f t="shared" si="24"/>
        <v/>
      </c>
      <c r="AG26" s="53" t="str">
        <f t="shared" si="24"/>
        <v/>
      </c>
      <c r="AH26" s="53" t="str">
        <f t="shared" si="24"/>
        <v/>
      </c>
      <c r="AI26" s="53" t="str">
        <f t="shared" si="24"/>
        <v/>
      </c>
      <c r="AJ26" s="53" t="str">
        <f t="shared" si="24"/>
        <v/>
      </c>
      <c r="AK26" s="53" t="str">
        <f t="shared" si="24"/>
        <v/>
      </c>
      <c r="AL26" s="53" t="str">
        <f t="shared" si="24"/>
        <v/>
      </c>
      <c r="AM26" s="53" t="str">
        <f t="shared" si="24"/>
        <v/>
      </c>
      <c r="AN26" s="53" t="str">
        <f t="shared" si="24"/>
        <v/>
      </c>
      <c r="AO26" s="53" t="str">
        <f t="shared" si="24"/>
        <v/>
      </c>
    </row>
  </sheetData>
  <mergeCells count="43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J17:Y17"/>
    <mergeCell ref="Z17:AO17"/>
    <mergeCell ref="J18:Y18"/>
    <mergeCell ref="Z18:AO18"/>
    <mergeCell ref="A2:A3"/>
    <mergeCell ref="A4:A6"/>
    <mergeCell ref="A7:A13"/>
    <mergeCell ref="A17:A19"/>
    <mergeCell ref="A20:A26"/>
    <mergeCell ref="B4:B6"/>
    <mergeCell ref="B17:B19"/>
    <mergeCell ref="C4:C6"/>
    <mergeCell ref="C17:C19"/>
    <mergeCell ref="D4:D6"/>
    <mergeCell ref="D17:D19"/>
    <mergeCell ref="E4:E6"/>
    <mergeCell ref="E17:E19"/>
    <mergeCell ref="F4:F6"/>
    <mergeCell ref="F17:F19"/>
    <mergeCell ref="G4:G6"/>
    <mergeCell ref="G17:G19"/>
    <mergeCell ref="H4:H6"/>
    <mergeCell ref="H17:H19"/>
    <mergeCell ref="I4:I6"/>
    <mergeCell ref="I17:I19"/>
    <mergeCell ref="B2:G3"/>
    <mergeCell ref="H2:K3"/>
    <mergeCell ref="L2:R3"/>
  </mergeCells>
  <conditionalFormatting sqref="J20:J22">
    <cfRule type="cellIs" dxfId="0" priority="1" operator="notBetween">
      <formula>$G20</formula>
      <formula>$H20</formula>
    </cfRule>
  </conditionalFormatting>
  <conditionalFormatting sqref="J12:Y13 J7:Y9">
    <cfRule type="cellIs" dxfId="0" priority="21" operator="notBetween">
      <formula>$G7</formula>
      <formula>$H7</formula>
    </cfRule>
  </conditionalFormatting>
  <conditionalFormatting sqref="J10:Y11">
    <cfRule type="cellIs" dxfId="0" priority="4" operator="notBetween">
      <formula>$G10</formula>
      <formula>$H10</formula>
    </cfRule>
  </conditionalFormatting>
  <conditionalFormatting sqref="K20:Y22 J25:Y26">
    <cfRule type="cellIs" dxfId="0" priority="3" operator="notBetween">
      <formula>$G20</formula>
      <formula>$H20</formula>
    </cfRule>
  </conditionalFormatting>
  <conditionalFormatting sqref="J23:Y24">
    <cfRule type="cellIs" dxfId="0" priority="2" operator="notBetween">
      <formula>$G23</formula>
      <formula>$H23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ignoredErrors>
    <ignoredError sqref="Z7:AO7 Z12:AO13" emptyCellReferenc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806-64563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2026-06-29T13:16:48Z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