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<sst xmlns="http://schemas.openxmlformats.org/spreadsheetml/2006/main" count="36" uniqueCount="35">
  <si>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安徽中耀智能科技有限公司首件尺寸报告</t>
  </si>
  <si>
    <t>料号</t>
  </si>
  <si>
    <t>806-65036</t>
  </si>
  <si>
    <t>工单号</t>
  </si>
  <si>
    <t>WW132-260527039</t>
  </si>
  <si>
    <t>工站</t>
  </si>
  <si>
    <t>整形机台号</t>
  </si>
  <si>
    <t>测量机台号</t>
  </si>
  <si>
    <t>测量人员</t>
  </si>
  <si>
    <t>审核</t>
  </si>
  <si>
    <t>整形</t>
  </si>
  <si>
    <t>22#</t>
  </si>
  <si>
    <t>CMM3#/OMM5#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</si>
  <si>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</si>
  <si>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</si>
  <si>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</si>
  <si>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</si>
  <si>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</si>
  <si>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</si>
  <si>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</si>
  <si>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</si>
  <si>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</si>
  <si>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</si>
  <si>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</si>
  <si>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</si>
  <si>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</si>
  <si>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</si>
  <si>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</si>
  <si>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FAI25</t>
  </si>
  <si>
    <t>Y</t>
  </si>
  <si>
    <t>OMM</t>
  </si>
  <si>
    <t>FAI26</t>
  </si>
  <si>
    <t>Z</t>
  </si>
  <si>
    <t>CMM</t>
  </si>
  <si>
    <t>FAI36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</si>
</sst>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1" fillId="0" borderId="7" xfId="59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2">
    <dxf>
      <font>
        <color rgb="FFFF0000"/>
      </font>
    </dxf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workbookViewId="0">
      <selection activeCell="J7" sqref="J7:M7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26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27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8">
        <v>14</v>
      </c>
      <c r="X6" s="47">
        <v>15</v>
      </c>
      <c r="Y6" s="47">
        <v>16</v>
      </c>
      <c r="Z6" s="49">
        <f t="shared" ref="Z6:AO6" si="0">J6</f>
        <v>1</v>
      </c>
      <c r="AA6" s="49">
        <f t="shared" si="0"/>
        <v>2</v>
      </c>
      <c r="AB6" s="49">
        <f t="shared" si="0"/>
        <v>3</v>
      </c>
      <c r="AC6" s="49">
        <f t="shared" si="0"/>
        <v>4</v>
      </c>
      <c r="AD6" s="49">
        <f t="shared" si="0"/>
        <v>5</v>
      </c>
      <c r="AE6" s="49">
        <f t="shared" si="0"/>
        <v>6</v>
      </c>
      <c r="AF6" s="49">
        <f t="shared" si="0"/>
        <v>7</v>
      </c>
      <c r="AG6" s="49">
        <f t="shared" si="0"/>
        <v>8</v>
      </c>
      <c r="AH6" s="49">
        <f t="shared" si="0"/>
        <v>9</v>
      </c>
      <c r="AI6" s="49">
        <f t="shared" si="0"/>
        <v>10</v>
      </c>
      <c r="AJ6" s="49">
        <f t="shared" si="0"/>
        <v>11</v>
      </c>
      <c r="AK6" s="49">
        <f t="shared" si="0"/>
        <v>12</v>
      </c>
      <c r="AL6" s="49">
        <f t="shared" si="0"/>
        <v>13</v>
      </c>
      <c r="AM6" s="49">
        <f t="shared" si="0"/>
        <v>14</v>
      </c>
      <c r="AN6" s="49">
        <f t="shared" si="0"/>
        <v>15</v>
      </c>
      <c r="AO6" s="49">
        <f t="shared" si="0"/>
        <v>16</v>
      </c>
    </row>
    <row r="7" ht="15" customHeight="1" spans="1:41">
      <c r="A7" s="50">
        <v>46202</v>
      </c>
      <c r="B7" s="51" t="s">
        <v>28</v>
      </c>
      <c r="C7" s="52" t="s">
        <v>29</v>
      </c>
      <c r="D7" s="53">
        <v>0.59</v>
      </c>
      <c r="E7" s="53">
        <v>0.03</v>
      </c>
      <c r="F7" s="53">
        <v>-0.03</v>
      </c>
      <c r="G7" s="54">
        <f>D7+E7</f>
        <v>0.62</v>
      </c>
      <c r="H7" s="54">
        <f>D7+F7</f>
        <v>0.56</v>
      </c>
      <c r="I7" s="53" t="s">
        <v>30</v>
      </c>
      <c r="J7" s="55">
        <v>0.6173</v>
      </c>
      <c r="K7" s="55">
        <v>0.569</v>
      </c>
      <c r="L7" s="55">
        <v>0.6073</v>
      </c>
      <c r="M7" s="55">
        <v>0.6181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6" t="str">
        <f t="shared" ref="Z7:AO7" si="1">IF(J7="","",IF(J7&gt;($D7+$E7),(J7-$D7-$E7),IF(J7&lt;($D7+$F7),(J7-$D7-$F7),"√")))</f>
        <v>√</v>
      </c>
      <c r="AA7" s="56" t="str">
        <f t="shared" si="1"/>
        <v>√</v>
      </c>
      <c r="AB7" s="56" t="str">
        <f t="shared" si="1"/>
        <v>√</v>
      </c>
      <c r="AC7" s="56" t="str">
        <f t="shared" si="1"/>
        <v>√</v>
      </c>
      <c r="AD7" s="56" t="str">
        <f t="shared" si="1"/>
        <v/>
      </c>
      <c r="AE7" s="56" t="str">
        <f t="shared" si="1"/>
        <v/>
      </c>
      <c r="AF7" s="56" t="str">
        <f t="shared" si="1"/>
        <v/>
      </c>
      <c r="AG7" s="56" t="str">
        <f t="shared" si="1"/>
        <v/>
      </c>
      <c r="AH7" s="56" t="str">
        <f t="shared" si="1"/>
        <v/>
      </c>
      <c r="AI7" s="56" t="str">
        <f t="shared" si="1"/>
        <v/>
      </c>
      <c r="AJ7" s="56" t="str">
        <f t="shared" si="1"/>
        <v/>
      </c>
      <c r="AK7" s="56" t="str">
        <f t="shared" si="1"/>
        <v/>
      </c>
      <c r="AL7" s="56" t="str">
        <f t="shared" si="1"/>
        <v/>
      </c>
      <c r="AM7" s="56" t="str">
        <f t="shared" si="1"/>
        <v/>
      </c>
      <c r="AN7" s="56" t="str">
        <f t="shared" si="1"/>
        <v/>
      </c>
      <c r="AO7" s="56" t="str">
        <f t="shared" si="1"/>
        <v/>
      </c>
    </row>
    <row r="8" ht="18" customHeight="1" spans="1:41">
      <c r="A8" s="50"/>
      <c r="B8" s="57" t="s">
        <v>31</v>
      </c>
      <c r="C8" s="53" t="s">
        <v>32</v>
      </c>
      <c r="D8" s="53">
        <v>1.57</v>
      </c>
      <c r="E8" s="53">
        <v>0.03</v>
      </c>
      <c r="F8" s="53">
        <v>-0.03</v>
      </c>
      <c r="G8" s="53">
        <f>D8+E8</f>
        <v>1.6</v>
      </c>
      <c r="H8" s="53">
        <f>D8+F8</f>
        <v>1.54</v>
      </c>
      <c r="I8" s="53" t="s">
        <v>33</v>
      </c>
      <c r="J8" s="55">
        <v>1.5923</v>
      </c>
      <c r="K8" s="55">
        <v>1.5844</v>
      </c>
      <c r="L8" s="55">
        <v>1.5817</v>
      </c>
      <c r="M8" s="55">
        <v>1.5899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6" t="str">
        <f t="shared" ref="Z8:AO8" si="2">IF(J8="","",IF(J8&gt;($D8+$E8),(J8-$D8-$E8),IF(J8&lt;($D8+$F8),(J8-$D8-$F8),"√")))</f>
        <v>√</v>
      </c>
      <c r="AA8" s="56" t="str">
        <f t="shared" si="2"/>
        <v>√</v>
      </c>
      <c r="AB8" s="56" t="str">
        <f t="shared" si="2"/>
        <v>√</v>
      </c>
      <c r="AC8" s="56" t="str">
        <f t="shared" si="2"/>
        <v>√</v>
      </c>
      <c r="AD8" s="56" t="str">
        <f t="shared" si="2"/>
        <v/>
      </c>
      <c r="AE8" s="56" t="str">
        <f t="shared" si="2"/>
        <v/>
      </c>
      <c r="AF8" s="56" t="str">
        <f t="shared" si="2"/>
        <v/>
      </c>
      <c r="AG8" s="56" t="str">
        <f t="shared" si="2"/>
        <v/>
      </c>
      <c r="AH8" s="56" t="str">
        <f t="shared" si="2"/>
        <v/>
      </c>
      <c r="AI8" s="56" t="str">
        <f t="shared" si="2"/>
        <v/>
      </c>
      <c r="AJ8" s="56" t="str">
        <f t="shared" si="2"/>
        <v/>
      </c>
      <c r="AK8" s="56" t="str">
        <f t="shared" si="2"/>
        <v/>
      </c>
      <c r="AL8" s="56" t="str">
        <f t="shared" si="2"/>
        <v/>
      </c>
      <c r="AM8" s="56" t="str">
        <f t="shared" si="2"/>
        <v/>
      </c>
      <c r="AN8" s="56" t="str">
        <f t="shared" si="2"/>
        <v/>
      </c>
      <c r="AO8" s="56" t="str">
        <f t="shared" si="2"/>
        <v/>
      </c>
    </row>
    <row r="9" ht="15" customHeight="1" spans="1:41">
      <c r="A9" s="50"/>
      <c r="B9" s="57" t="s">
        <v>34</v>
      </c>
      <c r="C9" s="53"/>
      <c r="D9" s="53">
        <v>1.3</v>
      </c>
      <c r="E9" s="53">
        <v>0.03</v>
      </c>
      <c r="F9" s="53">
        <v>-0.03</v>
      </c>
      <c r="G9" s="53">
        <f>D9+E9</f>
        <v>1.33</v>
      </c>
      <c r="H9" s="53">
        <f>D9+F9</f>
        <v>1.27</v>
      </c>
      <c r="I9" s="53" t="s">
        <v>33</v>
      </c>
      <c r="J9" s="55">
        <v>1.3161</v>
      </c>
      <c r="K9" s="55">
        <v>1.3232</v>
      </c>
      <c r="L9" s="55">
        <v>1.3132</v>
      </c>
      <c r="M9" s="55">
        <v>1.299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6" t="str">
        <f t="shared" ref="Z9:AO9" si="3">IF(J9="","",IF(J9&gt;($D9+$E9),(J9-$D9-$E9),IF(J9&lt;($D9+$F9),(J9-$D9-$F9),"√")))</f>
        <v>√</v>
      </c>
      <c r="AA9" s="56" t="str">
        <f t="shared" si="3"/>
        <v>√</v>
      </c>
      <c r="AB9" s="56" t="str">
        <f t="shared" si="3"/>
        <v>√</v>
      </c>
      <c r="AC9" s="56" t="str">
        <f t="shared" si="3"/>
        <v>√</v>
      </c>
      <c r="AD9" s="56" t="str">
        <f t="shared" si="3"/>
        <v/>
      </c>
      <c r="AE9" s="56" t="str">
        <f t="shared" si="3"/>
        <v/>
      </c>
      <c r="AF9" s="56" t="str">
        <f t="shared" si="3"/>
        <v/>
      </c>
      <c r="AG9" s="56" t="str">
        <f t="shared" si="3"/>
        <v/>
      </c>
      <c r="AH9" s="56" t="str">
        <f t="shared" si="3"/>
        <v/>
      </c>
      <c r="AI9" s="56" t="str">
        <f t="shared" si="3"/>
        <v/>
      </c>
      <c r="AJ9" s="56" t="str">
        <f t="shared" si="3"/>
        <v/>
      </c>
      <c r="AK9" s="56" t="str">
        <f t="shared" si="3"/>
        <v/>
      </c>
      <c r="AL9" s="56" t="str">
        <f t="shared" si="3"/>
        <v/>
      </c>
      <c r="AM9" s="56" t="str">
        <f t="shared" si="3"/>
        <v/>
      </c>
      <c r="AN9" s="56" t="str">
        <f t="shared" si="3"/>
        <v/>
      </c>
      <c r="AO9" s="56" t="str">
        <f t="shared" si="3"/>
        <v/>
      </c>
    </row>
    <row r="10" s="1" customFormat="1" spans="1:4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60"/>
      <c r="AL10" s="61"/>
      <c r="AM10" s="62"/>
      <c r="AN10" s="63"/>
      <c r="AO10" s="64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0:AK10"/>
    <mergeCell ref="AL10:AM10"/>
    <mergeCell ref="AN10:AO10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8">
    <cfRule type="cellIs" dxfId="0" priority="44" operator="notBetween">
      <formula>$G8</formula>
      <formula>$H8</formula>
    </cfRule>
  </conditionalFormatting>
  <conditionalFormatting sqref="K8:Y8">
    <cfRule type="cellIs" dxfId="0" priority="43" operator="notBetween">
      <formula>$G8</formula>
      <formula>$H8</formula>
    </cfRule>
  </conditionalFormatting>
  <conditionalFormatting sqref="J10:Y10">
    <cfRule type="cellIs" dxfId="1" priority="3" stopIfTrue="1" operator="notBetween">
      <formula>$G10</formula>
      <formula>$H10</formula>
    </cfRule>
  </conditionalFormatting>
  <conditionalFormatting sqref="J7:Y7 J9:Y9">
    <cfRule type="cellIs" dxfId="0" priority="23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