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<sst xmlns="http://schemas.openxmlformats.org/spreadsheetml/2006/main" count="93" uniqueCount="63">
  <si>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安徽中耀智能科技有限公司首件尺寸报告</t>
  </si>
  <si>
    <t>料号</t>
  </si>
  <si>
    <t>X806-63639</t>
  </si>
  <si>
    <t>工单号</t>
  </si>
  <si>
    <t>ww115-260611002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</si>
  <si>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</si>
  <si>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</si>
  <si>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</si>
  <si>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</si>
  <si>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</si>
  <si>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</si>
  <si>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</si>
  <si>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</si>
  <si>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</si>
  <si>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</si>
  <si>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</si>
  <si>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</si>
  <si>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</si>
  <si>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</si>
  <si>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</si>
  <si>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</si>
  <si>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</si>
  <si>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</si>
  <si>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</si>
  <si>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</si>
  <si>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</si>
  <si>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</si>
  <si>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</si>
  <si>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</si>
  <si>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</si>
  <si>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</si>
  <si>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</si>
  <si>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</si>
  <si>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</si>
  <si>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</si>
  <si>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</si>
  <si>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</si>
  <si>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</si>
  <si>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</si>
  <si>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</si>
  <si>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</si>
  <si>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</si>
  <si>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</si>
  <si>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</si>
  <si>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</si>
  <si>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</si>
  <si>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</si>
  <si>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</si>
  <si>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</si>
  <si>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</si>
  <si>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</si>
  <si>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</si>
  <si>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</si>
  <si>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</si>
  <si>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</si>
  <si>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</si>
  <si>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</si>
  <si>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</si>
  <si>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</si>
  <si>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</si>
  <si>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</si>
  <si>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</si>
  <si>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r>
      <t>复测</t>
    </r>
    <r>
      <rPr>
        <b/>
        <sz val="11"/>
        <rFont val="Arial"/>
        <charset val="134"/>
      </rPr>
      <t>1-1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</si>
</sst>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0" fontId="7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topLeftCell="Q1" workbookViewId="0">
      <selection activeCell="K29" sqref="K29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46202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6.2828</v>
      </c>
      <c r="K7" s="59">
        <v>6.2695</v>
      </c>
      <c r="L7" s="59">
        <v>6.2785</v>
      </c>
      <c r="M7" s="59">
        <v>6.2666</v>
      </c>
      <c r="N7" s="59">
        <v>6.2625</v>
      </c>
      <c r="O7" s="59">
        <v>6.2633</v>
      </c>
      <c r="P7" s="59">
        <v>6.2655</v>
      </c>
      <c r="Q7" s="59">
        <v>6.2588</v>
      </c>
      <c r="R7" s="59">
        <v>6.2767</v>
      </c>
      <c r="S7" s="59">
        <v>6.2715</v>
      </c>
      <c r="T7" s="59">
        <v>6.2713</v>
      </c>
      <c r="U7" s="59">
        <v>6.2655</v>
      </c>
      <c r="V7" s="59">
        <v>6.28</v>
      </c>
      <c r="W7" s="59">
        <v>6.2647</v>
      </c>
      <c r="X7" s="59">
        <v>6.2633</v>
      </c>
      <c r="Y7" s="59">
        <v>6.2711</v>
      </c>
      <c r="Z7" s="60">
        <f t="shared" ref="Z7" si="3">IF(J7="","",IF(J7&gt;($D7+$E7),(J7-$D7-$E7),IF(J7&lt;($D7+$F7),(J7-$D7-$F7),"√")))</f>
        <v>0.00780000000000015</v>
      </c>
      <c r="AA7" s="60" t="str">
        <f t="shared" ref="AA7" si="4">IF(K7="","",IF(K7&gt;($D7+$E7),(K7-$D7-$E7),IF(K7&lt;($D7+$F7),(K7-$D7-$F7),"√")))</f>
        <v>√</v>
      </c>
      <c r="AB7" s="60">
        <f t="shared" ref="AB7:AO7" si="5">IF(L7="","",IF(L7&gt;($D7+$E7),(L7-$D7-$E7),IF(L7&lt;($D7+$F7),(L7-$D7-$F7),"√")))</f>
        <v>0.00350000000000041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>
        <f t="shared" si="5"/>
        <v>0.00170000000000016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>
        <f t="shared" si="5"/>
        <v>0.00500000000000046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46</v>
      </c>
      <c r="K12" s="53" t="s">
        <v>47</v>
      </c>
      <c r="L12" s="53" t="s">
        <v>48</v>
      </c>
      <c r="M12" s="53" t="s">
        <v>49</v>
      </c>
      <c r="N12" s="53" t="s">
        <v>50</v>
      </c>
      <c r="O12" s="53" t="s">
        <v>51</v>
      </c>
      <c r="P12" s="53" t="s">
        <v>52</v>
      </c>
      <c r="Q12" s="53" t="s">
        <v>53</v>
      </c>
      <c r="R12" s="53" t="s">
        <v>54</v>
      </c>
      <c r="S12" s="53" t="s">
        <v>55</v>
      </c>
      <c r="T12" s="53" t="s">
        <v>56</v>
      </c>
      <c r="U12" s="53" t="s">
        <v>57</v>
      </c>
      <c r="V12" s="53" t="s">
        <v>58</v>
      </c>
      <c r="W12" s="53" t="s">
        <v>59</v>
      </c>
      <c r="X12" s="53" t="s">
        <v>60</v>
      </c>
      <c r="Y12" s="53" t="s">
        <v>61</v>
      </c>
      <c r="Z12" s="54" t="str">
        <f t="shared" ref="Z12:AO12" si="6">J12</f>
        <v>2-1</v>
      </c>
      <c r="AA12" s="54" t="str">
        <f t="shared" si="6"/>
        <v>2-2</v>
      </c>
      <c r="AB12" s="54" t="str">
        <f t="shared" si="6"/>
        <v>2-3</v>
      </c>
      <c r="AC12" s="54" t="str">
        <f t="shared" si="6"/>
        <v>2-4</v>
      </c>
      <c r="AD12" s="54" t="str">
        <f t="shared" si="6"/>
        <v>2-5</v>
      </c>
      <c r="AE12" s="54" t="str">
        <f t="shared" si="6"/>
        <v>2-6</v>
      </c>
      <c r="AF12" s="54" t="str">
        <f t="shared" si="6"/>
        <v>2-7</v>
      </c>
      <c r="AG12" s="54" t="str">
        <f t="shared" si="6"/>
        <v>2-8</v>
      </c>
      <c r="AH12" s="54" t="str">
        <f t="shared" si="6"/>
        <v>2-9</v>
      </c>
      <c r="AI12" s="54" t="str">
        <f t="shared" si="6"/>
        <v>2-10</v>
      </c>
      <c r="AJ12" s="54" t="str">
        <f t="shared" si="6"/>
        <v>2-11</v>
      </c>
      <c r="AK12" s="54" t="str">
        <f t="shared" si="6"/>
        <v>2-12</v>
      </c>
      <c r="AL12" s="54" t="str">
        <f t="shared" si="6"/>
        <v>2-13</v>
      </c>
      <c r="AM12" s="54" t="str">
        <f t="shared" si="6"/>
        <v>2-14</v>
      </c>
      <c r="AN12" s="54" t="str">
        <f t="shared" si="6"/>
        <v>2-15</v>
      </c>
      <c r="AO12" s="54" t="str">
        <f t="shared" si="6"/>
        <v>2-16</v>
      </c>
    </row>
    <row r="13" ht="15" customHeight="1" spans="1:41">
      <c r="A13" s="55">
        <v>46202</v>
      </c>
      <c r="B13" s="56" t="s">
        <v>44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45</v>
      </c>
      <c r="J13" s="59">
        <v>6.2626</v>
      </c>
      <c r="K13" s="59">
        <v>6.258</v>
      </c>
      <c r="L13" s="59">
        <v>6.2671</v>
      </c>
      <c r="M13" s="59">
        <v>6.2678</v>
      </c>
      <c r="N13" s="59">
        <v>6.2625</v>
      </c>
      <c r="O13" s="59">
        <v>6.2618</v>
      </c>
      <c r="P13" s="59">
        <v>6.2613</v>
      </c>
      <c r="Q13" s="59">
        <v>6.2605</v>
      </c>
      <c r="R13" s="59">
        <v>6.2672</v>
      </c>
      <c r="S13" s="59">
        <v>6.2645</v>
      </c>
      <c r="T13" s="59">
        <v>6.2633</v>
      </c>
      <c r="U13" s="59">
        <v>6.2606</v>
      </c>
      <c r="V13" s="59">
        <v>6.2659</v>
      </c>
      <c r="W13" s="59">
        <v>6.2605</v>
      </c>
      <c r="X13" s="59">
        <v>6.2642</v>
      </c>
      <c r="Y13" s="59">
        <v>6.2629</v>
      </c>
      <c r="Z13" s="60" t="str">
        <f t="shared" ref="Z13:AO13" si="7">IF(J13="","",IF(J13&gt;($D13+$E13),(J13-$D13-$E13),IF(J13&lt;($D13+$F13),(J13-$D13-$F13),"√")))</f>
        <v>√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 t="str">
        <f t="shared" si="7"/>
        <v>√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 t="str">
        <f t="shared" si="7"/>
        <v>√</v>
      </c>
      <c r="AJ13" s="60" t="str">
        <f t="shared" si="7"/>
        <v>√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  <row r="16" customHeight="1" spans="1:41">
      <c r="A16" s="38" t="s">
        <v>15</v>
      </c>
      <c r="B16" s="38" t="s">
        <v>16</v>
      </c>
      <c r="C16" s="39" t="s">
        <v>17</v>
      </c>
      <c r="D16" s="40" t="s">
        <v>18</v>
      </c>
      <c r="E16" s="41" t="s">
        <v>19</v>
      </c>
      <c r="F16" s="42" t="s">
        <v>20</v>
      </c>
      <c r="G16" s="42" t="s">
        <v>21</v>
      </c>
      <c r="H16" s="42" t="s">
        <v>22</v>
      </c>
      <c r="I16" s="43" t="s">
        <v>23</v>
      </c>
      <c r="J16" s="44" t="s">
        <v>24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5" t="s">
        <v>25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7"/>
    </row>
    <row r="17" ht="13.5" customHeight="1" spans="1:41">
      <c r="A17" s="48"/>
      <c r="B17" s="49"/>
      <c r="C17" s="50"/>
      <c r="D17" s="40"/>
      <c r="E17" s="41"/>
      <c r="F17" s="42"/>
      <c r="G17" s="42"/>
      <c r="H17" s="42"/>
      <c r="I17" s="40"/>
      <c r="J17" s="44" t="s">
        <v>26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51" t="s">
        <v>27</v>
      </c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</row>
    <row r="18" customHeight="1" spans="1:41">
      <c r="A18" s="48"/>
      <c r="B18" s="49"/>
      <c r="C18" s="52"/>
      <c r="D18" s="40"/>
      <c r="E18" s="41"/>
      <c r="F18" s="42"/>
      <c r="G18" s="42"/>
      <c r="H18" s="42"/>
      <c r="I18" s="40"/>
      <c r="J18" s="61" t="s">
        <v>62</v>
      </c>
      <c r="K18" s="62">
        <v>2</v>
      </c>
      <c r="L18" s="62">
        <v>3</v>
      </c>
      <c r="M18" s="62">
        <v>4</v>
      </c>
      <c r="N18" s="62">
        <v>5</v>
      </c>
      <c r="O18" s="62">
        <v>6</v>
      </c>
      <c r="P18" s="62">
        <v>7</v>
      </c>
      <c r="Q18" s="62">
        <v>8</v>
      </c>
      <c r="R18" s="62">
        <v>9</v>
      </c>
      <c r="S18" s="62">
        <v>10</v>
      </c>
      <c r="T18" s="62">
        <v>11</v>
      </c>
      <c r="U18" s="62">
        <v>12</v>
      </c>
      <c r="V18" s="62">
        <v>13</v>
      </c>
      <c r="W18" s="62">
        <v>14</v>
      </c>
      <c r="X18" s="63">
        <v>15</v>
      </c>
      <c r="Y18" s="63">
        <v>16</v>
      </c>
      <c r="Z18" s="54" t="str">
        <f t="shared" ref="Z18:AO18" si="8">J18</f>
        <v>复测1-1</v>
      </c>
      <c r="AA18" s="54">
        <f t="shared" si="8"/>
        <v>2</v>
      </c>
      <c r="AB18" s="54">
        <f t="shared" si="8"/>
        <v>3</v>
      </c>
      <c r="AC18" s="54">
        <f t="shared" si="8"/>
        <v>4</v>
      </c>
      <c r="AD18" s="54">
        <f t="shared" si="8"/>
        <v>5</v>
      </c>
      <c r="AE18" s="54">
        <f t="shared" si="8"/>
        <v>6</v>
      </c>
      <c r="AF18" s="54">
        <f t="shared" si="8"/>
        <v>7</v>
      </c>
      <c r="AG18" s="54">
        <f t="shared" si="8"/>
        <v>8</v>
      </c>
      <c r="AH18" s="54">
        <f t="shared" si="8"/>
        <v>9</v>
      </c>
      <c r="AI18" s="54">
        <f t="shared" si="8"/>
        <v>10</v>
      </c>
      <c r="AJ18" s="54">
        <f t="shared" si="8"/>
        <v>11</v>
      </c>
      <c r="AK18" s="54">
        <f t="shared" si="8"/>
        <v>12</v>
      </c>
      <c r="AL18" s="54">
        <f t="shared" si="8"/>
        <v>13</v>
      </c>
      <c r="AM18" s="54">
        <f t="shared" si="8"/>
        <v>14</v>
      </c>
      <c r="AN18" s="54">
        <f t="shared" si="8"/>
        <v>15</v>
      </c>
      <c r="AO18" s="54">
        <f t="shared" si="8"/>
        <v>16</v>
      </c>
    </row>
    <row r="19" ht="15" customHeight="1" spans="1:41">
      <c r="A19" s="55">
        <v>46202</v>
      </c>
      <c r="B19" s="56" t="s">
        <v>44</v>
      </c>
      <c r="C19" s="56"/>
      <c r="D19" s="57">
        <v>6.26</v>
      </c>
      <c r="E19" s="57">
        <v>0.015</v>
      </c>
      <c r="F19" s="57">
        <v>-0.015</v>
      </c>
      <c r="G19" s="58">
        <f>D19+E19</f>
        <v>6.275</v>
      </c>
      <c r="H19" s="58">
        <f>D19+F19</f>
        <v>6.245</v>
      </c>
      <c r="I19" s="57" t="s">
        <v>45</v>
      </c>
      <c r="J19" s="59">
        <v>6.2836</v>
      </c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>
        <f t="shared" ref="Z19:AO19" si="9">IF(J19="","",IF(J19&gt;($D19+$E19),(J19-$D19-$E19),IF(J19&lt;($D19+$F19),(J19-$D19-$F19),"√")))</f>
        <v>0.00860000000000007</v>
      </c>
      <c r="AA19" s="60" t="str">
        <f t="shared" si="9"/>
        <v/>
      </c>
      <c r="AB19" s="60" t="str">
        <f t="shared" si="9"/>
        <v/>
      </c>
      <c r="AC19" s="60" t="str">
        <f t="shared" si="9"/>
        <v/>
      </c>
      <c r="AD19" s="60" t="str">
        <f t="shared" si="9"/>
        <v/>
      </c>
      <c r="AE19" s="60" t="str">
        <f t="shared" si="9"/>
        <v/>
      </c>
      <c r="AF19" s="60" t="str">
        <f t="shared" si="9"/>
        <v/>
      </c>
      <c r="AG19" s="60" t="str">
        <f t="shared" si="9"/>
        <v/>
      </c>
      <c r="AH19" s="60" t="str">
        <f t="shared" si="9"/>
        <v/>
      </c>
      <c r="AI19" s="60" t="str">
        <f t="shared" si="9"/>
        <v/>
      </c>
      <c r="AJ19" s="60" t="str">
        <f t="shared" si="9"/>
        <v/>
      </c>
      <c r="AK19" s="60" t="str">
        <f t="shared" si="9"/>
        <v/>
      </c>
      <c r="AL19" s="60" t="str">
        <f t="shared" si="9"/>
        <v/>
      </c>
      <c r="AM19" s="60" t="str">
        <f t="shared" si="9"/>
        <v/>
      </c>
      <c r="AN19" s="60" t="str">
        <f t="shared" si="9"/>
        <v/>
      </c>
      <c r="AO19" s="60" t="str">
        <f t="shared" si="9"/>
        <v/>
      </c>
    </row>
  </sheetData>
  <mergeCells count="54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J16:Y16"/>
    <mergeCell ref="Z16:AO16"/>
    <mergeCell ref="J17:Y17"/>
    <mergeCell ref="Z17:AO17"/>
    <mergeCell ref="A2:A3"/>
    <mergeCell ref="A4:A6"/>
    <mergeCell ref="A10:A12"/>
    <mergeCell ref="A16:A18"/>
    <mergeCell ref="B4:B6"/>
    <mergeCell ref="B10:B12"/>
    <mergeCell ref="B16:B18"/>
    <mergeCell ref="C4:C6"/>
    <mergeCell ref="C10:C12"/>
    <mergeCell ref="C16:C18"/>
    <mergeCell ref="D4:D6"/>
    <mergeCell ref="D10:D12"/>
    <mergeCell ref="D16:D18"/>
    <mergeCell ref="E4:E6"/>
    <mergeCell ref="E10:E12"/>
    <mergeCell ref="E16:E18"/>
    <mergeCell ref="F4:F6"/>
    <mergeCell ref="F10:F12"/>
    <mergeCell ref="F16:F18"/>
    <mergeCell ref="G4:G6"/>
    <mergeCell ref="G10:G12"/>
    <mergeCell ref="G16:G18"/>
    <mergeCell ref="H4:H6"/>
    <mergeCell ref="H10:H12"/>
    <mergeCell ref="H16:H18"/>
    <mergeCell ref="I4:I6"/>
    <mergeCell ref="I10:I12"/>
    <mergeCell ref="I16:I18"/>
    <mergeCell ref="H2:K3"/>
    <mergeCell ref="L2:R3"/>
    <mergeCell ref="B2:G3"/>
  </mergeCells>
  <conditionalFormatting sqref="J7:Y7">
    <cfRule type="cellIs" dxfId="0" priority="20" operator="notBetween">
      <formula>$G7</formula>
      <formula>$H7</formula>
    </cfRule>
  </conditionalFormatting>
  <conditionalFormatting sqref="J13:Y13">
    <cfRule type="cellIs" dxfId="0" priority="3" operator="notBetween">
      <formula>$G13</formula>
      <formula>$H13</formula>
    </cfRule>
  </conditionalFormatting>
  <conditionalFormatting sqref="J19">
    <cfRule type="cellIs" dxfId="0" priority="1" operator="notBetween">
      <formula>$G19</formula>
      <formula>$H19</formula>
    </cfRule>
  </conditionalFormatting>
  <conditionalFormatting sqref="K19:Y19">
    <cfRule type="cellIs" dxfId="0" priority="2" operator="notBetween">
      <formula>$G19</formula>
      <formula>$H19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2026-06-29T18:45:34Z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