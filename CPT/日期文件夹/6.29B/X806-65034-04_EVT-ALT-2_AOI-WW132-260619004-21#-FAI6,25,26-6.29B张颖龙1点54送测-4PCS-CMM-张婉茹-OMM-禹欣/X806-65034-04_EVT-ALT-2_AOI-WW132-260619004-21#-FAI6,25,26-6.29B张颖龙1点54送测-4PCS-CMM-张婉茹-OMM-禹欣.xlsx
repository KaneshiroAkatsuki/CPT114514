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8" r:id="rId1"/>
  </sheets>
  <definedNames>
    <definedName name="_xlnm.Print_Area" localSheetId="0">'806-65034'!$B$1:$AE$6</definedName>
    <definedName name="_xlnm.Print_Titles" localSheetId="0">'806-65034'!$1:$6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<sst xmlns="http://schemas.openxmlformats.org/spreadsheetml/2006/main" count="36" uniqueCount="34">
  <si>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安徽中耀智能科技有限公司首件尺寸报告</t>
  </si>
  <si>
    <t>料号</t>
  </si>
  <si>
    <t>806-65034-04</t>
  </si>
  <si>
    <t>工单号</t>
  </si>
  <si>
    <t>WW132-260619004</t>
  </si>
  <si>
    <t>工站</t>
  </si>
  <si>
    <t>整形</t>
  </si>
  <si>
    <t>测量机台号</t>
  </si>
  <si>
    <t>测量人员</t>
  </si>
  <si>
    <t>审核</t>
  </si>
  <si>
    <t>21#</t>
  </si>
  <si>
    <t>CMM2#/OMM5#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</si>
  <si>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</si>
  <si>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</si>
  <si>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</si>
  <si>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</si>
  <si>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</si>
  <si>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</si>
  <si>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</si>
  <si>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</si>
  <si>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</si>
  <si>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</si>
  <si>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</si>
  <si>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</si>
  <si>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</si>
  <si>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</si>
  <si>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</si>
  <si>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FAI25</t>
  </si>
  <si>
    <t>Y</t>
  </si>
  <si>
    <t>OMM</t>
  </si>
  <si>
    <t>FAI6</t>
  </si>
  <si>
    <t>CMM</t>
  </si>
  <si>
    <t>FAI26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</si>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</sst>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tabSelected="1" topLeftCell="Q1" workbookViewId="0">
      <selection activeCell="AE3" sqref="AE3:AI3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6</v>
      </c>
      <c r="T3" s="27"/>
      <c r="U3" s="27"/>
      <c r="V3" s="27"/>
      <c r="W3" s="27"/>
      <c r="X3" s="28"/>
      <c r="Y3" s="14" t="s">
        <v>10</v>
      </c>
      <c r="Z3" s="15"/>
      <c r="AA3" s="15"/>
      <c r="AB3" s="15"/>
      <c r="AC3" s="15"/>
      <c r="AD3" s="16"/>
      <c r="AE3" s="29" t="s">
        <v>11</v>
      </c>
      <c r="AF3" s="30"/>
      <c r="AG3" s="30"/>
      <c r="AH3" s="30"/>
      <c r="AI3" s="31"/>
      <c r="AJ3" s="29" t="s">
        <v>12</v>
      </c>
      <c r="AK3" s="30"/>
      <c r="AL3" s="30"/>
      <c r="AM3" s="31"/>
      <c r="AN3" s="29" t="s">
        <v>13</v>
      </c>
      <c r="AO3" s="31"/>
    </row>
    <row r="4" customHeight="1" spans="1:41">
      <c r="A4" s="32" t="s">
        <v>14</v>
      </c>
      <c r="B4" s="32" t="s">
        <v>15</v>
      </c>
      <c r="C4" s="33" t="s">
        <v>16</v>
      </c>
      <c r="D4" s="34" t="s">
        <v>17</v>
      </c>
      <c r="E4" s="35" t="s">
        <v>18</v>
      </c>
      <c r="F4" s="36" t="s">
        <v>19</v>
      </c>
      <c r="G4" s="36" t="s">
        <v>20</v>
      </c>
      <c r="H4" s="36" t="s">
        <v>21</v>
      </c>
      <c r="I4" s="37" t="s">
        <v>22</v>
      </c>
      <c r="J4" s="38" t="s">
        <v>23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25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26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38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46202</v>
      </c>
      <c r="B7" s="50" t="s">
        <v>27</v>
      </c>
      <c r="C7" s="51" t="s">
        <v>28</v>
      </c>
      <c r="D7" s="52">
        <v>0.59</v>
      </c>
      <c r="E7" s="52">
        <v>0.03</v>
      </c>
      <c r="F7" s="52">
        <v>-0.03</v>
      </c>
      <c r="G7" s="52">
        <f>D7+E7</f>
        <v>0.62</v>
      </c>
      <c r="H7" s="52">
        <f>D7+F7</f>
        <v>0.56</v>
      </c>
      <c r="I7" s="52" t="s">
        <v>29</v>
      </c>
      <c r="J7" s="53">
        <v>0.5858</v>
      </c>
      <c r="K7" s="53">
        <v>0.5928</v>
      </c>
      <c r="L7" s="53">
        <v>0.5898</v>
      </c>
      <c r="M7" s="53">
        <v>0.5601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/>
      </c>
      <c r="AE7" s="54" t="str">
        <f t="shared" si="1"/>
        <v/>
      </c>
      <c r="AF7" s="54" t="str">
        <f t="shared" si="1"/>
        <v/>
      </c>
      <c r="AG7" s="54" t="str">
        <f t="shared" si="1"/>
        <v/>
      </c>
      <c r="AH7" s="54" t="str">
        <f t="shared" si="1"/>
        <v/>
      </c>
      <c r="AI7" s="54" t="str">
        <f t="shared" si="1"/>
        <v/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" customHeight="1" spans="1:41">
      <c r="A8" s="55"/>
      <c r="B8" s="50" t="s">
        <v>30</v>
      </c>
      <c r="C8" s="51"/>
      <c r="D8" s="52">
        <v>1.3</v>
      </c>
      <c r="E8" s="52">
        <v>0.03</v>
      </c>
      <c r="F8" s="52">
        <v>-0.03</v>
      </c>
      <c r="G8" s="52">
        <f t="shared" ref="G8" si="2">D8+E8</f>
        <v>1.33</v>
      </c>
      <c r="H8" s="52">
        <f t="shared" ref="H8" si="3">D8+F8</f>
        <v>1.27</v>
      </c>
      <c r="I8" s="52" t="s">
        <v>31</v>
      </c>
      <c r="J8" s="53">
        <v>1.32373</v>
      </c>
      <c r="K8" s="53">
        <v>1.29356</v>
      </c>
      <c r="L8" s="53">
        <v>1.29412</v>
      </c>
      <c r="M8" s="53">
        <v>1.30982</v>
      </c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4" t="str">
        <f t="shared" ref="Z8:AO8" si="4">IF(J8="","",IF(J8&gt;($D8+$E8),(J8-$D8-$E8),IF(J8&lt;($D8+$F8),(J8-$D8-$F8),"√")))</f>
        <v>√</v>
      </c>
      <c r="AA8" s="54" t="str">
        <f t="shared" si="4"/>
        <v>√</v>
      </c>
      <c r="AB8" s="54" t="str">
        <f t="shared" si="4"/>
        <v>√</v>
      </c>
      <c r="AC8" s="54" t="str">
        <f t="shared" si="4"/>
        <v>√</v>
      </c>
      <c r="AD8" s="54" t="str">
        <f t="shared" si="4"/>
        <v/>
      </c>
      <c r="AE8" s="54" t="str">
        <f t="shared" si="4"/>
        <v/>
      </c>
      <c r="AF8" s="54" t="str">
        <f t="shared" si="4"/>
        <v/>
      </c>
      <c r="AG8" s="54" t="str">
        <f t="shared" si="4"/>
        <v/>
      </c>
      <c r="AH8" s="54" t="str">
        <f t="shared" si="4"/>
        <v/>
      </c>
      <c r="AI8" s="54" t="str">
        <f t="shared" si="4"/>
        <v/>
      </c>
      <c r="AJ8" s="54" t="str">
        <f t="shared" si="4"/>
        <v/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  <c r="AO8" s="54" t="str">
        <f t="shared" si="4"/>
        <v/>
      </c>
    </row>
    <row r="9" ht="15" customHeight="1" spans="1:41">
      <c r="A9" s="55"/>
      <c r="B9" s="50" t="s">
        <v>32</v>
      </c>
      <c r="C9" s="51" t="s">
        <v>33</v>
      </c>
      <c r="D9" s="52">
        <v>1.57</v>
      </c>
      <c r="E9" s="52">
        <v>0.03</v>
      </c>
      <c r="F9" s="52">
        <v>-0.03</v>
      </c>
      <c r="G9" s="52">
        <f t="shared" ref="G9" si="5">D9+E9</f>
        <v>1.6</v>
      </c>
      <c r="H9" s="52">
        <f t="shared" ref="H9" si="6">D9+F9</f>
        <v>1.54</v>
      </c>
      <c r="I9" s="52" t="s">
        <v>31</v>
      </c>
      <c r="J9" s="53">
        <v>1.57475</v>
      </c>
      <c r="K9" s="53">
        <v>1.5704</v>
      </c>
      <c r="L9" s="53">
        <v>1.57271</v>
      </c>
      <c r="M9" s="53">
        <v>1.58083</v>
      </c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 t="str">
        <f t="shared" ref="Z9" si="7">IF(J9="","",IF(J9&gt;($D9+$E9),(J9-$D9-$E9),IF(J9&lt;($D9+$F9),(J9-$D9-$F9),"√")))</f>
        <v>√</v>
      </c>
      <c r="AA9" s="54" t="str">
        <f t="shared" ref="AA9" si="8">IF(K9="","",IF(K9&gt;($D9+$E9),(K9-$D9-$E9),IF(K9&lt;($D9+$F9),(K9-$D9-$F9),"√")))</f>
        <v>√</v>
      </c>
      <c r="AB9" s="54" t="str">
        <f t="shared" ref="AB9" si="9">IF(L9="","",IF(L9&gt;($D9+$E9),(L9-$D9-$E9),IF(L9&lt;($D9+$F9),(L9-$D9-$F9),"√")))</f>
        <v>√</v>
      </c>
      <c r="AC9" s="54" t="str">
        <f t="shared" ref="AC9" si="10">IF(M9="","",IF(M9&gt;($D9+$E9),(M9-$D9-$E9),IF(M9&lt;($D9+$F9),(M9-$D9-$F9),"√")))</f>
        <v>√</v>
      </c>
      <c r="AD9" s="54" t="str">
        <f t="shared" ref="AD9" si="11">IF(N9="","",IF(N9&gt;($D9+$E9),(N9-$D9-$E9),IF(N9&lt;($D9+$F9),(N9-$D9-$F9),"√")))</f>
        <v/>
      </c>
      <c r="AE9" s="54" t="str">
        <f t="shared" ref="AE9" si="12">IF(O9="","",IF(O9&gt;($D9+$E9),(O9-$D9-$E9),IF(O9&lt;($D9+$F9),(O9-$D9-$F9),"√")))</f>
        <v/>
      </c>
      <c r="AF9" s="54" t="str">
        <f t="shared" ref="AF9" si="13">IF(P9="","",IF(P9&gt;($D9+$E9),(P9-$D9-$E9),IF(P9&lt;($D9+$F9),(P9-$D9-$F9),"√")))</f>
        <v/>
      </c>
      <c r="AG9" s="54" t="str">
        <f t="shared" ref="AG9" si="14">IF(Q9="","",IF(Q9&gt;($D9+$E9),(Q9-$D9-$E9),IF(Q9&lt;($D9+$F9),(Q9-$D9-$F9),"√")))</f>
        <v/>
      </c>
      <c r="AH9" s="54" t="str">
        <f t="shared" ref="AH9" si="15">IF(R9="","",IF(R9&gt;($D9+$E9),(R9-$D9-$E9),IF(R9&lt;($D9+$F9),(R9-$D9-$F9),"√")))</f>
        <v/>
      </c>
      <c r="AI9" s="54" t="str">
        <f t="shared" ref="AI9" si="16">IF(S9="","",IF(S9&gt;($D9+$E9),(S9-$D9-$E9),IF(S9&lt;($D9+$F9),(S9-$D9-$F9),"√")))</f>
        <v/>
      </c>
      <c r="AJ9" s="54" t="str">
        <f t="shared" ref="AJ9" si="17">IF(T9="","",IF(T9&gt;($D9+$E9),(T9-$D9-$E9),IF(T9&lt;($D9+$F9),(T9-$D9-$F9),"√")))</f>
        <v/>
      </c>
      <c r="AK9" s="54" t="str">
        <f t="shared" ref="AK9" si="18">IF(U9="","",IF(U9&gt;($D9+$E9),(U9-$D9-$E9),IF(U9&lt;($D9+$F9),(U9-$D9-$F9),"√")))</f>
        <v/>
      </c>
      <c r="AL9" s="54" t="str">
        <f t="shared" ref="AL9" si="19">IF(V9="","",IF(V9&gt;($D9+$E9),(V9-$D9-$E9),IF(V9&lt;($D9+$F9),(V9-$D9-$F9),"√")))</f>
        <v/>
      </c>
      <c r="AM9" s="54" t="str">
        <f t="shared" ref="AM9" si="20">IF(W9="","",IF(W9&gt;($D9+$E9),(W9-$D9-$E9),IF(W9&lt;($D9+$F9),(W9-$D9-$F9),"√")))</f>
        <v/>
      </c>
      <c r="AN9" s="54" t="str">
        <f t="shared" ref="AN9" si="21">IF(X9="","",IF(X9&gt;($D9+$E9),(X9-$D9-$E9),IF(X9&lt;($D9+$F9),(X9-$D9-$F9),"√")))</f>
        <v/>
      </c>
      <c r="AO9" s="54" t="str">
        <f t="shared" ref="AO9" si="22">IF(Y9="","",IF(Y9&gt;($D9+$E9),(Y9-$D9-$E9),IF(Y9&lt;($D9+$F9),(Y9-$D9-$F9),"√")))</f>
        <v/>
      </c>
    </row>
    <row r="10" s="1" customFormat="1" spans="1:41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8"/>
      <c r="AL10" s="59"/>
      <c r="AM10" s="60"/>
      <c r="AN10" s="61"/>
      <c r="AO10" s="62"/>
    </row>
  </sheetData>
  <mergeCells count="32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0:AK10"/>
    <mergeCell ref="AL10:AM10"/>
    <mergeCell ref="AN10:AO10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9">
    <cfRule type="cellIs" dxfId="0" priority="10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AL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