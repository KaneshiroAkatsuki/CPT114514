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5039" sheetId="8" r:id="rId1"/>
  </sheets>
  <definedNames>
    <definedName name="_xlnm.Print_Area" localSheetId="0">'X806-65039'!$B$1:$AE$6</definedName>
    <definedName name="_xlnm.Print_Titles" localSheetId="0">'X806-65039'!$1:$6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<sst xmlns="http://schemas.openxmlformats.org/spreadsheetml/2006/main" count="36" uniqueCount="35">
  <si>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安徽中耀智能科技有限公司首件尺寸报告</t>
  </si>
  <si>
    <t>料号</t>
  </si>
  <si>
    <t>806-65039</t>
  </si>
  <si>
    <t>工单号</t>
  </si>
  <si>
    <t>WW132-260611066</t>
  </si>
  <si>
    <t>工站</t>
  </si>
  <si>
    <t>整形机台号</t>
  </si>
  <si>
    <t>测量机台号</t>
  </si>
  <si>
    <t>测量人员</t>
  </si>
  <si>
    <t>审核</t>
  </si>
  <si>
    <t>整形</t>
  </si>
  <si>
    <t>8#</t>
  </si>
  <si>
    <t>CMM2#/OMM5#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</si>
  <si>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</si>
  <si>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</si>
  <si>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</si>
  <si>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</si>
  <si>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</si>
  <si>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</si>
  <si>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</si>
  <si>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</si>
  <si>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</si>
  <si>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</si>
  <si>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</si>
  <si>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</si>
  <si>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</si>
  <si>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</si>
  <si>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</si>
  <si>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FAI25</t>
  </si>
  <si>
    <t>Y</t>
  </si>
  <si>
    <t>OMM</t>
  </si>
  <si>
    <t>FAI6</t>
  </si>
  <si>
    <t>CMM</t>
  </si>
  <si>
    <t>FAI26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</si>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</sst>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6765037995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tabSelected="1" workbookViewId="0">
      <selection activeCell="J15" sqref="J15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26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27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47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46202</v>
      </c>
      <c r="B7" s="50" t="s">
        <v>28</v>
      </c>
      <c r="C7" s="51" t="s">
        <v>29</v>
      </c>
      <c r="D7" s="52">
        <v>0.59</v>
      </c>
      <c r="E7" s="52">
        <v>0.03</v>
      </c>
      <c r="F7" s="52">
        <v>-0.03</v>
      </c>
      <c r="G7" s="52">
        <f t="shared" ref="G7" si="1">D7+E7</f>
        <v>0.62</v>
      </c>
      <c r="H7" s="52">
        <f t="shared" ref="H7" si="2">D7+F7</f>
        <v>0.56</v>
      </c>
      <c r="I7" s="52" t="s">
        <v>30</v>
      </c>
      <c r="J7" s="53">
        <v>0.6087</v>
      </c>
      <c r="K7" s="53">
        <v>0.6004</v>
      </c>
      <c r="L7" s="53">
        <v>0.5975</v>
      </c>
      <c r="M7" s="53">
        <v>0.6003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4" t="str">
        <f t="shared" ref="Z7:AO7" si="3">IF(J7="","",IF(J7&gt;($D7+$E7),(J7-$D7-$E7),IF(J7&lt;($D7+$F7),(J7-$D7-$F7),"√")))</f>
        <v>√</v>
      </c>
      <c r="AA7" s="54" t="str">
        <f t="shared" si="3"/>
        <v>√</v>
      </c>
      <c r="AB7" s="54" t="str">
        <f t="shared" si="3"/>
        <v>√</v>
      </c>
      <c r="AC7" s="54" t="str">
        <f t="shared" si="3"/>
        <v>√</v>
      </c>
      <c r="AD7" s="54" t="str">
        <f t="shared" si="3"/>
        <v/>
      </c>
      <c r="AE7" s="54" t="str">
        <f t="shared" si="3"/>
        <v/>
      </c>
      <c r="AF7" s="54" t="str">
        <f t="shared" si="3"/>
        <v/>
      </c>
      <c r="AG7" s="54" t="str">
        <f t="shared" si="3"/>
        <v/>
      </c>
      <c r="AH7" s="54" t="str">
        <f t="shared" si="3"/>
        <v/>
      </c>
      <c r="AI7" s="54" t="str">
        <f t="shared" si="3"/>
        <v/>
      </c>
      <c r="AJ7" s="54" t="str">
        <f t="shared" si="3"/>
        <v/>
      </c>
      <c r="AK7" s="54" t="str">
        <f t="shared" si="3"/>
        <v/>
      </c>
      <c r="AL7" s="54" t="str">
        <f t="shared" si="3"/>
        <v/>
      </c>
      <c r="AM7" s="54" t="str">
        <f t="shared" si="3"/>
        <v/>
      </c>
      <c r="AN7" s="54" t="str">
        <f t="shared" si="3"/>
        <v/>
      </c>
      <c r="AO7" s="54" t="str">
        <f t="shared" si="3"/>
        <v/>
      </c>
    </row>
    <row r="8" ht="15" customHeight="1" spans="1:41">
      <c r="A8" s="55"/>
      <c r="B8" s="50" t="s">
        <v>31</v>
      </c>
      <c r="C8" s="51"/>
      <c r="D8" s="52">
        <v>1.3</v>
      </c>
      <c r="E8" s="52">
        <v>0.03</v>
      </c>
      <c r="F8" s="52">
        <v>-0.03</v>
      </c>
      <c r="G8" s="52">
        <f t="shared" ref="G8" si="4">D8+E8</f>
        <v>1.33</v>
      </c>
      <c r="H8" s="52">
        <f t="shared" ref="H8" si="5">D8+F8</f>
        <v>1.27</v>
      </c>
      <c r="I8" s="52" t="s">
        <v>32</v>
      </c>
      <c r="J8" s="53">
        <v>1.3035</v>
      </c>
      <c r="K8" s="53">
        <v>1.29821</v>
      </c>
      <c r="L8" s="53">
        <v>1.30697</v>
      </c>
      <c r="M8" s="53">
        <v>1.30549</v>
      </c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4" t="str">
        <f t="shared" ref="Z8:AO8" si="6">IF(J8="","",IF(J8&gt;($D8+$E8),(J8-$D8-$E8),IF(J8&lt;($D8+$F8),(J8-$D8-$F8),"√")))</f>
        <v>√</v>
      </c>
      <c r="AA8" s="54" t="str">
        <f t="shared" si="6"/>
        <v>√</v>
      </c>
      <c r="AB8" s="54" t="str">
        <f t="shared" si="6"/>
        <v>√</v>
      </c>
      <c r="AC8" s="54" t="str">
        <f t="shared" si="6"/>
        <v>√</v>
      </c>
      <c r="AD8" s="54" t="str">
        <f t="shared" si="6"/>
        <v/>
      </c>
      <c r="AE8" s="54" t="str">
        <f t="shared" si="6"/>
        <v/>
      </c>
      <c r="AF8" s="54" t="str">
        <f t="shared" si="6"/>
        <v/>
      </c>
      <c r="AG8" s="54" t="str">
        <f t="shared" si="6"/>
        <v/>
      </c>
      <c r="AH8" s="54" t="str">
        <f t="shared" si="6"/>
        <v/>
      </c>
      <c r="AI8" s="54" t="str">
        <f t="shared" si="6"/>
        <v/>
      </c>
      <c r="AJ8" s="54" t="str">
        <f t="shared" si="6"/>
        <v/>
      </c>
      <c r="AK8" s="54" t="str">
        <f t="shared" si="6"/>
        <v/>
      </c>
      <c r="AL8" s="54" t="str">
        <f t="shared" si="6"/>
        <v/>
      </c>
      <c r="AM8" s="54" t="str">
        <f t="shared" si="6"/>
        <v/>
      </c>
      <c r="AN8" s="54" t="str">
        <f t="shared" si="6"/>
        <v/>
      </c>
      <c r="AO8" s="54" t="str">
        <f t="shared" si="6"/>
        <v/>
      </c>
    </row>
    <row r="9" ht="15" customHeight="1" spans="1:41">
      <c r="A9" s="55"/>
      <c r="B9" s="50" t="s">
        <v>33</v>
      </c>
      <c r="C9" s="51" t="s">
        <v>34</v>
      </c>
      <c r="D9" s="52">
        <v>1.57</v>
      </c>
      <c r="E9" s="52">
        <v>0.03</v>
      </c>
      <c r="F9" s="52">
        <v>-0.03</v>
      </c>
      <c r="G9" s="52">
        <f t="shared" ref="G9" si="7">D9+E9</f>
        <v>1.6</v>
      </c>
      <c r="H9" s="52">
        <f t="shared" ref="H9" si="8">D9+F9</f>
        <v>1.54</v>
      </c>
      <c r="I9" s="52" t="s">
        <v>32</v>
      </c>
      <c r="J9" s="53">
        <v>1.57014</v>
      </c>
      <c r="K9" s="53">
        <v>1.56701</v>
      </c>
      <c r="L9" s="53">
        <v>1.57101</v>
      </c>
      <c r="M9" s="53">
        <v>1.56926</v>
      </c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 t="str">
        <f t="shared" ref="Z9:AO9" si="9">IF(J9="","",IF(J9&gt;($D9+$E9),(J9-$D9-$E9),IF(J9&lt;($D9+$F9),(J9-$D9-$F9),"√")))</f>
        <v>√</v>
      </c>
      <c r="AA9" s="54" t="str">
        <f t="shared" si="9"/>
        <v>√</v>
      </c>
      <c r="AB9" s="54" t="str">
        <f t="shared" si="9"/>
        <v>√</v>
      </c>
      <c r="AC9" s="54" t="str">
        <f t="shared" si="9"/>
        <v>√</v>
      </c>
      <c r="AD9" s="54" t="str">
        <f t="shared" si="9"/>
        <v/>
      </c>
      <c r="AE9" s="54" t="str">
        <f t="shared" si="9"/>
        <v/>
      </c>
      <c r="AF9" s="54" t="str">
        <f t="shared" si="9"/>
        <v/>
      </c>
      <c r="AG9" s="54" t="str">
        <f t="shared" si="9"/>
        <v/>
      </c>
      <c r="AH9" s="54" t="str">
        <f t="shared" si="9"/>
        <v/>
      </c>
      <c r="AI9" s="54" t="str">
        <f t="shared" si="9"/>
        <v/>
      </c>
      <c r="AJ9" s="54" t="str">
        <f t="shared" si="9"/>
        <v/>
      </c>
      <c r="AK9" s="54" t="str">
        <f t="shared" si="9"/>
        <v/>
      </c>
      <c r="AL9" s="54" t="str">
        <f t="shared" si="9"/>
        <v/>
      </c>
      <c r="AM9" s="54" t="str">
        <f t="shared" si="9"/>
        <v/>
      </c>
      <c r="AN9" s="54" t="str">
        <f t="shared" si="9"/>
        <v/>
      </c>
      <c r="AO9" s="54" t="str">
        <f t="shared" si="9"/>
        <v/>
      </c>
    </row>
    <row r="10" s="1" customFormat="1" spans="1:41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8"/>
      <c r="AL10" s="59"/>
      <c r="AM10" s="60"/>
      <c r="AN10" s="61"/>
      <c r="AO10" s="62"/>
    </row>
  </sheetData>
  <mergeCells count="32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0:AK10"/>
    <mergeCell ref="AL10:AM10"/>
    <mergeCell ref="AN10:AO10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U7">
    <cfRule type="cellIs" dxfId="0" priority="31" operator="notBetween">
      <formula>$F7</formula>
      <formula>$G7</formula>
    </cfRule>
  </conditionalFormatting>
  <conditionalFormatting sqref="V7:Y7">
    <cfRule type="cellIs" dxfId="0" priority="38" operator="notBetween">
      <formula>$G7</formula>
      <formula>$H7</formula>
    </cfRule>
  </conditionalFormatting>
  <conditionalFormatting sqref="L8">
    <cfRule type="cellIs" dxfId="0" priority="73" operator="notBetween">
      <formula>$G8</formula>
      <formula>$H8</formula>
    </cfRule>
  </conditionalFormatting>
  <conditionalFormatting sqref="O8">
    <cfRule type="cellIs" dxfId="0" priority="47" operator="notBetween">
      <formula>$G8</formula>
      <formula>$H8</formula>
    </cfRule>
  </conditionalFormatting>
  <conditionalFormatting sqref="Q8">
    <cfRule type="cellIs" dxfId="0" priority="60" operator="notBetween">
      <formula>$G8</formula>
      <formula>$H8</formula>
    </cfRule>
  </conditionalFormatting>
  <conditionalFormatting sqref="L9">
    <cfRule type="cellIs" dxfId="0" priority="82" operator="notBetween">
      <formula>$G9</formula>
      <formula>$H9</formula>
    </cfRule>
  </conditionalFormatting>
  <conditionalFormatting sqref="O9">
    <cfRule type="cellIs" dxfId="0" priority="56" operator="notBetween">
      <formula>$G9</formula>
      <formula>$H9</formula>
    </cfRule>
  </conditionalFormatting>
  <conditionalFormatting sqref="Q9">
    <cfRule type="cellIs" dxfId="0" priority="69" operator="notBetween">
      <formula>$G9</formula>
      <formula>$H9</formula>
    </cfRule>
  </conditionalFormatting>
  <conditionalFormatting sqref="J8:K8 M8:N8 P8 R8:Y8">
    <cfRule type="cellIs" dxfId="0" priority="87" operator="notBetween">
      <formula>$G8</formula>
      <formula>$H8</formula>
    </cfRule>
  </conditionalFormatting>
  <conditionalFormatting sqref="J9:K9 M9:N9 P9 R9:Y9">
    <cfRule type="cellIs" dxfId="0" priority="159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2026-06-29T20:42:32Z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