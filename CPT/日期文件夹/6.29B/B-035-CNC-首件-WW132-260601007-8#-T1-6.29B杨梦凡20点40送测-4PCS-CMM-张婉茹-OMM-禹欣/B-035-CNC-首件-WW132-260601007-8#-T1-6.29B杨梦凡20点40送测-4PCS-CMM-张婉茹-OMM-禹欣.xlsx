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<sst xmlns="http://schemas.openxmlformats.org/spreadsheetml/2006/main" count="65" uniqueCount="48">
  <si>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安徽中耀智能科技有限公司首件尺寸报告</t>
  </si>
  <si>
    <t>料号</t>
  </si>
  <si>
    <t>B-washer-035</t>
  </si>
  <si>
    <t>工单号</t>
  </si>
  <si>
    <t>WW132-260601007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</si>
  <si>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</si>
  <si>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</si>
  <si>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</si>
  <si>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</si>
  <si>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</si>
  <si>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</si>
  <si>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</si>
  <si>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</si>
  <si>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张婉茹/禹欣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</si>
  <si>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</si>
  <si>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</si>
  <si>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</si>
  <si>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</si>
  <si>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</si>
  <si>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</si>
  <si>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</si>
  <si>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</si>
  <si>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</si>
  <si>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</si>
  <si>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</si>
  <si>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</si>
  <si>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</si>
  <si>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</si>
  <si>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</si>
  <si>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</si>
  <si>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</si>
  <si>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</si>
  <si>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</si>
  <si>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</si>
  <si>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复测4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</si>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</sst>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8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color theme="1"/>
      <name val="MingLiU"/>
      <charset val="136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7" borderId="15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1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2" fillId="4" borderId="1" xfId="59" applyFont="1" applyFill="1" applyBorder="1" applyAlignment="1">
      <alignment horizontal="center" vertical="center"/>
    </xf>
    <xf numFmtId="178" fontId="13" fillId="0" borderId="11" xfId="73" applyNumberFormat="1" applyFont="1" applyBorder="1" applyAlignment="1" applyProtection="1">
      <alignment horizontal="center" vertical="center"/>
      <protection hidden="1"/>
    </xf>
    <xf numFmtId="177" fontId="14" fillId="2" borderId="1" xfId="61" applyNumberFormat="1" applyFont="1" applyFill="1" applyBorder="1" applyAlignment="1">
      <alignment horizontal="center" vertical="center"/>
    </xf>
    <xf numFmtId="0" fontId="15" fillId="3" borderId="1" xfId="60" applyFont="1" applyFill="1" applyBorder="1" applyAlignment="1">
      <alignment horizontal="center" vertical="center"/>
    </xf>
    <xf numFmtId="177" fontId="16" fillId="2" borderId="1" xfId="61" applyNumberFormat="1" applyFont="1" applyFill="1" applyBorder="1" applyAlignment="1">
      <alignment horizontal="center" vertical="center"/>
    </xf>
    <xf numFmtId="178" fontId="13" fillId="0" borderId="1" xfId="73" applyNumberFormat="1" applyFont="1" applyBorder="1" applyAlignment="1" applyProtection="1">
      <alignment horizontal="center" vertical="center"/>
      <protection hidden="1"/>
    </xf>
    <xf numFmtId="177" fontId="12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G1" workbookViewId="0">
      <selection activeCell="V13" sqref="V13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1" t="s">
        <v>27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2">
        <f t="shared" ref="Y6:AN6" si="0">I6</f>
        <v>1</v>
      </c>
      <c r="Z6" s="42">
        <f t="shared" si="0"/>
        <v>2</v>
      </c>
      <c r="AA6" s="42">
        <f t="shared" si="0"/>
        <v>3</v>
      </c>
      <c r="AB6" s="42">
        <f t="shared" si="0"/>
        <v>4</v>
      </c>
      <c r="AC6" s="42" t="str">
        <f t="shared" si="0"/>
        <v>复测2</v>
      </c>
      <c r="AD6" s="42">
        <f t="shared" si="0"/>
        <v>6</v>
      </c>
      <c r="AE6" s="42">
        <f t="shared" si="0"/>
        <v>7</v>
      </c>
      <c r="AF6" s="42">
        <f t="shared" si="0"/>
        <v>8</v>
      </c>
      <c r="AG6" s="42">
        <f t="shared" si="0"/>
        <v>9</v>
      </c>
      <c r="AH6" s="42">
        <f t="shared" si="0"/>
        <v>10</v>
      </c>
      <c r="AI6" s="42">
        <f t="shared" si="0"/>
        <v>11</v>
      </c>
      <c r="AJ6" s="42">
        <f t="shared" si="0"/>
        <v>12</v>
      </c>
      <c r="AK6" s="42">
        <f t="shared" si="0"/>
        <v>13</v>
      </c>
      <c r="AL6" s="42">
        <f t="shared" si="0"/>
        <v>14</v>
      </c>
      <c r="AM6" s="42">
        <f t="shared" si="0"/>
        <v>15</v>
      </c>
      <c r="AN6" s="42">
        <f t="shared" si="0"/>
        <v>16</v>
      </c>
    </row>
    <row r="7" spans="1:40">
      <c r="A7" s="43">
        <v>46202</v>
      </c>
      <c r="B7" s="44" t="s">
        <v>28</v>
      </c>
      <c r="C7" s="44">
        <v>0</v>
      </c>
      <c r="D7" s="44">
        <v>0.1</v>
      </c>
      <c r="E7" s="44">
        <v>0</v>
      </c>
      <c r="F7" s="45">
        <f>C7+D7</f>
        <v>0.1</v>
      </c>
      <c r="G7" s="45">
        <f>C7+E7</f>
        <v>0</v>
      </c>
      <c r="H7" s="46" t="s">
        <v>29</v>
      </c>
      <c r="I7" s="47">
        <v>0.0726</v>
      </c>
      <c r="J7" s="47">
        <v>0.1601</v>
      </c>
      <c r="K7" s="47">
        <v>0.1018</v>
      </c>
      <c r="L7" s="47">
        <v>0.1053</v>
      </c>
      <c r="M7" s="47">
        <v>0.1604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 t="str">
        <f t="shared" ref="Y7:AF7" si="1">IF(I7="","",IF(I7&gt;($C7+$D7),(I7-$C7-$D7),IF(I7&lt;($C7+$E7),(I7-$C7-$E7),"√")))</f>
        <v>√</v>
      </c>
      <c r="Z7" s="48">
        <f t="shared" si="1"/>
        <v>0.0601</v>
      </c>
      <c r="AA7" s="48">
        <f t="shared" si="1"/>
        <v>0.0018</v>
      </c>
      <c r="AB7" s="48">
        <f t="shared" si="1"/>
        <v>0.0053</v>
      </c>
      <c r="AC7" s="48">
        <f t="shared" si="1"/>
        <v>0.0604</v>
      </c>
      <c r="AD7" s="48" t="str">
        <f t="shared" si="1"/>
        <v/>
      </c>
      <c r="AE7" s="48" t="str">
        <f t="shared" si="1"/>
        <v/>
      </c>
      <c r="AF7" s="48" t="str">
        <f t="shared" si="1"/>
        <v/>
      </c>
      <c r="AG7" s="48" t="str">
        <f t="shared" ref="AG7:AN7" si="2">IF(Q7="","",IF(Q7&gt;($C7+$D7),(Q7-$C7-$D7),IF(Q7&lt;($C7+$E7),(Q7-$C7-$E7),"√")))</f>
        <v/>
      </c>
      <c r="AH7" s="48" t="str">
        <f t="shared" si="2"/>
        <v/>
      </c>
      <c r="AI7" s="48" t="str">
        <f t="shared" si="2"/>
        <v/>
      </c>
      <c r="AJ7" s="48" t="str">
        <f t="shared" si="2"/>
        <v/>
      </c>
      <c r="AK7" s="48" t="str">
        <f t="shared" si="2"/>
        <v/>
      </c>
      <c r="AL7" s="48" t="str">
        <f t="shared" si="2"/>
        <v/>
      </c>
      <c r="AM7" s="48" t="str">
        <f t="shared" si="2"/>
        <v/>
      </c>
      <c r="AN7" s="48" t="str">
        <f t="shared" si="2"/>
        <v/>
      </c>
    </row>
    <row r="8" spans="1:40">
      <c r="A8" s="44"/>
      <c r="B8" s="44" t="s">
        <v>30</v>
      </c>
      <c r="C8" s="44"/>
      <c r="D8" s="44"/>
      <c r="E8" s="44"/>
      <c r="F8" s="45">
        <f>C8+D8</f>
        <v>0</v>
      </c>
      <c r="G8" s="45">
        <f>C8+E8</f>
        <v>0</v>
      </c>
      <c r="H8" s="46" t="s">
        <v>29</v>
      </c>
      <c r="I8" s="47">
        <v>-0.0308</v>
      </c>
      <c r="J8" s="47">
        <v>-0.0774</v>
      </c>
      <c r="K8" s="47">
        <v>-0.0504</v>
      </c>
      <c r="L8" s="47">
        <v>-0.05</v>
      </c>
      <c r="M8" s="47">
        <v>-0.0776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</row>
    <row r="9" spans="1:40">
      <c r="A9" s="44"/>
      <c r="B9" s="44" t="s">
        <v>31</v>
      </c>
      <c r="C9" s="44"/>
      <c r="D9" s="44"/>
      <c r="E9" s="44"/>
      <c r="F9" s="45">
        <f>C9+D9</f>
        <v>0</v>
      </c>
      <c r="G9" s="45">
        <f>C9+E9</f>
        <v>0</v>
      </c>
      <c r="H9" s="46" t="s">
        <v>29</v>
      </c>
      <c r="I9" s="47">
        <v>-0.0192</v>
      </c>
      <c r="J9" s="47">
        <v>-0.0204</v>
      </c>
      <c r="K9" s="47">
        <v>0.0069</v>
      </c>
      <c r="L9" s="47">
        <v>0.0164</v>
      </c>
      <c r="M9" s="47">
        <v>-0.0204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</row>
    <row r="10" spans="1:40">
      <c r="A10" s="44"/>
      <c r="B10" s="44" t="s">
        <v>32</v>
      </c>
      <c r="C10" s="44">
        <v>0</v>
      </c>
      <c r="D10" s="44">
        <v>0.2</v>
      </c>
      <c r="E10" s="44">
        <v>0</v>
      </c>
      <c r="F10" s="45">
        <f>C10+D10</f>
        <v>0.2</v>
      </c>
      <c r="G10" s="45">
        <f>C10+E10</f>
        <v>0</v>
      </c>
      <c r="H10" s="46" t="s">
        <v>29</v>
      </c>
      <c r="I10" s="47">
        <v>0.1957</v>
      </c>
      <c r="J10" s="47">
        <v>0.1873</v>
      </c>
      <c r="K10" s="47">
        <v>0.1243</v>
      </c>
      <c r="L10" s="47">
        <v>0.1352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 t="str">
        <f t="shared" ref="Y10:AB11" si="3">IF(I10="","",IF(I10&gt;($C10+$D10),(I10-$C10-$D10),IF(I10&lt;($C10+$E10),(I10-$C10-$E10),"√")))</f>
        <v>√</v>
      </c>
      <c r="Z10" s="48" t="str">
        <f t="shared" si="3"/>
        <v>√</v>
      </c>
      <c r="AA10" s="48" t="str">
        <f t="shared" si="3"/>
        <v>√</v>
      </c>
      <c r="AB10" s="48" t="str">
        <f t="shared" si="3"/>
        <v>√</v>
      </c>
      <c r="AC10" s="48" t="str">
        <f t="shared" ref="AC10:AN10" si="4">IF(M10="","",IF(M10&gt;($C10+$D10),(M10-$C10-$D10),IF(M10&lt;($C10+$E10),(M10-$C10-$E10),"√")))</f>
        <v/>
      </c>
      <c r="AD10" s="48" t="str">
        <f t="shared" si="4"/>
        <v/>
      </c>
      <c r="AE10" s="48" t="str">
        <f t="shared" si="4"/>
        <v/>
      </c>
      <c r="AF10" s="48" t="str">
        <f t="shared" si="4"/>
        <v/>
      </c>
      <c r="AG10" s="48" t="str">
        <f t="shared" si="4"/>
        <v/>
      </c>
      <c r="AH10" s="48" t="str">
        <f t="shared" si="4"/>
        <v/>
      </c>
      <c r="AI10" s="48" t="str">
        <f t="shared" si="4"/>
        <v/>
      </c>
      <c r="AJ10" s="48" t="str">
        <f t="shared" si="4"/>
        <v/>
      </c>
      <c r="AK10" s="48" t="str">
        <f t="shared" si="4"/>
        <v/>
      </c>
      <c r="AL10" s="48" t="str">
        <f t="shared" si="4"/>
        <v/>
      </c>
      <c r="AM10" s="48" t="str">
        <f t="shared" si="4"/>
        <v/>
      </c>
      <c r="AN10" s="48" t="str">
        <f t="shared" si="4"/>
        <v/>
      </c>
    </row>
    <row r="11" spans="1:40">
      <c r="A11" s="44"/>
      <c r="B11" s="44" t="s">
        <v>33</v>
      </c>
      <c r="C11" s="44">
        <v>0</v>
      </c>
      <c r="D11" s="44">
        <v>0.1</v>
      </c>
      <c r="E11" s="44">
        <v>0</v>
      </c>
      <c r="F11" s="45">
        <f>C11+D11</f>
        <v>0.1</v>
      </c>
      <c r="G11" s="45">
        <f>C11+E11</f>
        <v>0</v>
      </c>
      <c r="H11" s="46" t="s">
        <v>29</v>
      </c>
      <c r="I11" s="47">
        <v>0.035</v>
      </c>
      <c r="J11" s="47">
        <v>0.0158</v>
      </c>
      <c r="K11" s="47">
        <v>0.0059</v>
      </c>
      <c r="L11" s="47">
        <v>0.0162</v>
      </c>
      <c r="M11" s="49" t="s">
        <v>34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3"/>
        <v>√</v>
      </c>
      <c r="Z11" s="48" t="str">
        <f t="shared" si="3"/>
        <v>√</v>
      </c>
      <c r="AA11" s="48" t="str">
        <f t="shared" si="3"/>
        <v>√</v>
      </c>
      <c r="AB11" s="48" t="str">
        <f t="shared" si="3"/>
        <v>√</v>
      </c>
      <c r="AC11" s="48" t="e">
        <f t="shared" ref="AC11:AN11" si="5">IF(M11="","",IF(M11&gt;($C11+$D11),(M11-$C11-$D11),IF(M11&lt;($C11+$E11),(M11-$C11-$E11),"√")))</f>
        <v>#VALUE!</v>
      </c>
      <c r="AD11" s="48" t="str">
        <f t="shared" si="5"/>
        <v/>
      </c>
      <c r="AE11" s="48" t="str">
        <f t="shared" si="5"/>
        <v/>
      </c>
      <c r="AF11" s="48" t="str">
        <f t="shared" si="5"/>
        <v/>
      </c>
      <c r="AG11" s="48" t="str">
        <f t="shared" si="5"/>
        <v/>
      </c>
      <c r="AH11" s="48" t="str">
        <f t="shared" si="5"/>
        <v/>
      </c>
      <c r="AI11" s="48" t="str">
        <f t="shared" si="5"/>
        <v/>
      </c>
      <c r="AJ11" s="48" t="str">
        <f t="shared" si="5"/>
        <v/>
      </c>
      <c r="AK11" s="48" t="str">
        <f t="shared" si="5"/>
        <v/>
      </c>
      <c r="AL11" s="48" t="str">
        <f t="shared" si="5"/>
        <v/>
      </c>
      <c r="AM11" s="48" t="str">
        <f t="shared" si="5"/>
        <v/>
      </c>
      <c r="AN11" s="48" t="str">
        <f t="shared" si="5"/>
        <v/>
      </c>
    </row>
    <row r="12" spans="1:40">
      <c r="A12" s="44"/>
      <c r="B12" s="44" t="s">
        <v>35</v>
      </c>
      <c r="C12" s="50">
        <v>0.4</v>
      </c>
      <c r="D12" s="50">
        <v>0.1</v>
      </c>
      <c r="E12" s="51">
        <v>-0.1</v>
      </c>
      <c r="F12" s="45">
        <v>0.5</v>
      </c>
      <c r="G12" s="45">
        <v>0.3</v>
      </c>
      <c r="H12" s="46" t="s">
        <v>36</v>
      </c>
      <c r="I12" s="47">
        <v>0.4343</v>
      </c>
      <c r="J12" s="47">
        <v>0.4081</v>
      </c>
      <c r="K12" s="47">
        <v>0.433</v>
      </c>
      <c r="L12" s="47">
        <v>0.4304</v>
      </c>
      <c r="M12" s="47">
        <v>0.4338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 t="str">
        <f>IF(I12="","",IF(I12&gt;($C12+$D12),(I12-$C12-$D12),IF(I12&lt;($C12+$E12),(I12-$C12-$E12),"√")))</f>
        <v>√</v>
      </c>
      <c r="Z12" s="48" t="str">
        <f>IF(J12="","",IF(J12&gt;($C12+$D12),(J12-$C12-$D12),IF(J12&lt;($C12+$E12),(J12-$C12-$E12),"√")))</f>
        <v>√</v>
      </c>
      <c r="AA12" s="48" t="str">
        <f>IF(K12="","",IF(K12&gt;($C12+$D12),(K12-$C12-$D12),IF(K12&lt;($C12+$E12),(K12-$C12-$E12),"√")))</f>
        <v>√</v>
      </c>
      <c r="AB12" s="48" t="str">
        <f>IF(L12="","",IF(L12&gt;($C12+$D12),(L12-$C12-$D12),IF(L12&lt;($C12+$E12),(L12-$C12-$E12),"√")))</f>
        <v>√</v>
      </c>
      <c r="AC12" s="48" t="str">
        <f>IF(M12="","",IF(M12&gt;($C12+$D12),(M12-$C12-$D12),IF(M12&lt;($C12+$E12),(M12-$C12-$E12),"√")))</f>
        <v>√</v>
      </c>
      <c r="AD12" s="48" t="str">
        <f t="shared" ref="AD12:AD22" si="6">IF(N12="","",IF(N12&gt;($C12+$D12),(N12-$C12-$D12),IF(N12&lt;($C12+$E12),(N12-$C12-$E12),"√")))</f>
        <v/>
      </c>
      <c r="AE12" s="48" t="str">
        <f t="shared" ref="AE12:AE22" si="7">IF(O12="","",IF(O12&gt;($C12+$D12),(O12-$C12-$D12),IF(O12&lt;($C12+$E12),(O12-$C12-$E12),"√")))</f>
        <v/>
      </c>
      <c r="AF12" s="48" t="str">
        <f t="shared" ref="AF12:AF22" si="8">IF(P12="","",IF(P12&gt;($C12+$D12),(P12-$C12-$D12),IF(P12&lt;($C12+$E12),(P12-$C12-$E12),"√")))</f>
        <v/>
      </c>
      <c r="AG12" s="48" t="str">
        <f t="shared" ref="AG12:AN12" si="9">IF(Q12="","",IF(Q12&gt;($C12+$D12),(Q12-$C12-$D12),IF(Q12&lt;($C12+$E12),(Q12-$C12-$E12),"√")))</f>
        <v/>
      </c>
      <c r="AH12" s="48" t="str">
        <f t="shared" si="9"/>
        <v/>
      </c>
      <c r="AI12" s="48" t="str">
        <f t="shared" si="9"/>
        <v/>
      </c>
      <c r="AJ12" s="48" t="str">
        <f t="shared" si="9"/>
        <v/>
      </c>
      <c r="AK12" s="48" t="str">
        <f t="shared" si="9"/>
        <v/>
      </c>
      <c r="AL12" s="48" t="str">
        <f t="shared" si="9"/>
        <v/>
      </c>
      <c r="AM12" s="48" t="str">
        <f t="shared" si="9"/>
        <v/>
      </c>
      <c r="AN12" s="48" t="str">
        <f t="shared" si="9"/>
        <v/>
      </c>
    </row>
    <row r="13" spans="1:40">
      <c r="A13" s="44"/>
      <c r="B13" s="44" t="s">
        <v>37</v>
      </c>
      <c r="C13" s="50"/>
      <c r="D13" s="50"/>
      <c r="E13" s="51"/>
      <c r="F13" s="45"/>
      <c r="G13" s="45"/>
      <c r="H13" s="46" t="s">
        <v>36</v>
      </c>
      <c r="I13" s="47">
        <v>0.4125</v>
      </c>
      <c r="J13" s="47">
        <v>0.3866</v>
      </c>
      <c r="K13" s="47">
        <v>0.4242</v>
      </c>
      <c r="L13" s="47">
        <v>0.4063</v>
      </c>
      <c r="M13" s="47">
        <v>0.4055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</row>
    <row r="14" spans="1:40">
      <c r="A14" s="44"/>
      <c r="B14" s="44" t="s">
        <v>38</v>
      </c>
      <c r="C14" s="50"/>
      <c r="D14" s="50"/>
      <c r="E14" s="51"/>
      <c r="F14" s="45"/>
      <c r="G14" s="45"/>
      <c r="H14" s="46" t="s">
        <v>36</v>
      </c>
      <c r="I14" s="47">
        <v>0.4089</v>
      </c>
      <c r="J14" s="47">
        <v>0.3849</v>
      </c>
      <c r="K14" s="47">
        <v>0.4152</v>
      </c>
      <c r="L14" s="47">
        <v>0.4048</v>
      </c>
      <c r="M14" s="47">
        <v>0.4073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</row>
    <row r="15" spans="1:40">
      <c r="A15" s="44"/>
      <c r="B15" s="44" t="s">
        <v>39</v>
      </c>
      <c r="C15" s="50"/>
      <c r="D15" s="50"/>
      <c r="E15" s="51"/>
      <c r="F15" s="45"/>
      <c r="G15" s="45"/>
      <c r="H15" s="46" t="s">
        <v>36</v>
      </c>
      <c r="I15" s="47">
        <v>0.4468</v>
      </c>
      <c r="J15" s="47">
        <v>0.4066</v>
      </c>
      <c r="K15" s="47">
        <v>0.4356</v>
      </c>
      <c r="L15" s="47">
        <v>0.4452</v>
      </c>
      <c r="M15" s="47">
        <v>0.4408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spans="1:40">
      <c r="A16" s="44"/>
      <c r="B16" s="44" t="s">
        <v>40</v>
      </c>
      <c r="C16" s="50"/>
      <c r="D16" s="50"/>
      <c r="E16" s="51"/>
      <c r="F16" s="45"/>
      <c r="G16" s="45"/>
      <c r="H16" s="46" t="s">
        <v>36</v>
      </c>
      <c r="I16" s="47">
        <v>0.4692</v>
      </c>
      <c r="J16" s="47">
        <v>0.4543</v>
      </c>
      <c r="K16" s="47">
        <v>0.4571</v>
      </c>
      <c r="L16" s="47">
        <v>0.4654</v>
      </c>
      <c r="M16" s="47">
        <v>0.4817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</row>
    <row r="17" spans="1:40">
      <c r="A17" s="44"/>
      <c r="B17" s="44" t="s">
        <v>41</v>
      </c>
      <c r="C17" s="50">
        <v>0.95</v>
      </c>
      <c r="D17" s="50">
        <v>0.05</v>
      </c>
      <c r="E17" s="51">
        <v>-0.05</v>
      </c>
      <c r="F17" s="45">
        <v>1</v>
      </c>
      <c r="G17" s="45">
        <v>0.9</v>
      </c>
      <c r="H17" s="46" t="s">
        <v>36</v>
      </c>
      <c r="I17" s="47">
        <v>0.9924</v>
      </c>
      <c r="J17" s="47">
        <v>1.0075</v>
      </c>
      <c r="K17" s="47">
        <v>1.0027</v>
      </c>
      <c r="L17" s="47">
        <v>1.012</v>
      </c>
      <c r="M17" s="47">
        <v>1.0095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 t="str">
        <f>IF(I17="","",IF(I17&gt;($C17+$D17),(I17-$C17-$D17),IF(I17&lt;($C17+$E17),(I17-$C17-$E17),"√")))</f>
        <v>√</v>
      </c>
      <c r="Z17" s="48">
        <f>IF(J17="","",IF(J17&gt;($C17+$D17),(J17-$C17-$D17),IF(J17&lt;($C17+$E17),(J17-$C17-$E17),"√")))</f>
        <v>0.0075000000000001</v>
      </c>
      <c r="AA17" s="48">
        <f>IF(K17="","",IF(K17&gt;($C17+$D17),(K17-$C17-$D17),IF(K17&lt;($C17+$E17),(K17-$C17-$E17),"√")))</f>
        <v>0.00269999999999997</v>
      </c>
      <c r="AB17" s="48">
        <f>IF(L17="","",IF(L17&gt;($C17+$D17),(L17-$C17-$D17),IF(L17&lt;($C17+$E17),(L17-$C17-$E17),"√")))</f>
        <v>0.0120000000000001</v>
      </c>
      <c r="AC17" s="48">
        <f>IF(M17="","",IF(M17&gt;($C17+$D17),(M17-$C17-$D17),IF(M17&lt;($C17+$E17),(M17-$C17-$E17),"√")))</f>
        <v>0.00950000000000011</v>
      </c>
      <c r="AD17" s="48" t="str">
        <f t="shared" si="6"/>
        <v/>
      </c>
      <c r="AE17" s="48" t="str">
        <f t="shared" si="7"/>
        <v/>
      </c>
      <c r="AF17" s="48" t="str">
        <f t="shared" si="8"/>
        <v/>
      </c>
      <c r="AG17" s="48" t="str">
        <f t="shared" ref="AG17:AN17" si="10">IF(Q17="","",IF(Q17&gt;($C17+$D17),(Q17-$C17-$D17),IF(Q17&lt;($C17+$E17),(Q17-$C17-$E17),"√")))</f>
        <v/>
      </c>
      <c r="AH17" s="48" t="str">
        <f t="shared" si="10"/>
        <v/>
      </c>
      <c r="AI17" s="48" t="str">
        <f t="shared" si="10"/>
        <v/>
      </c>
      <c r="AJ17" s="48" t="str">
        <f t="shared" si="10"/>
        <v/>
      </c>
      <c r="AK17" s="48" t="str">
        <f t="shared" si="10"/>
        <v/>
      </c>
      <c r="AL17" s="48" t="str">
        <f t="shared" si="10"/>
        <v/>
      </c>
      <c r="AM17" s="48" t="str">
        <f t="shared" si="10"/>
        <v/>
      </c>
      <c r="AN17" s="48" t="str">
        <f t="shared" si="10"/>
        <v/>
      </c>
    </row>
    <row r="18" spans="1:40">
      <c r="A18" s="44"/>
      <c r="B18" s="44" t="s">
        <v>42</v>
      </c>
      <c r="C18" s="50"/>
      <c r="D18" s="50"/>
      <c r="E18" s="51"/>
      <c r="F18" s="45"/>
      <c r="G18" s="45"/>
      <c r="H18" s="46" t="s">
        <v>36</v>
      </c>
      <c r="I18" s="47">
        <v>1.0118</v>
      </c>
      <c r="J18" s="47">
        <v>1.0162</v>
      </c>
      <c r="K18" s="47">
        <v>1.0054</v>
      </c>
      <c r="L18" s="47">
        <v>1.0151</v>
      </c>
      <c r="M18" s="47">
        <v>1.0169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</row>
    <row r="19" spans="1:40">
      <c r="A19" s="44"/>
      <c r="B19" s="44" t="s">
        <v>43</v>
      </c>
      <c r="C19" s="50"/>
      <c r="D19" s="50"/>
      <c r="E19" s="51"/>
      <c r="F19" s="45"/>
      <c r="G19" s="45"/>
      <c r="H19" s="46" t="s">
        <v>36</v>
      </c>
      <c r="I19" s="47">
        <v>1.0059</v>
      </c>
      <c r="J19" s="47">
        <v>1.0234</v>
      </c>
      <c r="K19" s="47">
        <v>1.0236</v>
      </c>
      <c r="L19" s="47">
        <v>1.0443</v>
      </c>
      <c r="M19" s="47">
        <v>1.0408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</row>
    <row r="20" spans="1:40">
      <c r="A20" s="44"/>
      <c r="B20" s="44" t="s">
        <v>44</v>
      </c>
      <c r="C20" s="50"/>
      <c r="D20" s="50"/>
      <c r="E20" s="51"/>
      <c r="F20" s="45"/>
      <c r="G20" s="45"/>
      <c r="H20" s="46" t="s">
        <v>36</v>
      </c>
      <c r="I20" s="47">
        <v>0.9885</v>
      </c>
      <c r="J20" s="47">
        <v>1.0064</v>
      </c>
      <c r="K20" s="47">
        <v>0.9925</v>
      </c>
      <c r="L20" s="47">
        <v>1.0003</v>
      </c>
      <c r="M20" s="47">
        <v>1.0055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</row>
    <row r="21" spans="1:40">
      <c r="A21" s="44"/>
      <c r="B21" s="44" t="s">
        <v>45</v>
      </c>
      <c r="C21" s="50"/>
      <c r="D21" s="50"/>
      <c r="E21" s="51"/>
      <c r="F21" s="45"/>
      <c r="G21" s="45"/>
      <c r="H21" s="46" t="s">
        <v>36</v>
      </c>
      <c r="I21" s="47">
        <v>0.9635</v>
      </c>
      <c r="J21" s="47">
        <v>0.984</v>
      </c>
      <c r="K21" s="47">
        <v>0.9892</v>
      </c>
      <c r="L21" s="47">
        <v>0.9911</v>
      </c>
      <c r="M21" s="47">
        <v>0.9749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</row>
    <row r="22" spans="1:40">
      <c r="A22" s="44"/>
      <c r="B22" s="44" t="s">
        <v>46</v>
      </c>
      <c r="C22" s="50">
        <v>19.4</v>
      </c>
      <c r="D22" s="50">
        <v>0.05</v>
      </c>
      <c r="E22" s="51">
        <v>-0.05</v>
      </c>
      <c r="F22" s="45">
        <v>19.45</v>
      </c>
      <c r="G22" s="45">
        <v>19.35</v>
      </c>
      <c r="H22" s="46" t="s">
        <v>36</v>
      </c>
      <c r="I22" s="47">
        <v>19.3966</v>
      </c>
      <c r="J22" s="47">
        <v>19.3865</v>
      </c>
      <c r="K22" s="47">
        <v>19.3906</v>
      </c>
      <c r="L22" s="47">
        <v>19.3962</v>
      </c>
      <c r="M22" s="47">
        <v>19.3951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 t="str">
        <f t="shared" ref="Y22:AC23" si="11">IF(I22="","",IF(I22&gt;($C22+$D22),(I22-$C22-$D22),IF(I22&lt;($C22+$E22),(I22-$C22-$E22),"√")))</f>
        <v>√</v>
      </c>
      <c r="Z22" s="48" t="str">
        <f t="shared" si="11"/>
        <v>√</v>
      </c>
      <c r="AA22" s="48" t="str">
        <f t="shared" si="11"/>
        <v>√</v>
      </c>
      <c r="AB22" s="48" t="str">
        <f t="shared" si="11"/>
        <v>√</v>
      </c>
      <c r="AC22" s="48" t="str">
        <f t="shared" si="11"/>
        <v>√</v>
      </c>
      <c r="AD22" s="48" t="str">
        <f t="shared" si="6"/>
        <v/>
      </c>
      <c r="AE22" s="48" t="str">
        <f t="shared" si="7"/>
        <v/>
      </c>
      <c r="AF22" s="48" t="str">
        <f t="shared" si="8"/>
        <v/>
      </c>
      <c r="AG22" s="48" t="str">
        <f t="shared" ref="AG22:AN22" si="12">IF(Q22="","",IF(Q22&gt;($C22+$D22),(Q22-$C22-$D22),IF(Q22&lt;($C22+$E22),(Q22-$C22-$E22),"√")))</f>
        <v/>
      </c>
      <c r="AH22" s="48" t="str">
        <f t="shared" si="12"/>
        <v/>
      </c>
      <c r="AI22" s="48" t="str">
        <f t="shared" si="12"/>
        <v/>
      </c>
      <c r="AJ22" s="48" t="str">
        <f t="shared" si="12"/>
        <v/>
      </c>
      <c r="AK22" s="48" t="str">
        <f t="shared" si="12"/>
        <v/>
      </c>
      <c r="AL22" s="48" t="str">
        <f t="shared" si="12"/>
        <v/>
      </c>
      <c r="AM22" s="48" t="str">
        <f t="shared" si="12"/>
        <v/>
      </c>
      <c r="AN22" s="48" t="str">
        <f t="shared" si="12"/>
        <v/>
      </c>
    </row>
    <row r="23" spans="1:40">
      <c r="A23" s="44"/>
      <c r="B23" s="44" t="s">
        <v>47</v>
      </c>
      <c r="C23" s="50">
        <v>0</v>
      </c>
      <c r="D23" s="50">
        <v>0.1</v>
      </c>
      <c r="E23" s="51">
        <v>0</v>
      </c>
      <c r="F23" s="45">
        <v>0.1</v>
      </c>
      <c r="G23" s="45">
        <v>0</v>
      </c>
      <c r="H23" s="46" t="s">
        <v>36</v>
      </c>
      <c r="I23" s="47">
        <v>0.0265</v>
      </c>
      <c r="J23" s="47">
        <v>0.024</v>
      </c>
      <c r="K23" s="47">
        <v>0.0263</v>
      </c>
      <c r="L23" s="47">
        <v>0.0266</v>
      </c>
      <c r="M23" s="47">
        <v>0.0279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 t="str">
        <f t="shared" si="11"/>
        <v>√</v>
      </c>
      <c r="Z23" s="48" t="str">
        <f t="shared" si="11"/>
        <v>√</v>
      </c>
      <c r="AA23" s="48" t="str">
        <f t="shared" si="11"/>
        <v>√</v>
      </c>
      <c r="AB23" s="48" t="str">
        <f t="shared" si="11"/>
        <v>√</v>
      </c>
      <c r="AC23" s="48" t="str">
        <f t="shared" si="11"/>
        <v>√</v>
      </c>
      <c r="AD23" s="48" t="str">
        <f t="shared" ref="AD23" si="13">IF(N23="","",IF(N23&gt;($C23+$D23),(N23-$C23-$D23),IF(N23&lt;($C23+$E23),(N23-$C23-$E23),"√")))</f>
        <v/>
      </c>
      <c r="AE23" s="48" t="str">
        <f t="shared" ref="AE23" si="14">IF(O23="","",IF(O23&gt;($C23+$D23),(O23-$C23-$D23),IF(O23&lt;($C23+$E23),(O23-$C23-$E23),"√")))</f>
        <v/>
      </c>
      <c r="AF23" s="48" t="str">
        <f t="shared" ref="AF23" si="15">IF(P23="","",IF(P23&gt;($C23+$D23),(P23-$C23-$D23),IF(P23&lt;($C23+$E23),(P23-$C23-$E23),"√")))</f>
        <v/>
      </c>
      <c r="AG23" s="48" t="str">
        <f t="shared" ref="AG23:AN23" si="16">IF(Q23="","",IF(Q23&gt;($C23+$D23),(Q23-$C23-$D23),IF(Q23&lt;($C23+$E23),(Q23-$C23-$E23),"√")))</f>
        <v/>
      </c>
      <c r="AH23" s="48" t="str">
        <f t="shared" si="16"/>
        <v/>
      </c>
      <c r="AI23" s="48" t="str">
        <f t="shared" si="16"/>
        <v/>
      </c>
      <c r="AJ23" s="48" t="str">
        <f t="shared" si="16"/>
        <v/>
      </c>
      <c r="AK23" s="48" t="str">
        <f t="shared" si="16"/>
        <v/>
      </c>
      <c r="AL23" s="48" t="str">
        <f t="shared" si="16"/>
        <v/>
      </c>
      <c r="AM23" s="48" t="str">
        <f t="shared" si="16"/>
        <v/>
      </c>
      <c r="AN23" s="48" t="str">
        <f t="shared" si="16"/>
        <v/>
      </c>
    </row>
    <row r="24" spans="1:40">
      <c r="A24" s="44"/>
      <c r="B24" s="44">
        <v>1</v>
      </c>
      <c r="C24" s="50"/>
      <c r="D24" s="50"/>
      <c r="E24" s="51"/>
      <c r="F24" s="45"/>
      <c r="G24" s="45"/>
      <c r="H24" s="46" t="s">
        <v>36</v>
      </c>
      <c r="I24" s="47">
        <v>0.0001</v>
      </c>
      <c r="J24" s="47">
        <v>0.0001</v>
      </c>
      <c r="K24" s="47">
        <v>0.0001</v>
      </c>
      <c r="L24" s="47">
        <v>0.0001</v>
      </c>
      <c r="M24" s="47">
        <v>0.0001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</row>
    <row r="25" spans="1:40">
      <c r="A25" s="44"/>
      <c r="B25" s="44">
        <v>2</v>
      </c>
      <c r="C25" s="50"/>
      <c r="D25" s="50"/>
      <c r="E25" s="51"/>
      <c r="F25" s="45"/>
      <c r="G25" s="45"/>
      <c r="H25" s="46" t="s">
        <v>36</v>
      </c>
      <c r="I25" s="47">
        <v>-0.0132</v>
      </c>
      <c r="J25" s="47">
        <v>-0.012</v>
      </c>
      <c r="K25" s="47">
        <v>-0.0131</v>
      </c>
      <c r="L25" s="47">
        <v>-0.0133</v>
      </c>
      <c r="M25" s="47">
        <v>-0.014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</row>
    <row r="26" s="1" customFormat="1" spans="1:40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5"/>
      <c r="AL26" s="56"/>
      <c r="AM26" s="57"/>
      <c r="AN26" s="58"/>
    </row>
  </sheetData>
  <protectedRanges>
    <protectedRange sqref="I8:I9 I7 S7:X7 O7:R7 O8:X9 J8:J9 J7 L7 L8:L9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K7">
    <cfRule type="cellIs" dxfId="0" priority="2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3" operator="notBetween">
      <formula>$F7</formula>
      <formula>$G7</formula>
    </cfRule>
  </conditionalFormatting>
  <conditionalFormatting sqref="Q23:X23">
    <cfRule type="cellIs" dxfId="0" priority="4" operator="notBetween">
      <formula>$F23</formula>
      <formula>$G23</formula>
    </cfRule>
  </conditionalFormatting>
  <conditionalFormatting sqref="I7:J7 L7 O7:X7">
    <cfRule type="cellIs" dxfId="0" priority="5" operator="notBetween">
      <formula>$F7</formula>
      <formula>$G7</formula>
    </cfRule>
  </conditionalFormatting>
  <conditionalFormatting sqref="I10:X12 I17:X17 Q22:X22">
    <cfRule type="cellIs" dxfId="0" priority="10" operator="notBetween">
      <formula>$F10</formula>
      <formula>$G10</formula>
    </cfRule>
  </conditionalFormatting>
  <conditionalFormatting sqref="I22:P23">
    <cfRule type="cellIs" dxfId="0" priority="9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