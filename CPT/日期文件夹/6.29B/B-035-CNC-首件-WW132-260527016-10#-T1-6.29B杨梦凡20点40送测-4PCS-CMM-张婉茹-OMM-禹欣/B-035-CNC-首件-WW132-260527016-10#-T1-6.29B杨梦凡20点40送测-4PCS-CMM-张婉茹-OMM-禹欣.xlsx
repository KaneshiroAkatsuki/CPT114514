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<sst xmlns="http://schemas.openxmlformats.org/spreadsheetml/2006/main" count="64" uniqueCount="47">
  <si>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</si>
  <si>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</si>
  <si>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</si>
  <si>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</si>
  <si>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WW132-260527016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</si>
  <si>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</si>
  <si>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</si>
  <si>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</si>
  <si>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</si>
  <si>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</si>
  <si>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</si>
  <si>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</si>
  <si>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</si>
  <si>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张婉茹/禹欣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</si>
  <si>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</si>
  <si>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</si>
  <si>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</si>
  <si>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</si>
  <si>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</si>
  <si>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</si>
  <si>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</si>
  <si>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</si>
  <si>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</si>
  <si>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</si>
  <si>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</si>
  <si>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</si>
  <si>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</si>
  <si>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</si>
  <si>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</si>
  <si>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</si>
  <si>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</si>
  <si>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</si>
  <si>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</si>
  <si>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复测1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</si>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</sst>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color theme="1"/>
      <name val="MingLiU"/>
      <charset val="136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7" fontId="15" fillId="2" borderId="1" xfId="61" applyNumberFormat="1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G1" workbookViewId="0">
      <selection activeCell="O12" sqref="O12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46202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0.0557</v>
      </c>
      <c r="J7" s="46">
        <v>0.0781</v>
      </c>
      <c r="K7" s="46">
        <v>0.0831</v>
      </c>
      <c r="L7" s="46">
        <v>0.0339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-0.0111</v>
      </c>
      <c r="J8" s="46">
        <v>-0.0258</v>
      </c>
      <c r="K8" s="46">
        <v>-0.004</v>
      </c>
      <c r="L8" s="46">
        <v>0.0112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-0.0255</v>
      </c>
      <c r="J9" s="46">
        <v>0.0294</v>
      </c>
      <c r="K9" s="46">
        <v>-0.0414</v>
      </c>
      <c r="L9" s="46">
        <v>0.0127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0.1967</v>
      </c>
      <c r="J10" s="46">
        <v>0.1633</v>
      </c>
      <c r="K10" s="46">
        <v>0.1714</v>
      </c>
      <c r="L10" s="46">
        <v>0.1017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0.0073</v>
      </c>
      <c r="J11" s="46">
        <v>0.0128</v>
      </c>
      <c r="K11" s="46">
        <v>0.0046</v>
      </c>
      <c r="L11" s="46">
        <v>0.0162</v>
      </c>
      <c r="M11" s="48" t="s">
        <v>33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e">
        <f t="shared" ref="AC11:AN11" si="5">IF(M11="","",IF(M11&gt;($C11+$D11),(M11-$C11-$D11),IF(M11&lt;($C11+$E11),(M11-$C11-$E11),"√")))</f>
        <v>#VALUE!</v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34</v>
      </c>
      <c r="C12" s="49">
        <v>0.4</v>
      </c>
      <c r="D12" s="49">
        <v>0.1</v>
      </c>
      <c r="E12" s="50">
        <v>-0.1</v>
      </c>
      <c r="F12" s="44">
        <v>0.5</v>
      </c>
      <c r="G12" s="44">
        <v>0.3</v>
      </c>
      <c r="H12" s="45" t="s">
        <v>35</v>
      </c>
      <c r="I12" s="46">
        <v>0.403</v>
      </c>
      <c r="J12" s="46">
        <v>0.4088</v>
      </c>
      <c r="K12" s="46">
        <v>0.41</v>
      </c>
      <c r="L12" s="46">
        <v>0.4193</v>
      </c>
      <c r="M12" s="46">
        <v>0.4029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>√</v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36</v>
      </c>
      <c r="C13" s="49"/>
      <c r="D13" s="49"/>
      <c r="E13" s="50"/>
      <c r="F13" s="44"/>
      <c r="G13" s="44"/>
      <c r="H13" s="45" t="s">
        <v>35</v>
      </c>
      <c r="I13" s="46">
        <v>0.3928</v>
      </c>
      <c r="J13" s="46">
        <v>0.3755</v>
      </c>
      <c r="K13" s="46">
        <v>0.4076</v>
      </c>
      <c r="L13" s="46">
        <v>0.4011</v>
      </c>
      <c r="M13" s="46">
        <v>0.3855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37</v>
      </c>
      <c r="C14" s="49"/>
      <c r="D14" s="49"/>
      <c r="E14" s="50"/>
      <c r="F14" s="44"/>
      <c r="G14" s="44"/>
      <c r="H14" s="45" t="s">
        <v>35</v>
      </c>
      <c r="I14" s="46">
        <v>0.3861</v>
      </c>
      <c r="J14" s="46">
        <v>0.3872</v>
      </c>
      <c r="K14" s="46">
        <v>0.3749</v>
      </c>
      <c r="L14" s="46">
        <v>0.3896</v>
      </c>
      <c r="M14" s="46">
        <v>0.398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38</v>
      </c>
      <c r="C15" s="49"/>
      <c r="D15" s="49"/>
      <c r="E15" s="50"/>
      <c r="F15" s="44"/>
      <c r="G15" s="44"/>
      <c r="H15" s="45" t="s">
        <v>35</v>
      </c>
      <c r="I15" s="46">
        <v>0.3866</v>
      </c>
      <c r="J15" s="46">
        <v>0.4191</v>
      </c>
      <c r="K15" s="46">
        <v>0.4143</v>
      </c>
      <c r="L15" s="46">
        <v>0.438</v>
      </c>
      <c r="M15" s="46">
        <v>0.3888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39</v>
      </c>
      <c r="C16" s="49"/>
      <c r="D16" s="49"/>
      <c r="E16" s="50"/>
      <c r="F16" s="44"/>
      <c r="G16" s="44"/>
      <c r="H16" s="45" t="s">
        <v>35</v>
      </c>
      <c r="I16" s="46">
        <v>0.4464</v>
      </c>
      <c r="J16" s="46">
        <v>0.4533</v>
      </c>
      <c r="K16" s="46">
        <v>0.4433</v>
      </c>
      <c r="L16" s="46">
        <v>0.4486</v>
      </c>
      <c r="M16" s="46">
        <v>0.4392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40</v>
      </c>
      <c r="C17" s="49">
        <v>0.95</v>
      </c>
      <c r="D17" s="49">
        <v>0.05</v>
      </c>
      <c r="E17" s="50">
        <v>-0.05</v>
      </c>
      <c r="F17" s="44">
        <v>1</v>
      </c>
      <c r="G17" s="44">
        <v>0.9</v>
      </c>
      <c r="H17" s="45" t="s">
        <v>35</v>
      </c>
      <c r="I17" s="46">
        <v>1.0035</v>
      </c>
      <c r="J17" s="46">
        <v>1.0004</v>
      </c>
      <c r="K17" s="46">
        <v>1.0031</v>
      </c>
      <c r="L17" s="46">
        <v>1.0017</v>
      </c>
      <c r="M17" s="46">
        <v>1.0035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>
        <f>IF(I17="","",IF(I17&gt;($C17+$D17),(I17-$C17-$D17),IF(I17&lt;($C17+$E17),(I17-$C17-$E17),"√")))</f>
        <v>0.0035000000000001</v>
      </c>
      <c r="Z17" s="47">
        <f>IF(J17="","",IF(J17&gt;($C17+$D17),(J17-$C17-$D17),IF(J17&lt;($C17+$E17),(J17-$C17-$E17),"√")))</f>
        <v>0.000399999999999998</v>
      </c>
      <c r="AA17" s="47">
        <f>IF(K17="","",IF(K17&gt;($C17+$D17),(K17-$C17-$D17),IF(K17&lt;($C17+$E17),(K17-$C17-$E17),"√")))</f>
        <v>0.00310000000000014</v>
      </c>
      <c r="AB17" s="47">
        <f>IF(L17="","",IF(L17&gt;($C17+$D17),(L17-$C17-$D17),IF(L17&lt;($C17+$E17),(L17-$C17-$E17),"√")))</f>
        <v>0.00170000000000008</v>
      </c>
      <c r="AC17" s="47">
        <f>IF(M17="","",IF(M17&gt;($C17+$D17),(M17-$C17-$D17),IF(M17&lt;($C17+$E17),(M17-$C17-$E17),"√")))</f>
        <v>0.0035000000000001</v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41</v>
      </c>
      <c r="C18" s="49"/>
      <c r="D18" s="49"/>
      <c r="E18" s="50"/>
      <c r="F18" s="44"/>
      <c r="G18" s="44"/>
      <c r="H18" s="45" t="s">
        <v>35</v>
      </c>
      <c r="I18" s="46">
        <v>1.0012</v>
      </c>
      <c r="J18" s="46">
        <v>1.0081</v>
      </c>
      <c r="K18" s="46">
        <v>1.0097</v>
      </c>
      <c r="L18" s="46">
        <v>1.0036</v>
      </c>
      <c r="M18" s="46">
        <v>1.0083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42</v>
      </c>
      <c r="C19" s="49"/>
      <c r="D19" s="49"/>
      <c r="E19" s="50"/>
      <c r="F19" s="44"/>
      <c r="G19" s="44"/>
      <c r="H19" s="45" t="s">
        <v>35</v>
      </c>
      <c r="I19" s="46">
        <v>1.0257</v>
      </c>
      <c r="J19" s="46">
        <v>1.0341</v>
      </c>
      <c r="K19" s="46">
        <v>1.0391</v>
      </c>
      <c r="L19" s="46">
        <v>1.0395</v>
      </c>
      <c r="M19" s="46">
        <v>1.014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43</v>
      </c>
      <c r="C20" s="49"/>
      <c r="D20" s="49"/>
      <c r="E20" s="50"/>
      <c r="F20" s="44"/>
      <c r="G20" s="44"/>
      <c r="H20" s="45" t="s">
        <v>35</v>
      </c>
      <c r="I20" s="46">
        <v>1.0162</v>
      </c>
      <c r="J20" s="46">
        <v>1.0022</v>
      </c>
      <c r="K20" s="46">
        <v>0.9861</v>
      </c>
      <c r="L20" s="46">
        <v>0.9883</v>
      </c>
      <c r="M20" s="46">
        <v>1.0129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44</v>
      </c>
      <c r="C21" s="49"/>
      <c r="D21" s="49"/>
      <c r="E21" s="50"/>
      <c r="F21" s="44"/>
      <c r="G21" s="44"/>
      <c r="H21" s="45" t="s">
        <v>35</v>
      </c>
      <c r="I21" s="46">
        <v>0.971</v>
      </c>
      <c r="J21" s="46">
        <v>0.957</v>
      </c>
      <c r="K21" s="46">
        <v>0.9774</v>
      </c>
      <c r="L21" s="46">
        <v>0.9754</v>
      </c>
      <c r="M21" s="46">
        <v>0.979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45</v>
      </c>
      <c r="C22" s="49">
        <v>19.4</v>
      </c>
      <c r="D22" s="49">
        <v>0.05</v>
      </c>
      <c r="E22" s="50">
        <v>-0.05</v>
      </c>
      <c r="F22" s="44">
        <v>19.45</v>
      </c>
      <c r="G22" s="44">
        <v>19.35</v>
      </c>
      <c r="H22" s="45" t="s">
        <v>35</v>
      </c>
      <c r="I22" s="46">
        <v>19.3848</v>
      </c>
      <c r="J22" s="46">
        <v>19.3837</v>
      </c>
      <c r="K22" s="46">
        <v>19.3823</v>
      </c>
      <c r="L22" s="46">
        <v>19.3853</v>
      </c>
      <c r="M22" s="46">
        <v>19.3851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>√</v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46</v>
      </c>
      <c r="C23" s="49">
        <v>0</v>
      </c>
      <c r="D23" s="49">
        <v>0.1</v>
      </c>
      <c r="E23" s="50">
        <v>0</v>
      </c>
      <c r="F23" s="44">
        <v>0.1</v>
      </c>
      <c r="G23" s="44">
        <v>0</v>
      </c>
      <c r="H23" s="45" t="s">
        <v>35</v>
      </c>
      <c r="I23" s="46">
        <v>0.0302</v>
      </c>
      <c r="J23" s="46">
        <v>0.0258</v>
      </c>
      <c r="K23" s="46">
        <v>0.0242</v>
      </c>
      <c r="L23" s="46">
        <v>0.0262</v>
      </c>
      <c r="M23" s="46">
        <v>0.0282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>√</v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9"/>
      <c r="D24" s="49"/>
      <c r="E24" s="50"/>
      <c r="F24" s="44"/>
      <c r="G24" s="44"/>
      <c r="H24" s="45" t="s">
        <v>35</v>
      </c>
      <c r="I24" s="46">
        <v>0.0001</v>
      </c>
      <c r="J24" s="46">
        <v>0.0001</v>
      </c>
      <c r="K24" s="46">
        <v>0.0001</v>
      </c>
      <c r="L24" s="46">
        <v>0.0001</v>
      </c>
      <c r="M24" s="46">
        <v>0.0001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9"/>
      <c r="D25" s="49"/>
      <c r="E25" s="50"/>
      <c r="F25" s="44"/>
      <c r="G25" s="44"/>
      <c r="H25" s="45" t="s">
        <v>35</v>
      </c>
      <c r="I25" s="46">
        <v>-0.0151</v>
      </c>
      <c r="J25" s="46">
        <v>-0.0129</v>
      </c>
      <c r="K25" s="46">
        <v>-0.0121</v>
      </c>
      <c r="L25" s="46">
        <v>-0.0131</v>
      </c>
      <c r="M25" s="46">
        <v>-0.0141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3"/>
      <c r="AK26" s="54"/>
      <c r="AL26" s="55"/>
      <c r="AM26" s="56"/>
      <c r="AN26" s="57"/>
    </row>
  </sheetData>
  <protectedRanges>
    <protectedRange sqref="I7:X9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Q22:X22 I10:X12 I17:X17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