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5035" sheetId="8" r:id="rId1"/>
  </sheets>
  <definedNames>
    <definedName name="_xlnm.Print_Area" localSheetId="0">'X806-65035'!$B$1:$AE$6</definedName>
    <definedName name="_xlnm.Print_Titles" localSheetId="0">'X806-65035'!$1:$6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<sst xmlns="http://schemas.openxmlformats.org/spreadsheetml/2006/main" count="50" uniqueCount="40">
  <si>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安徽中耀智能科技有限公司首件尺寸报告</t>
  </si>
  <si>
    <t>料号</t>
  </si>
  <si>
    <t>806-65035</t>
  </si>
  <si>
    <t>工单号</t>
  </si>
  <si>
    <t>WW132-260618054</t>
  </si>
  <si>
    <t>工站</t>
  </si>
  <si>
    <t>烧结炉号</t>
  </si>
  <si>
    <t>量测机台号</t>
  </si>
  <si>
    <t>测量人员</t>
  </si>
  <si>
    <t>审核</t>
  </si>
  <si>
    <t>烧结</t>
  </si>
  <si>
    <t>DC03</t>
  </si>
  <si>
    <t>CMM2#/OMM5#</t>
  </si>
  <si>
    <t>张婉茹/禹欣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</si>
  <si>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</si>
  <si>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</si>
  <si>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</si>
  <si>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</si>
  <si>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</si>
  <si>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</si>
  <si>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</si>
  <si>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</si>
  <si>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</si>
  <si>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</si>
  <si>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</si>
  <si>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</si>
  <si>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</si>
  <si>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</si>
  <si>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FAI14</t>
  </si>
  <si>
    <t>N</t>
  </si>
  <si>
    <t>OMM</t>
  </si>
  <si>
    <r>
      <rPr>
        <sz val="10"/>
        <color theme="1"/>
        <rFont val="宋体"/>
        <charset val="134"/>
      </rPr>
      <t>复测</t>
    </r>
    <r>
      <rPr>
        <sz val="10"/>
        <color theme="1"/>
        <rFont val="Arial"/>
        <charset val="134"/>
      </rPr>
      <t>1</t>
    </r>
  </si>
  <si>
    <t>FAI23</t>
  </si>
  <si>
    <t>W</t>
  </si>
  <si>
    <t>CMM</t>
  </si>
  <si>
    <t>FAI24</t>
  </si>
  <si>
    <t>FA45</t>
  </si>
  <si>
    <t>FAI52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</si>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</sst>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name val="Arial"/>
      <charset val="134"/>
    </font>
    <font>
      <sz val="10"/>
      <color theme="1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0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6765037995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4" fillId="0" borderId="0">
      <alignment vertical="center"/>
    </xf>
    <xf numFmtId="0" fontId="32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0" borderId="1" xfId="59" applyFont="1" applyBorder="1" applyAlignment="1">
      <alignment horizontal="center" vertical="center"/>
    </xf>
    <xf numFmtId="177" fontId="11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195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9"/>
  <sheetViews>
    <sheetView tabSelected="1" workbookViewId="0">
      <selection activeCell="J7" sqref="J7:S7"/>
    </sheetView>
  </sheetViews>
  <sheetFormatPr defaultColWidth="9" defaultRowHeight="14.25"/>
  <cols>
    <col min="1" max="41" width="9.2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37">
        <v>14</v>
      </c>
      <c r="X6" s="46">
        <v>15</v>
      </c>
      <c r="Y6" s="46">
        <v>16</v>
      </c>
      <c r="Z6" s="47">
        <f t="shared" ref="Z6:AO6" si="0">J6</f>
        <v>1</v>
      </c>
      <c r="AA6" s="47">
        <f t="shared" si="0"/>
        <v>2</v>
      </c>
      <c r="AB6" s="47">
        <f t="shared" si="0"/>
        <v>3</v>
      </c>
      <c r="AC6" s="47">
        <f t="shared" si="0"/>
        <v>4</v>
      </c>
      <c r="AD6" s="47">
        <f t="shared" si="0"/>
        <v>5</v>
      </c>
      <c r="AE6" s="47">
        <v>6</v>
      </c>
      <c r="AF6" s="47">
        <f t="shared" si="0"/>
        <v>7</v>
      </c>
      <c r="AG6" s="47">
        <f t="shared" si="0"/>
        <v>8</v>
      </c>
      <c r="AH6" s="47">
        <f t="shared" si="0"/>
        <v>9</v>
      </c>
      <c r="AI6" s="47">
        <f t="shared" si="0"/>
        <v>10</v>
      </c>
      <c r="AJ6" s="47">
        <f t="shared" si="0"/>
        <v>11</v>
      </c>
      <c r="AK6" s="47">
        <f t="shared" si="0"/>
        <v>12</v>
      </c>
      <c r="AL6" s="47">
        <f t="shared" si="0"/>
        <v>13</v>
      </c>
      <c r="AM6" s="47">
        <f t="shared" si="0"/>
        <v>14</v>
      </c>
      <c r="AN6" s="47">
        <f t="shared" si="0"/>
        <v>15</v>
      </c>
      <c r="AO6" s="47">
        <f t="shared" si="0"/>
        <v>16</v>
      </c>
    </row>
    <row r="7" ht="15" customHeight="1" spans="1:41">
      <c r="A7" s="48">
        <v>46202</v>
      </c>
      <c r="B7" s="49" t="s">
        <v>28</v>
      </c>
      <c r="C7" s="50" t="s">
        <v>29</v>
      </c>
      <c r="D7" s="51">
        <v>0.5</v>
      </c>
      <c r="E7" s="51">
        <v>0.03</v>
      </c>
      <c r="F7" s="51">
        <v>-0.03</v>
      </c>
      <c r="G7" s="51">
        <f t="shared" ref="G7:G12" si="1">D7+E7</f>
        <v>0.53</v>
      </c>
      <c r="H7" s="51">
        <f t="shared" ref="H7:H12" si="2">D7+F7</f>
        <v>0.47</v>
      </c>
      <c r="I7" s="51" t="s">
        <v>30</v>
      </c>
      <c r="J7" s="52">
        <v>0.4969</v>
      </c>
      <c r="K7" s="52">
        <v>0.4994</v>
      </c>
      <c r="L7" s="52">
        <v>0.4855</v>
      </c>
      <c r="M7" s="52">
        <v>0.4965</v>
      </c>
      <c r="N7" s="52">
        <v>0.4811</v>
      </c>
      <c r="O7" s="52">
        <v>0.4881</v>
      </c>
      <c r="P7" s="52">
        <v>0.5001</v>
      </c>
      <c r="Q7" s="52">
        <v>0.4816</v>
      </c>
      <c r="R7" s="52">
        <v>0.4916</v>
      </c>
      <c r="S7" s="52">
        <v>0.4922</v>
      </c>
      <c r="T7" s="52" t="s">
        <v>31</v>
      </c>
      <c r="U7" s="52"/>
      <c r="V7" s="52"/>
      <c r="W7" s="52"/>
      <c r="X7" s="52"/>
      <c r="Y7" s="52"/>
      <c r="Z7" s="53" t="str">
        <f t="shared" ref="Z7:AO7" si="3">IF(J7="","",IF(J7&gt;($D7+$E7),(J7-$D7-$E7),IF(J7&lt;($D7+$F7),(J7-$D7-$F7),"√")))</f>
        <v>√</v>
      </c>
      <c r="AA7" s="53" t="str">
        <f t="shared" si="3"/>
        <v>√</v>
      </c>
      <c r="AB7" s="53" t="str">
        <f t="shared" si="3"/>
        <v>√</v>
      </c>
      <c r="AC7" s="53" t="str">
        <f t="shared" si="3"/>
        <v>√</v>
      </c>
      <c r="AD7" s="53" t="str">
        <f t="shared" si="3"/>
        <v>√</v>
      </c>
      <c r="AE7" s="53" t="str">
        <f t="shared" si="3"/>
        <v>√</v>
      </c>
      <c r="AF7" s="53" t="str">
        <f t="shared" si="3"/>
        <v>√</v>
      </c>
      <c r="AG7" s="53" t="str">
        <f t="shared" si="3"/>
        <v>√</v>
      </c>
      <c r="AH7" s="53" t="str">
        <f t="shared" si="3"/>
        <v>√</v>
      </c>
      <c r="AI7" s="53" t="str">
        <f t="shared" si="3"/>
        <v>√</v>
      </c>
      <c r="AJ7" s="53" t="e">
        <f t="shared" si="3"/>
        <v>#VALUE!</v>
      </c>
      <c r="AK7" s="53" t="str">
        <f t="shared" si="3"/>
        <v/>
      </c>
      <c r="AL7" s="53" t="str">
        <f t="shared" si="3"/>
        <v/>
      </c>
      <c r="AM7" s="53" t="str">
        <f t="shared" si="3"/>
        <v/>
      </c>
      <c r="AN7" s="53" t="str">
        <f t="shared" si="3"/>
        <v/>
      </c>
      <c r="AO7" s="53" t="str">
        <f t="shared" si="3"/>
        <v/>
      </c>
    </row>
    <row r="8" ht="15" customHeight="1" spans="1:41">
      <c r="A8" s="48"/>
      <c r="B8" s="49" t="s">
        <v>32</v>
      </c>
      <c r="C8" s="50" t="s">
        <v>33</v>
      </c>
      <c r="D8" s="51">
        <v>2.76</v>
      </c>
      <c r="E8" s="51">
        <v>0.03</v>
      </c>
      <c r="F8" s="51">
        <v>-0.03</v>
      </c>
      <c r="G8" s="51">
        <f t="shared" si="1"/>
        <v>2.79</v>
      </c>
      <c r="H8" s="51">
        <f t="shared" si="2"/>
        <v>2.73</v>
      </c>
      <c r="I8" s="51" t="s">
        <v>34</v>
      </c>
      <c r="J8" s="52">
        <v>2.73923</v>
      </c>
      <c r="K8" s="52">
        <v>2.74461</v>
      </c>
      <c r="L8" s="52">
        <v>2.74961</v>
      </c>
      <c r="M8" s="52">
        <v>2.75172</v>
      </c>
      <c r="N8" s="52">
        <v>2.7503</v>
      </c>
      <c r="O8" s="52">
        <v>2.75145</v>
      </c>
      <c r="P8" s="52">
        <v>2.74084</v>
      </c>
      <c r="Q8" s="52">
        <v>2.74745</v>
      </c>
      <c r="R8" s="52">
        <v>2.74351</v>
      </c>
      <c r="S8" s="52">
        <v>2.74825</v>
      </c>
      <c r="T8" s="52">
        <v>2.7411</v>
      </c>
      <c r="U8" s="52"/>
      <c r="V8" s="52"/>
      <c r="W8" s="52"/>
      <c r="X8" s="52"/>
      <c r="Y8" s="52"/>
      <c r="Z8" s="53" t="str">
        <f t="shared" ref="Z8:AO8" si="4">IF(J8="","",IF(J8&gt;($D8+$E8),(J8-$D8-$E8),IF(J8&lt;($D8+$F8),(J8-$D8-$F8),"√")))</f>
        <v>√</v>
      </c>
      <c r="AA8" s="53" t="str">
        <f t="shared" si="4"/>
        <v>√</v>
      </c>
      <c r="AB8" s="53" t="str">
        <f t="shared" si="4"/>
        <v>√</v>
      </c>
      <c r="AC8" s="53" t="str">
        <f t="shared" si="4"/>
        <v>√</v>
      </c>
      <c r="AD8" s="53" t="str">
        <f t="shared" si="4"/>
        <v>√</v>
      </c>
      <c r="AE8" s="53" t="str">
        <f t="shared" si="4"/>
        <v>√</v>
      </c>
      <c r="AF8" s="53" t="str">
        <f t="shared" si="4"/>
        <v>√</v>
      </c>
      <c r="AG8" s="53" t="str">
        <f t="shared" si="4"/>
        <v>√</v>
      </c>
      <c r="AH8" s="53" t="str">
        <f t="shared" si="4"/>
        <v>√</v>
      </c>
      <c r="AI8" s="53" t="str">
        <f t="shared" si="4"/>
        <v>√</v>
      </c>
      <c r="AJ8" s="53" t="str">
        <f t="shared" si="4"/>
        <v>√</v>
      </c>
      <c r="AK8" s="53" t="str">
        <f t="shared" si="4"/>
        <v/>
      </c>
      <c r="AL8" s="53" t="str">
        <f t="shared" si="4"/>
        <v/>
      </c>
      <c r="AM8" s="53" t="str">
        <f t="shared" si="4"/>
        <v/>
      </c>
      <c r="AN8" s="53" t="str">
        <f t="shared" si="4"/>
        <v/>
      </c>
      <c r="AO8" s="53" t="str">
        <f t="shared" si="4"/>
        <v/>
      </c>
    </row>
    <row r="9" ht="15" customHeight="1" spans="1:41">
      <c r="A9" s="48"/>
      <c r="B9" s="49" t="s">
        <v>35</v>
      </c>
      <c r="C9" s="50"/>
      <c r="D9" s="51">
        <v>3.6</v>
      </c>
      <c r="E9" s="51">
        <v>0.05</v>
      </c>
      <c r="F9" s="51">
        <v>-0.05</v>
      </c>
      <c r="G9" s="51">
        <f t="shared" si="1"/>
        <v>3.65</v>
      </c>
      <c r="H9" s="51">
        <f t="shared" si="2"/>
        <v>3.55</v>
      </c>
      <c r="I9" s="51" t="s">
        <v>34</v>
      </c>
      <c r="J9" s="52">
        <v>3.53035</v>
      </c>
      <c r="K9" s="52">
        <v>3.58525</v>
      </c>
      <c r="L9" s="52">
        <v>3.5876</v>
      </c>
      <c r="M9" s="52">
        <v>3.56358</v>
      </c>
      <c r="N9" s="52">
        <v>3.60411</v>
      </c>
      <c r="O9" s="52">
        <v>3.58131</v>
      </c>
      <c r="P9" s="52">
        <v>3.58111</v>
      </c>
      <c r="Q9" s="52">
        <v>3.5936</v>
      </c>
      <c r="R9" s="52">
        <v>3.59885</v>
      </c>
      <c r="S9" s="52">
        <v>3.58454</v>
      </c>
      <c r="T9" s="52">
        <v>3.53053</v>
      </c>
      <c r="U9" s="52"/>
      <c r="V9" s="52"/>
      <c r="W9" s="52"/>
      <c r="X9" s="52"/>
      <c r="Y9" s="52"/>
      <c r="Z9" s="53">
        <f t="shared" ref="Z9:AO9" si="5">IF(J9="","",IF(J9&gt;($D9+$E9),(J9-$D9-$E9),IF(J9&lt;($D9+$F9),(J9-$D9-$F9),"√")))</f>
        <v>-0.0196500000000002</v>
      </c>
      <c r="AA9" s="53" t="str">
        <f t="shared" si="5"/>
        <v>√</v>
      </c>
      <c r="AB9" s="53" t="str">
        <f t="shared" si="5"/>
        <v>√</v>
      </c>
      <c r="AC9" s="53" t="str">
        <f t="shared" si="5"/>
        <v>√</v>
      </c>
      <c r="AD9" s="53" t="str">
        <f t="shared" si="5"/>
        <v>√</v>
      </c>
      <c r="AE9" s="53" t="str">
        <f t="shared" si="5"/>
        <v>√</v>
      </c>
      <c r="AF9" s="53" t="str">
        <f t="shared" si="5"/>
        <v>√</v>
      </c>
      <c r="AG9" s="53" t="str">
        <f t="shared" si="5"/>
        <v>√</v>
      </c>
      <c r="AH9" s="53" t="str">
        <f t="shared" si="5"/>
        <v>√</v>
      </c>
      <c r="AI9" s="53" t="str">
        <f t="shared" si="5"/>
        <v>√</v>
      </c>
      <c r="AJ9" s="53">
        <f t="shared" si="5"/>
        <v>-0.0194699999999999</v>
      </c>
      <c r="AK9" s="53" t="str">
        <f t="shared" si="5"/>
        <v/>
      </c>
      <c r="AL9" s="53" t="str">
        <f t="shared" si="5"/>
        <v/>
      </c>
      <c r="AM9" s="53" t="str">
        <f t="shared" si="5"/>
        <v/>
      </c>
      <c r="AN9" s="53" t="str">
        <f t="shared" si="5"/>
        <v/>
      </c>
      <c r="AO9" s="53" t="str">
        <f t="shared" si="5"/>
        <v/>
      </c>
    </row>
    <row r="10" ht="15" customHeight="1" spans="1:41">
      <c r="A10" s="48"/>
      <c r="B10" s="49" t="s">
        <v>36</v>
      </c>
      <c r="C10" s="50"/>
      <c r="D10" s="51">
        <v>8.2</v>
      </c>
      <c r="E10" s="51">
        <v>0.05</v>
      </c>
      <c r="F10" s="51">
        <v>-0.05</v>
      </c>
      <c r="G10" s="51">
        <f t="shared" si="1"/>
        <v>8.25</v>
      </c>
      <c r="H10" s="51">
        <f t="shared" si="2"/>
        <v>8.15</v>
      </c>
      <c r="I10" s="51" t="s">
        <v>34</v>
      </c>
      <c r="J10" s="52">
        <v>8.15281</v>
      </c>
      <c r="K10" s="52">
        <v>8.17537</v>
      </c>
      <c r="L10" s="52">
        <v>8.18506</v>
      </c>
      <c r="M10" s="52">
        <v>8.17854</v>
      </c>
      <c r="N10" s="52">
        <v>8.17789</v>
      </c>
      <c r="O10" s="52">
        <v>8.17758</v>
      </c>
      <c r="P10" s="52">
        <v>8.17802</v>
      </c>
      <c r="Q10" s="52">
        <v>8.17422</v>
      </c>
      <c r="R10" s="52">
        <v>8.17348</v>
      </c>
      <c r="S10" s="52">
        <v>8.17513</v>
      </c>
      <c r="T10" s="52">
        <v>8.15264</v>
      </c>
      <c r="U10" s="52"/>
      <c r="V10" s="52"/>
      <c r="W10" s="52"/>
      <c r="X10" s="52"/>
      <c r="Y10" s="52"/>
      <c r="Z10" s="53" t="str">
        <f t="shared" ref="Z10:AO10" si="6">IF(J10="","",IF(J10&gt;($D10+$E10),(J10-$D10-$E10),IF(J10&lt;($D10+$F10),(J10-$D10-$F10),"√")))</f>
        <v>√</v>
      </c>
      <c r="AA10" s="53" t="str">
        <f t="shared" si="6"/>
        <v>√</v>
      </c>
      <c r="AB10" s="53" t="str">
        <f t="shared" si="6"/>
        <v>√</v>
      </c>
      <c r="AC10" s="53" t="str">
        <f t="shared" si="6"/>
        <v>√</v>
      </c>
      <c r="AD10" s="53" t="str">
        <f t="shared" si="6"/>
        <v>√</v>
      </c>
      <c r="AE10" s="53" t="str">
        <f t="shared" si="6"/>
        <v>√</v>
      </c>
      <c r="AF10" s="53" t="str">
        <f t="shared" si="6"/>
        <v>√</v>
      </c>
      <c r="AG10" s="53" t="str">
        <f t="shared" si="6"/>
        <v>√</v>
      </c>
      <c r="AH10" s="53" t="str">
        <f t="shared" si="6"/>
        <v>√</v>
      </c>
      <c r="AI10" s="53" t="str">
        <f t="shared" si="6"/>
        <v>√</v>
      </c>
      <c r="AJ10" s="53" t="str">
        <f t="shared" si="6"/>
        <v>√</v>
      </c>
      <c r="AK10" s="53" t="str">
        <f t="shared" si="6"/>
        <v/>
      </c>
      <c r="AL10" s="53" t="str">
        <f t="shared" si="6"/>
        <v/>
      </c>
      <c r="AM10" s="53" t="str">
        <f t="shared" si="6"/>
        <v/>
      </c>
      <c r="AN10" s="53" t="str">
        <f t="shared" si="6"/>
        <v/>
      </c>
      <c r="AO10" s="53" t="str">
        <f t="shared" si="6"/>
        <v/>
      </c>
    </row>
    <row r="11" ht="15" customHeight="1" spans="1:41">
      <c r="A11" s="48"/>
      <c r="B11" s="49" t="s">
        <v>37</v>
      </c>
      <c r="C11" s="50"/>
      <c r="D11" s="51">
        <v>0.6</v>
      </c>
      <c r="E11" s="51">
        <v>0.02</v>
      </c>
      <c r="F11" s="51">
        <v>-0.02</v>
      </c>
      <c r="G11" s="51">
        <f t="shared" si="1"/>
        <v>0.62</v>
      </c>
      <c r="H11" s="51">
        <f t="shared" si="2"/>
        <v>0.58</v>
      </c>
      <c r="I11" s="51" t="s">
        <v>34</v>
      </c>
      <c r="J11" s="52">
        <v>0.59589</v>
      </c>
      <c r="K11" s="52">
        <v>0.59652</v>
      </c>
      <c r="L11" s="52">
        <v>0.59345</v>
      </c>
      <c r="M11" s="52">
        <v>0.59477</v>
      </c>
      <c r="N11" s="52">
        <v>0.60047</v>
      </c>
      <c r="O11" s="52">
        <v>0.59483</v>
      </c>
      <c r="P11" s="52">
        <v>0.5942</v>
      </c>
      <c r="Q11" s="52">
        <v>0.59981</v>
      </c>
      <c r="R11" s="52">
        <v>0.59997</v>
      </c>
      <c r="S11" s="52">
        <v>0.59651</v>
      </c>
      <c r="T11" s="52">
        <v>0.59551</v>
      </c>
      <c r="U11" s="52"/>
      <c r="V11" s="52"/>
      <c r="W11" s="52"/>
      <c r="X11" s="52"/>
      <c r="Y11" s="52"/>
      <c r="Z11" s="53" t="str">
        <f t="shared" ref="Z11:AO11" si="7">IF(J11="","",IF(J11&gt;($D11+$E11),(J11-$D11-$E11),IF(J11&lt;($D11+$F11),(J11-$D11-$F11),"√")))</f>
        <v>√</v>
      </c>
      <c r="AA11" s="53" t="str">
        <f t="shared" si="7"/>
        <v>√</v>
      </c>
      <c r="AB11" s="53" t="str">
        <f t="shared" si="7"/>
        <v>√</v>
      </c>
      <c r="AC11" s="53" t="str">
        <f t="shared" si="7"/>
        <v>√</v>
      </c>
      <c r="AD11" s="53" t="str">
        <f t="shared" si="7"/>
        <v>√</v>
      </c>
      <c r="AE11" s="53" t="str">
        <f t="shared" si="7"/>
        <v>√</v>
      </c>
      <c r="AF11" s="53" t="str">
        <f t="shared" si="7"/>
        <v>√</v>
      </c>
      <c r="AG11" s="53" t="str">
        <f t="shared" si="7"/>
        <v>√</v>
      </c>
      <c r="AH11" s="53" t="str">
        <f t="shared" si="7"/>
        <v>√</v>
      </c>
      <c r="AI11" s="53" t="str">
        <f t="shared" si="7"/>
        <v>√</v>
      </c>
      <c r="AJ11" s="53" t="str">
        <f t="shared" si="7"/>
        <v>√</v>
      </c>
      <c r="AK11" s="53" t="str">
        <f t="shared" si="7"/>
        <v/>
      </c>
      <c r="AL11" s="53" t="str">
        <f t="shared" si="7"/>
        <v/>
      </c>
      <c r="AM11" s="53" t="str">
        <f t="shared" si="7"/>
        <v/>
      </c>
      <c r="AN11" s="53" t="str">
        <f t="shared" si="7"/>
        <v/>
      </c>
      <c r="AO11" s="53" t="str">
        <f t="shared" si="7"/>
        <v/>
      </c>
    </row>
    <row r="12" ht="15" customHeight="1" spans="1:41">
      <c r="A12" s="48"/>
      <c r="B12" s="49" t="s">
        <v>38</v>
      </c>
      <c r="C12" s="50" t="s">
        <v>39</v>
      </c>
      <c r="D12" s="51">
        <v>0</v>
      </c>
      <c r="E12" s="51">
        <v>0.05</v>
      </c>
      <c r="F12" s="51">
        <v>0</v>
      </c>
      <c r="G12" s="51">
        <f t="shared" si="1"/>
        <v>0.05</v>
      </c>
      <c r="H12" s="51">
        <f t="shared" si="2"/>
        <v>0</v>
      </c>
      <c r="I12" s="51" t="s">
        <v>34</v>
      </c>
      <c r="J12" s="52">
        <v>0.0055</v>
      </c>
      <c r="K12" s="52">
        <v>0.00443</v>
      </c>
      <c r="L12" s="52">
        <v>0.00362</v>
      </c>
      <c r="M12" s="52">
        <v>0.00382</v>
      </c>
      <c r="N12" s="52">
        <v>0.00743</v>
      </c>
      <c r="O12" s="52">
        <v>0.00197</v>
      </c>
      <c r="P12" s="52">
        <v>0.00497</v>
      </c>
      <c r="Q12" s="52">
        <v>0.00519</v>
      </c>
      <c r="R12" s="52">
        <v>0.00257</v>
      </c>
      <c r="S12" s="52">
        <v>0.00472</v>
      </c>
      <c r="T12" s="52">
        <v>0.00543</v>
      </c>
      <c r="U12" s="52"/>
      <c r="V12" s="52"/>
      <c r="W12" s="52"/>
      <c r="X12" s="52"/>
      <c r="Y12" s="52"/>
      <c r="Z12" s="53" t="str">
        <f t="shared" ref="Z12:AO12" si="8">IF(J12="","",IF(J12&gt;($D12+$E12),(J12-$D12-$E12),IF(J12&lt;($D12+$F12),(J12-$D12-$F12),"√")))</f>
        <v>√</v>
      </c>
      <c r="AA12" s="53" t="str">
        <f t="shared" si="8"/>
        <v>√</v>
      </c>
      <c r="AB12" s="53" t="str">
        <f t="shared" si="8"/>
        <v>√</v>
      </c>
      <c r="AC12" s="53" t="str">
        <f t="shared" si="8"/>
        <v>√</v>
      </c>
      <c r="AD12" s="53" t="str">
        <f t="shared" si="8"/>
        <v>√</v>
      </c>
      <c r="AE12" s="53" t="str">
        <f t="shared" si="8"/>
        <v>√</v>
      </c>
      <c r="AF12" s="53" t="str">
        <f t="shared" si="8"/>
        <v>√</v>
      </c>
      <c r="AG12" s="53" t="str">
        <f t="shared" si="8"/>
        <v>√</v>
      </c>
      <c r="AH12" s="53" t="str">
        <f t="shared" si="8"/>
        <v>√</v>
      </c>
      <c r="AI12" s="53" t="str">
        <f t="shared" si="8"/>
        <v>√</v>
      </c>
      <c r="AJ12" s="53" t="str">
        <f t="shared" si="8"/>
        <v>√</v>
      </c>
      <c r="AK12" s="53" t="str">
        <f t="shared" si="8"/>
        <v/>
      </c>
      <c r="AL12" s="53" t="str">
        <f t="shared" si="8"/>
        <v/>
      </c>
      <c r="AM12" s="53" t="str">
        <f t="shared" si="8"/>
        <v/>
      </c>
      <c r="AN12" s="53" t="str">
        <f t="shared" si="8"/>
        <v/>
      </c>
      <c r="AO12" s="53" t="str">
        <f t="shared" si="8"/>
        <v/>
      </c>
    </row>
    <row r="13" ht="15" customHeight="1" spans="1:41">
      <c r="A13" s="48"/>
      <c r="B13" s="50">
        <v>1</v>
      </c>
      <c r="C13" s="50"/>
      <c r="D13" s="51"/>
      <c r="E13" s="51"/>
      <c r="F13" s="51"/>
      <c r="G13" s="51"/>
      <c r="H13" s="51"/>
      <c r="I13" s="51" t="s">
        <v>34</v>
      </c>
      <c r="J13" s="52">
        <v>0.00274</v>
      </c>
      <c r="K13" s="52">
        <v>0.00221</v>
      </c>
      <c r="L13" s="52">
        <v>0.00181</v>
      </c>
      <c r="M13" s="52">
        <v>0.00191</v>
      </c>
      <c r="N13" s="52">
        <v>0.00371</v>
      </c>
      <c r="O13" s="52">
        <v>0.00098</v>
      </c>
      <c r="P13" s="52">
        <v>0.00249</v>
      </c>
      <c r="Q13" s="52">
        <v>0.00259</v>
      </c>
      <c r="R13" s="52">
        <v>0.00129</v>
      </c>
      <c r="S13" s="52">
        <v>0.00236</v>
      </c>
      <c r="T13" s="52">
        <v>0.0025</v>
      </c>
      <c r="U13" s="52"/>
      <c r="V13" s="52"/>
      <c r="W13" s="52"/>
      <c r="X13" s="52"/>
      <c r="Y13" s="52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</row>
    <row r="14" ht="15" customHeight="1" spans="1:41">
      <c r="A14" s="48"/>
      <c r="B14" s="50">
        <v>2</v>
      </c>
      <c r="C14" s="50"/>
      <c r="D14" s="51"/>
      <c r="E14" s="51"/>
      <c r="F14" s="51"/>
      <c r="G14" s="51"/>
      <c r="H14" s="51"/>
      <c r="I14" s="51" t="s">
        <v>34</v>
      </c>
      <c r="J14" s="52">
        <v>-0.00262</v>
      </c>
      <c r="K14" s="52">
        <v>-0.00054</v>
      </c>
      <c r="L14" s="52">
        <v>-0.00087</v>
      </c>
      <c r="M14" s="52">
        <v>-0.00165</v>
      </c>
      <c r="N14" s="52">
        <v>-0.00371</v>
      </c>
      <c r="O14" s="52">
        <v>-0.00098</v>
      </c>
      <c r="P14" s="52">
        <v>-0.00213</v>
      </c>
      <c r="Q14" s="52">
        <v>-0.00236</v>
      </c>
      <c r="R14" s="52">
        <v>-0.00129</v>
      </c>
      <c r="S14" s="52">
        <v>-9e-5</v>
      </c>
      <c r="T14" s="52">
        <v>-0.00272</v>
      </c>
      <c r="U14" s="52"/>
      <c r="V14" s="52"/>
      <c r="W14" s="52"/>
      <c r="X14" s="52"/>
      <c r="Y14" s="52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</row>
    <row r="15" ht="15" customHeight="1" spans="1:41">
      <c r="A15" s="48"/>
      <c r="B15" s="50">
        <v>3</v>
      </c>
      <c r="C15" s="50"/>
      <c r="D15" s="51"/>
      <c r="E15" s="51"/>
      <c r="F15" s="51"/>
      <c r="G15" s="51"/>
      <c r="H15" s="51"/>
      <c r="I15" s="51" t="s">
        <v>34</v>
      </c>
      <c r="J15" s="52">
        <v>-0.00275</v>
      </c>
      <c r="K15" s="52">
        <v>-0.00221</v>
      </c>
      <c r="L15" s="52">
        <v>-0.00181</v>
      </c>
      <c r="M15" s="52">
        <v>-0.00191</v>
      </c>
      <c r="N15" s="52">
        <v>-0.0029</v>
      </c>
      <c r="O15" s="52">
        <v>0.00098</v>
      </c>
      <c r="P15" s="52">
        <v>-0.00249</v>
      </c>
      <c r="Q15" s="52">
        <v>-0.00259</v>
      </c>
      <c r="R15" s="52">
        <v>0.00127</v>
      </c>
      <c r="S15" s="52">
        <v>-0.00236</v>
      </c>
      <c r="T15" s="52">
        <v>-0.00194</v>
      </c>
      <c r="U15" s="52"/>
      <c r="V15" s="52"/>
      <c r="W15" s="52"/>
      <c r="X15" s="52"/>
      <c r="Y15" s="52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</row>
    <row r="16" ht="15" customHeight="1" spans="1:41">
      <c r="A16" s="48"/>
      <c r="B16" s="50">
        <v>4</v>
      </c>
      <c r="C16" s="50"/>
      <c r="D16" s="51"/>
      <c r="E16" s="51"/>
      <c r="F16" s="51"/>
      <c r="G16" s="51"/>
      <c r="H16" s="51"/>
      <c r="I16" s="51" t="s">
        <v>34</v>
      </c>
      <c r="J16" s="52">
        <v>0.00275</v>
      </c>
      <c r="K16" s="52">
        <v>-0.00221</v>
      </c>
      <c r="L16" s="52">
        <v>-0.00181</v>
      </c>
      <c r="M16" s="52">
        <v>-0.00191</v>
      </c>
      <c r="N16" s="52">
        <v>-0.00176</v>
      </c>
      <c r="O16" s="52">
        <v>-0.00035</v>
      </c>
      <c r="P16" s="52">
        <v>-0.00043</v>
      </c>
      <c r="Q16" s="52">
        <v>-0.00128</v>
      </c>
      <c r="R16" s="52">
        <v>-0.00129</v>
      </c>
      <c r="S16" s="52">
        <v>-0.00236</v>
      </c>
      <c r="T16" s="52">
        <v>0.00272</v>
      </c>
      <c r="U16" s="52"/>
      <c r="V16" s="52"/>
      <c r="W16" s="52"/>
      <c r="X16" s="52"/>
      <c r="Y16" s="52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</row>
    <row r="17" ht="15" customHeight="1" spans="1:41">
      <c r="A17" s="48"/>
      <c r="B17" s="50">
        <v>5</v>
      </c>
      <c r="C17" s="50"/>
      <c r="D17" s="51"/>
      <c r="E17" s="51"/>
      <c r="F17" s="51"/>
      <c r="G17" s="51"/>
      <c r="H17" s="51"/>
      <c r="I17" s="51" t="s">
        <v>34</v>
      </c>
      <c r="J17" s="52">
        <v>-0.00275</v>
      </c>
      <c r="K17" s="52">
        <v>-0.00141</v>
      </c>
      <c r="L17" s="52">
        <v>-0.00168</v>
      </c>
      <c r="M17" s="52">
        <v>0.00191</v>
      </c>
      <c r="N17" s="52">
        <v>-0.00371</v>
      </c>
      <c r="O17" s="52">
        <v>0.00098</v>
      </c>
      <c r="P17" s="52">
        <v>-0.00249</v>
      </c>
      <c r="Q17" s="52">
        <v>-0.00259</v>
      </c>
      <c r="R17" s="52">
        <v>-0.00124</v>
      </c>
      <c r="S17" s="52">
        <v>0.00032</v>
      </c>
      <c r="T17" s="52">
        <v>-0.00272</v>
      </c>
      <c r="U17" s="52"/>
      <c r="V17" s="52"/>
      <c r="W17" s="52"/>
      <c r="X17" s="52"/>
      <c r="Y17" s="52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</row>
    <row r="18" ht="15" customHeight="1" spans="1:41">
      <c r="A18" s="54"/>
      <c r="B18" s="50">
        <v>6</v>
      </c>
      <c r="C18" s="50"/>
      <c r="D18" s="51"/>
      <c r="E18" s="51"/>
      <c r="F18" s="51"/>
      <c r="G18" s="51"/>
      <c r="H18" s="51"/>
      <c r="I18" s="51" t="s">
        <v>34</v>
      </c>
      <c r="J18" s="52">
        <v>0.00275</v>
      </c>
      <c r="K18" s="52">
        <v>0.00221</v>
      </c>
      <c r="L18" s="52">
        <v>0.00181</v>
      </c>
      <c r="M18" s="52">
        <v>-0.00077</v>
      </c>
      <c r="N18" s="52">
        <v>0.00371</v>
      </c>
      <c r="O18" s="52">
        <v>0.00098</v>
      </c>
      <c r="P18" s="52">
        <v>0.00249</v>
      </c>
      <c r="Q18" s="52">
        <v>0.00259</v>
      </c>
      <c r="R18" s="52">
        <v>0.00129</v>
      </c>
      <c r="S18" s="52">
        <v>0.00236</v>
      </c>
      <c r="T18" s="52">
        <v>0.00272</v>
      </c>
      <c r="U18" s="52"/>
      <c r="V18" s="52"/>
      <c r="W18" s="52"/>
      <c r="X18" s="52"/>
      <c r="Y18" s="52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</row>
    <row r="19" spans="1:41">
      <c r="A19" s="50"/>
      <c r="B19" s="50"/>
      <c r="C19" s="50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</row>
  </sheetData>
  <mergeCells count="30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19:AO19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Q11">
    <cfRule type="cellIs" dxfId="0" priority="5" operator="notBetween">
      <formula>$G11</formula>
      <formula>$H11</formula>
    </cfRule>
  </conditionalFormatting>
  <conditionalFormatting sqref="O12">
    <cfRule type="cellIs" dxfId="0" priority="233" operator="notBetween">
      <formula>$G12</formula>
      <formula>$H12</formula>
    </cfRule>
  </conditionalFormatting>
  <conditionalFormatting sqref="P12">
    <cfRule type="cellIs" dxfId="0" priority="232" operator="notBetween">
      <formula>$G12</formula>
      <formula>$H12</formula>
    </cfRule>
  </conditionalFormatting>
  <conditionalFormatting sqref="Q12">
    <cfRule type="cellIs" dxfId="0" priority="6" operator="notBetween">
      <formula>$G12</formula>
      <formula>$H12</formula>
    </cfRule>
  </conditionalFormatting>
  <conditionalFormatting sqref="R12">
    <cfRule type="cellIs" dxfId="0" priority="230" operator="notBetween">
      <formula>$G12</formula>
      <formula>$H12</formula>
    </cfRule>
  </conditionalFormatting>
  <conditionalFormatting sqref="S12">
    <cfRule type="cellIs" dxfId="0" priority="229" operator="notBetween">
      <formula>$G12</formula>
      <formula>$H12</formula>
    </cfRule>
  </conditionalFormatting>
  <conditionalFormatting sqref="T12">
    <cfRule type="cellIs" dxfId="0" priority="228" operator="notBetween">
      <formula>$G12</formula>
      <formula>$H12</formula>
    </cfRule>
  </conditionalFormatting>
  <conditionalFormatting sqref="U12">
    <cfRule type="cellIs" dxfId="0" priority="227" operator="notBetween">
      <formula>$G12</formula>
      <formula>$H12</formula>
    </cfRule>
  </conditionalFormatting>
  <conditionalFormatting sqref="V12">
    <cfRule type="cellIs" dxfId="0" priority="226" operator="notBetween">
      <formula>$G12</formula>
      <formula>$H12</formula>
    </cfRule>
  </conditionalFormatting>
  <conditionalFormatting sqref="W12">
    <cfRule type="cellIs" dxfId="0" priority="225" operator="notBetween">
      <formula>$G12</formula>
      <formula>$H12</formula>
    </cfRule>
  </conditionalFormatting>
  <conditionalFormatting sqref="X12">
    <cfRule type="cellIs" dxfId="0" priority="224" operator="notBetween">
      <formula>$G12</formula>
      <formula>$H12</formula>
    </cfRule>
  </conditionalFormatting>
  <conditionalFormatting sqref="Y12">
    <cfRule type="cellIs" dxfId="0" priority="223" operator="notBetween">
      <formula>$G12</formula>
      <formula>$H12</formula>
    </cfRule>
  </conditionalFormatting>
  <conditionalFormatting sqref="Q8:Q9">
    <cfRule type="cellIs" dxfId="0" priority="7" operator="notBetween">
      <formula>$G8</formula>
      <formula>$H8</formula>
    </cfRule>
  </conditionalFormatting>
  <conditionalFormatting sqref="J7:Y7 J10:Y10">
    <cfRule type="cellIs" dxfId="0" priority="316" operator="notBetween">
      <formula>$G7</formula>
      <formula>$H7</formula>
    </cfRule>
  </conditionalFormatting>
  <conditionalFormatting sqref="J8:N9 J11:N12">
    <cfRule type="cellIs" dxfId="0" priority="8" operator="notBetween">
      <formula>$G8</formula>
      <formula>$H8</formula>
    </cfRule>
  </conditionalFormatting>
  <conditionalFormatting sqref="O8:P9 R8:Y9">
    <cfRule type="cellIs" dxfId="0" priority="269" operator="notBetween">
      <formula>$G8</formula>
      <formula>$H8</formula>
    </cfRule>
  </conditionalFormatting>
  <conditionalFormatting sqref="O11:P11 R11:Y11">
    <cfRule type="cellIs" dxfId="0" priority="11" operator="notBetween">
      <formula>$G11</formula>
      <formula>$H11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2026-06-29T14:30:43Z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