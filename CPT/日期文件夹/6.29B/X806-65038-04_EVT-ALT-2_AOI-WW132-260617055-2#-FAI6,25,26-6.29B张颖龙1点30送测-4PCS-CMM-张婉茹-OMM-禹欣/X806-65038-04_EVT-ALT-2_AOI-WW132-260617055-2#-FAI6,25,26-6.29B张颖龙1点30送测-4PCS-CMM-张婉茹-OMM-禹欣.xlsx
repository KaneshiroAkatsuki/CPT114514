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8" sheetId="8" r:id="rId1"/>
  </sheets>
  <definedNames>
    <definedName name="_xlnm.Print_Area" localSheetId="0">'806-65038'!$B$1:$AE$6</definedName>
    <definedName name="_xlnm.Print_Titles" localSheetId="0">'806-65038'!$1:$6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<sst xmlns="http://schemas.openxmlformats.org/spreadsheetml/2006/main" count="36" uniqueCount="35">
  <si>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安徽中耀智能科技有限公司首件尺寸报告</t>
  </si>
  <si>
    <t>料号</t>
  </si>
  <si>
    <t>806-65038</t>
  </si>
  <si>
    <t>工单号</t>
  </si>
  <si>
    <t>WW132-260617055</t>
  </si>
  <si>
    <t>工站</t>
  </si>
  <si>
    <t>整形机台号</t>
  </si>
  <si>
    <t>测量机台号</t>
  </si>
  <si>
    <t>测量人员</t>
  </si>
  <si>
    <t>审核</t>
  </si>
  <si>
    <t>整形</t>
  </si>
  <si>
    <t>2#</t>
  </si>
  <si>
    <t>CMM3#/OMM5#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</si>
  <si>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</si>
  <si>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</si>
  <si>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</si>
  <si>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</si>
  <si>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</si>
  <si>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</si>
  <si>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</si>
  <si>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</si>
  <si>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</si>
  <si>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</si>
  <si>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</si>
  <si>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</si>
  <si>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</si>
  <si>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</si>
  <si>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</si>
  <si>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25</t>
  </si>
  <si>
    <t>Y</t>
  </si>
  <si>
    <t>OMM</t>
  </si>
  <si>
    <t>FAI26</t>
  </si>
  <si>
    <t>Z</t>
  </si>
  <si>
    <t>CMM</t>
  </si>
  <si>
    <t>FAI35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</si>
</sst>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6" borderId="16" applyNumberFormat="0" applyAlignment="0" applyProtection="0">
      <alignment vertical="center"/>
    </xf>
    <xf numFmtId="0" fontId="24" fillId="7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tabSelected="1" topLeftCell="Q1" workbookViewId="0">
      <selection activeCell="AE3" sqref="AE3:AI3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3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3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customHeight="1" spans="1:41">
      <c r="A6" s="41"/>
      <c r="B6" s="42"/>
      <c r="C6" s="33"/>
      <c r="D6" s="33"/>
      <c r="E6" s="34"/>
      <c r="F6" s="35"/>
      <c r="G6" s="35"/>
      <c r="H6" s="35"/>
      <c r="I6" s="33"/>
      <c r="J6" s="44">
        <v>1</v>
      </c>
      <c r="K6" s="45">
        <v>2</v>
      </c>
      <c r="L6" s="44">
        <v>3</v>
      </c>
      <c r="M6" s="44">
        <v>4</v>
      </c>
      <c r="N6" s="44">
        <v>5</v>
      </c>
      <c r="O6" s="44">
        <v>6</v>
      </c>
      <c r="P6" s="44">
        <v>7</v>
      </c>
      <c r="Q6" s="44">
        <v>8</v>
      </c>
      <c r="R6" s="44">
        <v>9</v>
      </c>
      <c r="S6" s="44">
        <v>10</v>
      </c>
      <c r="T6" s="44">
        <v>11</v>
      </c>
      <c r="U6" s="44">
        <v>12</v>
      </c>
      <c r="V6" s="44">
        <v>13</v>
      </c>
      <c r="W6" s="45">
        <v>14</v>
      </c>
      <c r="X6" s="44">
        <v>15</v>
      </c>
      <c r="Y6" s="44">
        <v>16</v>
      </c>
      <c r="Z6" s="46">
        <f t="shared" ref="Z6:AO6" si="0">J6</f>
        <v>1</v>
      </c>
      <c r="AA6" s="46">
        <f t="shared" si="0"/>
        <v>2</v>
      </c>
      <c r="AB6" s="46">
        <f t="shared" si="0"/>
        <v>3</v>
      </c>
      <c r="AC6" s="46">
        <f t="shared" si="0"/>
        <v>4</v>
      </c>
      <c r="AD6" s="46">
        <f t="shared" si="0"/>
        <v>5</v>
      </c>
      <c r="AE6" s="46">
        <f t="shared" si="0"/>
        <v>6</v>
      </c>
      <c r="AF6" s="46">
        <f t="shared" si="0"/>
        <v>7</v>
      </c>
      <c r="AG6" s="46">
        <f t="shared" si="0"/>
        <v>8</v>
      </c>
      <c r="AH6" s="46">
        <f t="shared" si="0"/>
        <v>9</v>
      </c>
      <c r="AI6" s="46">
        <f t="shared" si="0"/>
        <v>10</v>
      </c>
      <c r="AJ6" s="46">
        <f t="shared" si="0"/>
        <v>11</v>
      </c>
      <c r="AK6" s="46">
        <f t="shared" si="0"/>
        <v>12</v>
      </c>
      <c r="AL6" s="46">
        <f t="shared" si="0"/>
        <v>13</v>
      </c>
      <c r="AM6" s="46">
        <f t="shared" si="0"/>
        <v>14</v>
      </c>
      <c r="AN6" s="46">
        <f t="shared" si="0"/>
        <v>15</v>
      </c>
      <c r="AO6" s="46">
        <f t="shared" si="0"/>
        <v>16</v>
      </c>
    </row>
    <row r="7" ht="15" customHeight="1" spans="1:41">
      <c r="A7" s="47">
        <v>46202</v>
      </c>
      <c r="B7" s="48" t="s">
        <v>28</v>
      </c>
      <c r="C7" s="49" t="s">
        <v>29</v>
      </c>
      <c r="D7" s="49">
        <v>0.59</v>
      </c>
      <c r="E7" s="49">
        <v>0.03</v>
      </c>
      <c r="F7" s="49">
        <v>-0.03</v>
      </c>
      <c r="G7" s="50">
        <f>D7+E7</f>
        <v>0.62</v>
      </c>
      <c r="H7" s="50">
        <f>D7+F7</f>
        <v>0.56</v>
      </c>
      <c r="I7" s="49" t="s">
        <v>30</v>
      </c>
      <c r="J7" s="51">
        <v>0.6072</v>
      </c>
      <c r="K7" s="51">
        <v>0.5933</v>
      </c>
      <c r="L7" s="51">
        <v>0.6067</v>
      </c>
      <c r="M7" s="51">
        <v>0.6191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/>
      </c>
      <c r="AE7" s="52" t="str">
        <f t="shared" si="1"/>
        <v/>
      </c>
      <c r="AF7" s="52" t="str">
        <f t="shared" si="1"/>
        <v/>
      </c>
      <c r="AG7" s="52" t="str">
        <f t="shared" si="1"/>
        <v/>
      </c>
      <c r="AH7" s="52" t="str">
        <f t="shared" si="1"/>
        <v/>
      </c>
      <c r="AI7" s="52" t="str">
        <f t="shared" si="1"/>
        <v/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customHeight="1" spans="1:41">
      <c r="A8" s="53"/>
      <c r="B8" s="48" t="s">
        <v>31</v>
      </c>
      <c r="C8" s="54" t="s">
        <v>32</v>
      </c>
      <c r="D8" s="54">
        <v>1.57</v>
      </c>
      <c r="E8" s="54">
        <v>0.03</v>
      </c>
      <c r="F8" s="54">
        <v>-0.03</v>
      </c>
      <c r="G8" s="54">
        <f>D8+E8</f>
        <v>1.6</v>
      </c>
      <c r="H8" s="54">
        <f>D8+F8</f>
        <v>1.54</v>
      </c>
      <c r="I8" s="49" t="s">
        <v>33</v>
      </c>
      <c r="J8" s="51">
        <v>1.5821</v>
      </c>
      <c r="K8" s="51">
        <v>1.5773</v>
      </c>
      <c r="L8" s="51">
        <v>1.5817</v>
      </c>
      <c r="M8" s="51">
        <v>1.5803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2" t="str">
        <f t="shared" ref="Z8:Z9" si="2">IF(J8="","",IF(J8&gt;($D8+$E8),(J8-$D8-$E8),IF(J8&lt;($D8+$F8),(J8-$D8-$F8),"√")))</f>
        <v>√</v>
      </c>
      <c r="AA8" s="52" t="str">
        <f t="shared" ref="AA8:AA9" si="3">IF(K8="","",IF(K8&gt;($D8+$E8),(K8-$D8-$E8),IF(K8&lt;($D8+$F8),(K8-$D8-$F8),"√")))</f>
        <v>√</v>
      </c>
      <c r="AB8" s="52" t="str">
        <f t="shared" ref="AB8:AB9" si="4">IF(L8="","",IF(L8&gt;($D8+$E8),(L8-$D8-$E8),IF(L8&lt;($D8+$F8),(L8-$D8-$F8),"√")))</f>
        <v>√</v>
      </c>
      <c r="AC8" s="52" t="str">
        <f t="shared" ref="AC8:AC9" si="5">IF(M8="","",IF(M8&gt;($D8+$E8),(M8-$D8-$E8),IF(M8&lt;($D8+$F8),(M8-$D8-$F8),"√")))</f>
        <v>√</v>
      </c>
      <c r="AD8" s="52" t="str">
        <f t="shared" ref="AD8:AD9" si="6">IF(N8="","",IF(N8&gt;($D8+$E8),(N8-$D8-$E8),IF(N8&lt;($D8+$F8),(N8-$D8-$F8),"√")))</f>
        <v/>
      </c>
      <c r="AE8" s="52" t="str">
        <f t="shared" ref="AE8:AE9" si="7">IF(O8="","",IF(O8&gt;($D8+$E8),(O8-$D8-$E8),IF(O8&lt;($D8+$F8),(O8-$D8-$F8),"√")))</f>
        <v/>
      </c>
      <c r="AF8" s="52" t="str">
        <f t="shared" ref="AF8:AF9" si="8">IF(P8="","",IF(P8&gt;($D8+$E8),(P8-$D8-$E8),IF(P8&lt;($D8+$F8),(P8-$D8-$F8),"√")))</f>
        <v/>
      </c>
      <c r="AG8" s="52" t="str">
        <f t="shared" ref="AG8:AG9" si="9">IF(Q8="","",IF(Q8&gt;($D8+$E8),(Q8-$D8-$E8),IF(Q8&lt;($D8+$F8),(Q8-$D8-$F8),"√")))</f>
        <v/>
      </c>
      <c r="AH8" s="52" t="str">
        <f t="shared" ref="AH8:AH9" si="10">IF(R8="","",IF(R8&gt;($D8+$E8),(R8-$D8-$E8),IF(R8&lt;($D8+$F8),(R8-$D8-$F8),"√")))</f>
        <v/>
      </c>
      <c r="AI8" s="52" t="str">
        <f t="shared" ref="AI8:AI9" si="11">IF(S8="","",IF(S8&gt;($D8+$E8),(S8-$D8-$E8),IF(S8&lt;($D8+$F8),(S8-$D8-$F8),"√")))</f>
        <v/>
      </c>
      <c r="AJ8" s="52" t="str">
        <f t="shared" ref="AJ8:AJ9" si="12">IF(T8="","",IF(T8&gt;($D8+$E8),(T8-$D8-$E8),IF(T8&lt;($D8+$F8),(T8-$D8-$F8),"√")))</f>
        <v/>
      </c>
      <c r="AK8" s="52" t="str">
        <f t="shared" ref="AK8:AK9" si="13">IF(U8="","",IF(U8&gt;($D8+$E8),(U8-$D8-$E8),IF(U8&lt;($D8+$F8),(U8-$D8-$F8),"√")))</f>
        <v/>
      </c>
      <c r="AL8" s="52" t="str">
        <f t="shared" ref="AL8:AL9" si="14">IF(V8="","",IF(V8&gt;($D8+$E8),(V8-$D8-$E8),IF(V8&lt;($D8+$F8),(V8-$D8-$F8),"√")))</f>
        <v/>
      </c>
      <c r="AM8" s="52" t="str">
        <f t="shared" ref="AM8:AM9" si="15">IF(W8="","",IF(W8&gt;($D8+$E8),(W8-$D8-$E8),IF(W8&lt;($D8+$F8),(W8-$D8-$F8),"√")))</f>
        <v/>
      </c>
      <c r="AN8" s="52" t="str">
        <f t="shared" ref="AN8:AN9" si="16">IF(X8="","",IF(X8&gt;($D8+$E8),(X8-$D8-$E8),IF(X8&lt;($D8+$F8),(X8-$D8-$F8),"√")))</f>
        <v/>
      </c>
      <c r="AO8" s="52" t="str">
        <f t="shared" ref="AO8:AO9" si="17">IF(Y8="","",IF(Y8&gt;($D8+$E8),(Y8-$D8-$E8),IF(Y8&lt;($D8+$F8),(Y8-$D8-$F8),"√")))</f>
        <v/>
      </c>
    </row>
    <row r="9" ht="15" customHeight="1" spans="1:41">
      <c r="A9" s="53"/>
      <c r="B9" s="48" t="s">
        <v>34</v>
      </c>
      <c r="C9" s="54"/>
      <c r="D9" s="54">
        <v>1.3</v>
      </c>
      <c r="E9" s="54">
        <v>0.03</v>
      </c>
      <c r="F9" s="54">
        <v>-0.03</v>
      </c>
      <c r="G9" s="54">
        <f>D9+E9</f>
        <v>1.33</v>
      </c>
      <c r="H9" s="54">
        <f>D9+F9</f>
        <v>1.27</v>
      </c>
      <c r="I9" s="49" t="s">
        <v>33</v>
      </c>
      <c r="J9" s="51">
        <v>1.3047</v>
      </c>
      <c r="K9" s="51">
        <v>1.3091</v>
      </c>
      <c r="L9" s="51">
        <v>1.3172</v>
      </c>
      <c r="M9" s="51">
        <v>1.3046</v>
      </c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2" t="str">
        <f t="shared" si="2"/>
        <v>√</v>
      </c>
      <c r="AA9" s="52" t="str">
        <f t="shared" si="3"/>
        <v>√</v>
      </c>
      <c r="AB9" s="52" t="str">
        <f t="shared" si="4"/>
        <v>√</v>
      </c>
      <c r="AC9" s="52" t="str">
        <f t="shared" si="5"/>
        <v>√</v>
      </c>
      <c r="AD9" s="52" t="str">
        <f t="shared" si="6"/>
        <v/>
      </c>
      <c r="AE9" s="52" t="str">
        <f t="shared" si="7"/>
        <v/>
      </c>
      <c r="AF9" s="52" t="str">
        <f t="shared" si="8"/>
        <v/>
      </c>
      <c r="AG9" s="52" t="str">
        <f t="shared" si="9"/>
        <v/>
      </c>
      <c r="AH9" s="52" t="str">
        <f t="shared" si="10"/>
        <v/>
      </c>
      <c r="AI9" s="52" t="str">
        <f t="shared" si="11"/>
        <v/>
      </c>
      <c r="AJ9" s="52" t="str">
        <f t="shared" si="12"/>
        <v/>
      </c>
      <c r="AK9" s="52" t="str">
        <f t="shared" si="13"/>
        <v/>
      </c>
      <c r="AL9" s="52" t="str">
        <f t="shared" si="14"/>
        <v/>
      </c>
      <c r="AM9" s="52" t="str">
        <f t="shared" si="15"/>
        <v/>
      </c>
      <c r="AN9" s="52" t="str">
        <f t="shared" si="16"/>
        <v/>
      </c>
      <c r="AO9" s="52" t="str">
        <f t="shared" si="17"/>
        <v/>
      </c>
    </row>
    <row r="10" s="1" customFormat="1" spans="1:41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7"/>
      <c r="AL10" s="58"/>
      <c r="AM10" s="59"/>
      <c r="AN10" s="60"/>
      <c r="AO10" s="61"/>
    </row>
  </sheetData>
  <mergeCells count="32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0:AK10"/>
    <mergeCell ref="AL10:AM10"/>
    <mergeCell ref="AN10:AO10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9:Y9">
    <cfRule type="cellIs" dxfId="0" priority="31" operator="notBetween">
      <formula>$G9</formula>
      <formula>$H9</formula>
    </cfRule>
  </conditionalFormatting>
  <conditionalFormatting sqref="J7:Y8">
    <cfRule type="cellIs" dxfId="0" priority="36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2026-06-29T23:48:08Z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