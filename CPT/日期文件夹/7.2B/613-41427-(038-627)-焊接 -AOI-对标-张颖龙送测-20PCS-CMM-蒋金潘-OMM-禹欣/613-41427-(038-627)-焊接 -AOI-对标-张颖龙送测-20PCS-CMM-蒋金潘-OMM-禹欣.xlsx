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613-41427" sheetId="8" r:id="rId1"/>
  </sheets>
  <definedNames>
    <definedName name="_xlnm.Print_Area" localSheetId="0">'613-41427'!$B$1:$AD$6</definedName>
    <definedName name="_xlnm.Print_Titles" localSheetId="0">'613-41427'!$1:$6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<sst xmlns="http://schemas.openxmlformats.org/spreadsheetml/2006/main" count="74" uniqueCount="34">
  <si>
    <t>安徽中耀智能科技有限公司首件尺寸报告</t>
  </si>
  <si>
    <t>料号</t>
  </si>
  <si>
    <t>613-41427</t>
  </si>
  <si>
    <t>工单号</t>
  </si>
  <si>
    <t>工站</t>
  </si>
  <si>
    <t>炉号</t>
  </si>
  <si>
    <t>测量机台号</t>
  </si>
  <si>
    <t>测量人员</t>
  </si>
  <si>
    <t>审核</t>
  </si>
  <si>
    <t>焊接</t>
  </si>
  <si>
    <t>CMM6#/OMM5#</t>
  </si>
  <si>
    <t>蒋金潘/禹欣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</si>
  <si>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</si>
  <si>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</si>
  <si>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</si>
  <si>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</si>
  <si>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</si>
  <si>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</si>
  <si>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</si>
  <si>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</si>
  <si>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</si>
  <si>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</si>
  <si>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</si>
  <si>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</si>
  <si>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</si>
  <si>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 14</t>
  </si>
  <si>
    <t>OMM</t>
  </si>
  <si>
    <t>FAI 35</t>
  </si>
  <si>
    <t>CMM</t>
  </si>
  <si>
    <t>FAI 12</t>
  </si>
  <si>
    <t>FAI 11</t>
  </si>
  <si>
    <t>CMM6#</t>
  </si>
  <si>
    <t>蒋金潘</t>
  </si>
  <si>
    <r>
      <rPr>
        <b/>
        <sz val="11"/>
        <rFont val="宋体"/>
        <charset val="134"/>
      </rPr>
      <t>复测</t>
    </r>
    <r>
      <rPr>
        <b/>
        <sz val="11"/>
        <rFont val="Arial"/>
        <charset val="134"/>
      </rPr>
      <t>9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</si>
</sst>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1"/>
      <name val="Calibri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1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15" applyNumberFormat="0" applyAlignment="0" applyProtection="0">
      <alignment vertical="center"/>
    </xf>
    <xf numFmtId="0" fontId="23" fillId="8" borderId="16" applyNumberFormat="0" applyAlignment="0" applyProtection="0">
      <alignment vertical="center"/>
    </xf>
    <xf numFmtId="0" fontId="24" fillId="8" borderId="15" applyNumberFormat="0" applyAlignment="0" applyProtection="0">
      <alignment vertical="center"/>
    </xf>
    <xf numFmtId="0" fontId="25" fillId="9" borderId="17" applyNumberFormat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6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/>
    </xf>
    <xf numFmtId="0" fontId="11" fillId="0" borderId="1" xfId="59" applyFont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177" fontId="12" fillId="2" borderId="1" xfId="61" applyNumberFormat="1" applyFont="1" applyFill="1" applyBorder="1" applyAlignment="1">
      <alignment horizontal="center" vertical="center"/>
    </xf>
    <xf numFmtId="0" fontId="13" fillId="4" borderId="1" xfId="60" applyFont="1" applyFill="1" applyBorder="1" applyAlignment="1">
      <alignment horizontal="center" vertical="center"/>
    </xf>
    <xf numFmtId="0" fontId="12" fillId="0" borderId="7" xfId="53" applyFont="1" applyFill="1" applyBorder="1" applyAlignment="1">
      <alignment horizontal="center" vertical="center"/>
    </xf>
    <xf numFmtId="0" fontId="13" fillId="5" borderId="1" xfId="6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right" vertical="center"/>
    </xf>
    <xf numFmtId="0" fontId="0" fillId="0" borderId="7" xfId="0" applyFont="1" applyFill="1" applyBorder="1" applyAlignment="1">
      <alignment horizontal="right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1</xdr:col>
      <xdr:colOff>942975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57350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2"/>
  <sheetViews>
    <sheetView tabSelected="1" workbookViewId="0">
      <selection activeCell="L25" sqref="L25"/>
    </sheetView>
  </sheetViews>
  <sheetFormatPr defaultColWidth="9" defaultRowHeight="14.25"/>
  <cols>
    <col min="1" max="1" width="9.375" customWidth="1"/>
    <col min="2" max="2" width="13" customWidth="1"/>
    <col min="3" max="3" width="9.625" customWidth="1"/>
    <col min="4" max="4" width="5.625" customWidth="1"/>
    <col min="5" max="7" width="7.5" customWidth="1"/>
    <col min="8" max="8" width="4.5" customWidth="1"/>
    <col min="9" max="40" width="6.5" customWidth="1"/>
  </cols>
  <sheetData>
    <row r="1" ht="70.5" customHeight="1" spans="1:4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ht="15" customHeight="1" spans="1:40">
      <c r="A2" s="2" t="s">
        <v>1</v>
      </c>
      <c r="B2" s="3" t="s">
        <v>2</v>
      </c>
      <c r="C2" s="4"/>
      <c r="D2" s="4"/>
      <c r="E2" s="4"/>
      <c r="F2" s="5"/>
      <c r="G2" s="6" t="s">
        <v>3</v>
      </c>
      <c r="H2" s="7"/>
      <c r="I2" s="7"/>
      <c r="J2" s="8"/>
      <c r="K2" s="9"/>
      <c r="L2" s="9"/>
      <c r="M2" s="9"/>
      <c r="N2" s="9"/>
      <c r="O2" s="9"/>
      <c r="P2" s="9"/>
      <c r="Q2" s="9"/>
      <c r="R2" s="10" t="s">
        <v>4</v>
      </c>
      <c r="S2" s="11"/>
      <c r="T2" s="11"/>
      <c r="U2" s="11"/>
      <c r="V2" s="11"/>
      <c r="W2" s="12"/>
      <c r="X2" s="13" t="s">
        <v>5</v>
      </c>
      <c r="Y2" s="14"/>
      <c r="Z2" s="14"/>
      <c r="AA2" s="14"/>
      <c r="AB2" s="14"/>
      <c r="AC2" s="15"/>
      <c r="AD2" s="13" t="s">
        <v>6</v>
      </c>
      <c r="AE2" s="14"/>
      <c r="AF2" s="14"/>
      <c r="AG2" s="14"/>
      <c r="AH2" s="15"/>
      <c r="AI2" s="16" t="s">
        <v>7</v>
      </c>
      <c r="AJ2" s="17"/>
      <c r="AK2" s="17"/>
      <c r="AL2" s="18"/>
      <c r="AM2" s="16" t="s">
        <v>8</v>
      </c>
      <c r="AN2" s="18"/>
    </row>
    <row r="3" ht="15" customHeight="1" spans="1:40">
      <c r="A3" s="2"/>
      <c r="B3" s="19"/>
      <c r="C3" s="20"/>
      <c r="D3" s="20"/>
      <c r="E3" s="20"/>
      <c r="F3" s="21"/>
      <c r="G3" s="22"/>
      <c r="H3" s="23"/>
      <c r="I3" s="23"/>
      <c r="J3" s="24"/>
      <c r="K3" s="9"/>
      <c r="L3" s="9"/>
      <c r="M3" s="9"/>
      <c r="N3" s="9"/>
      <c r="O3" s="9"/>
      <c r="P3" s="9"/>
      <c r="Q3" s="9"/>
      <c r="R3" s="25" t="s">
        <v>9</v>
      </c>
      <c r="S3" s="26"/>
      <c r="T3" s="26"/>
      <c r="U3" s="26"/>
      <c r="V3" s="26"/>
      <c r="W3" s="27"/>
      <c r="X3" s="13"/>
      <c r="Y3" s="14"/>
      <c r="Z3" s="14"/>
      <c r="AA3" s="14"/>
      <c r="AB3" s="14"/>
      <c r="AC3" s="15"/>
      <c r="AD3" s="28" t="s">
        <v>10</v>
      </c>
      <c r="AE3" s="29"/>
      <c r="AF3" s="29"/>
      <c r="AG3" s="29"/>
      <c r="AH3" s="30"/>
      <c r="AI3" s="28" t="s">
        <v>11</v>
      </c>
      <c r="AJ3" s="29"/>
      <c r="AK3" s="29"/>
      <c r="AL3" s="30"/>
      <c r="AM3" s="28" t="s">
        <v>12</v>
      </c>
      <c r="AN3" s="30"/>
    </row>
    <row r="4" customHeight="1" spans="1:40">
      <c r="A4" s="31" t="s">
        <v>13</v>
      </c>
      <c r="B4" s="31" t="s">
        <v>14</v>
      </c>
      <c r="C4" s="32" t="s">
        <v>15</v>
      </c>
      <c r="D4" s="33" t="s">
        <v>16</v>
      </c>
      <c r="E4" s="34" t="s">
        <v>17</v>
      </c>
      <c r="F4" s="34" t="s">
        <v>18</v>
      </c>
      <c r="G4" s="34" t="s">
        <v>19</v>
      </c>
      <c r="H4" s="35" t="s">
        <v>20</v>
      </c>
      <c r="I4" s="36" t="s">
        <v>21</v>
      </c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7" t="s">
        <v>22</v>
      </c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9"/>
    </row>
    <row r="5" ht="13.5" customHeight="1" spans="1:40">
      <c r="A5" s="40"/>
      <c r="B5" s="41"/>
      <c r="C5" s="32"/>
      <c r="D5" s="33"/>
      <c r="E5" s="34"/>
      <c r="F5" s="34"/>
      <c r="G5" s="34"/>
      <c r="H5" s="32"/>
      <c r="I5" s="36" t="s">
        <v>23</v>
      </c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42" t="s">
        <v>24</v>
      </c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</row>
    <row r="6" customHeight="1" spans="1:40">
      <c r="A6" s="40"/>
      <c r="B6" s="41"/>
      <c r="C6" s="32"/>
      <c r="D6" s="33"/>
      <c r="E6" s="34"/>
      <c r="F6" s="34"/>
      <c r="G6" s="34"/>
      <c r="H6" s="32"/>
      <c r="I6" s="43">
        <v>1</v>
      </c>
      <c r="J6" s="43">
        <v>2</v>
      </c>
      <c r="K6" s="43">
        <v>3</v>
      </c>
      <c r="L6" s="43">
        <v>4</v>
      </c>
      <c r="M6" s="43">
        <v>5</v>
      </c>
      <c r="N6" s="43">
        <v>6</v>
      </c>
      <c r="O6" s="43">
        <v>7</v>
      </c>
      <c r="P6" s="43">
        <v>8</v>
      </c>
      <c r="Q6" s="43">
        <v>9</v>
      </c>
      <c r="R6" s="43">
        <v>10</v>
      </c>
      <c r="S6" s="43">
        <v>11</v>
      </c>
      <c r="T6" s="43">
        <v>12</v>
      </c>
      <c r="U6" s="43">
        <v>13</v>
      </c>
      <c r="V6" s="44">
        <v>14</v>
      </c>
      <c r="W6" s="43">
        <v>15</v>
      </c>
      <c r="X6" s="43">
        <v>16</v>
      </c>
      <c r="Y6" s="45">
        <f t="shared" ref="Y6:AN6" si="0">I6</f>
        <v>1</v>
      </c>
      <c r="Z6" s="45">
        <f t="shared" si="0"/>
        <v>2</v>
      </c>
      <c r="AA6" s="45">
        <f t="shared" si="0"/>
        <v>3</v>
      </c>
      <c r="AB6" s="45">
        <f t="shared" si="0"/>
        <v>4</v>
      </c>
      <c r="AC6" s="45">
        <f t="shared" si="0"/>
        <v>5</v>
      </c>
      <c r="AD6" s="45">
        <f t="shared" si="0"/>
        <v>6</v>
      </c>
      <c r="AE6" s="45">
        <f t="shared" si="0"/>
        <v>7</v>
      </c>
      <c r="AF6" s="45">
        <f t="shared" si="0"/>
        <v>8</v>
      </c>
      <c r="AG6" s="45">
        <f t="shared" si="0"/>
        <v>9</v>
      </c>
      <c r="AH6" s="45">
        <f t="shared" si="0"/>
        <v>10</v>
      </c>
      <c r="AI6" s="45">
        <f t="shared" si="0"/>
        <v>11</v>
      </c>
      <c r="AJ6" s="45">
        <f t="shared" si="0"/>
        <v>12</v>
      </c>
      <c r="AK6" s="45">
        <f t="shared" si="0"/>
        <v>13</v>
      </c>
      <c r="AL6" s="45">
        <f t="shared" si="0"/>
        <v>14</v>
      </c>
      <c r="AM6" s="45">
        <f t="shared" si="0"/>
        <v>15</v>
      </c>
      <c r="AN6" s="45">
        <f t="shared" si="0"/>
        <v>16</v>
      </c>
    </row>
    <row r="7" ht="15" customHeight="1" spans="1:40">
      <c r="A7" s="46">
        <v>46205</v>
      </c>
      <c r="B7" s="47" t="s">
        <v>25</v>
      </c>
      <c r="C7" s="48">
        <v>0.5</v>
      </c>
      <c r="D7" s="48">
        <v>0.03</v>
      </c>
      <c r="E7" s="48">
        <v>-0.03</v>
      </c>
      <c r="F7" s="49">
        <f>C7+D7</f>
        <v>0.53</v>
      </c>
      <c r="G7" s="49">
        <f>C7+E7</f>
        <v>0.47</v>
      </c>
      <c r="H7" s="48" t="s">
        <v>26</v>
      </c>
      <c r="I7" s="50">
        <v>0.5037</v>
      </c>
      <c r="J7" s="50">
        <v>0.4979</v>
      </c>
      <c r="K7" s="50">
        <v>0.5024</v>
      </c>
      <c r="L7" s="50">
        <v>0.4965</v>
      </c>
      <c r="M7" s="50">
        <v>0.494</v>
      </c>
      <c r="N7" s="50">
        <v>0.4979</v>
      </c>
      <c r="O7" s="50">
        <v>0.4888</v>
      </c>
      <c r="P7" s="50">
        <v>0.5022</v>
      </c>
      <c r="Q7" s="50">
        <v>0.4952</v>
      </c>
      <c r="R7" s="50">
        <v>0.5008</v>
      </c>
      <c r="S7" s="50"/>
      <c r="T7" s="50"/>
      <c r="U7" s="50"/>
      <c r="V7" s="50"/>
      <c r="W7" s="50"/>
      <c r="X7" s="50"/>
      <c r="Y7" s="51" t="str">
        <f t="shared" ref="Y7:AN7" si="1">IF(I7="","",IF(I7&gt;($C7+$D7),(I7-$C7-$D7),IF(I7&lt;($C7+$E7),(I7-$C7-$E7),"√")))</f>
        <v>√</v>
      </c>
      <c r="Z7" s="51" t="str">
        <f t="shared" si="1"/>
        <v>√</v>
      </c>
      <c r="AA7" s="51" t="str">
        <f t="shared" si="1"/>
        <v>√</v>
      </c>
      <c r="AB7" s="51" t="str">
        <f t="shared" si="1"/>
        <v>√</v>
      </c>
      <c r="AC7" s="51" t="str">
        <f t="shared" si="1"/>
        <v>√</v>
      </c>
      <c r="AD7" s="51" t="str">
        <f t="shared" si="1"/>
        <v>√</v>
      </c>
      <c r="AE7" s="51" t="str">
        <f t="shared" si="1"/>
        <v>√</v>
      </c>
      <c r="AF7" s="51" t="str">
        <f t="shared" si="1"/>
        <v>√</v>
      </c>
      <c r="AG7" s="51" t="str">
        <f t="shared" si="1"/>
        <v>√</v>
      </c>
      <c r="AH7" s="51" t="str">
        <f t="shared" si="1"/>
        <v>√</v>
      </c>
      <c r="AI7" s="51" t="str">
        <f t="shared" si="1"/>
        <v/>
      </c>
      <c r="AJ7" s="51" t="str">
        <f t="shared" si="1"/>
        <v/>
      </c>
      <c r="AK7" s="51" t="str">
        <f t="shared" si="1"/>
        <v/>
      </c>
      <c r="AL7" s="51" t="str">
        <f t="shared" si="1"/>
        <v/>
      </c>
      <c r="AM7" s="51" t="str">
        <f t="shared" si="1"/>
        <v/>
      </c>
      <c r="AN7" s="51" t="str">
        <f t="shared" si="1"/>
        <v/>
      </c>
    </row>
    <row r="8" ht="15" customHeight="1" spans="1:40">
      <c r="A8" s="46"/>
      <c r="B8" s="52" t="s">
        <v>27</v>
      </c>
      <c r="C8" s="48">
        <v>1.3</v>
      </c>
      <c r="D8" s="48">
        <v>0.03</v>
      </c>
      <c r="E8" s="48">
        <v>-0.03</v>
      </c>
      <c r="F8" s="49">
        <f>C8+D8</f>
        <v>1.33</v>
      </c>
      <c r="G8" s="49">
        <f>C8+E8</f>
        <v>1.27</v>
      </c>
      <c r="H8" s="48" t="s">
        <v>28</v>
      </c>
      <c r="I8" s="50">
        <v>1.3264</v>
      </c>
      <c r="J8" s="50">
        <v>1.3168</v>
      </c>
      <c r="K8" s="50">
        <v>1.3071</v>
      </c>
      <c r="L8" s="50">
        <v>1.2883</v>
      </c>
      <c r="M8" s="50">
        <v>1.2882</v>
      </c>
      <c r="N8" s="50">
        <v>1.3061</v>
      </c>
      <c r="O8" s="50">
        <v>1.3109</v>
      </c>
      <c r="P8" s="50">
        <v>1.298</v>
      </c>
      <c r="Q8" s="50">
        <v>1.2917</v>
      </c>
      <c r="R8" s="50">
        <v>1.3104</v>
      </c>
      <c r="S8" s="50"/>
      <c r="T8" s="50"/>
      <c r="U8" s="50"/>
      <c r="V8" s="50"/>
      <c r="W8" s="50"/>
      <c r="X8" s="50"/>
      <c r="Y8" s="53" t="str">
        <f t="shared" ref="Y8:AN8" si="2">IF(I8="","",IF(I8&gt;($C8+$D8),(I8-$C8-$D8),IF(I8&lt;($C8+$E8),(I8-$C8-$E8),"√")))</f>
        <v>√</v>
      </c>
      <c r="Z8" s="53" t="str">
        <f t="shared" si="2"/>
        <v>√</v>
      </c>
      <c r="AA8" s="53" t="str">
        <f t="shared" si="2"/>
        <v>√</v>
      </c>
      <c r="AB8" s="53" t="str">
        <f t="shared" si="2"/>
        <v>√</v>
      </c>
      <c r="AC8" s="53" t="str">
        <f t="shared" si="2"/>
        <v>√</v>
      </c>
      <c r="AD8" s="53" t="str">
        <f t="shared" si="2"/>
        <v>√</v>
      </c>
      <c r="AE8" s="53" t="str">
        <f t="shared" si="2"/>
        <v>√</v>
      </c>
      <c r="AF8" s="53" t="str">
        <f t="shared" si="2"/>
        <v>√</v>
      </c>
      <c r="AG8" s="53" t="str">
        <f t="shared" si="2"/>
        <v>√</v>
      </c>
      <c r="AH8" s="53" t="str">
        <f t="shared" si="2"/>
        <v>√</v>
      </c>
      <c r="AI8" s="53" t="str">
        <f t="shared" si="2"/>
        <v/>
      </c>
      <c r="AJ8" s="53" t="str">
        <f t="shared" si="2"/>
        <v/>
      </c>
      <c r="AK8" s="53" t="str">
        <f t="shared" si="2"/>
        <v/>
      </c>
      <c r="AL8" s="53" t="str">
        <f t="shared" si="2"/>
        <v/>
      </c>
      <c r="AM8" s="53" t="str">
        <f t="shared" si="2"/>
        <v/>
      </c>
      <c r="AN8" s="53" t="str">
        <f t="shared" si="2"/>
        <v/>
      </c>
    </row>
    <row r="9" ht="15" customHeight="1" spans="1:40">
      <c r="A9" s="46"/>
      <c r="B9" s="52" t="s">
        <v>29</v>
      </c>
      <c r="C9" s="48">
        <v>186.04</v>
      </c>
      <c r="D9" s="48">
        <v>1</v>
      </c>
      <c r="E9" s="48">
        <v>-1</v>
      </c>
      <c r="F9" s="49">
        <f>C9+D9</f>
        <v>187.04</v>
      </c>
      <c r="G9" s="49">
        <f>C9+E9</f>
        <v>185.04</v>
      </c>
      <c r="H9" s="48" t="s">
        <v>28</v>
      </c>
      <c r="I9" s="50">
        <v>186.5441</v>
      </c>
      <c r="J9" s="50">
        <v>186.3385</v>
      </c>
      <c r="K9" s="50">
        <v>186.3018</v>
      </c>
      <c r="L9" s="50">
        <v>186.347</v>
      </c>
      <c r="M9" s="50">
        <v>186.2062</v>
      </c>
      <c r="N9" s="50">
        <v>186.3343</v>
      </c>
      <c r="O9" s="50">
        <v>186.4278</v>
      </c>
      <c r="P9" s="50">
        <v>186.5667</v>
      </c>
      <c r="Q9" s="50">
        <v>186.4739</v>
      </c>
      <c r="R9" s="50">
        <v>186.4079</v>
      </c>
      <c r="S9" s="50"/>
      <c r="T9" s="50"/>
      <c r="U9" s="50"/>
      <c r="V9" s="50"/>
      <c r="W9" s="50"/>
      <c r="X9" s="50"/>
      <c r="Y9" s="53" t="str">
        <f t="shared" ref="Y9:AN9" si="3">IF(I9="","",IF(I9&gt;($C9+$D9),(I9-$C9-$D9),IF(I9&lt;($C9+$E9),(I9-$C9-$E9),"√")))</f>
        <v>√</v>
      </c>
      <c r="Z9" s="53" t="str">
        <f t="shared" si="3"/>
        <v>√</v>
      </c>
      <c r="AA9" s="53" t="str">
        <f t="shared" si="3"/>
        <v>√</v>
      </c>
      <c r="AB9" s="53" t="str">
        <f t="shared" si="3"/>
        <v>√</v>
      </c>
      <c r="AC9" s="53" t="str">
        <f t="shared" si="3"/>
        <v>√</v>
      </c>
      <c r="AD9" s="53" t="str">
        <f t="shared" si="3"/>
        <v>√</v>
      </c>
      <c r="AE9" s="53" t="str">
        <f t="shared" si="3"/>
        <v>√</v>
      </c>
      <c r="AF9" s="53" t="str">
        <f t="shared" si="3"/>
        <v>√</v>
      </c>
      <c r="AG9" s="53" t="str">
        <f t="shared" si="3"/>
        <v>√</v>
      </c>
      <c r="AH9" s="53" t="str">
        <f t="shared" si="3"/>
        <v>√</v>
      </c>
      <c r="AI9" s="53" t="str">
        <f t="shared" si="3"/>
        <v/>
      </c>
      <c r="AJ9" s="53" t="str">
        <f t="shared" si="3"/>
        <v/>
      </c>
      <c r="AK9" s="53" t="str">
        <f t="shared" si="3"/>
        <v/>
      </c>
      <c r="AL9" s="53" t="str">
        <f t="shared" si="3"/>
        <v/>
      </c>
      <c r="AM9" s="53" t="str">
        <f t="shared" si="3"/>
        <v/>
      </c>
      <c r="AN9" s="53" t="str">
        <f t="shared" si="3"/>
        <v/>
      </c>
    </row>
    <row r="10" ht="15" customHeight="1" spans="1:40">
      <c r="A10" s="46"/>
      <c r="B10" s="52" t="s">
        <v>30</v>
      </c>
      <c r="C10" s="48">
        <v>0</v>
      </c>
      <c r="D10" s="48">
        <v>0.03</v>
      </c>
      <c r="E10" s="48">
        <v>0</v>
      </c>
      <c r="F10" s="49">
        <f>C10+D10</f>
        <v>0.03</v>
      </c>
      <c r="G10" s="49">
        <f>C10+E10</f>
        <v>0</v>
      </c>
      <c r="H10" s="48" t="s">
        <v>28</v>
      </c>
      <c r="I10" s="50">
        <v>0.0194</v>
      </c>
      <c r="J10" s="50">
        <v>0.0153</v>
      </c>
      <c r="K10" s="50">
        <v>0.0135</v>
      </c>
      <c r="L10" s="50">
        <v>0.0174</v>
      </c>
      <c r="M10" s="50">
        <v>0.03</v>
      </c>
      <c r="N10" s="50">
        <v>0.0116</v>
      </c>
      <c r="O10" s="50">
        <v>0.0114</v>
      </c>
      <c r="P10" s="50">
        <v>0.0193</v>
      </c>
      <c r="Q10" s="50">
        <v>0.0137</v>
      </c>
      <c r="R10" s="50">
        <v>0.0147</v>
      </c>
      <c r="S10" s="50"/>
      <c r="T10" s="50"/>
      <c r="U10" s="50"/>
      <c r="V10" s="50"/>
      <c r="W10" s="50"/>
      <c r="X10" s="50"/>
      <c r="Y10" s="53" t="str">
        <f t="shared" ref="Y10:AN10" si="4">IF(I10="","",IF(I10&gt;($C10+$D10),(I10-$C10-$D10),IF(I10&lt;($C10+$E10),(I10-$C10-$E10),"√")))</f>
        <v>√</v>
      </c>
      <c r="Z10" s="53" t="str">
        <f t="shared" si="4"/>
        <v>√</v>
      </c>
      <c r="AA10" s="53" t="str">
        <f t="shared" si="4"/>
        <v>√</v>
      </c>
      <c r="AB10" s="53" t="str">
        <f t="shared" si="4"/>
        <v>√</v>
      </c>
      <c r="AC10" s="53" t="str">
        <f t="shared" si="4"/>
        <v>√</v>
      </c>
      <c r="AD10" s="53" t="str">
        <f t="shared" si="4"/>
        <v>√</v>
      </c>
      <c r="AE10" s="53" t="str">
        <f t="shared" si="4"/>
        <v>√</v>
      </c>
      <c r="AF10" s="53" t="str">
        <f t="shared" si="4"/>
        <v>√</v>
      </c>
      <c r="AG10" s="53" t="str">
        <f t="shared" si="4"/>
        <v>√</v>
      </c>
      <c r="AH10" s="53" t="str">
        <f t="shared" si="4"/>
        <v>√</v>
      </c>
      <c r="AI10" s="53" t="str">
        <f t="shared" si="4"/>
        <v/>
      </c>
      <c r="AJ10" s="53" t="str">
        <f t="shared" si="4"/>
        <v/>
      </c>
      <c r="AK10" s="53" t="str">
        <f t="shared" si="4"/>
        <v/>
      </c>
      <c r="AL10" s="53" t="str">
        <f t="shared" si="4"/>
        <v/>
      </c>
      <c r="AM10" s="53" t="str">
        <f t="shared" si="4"/>
        <v/>
      </c>
      <c r="AN10" s="53" t="str">
        <f t="shared" si="4"/>
        <v/>
      </c>
    </row>
    <row r="11" ht="15" customHeight="1" spans="1:40">
      <c r="A11" s="46"/>
      <c r="B11" s="52">
        <v>1</v>
      </c>
      <c r="C11" s="48"/>
      <c r="D11" s="48"/>
      <c r="E11" s="48"/>
      <c r="F11" s="49"/>
      <c r="G11" s="49"/>
      <c r="H11" s="48" t="s">
        <v>28</v>
      </c>
      <c r="I11" s="50">
        <v>0.0097</v>
      </c>
      <c r="J11" s="50">
        <v>0.0076</v>
      </c>
      <c r="K11" s="50">
        <v>0.0067</v>
      </c>
      <c r="L11" s="50">
        <v>0.0087</v>
      </c>
      <c r="M11" s="50">
        <v>0.0151</v>
      </c>
      <c r="N11" s="50">
        <v>0.0058</v>
      </c>
      <c r="O11" s="50">
        <v>0.0057</v>
      </c>
      <c r="P11" s="50">
        <v>0.0097</v>
      </c>
      <c r="Q11" s="50">
        <v>0.0069</v>
      </c>
      <c r="R11" s="50">
        <v>0.0074</v>
      </c>
      <c r="S11" s="50"/>
      <c r="T11" s="50"/>
      <c r="U11" s="50"/>
      <c r="V11" s="50"/>
      <c r="W11" s="50"/>
      <c r="X11" s="50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</row>
    <row r="12" ht="15" customHeight="1" spans="1:40">
      <c r="A12" s="46"/>
      <c r="B12" s="52">
        <v>2</v>
      </c>
      <c r="C12" s="48"/>
      <c r="D12" s="48"/>
      <c r="E12" s="48"/>
      <c r="F12" s="49"/>
      <c r="G12" s="49"/>
      <c r="H12" s="48" t="s">
        <v>28</v>
      </c>
      <c r="I12" s="50">
        <v>-0.0044</v>
      </c>
      <c r="J12" s="50">
        <v>-0.0056</v>
      </c>
      <c r="K12" s="50">
        <v>-0.0031</v>
      </c>
      <c r="L12" s="50">
        <v>-0.0042</v>
      </c>
      <c r="M12" s="50">
        <v>-0.0066</v>
      </c>
      <c r="N12" s="50">
        <v>-0.0057</v>
      </c>
      <c r="O12" s="50">
        <v>-0.005</v>
      </c>
      <c r="P12" s="50">
        <v>-0.0055</v>
      </c>
      <c r="Q12" s="50">
        <v>-0.0043</v>
      </c>
      <c r="R12" s="50">
        <v>-0.0059</v>
      </c>
      <c r="S12" s="50"/>
      <c r="T12" s="50"/>
      <c r="U12" s="50"/>
      <c r="V12" s="50"/>
      <c r="W12" s="50"/>
      <c r="X12" s="50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</row>
    <row r="13" ht="15" customHeight="1" spans="1:40">
      <c r="A13" s="46"/>
      <c r="B13" s="52">
        <v>3</v>
      </c>
      <c r="C13" s="48"/>
      <c r="D13" s="48"/>
      <c r="E13" s="48"/>
      <c r="F13" s="49"/>
      <c r="G13" s="49"/>
      <c r="H13" s="48" t="s">
        <v>28</v>
      </c>
      <c r="I13" s="50">
        <v>-0.0072</v>
      </c>
      <c r="J13" s="50">
        <v>-0.0076</v>
      </c>
      <c r="K13" s="50">
        <v>-0.0067</v>
      </c>
      <c r="L13" s="50">
        <v>-0.0055</v>
      </c>
      <c r="M13" s="50">
        <v>-0.0094</v>
      </c>
      <c r="N13" s="50">
        <v>-0.0047</v>
      </c>
      <c r="O13" s="50">
        <v>-0.0018</v>
      </c>
      <c r="P13" s="50">
        <v>-0.0079</v>
      </c>
      <c r="Q13" s="50">
        <v>-0.0065</v>
      </c>
      <c r="R13" s="50">
        <v>-0.0068</v>
      </c>
      <c r="S13" s="50"/>
      <c r="T13" s="50"/>
      <c r="U13" s="50"/>
      <c r="V13" s="50"/>
      <c r="W13" s="50"/>
      <c r="X13" s="50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</row>
    <row r="14" ht="15" customHeight="1" spans="1:40">
      <c r="A14" s="46"/>
      <c r="B14" s="52">
        <v>4</v>
      </c>
      <c r="C14" s="48"/>
      <c r="D14" s="48"/>
      <c r="E14" s="48"/>
      <c r="F14" s="49"/>
      <c r="G14" s="49"/>
      <c r="H14" s="48" t="s">
        <v>28</v>
      </c>
      <c r="I14" s="50">
        <v>-0.0097</v>
      </c>
      <c r="J14" s="50">
        <v>-0.0064</v>
      </c>
      <c r="K14" s="50">
        <v>-0.0066</v>
      </c>
      <c r="L14" s="50">
        <v>-0.0087</v>
      </c>
      <c r="M14" s="50">
        <v>-0.0151</v>
      </c>
      <c r="N14" s="50">
        <v>-0.0058</v>
      </c>
      <c r="O14" s="50">
        <v>-0.0057</v>
      </c>
      <c r="P14" s="50">
        <v>-0.0097</v>
      </c>
      <c r="Q14" s="50">
        <v>-0.0069</v>
      </c>
      <c r="R14" s="50">
        <v>-0.0074</v>
      </c>
      <c r="S14" s="50"/>
      <c r="T14" s="50"/>
      <c r="U14" s="50"/>
      <c r="V14" s="50"/>
      <c r="W14" s="50"/>
      <c r="X14" s="50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</row>
    <row r="15" spans="1:40">
      <c r="A15" s="54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6"/>
      <c r="AK15" s="57"/>
      <c r="AL15" s="58"/>
      <c r="AM15" s="59"/>
      <c r="AN15" s="60"/>
    </row>
    <row r="19" ht="15" customHeight="1" spans="1:40">
      <c r="A19" s="2" t="s">
        <v>1</v>
      </c>
      <c r="B19" s="3" t="s">
        <v>2</v>
      </c>
      <c r="C19" s="4"/>
      <c r="D19" s="4"/>
      <c r="E19" s="4"/>
      <c r="F19" s="5"/>
      <c r="G19" s="6" t="s">
        <v>3</v>
      </c>
      <c r="H19" s="7"/>
      <c r="I19" s="7"/>
      <c r="J19" s="8"/>
      <c r="K19" s="9"/>
      <c r="L19" s="9"/>
      <c r="M19" s="9"/>
      <c r="N19" s="9"/>
      <c r="O19" s="9"/>
      <c r="P19" s="9"/>
      <c r="Q19" s="9"/>
      <c r="R19" s="10" t="s">
        <v>4</v>
      </c>
      <c r="S19" s="11"/>
      <c r="T19" s="11"/>
      <c r="U19" s="11"/>
      <c r="V19" s="11"/>
      <c r="W19" s="12"/>
      <c r="X19" s="13" t="s">
        <v>5</v>
      </c>
      <c r="Y19" s="14"/>
      <c r="Z19" s="14"/>
      <c r="AA19" s="14"/>
      <c r="AB19" s="14"/>
      <c r="AC19" s="15"/>
      <c r="AD19" s="13" t="s">
        <v>6</v>
      </c>
      <c r="AE19" s="14"/>
      <c r="AF19" s="14"/>
      <c r="AG19" s="14"/>
      <c r="AH19" s="15"/>
      <c r="AI19" s="16" t="s">
        <v>7</v>
      </c>
      <c r="AJ19" s="17"/>
      <c r="AK19" s="17"/>
      <c r="AL19" s="18"/>
      <c r="AM19" s="16" t="s">
        <v>8</v>
      </c>
      <c r="AN19" s="18"/>
    </row>
    <row r="20" ht="15" customHeight="1" spans="1:40">
      <c r="A20" s="2"/>
      <c r="B20" s="19"/>
      <c r="C20" s="20"/>
      <c r="D20" s="20"/>
      <c r="E20" s="20"/>
      <c r="F20" s="21"/>
      <c r="G20" s="22"/>
      <c r="H20" s="23"/>
      <c r="I20" s="23"/>
      <c r="J20" s="24"/>
      <c r="K20" s="9"/>
      <c r="L20" s="9"/>
      <c r="M20" s="9"/>
      <c r="N20" s="9"/>
      <c r="O20" s="9"/>
      <c r="P20" s="9"/>
      <c r="Q20" s="9"/>
      <c r="R20" s="25" t="s">
        <v>9</v>
      </c>
      <c r="S20" s="26"/>
      <c r="T20" s="26"/>
      <c r="U20" s="26"/>
      <c r="V20" s="26"/>
      <c r="W20" s="27"/>
      <c r="X20" s="13"/>
      <c r="Y20" s="14"/>
      <c r="Z20" s="14"/>
      <c r="AA20" s="14"/>
      <c r="AB20" s="14"/>
      <c r="AC20" s="15"/>
      <c r="AD20" s="28" t="s">
        <v>31</v>
      </c>
      <c r="AE20" s="29"/>
      <c r="AF20" s="29"/>
      <c r="AG20" s="29"/>
      <c r="AH20" s="30"/>
      <c r="AI20" s="28" t="s">
        <v>32</v>
      </c>
      <c r="AJ20" s="29"/>
      <c r="AK20" s="29"/>
      <c r="AL20" s="30"/>
      <c r="AM20" s="28" t="s">
        <v>12</v>
      </c>
      <c r="AN20" s="30"/>
    </row>
    <row r="21" customHeight="1" spans="1:40">
      <c r="A21" s="31" t="s">
        <v>13</v>
      </c>
      <c r="B21" s="31" t="s">
        <v>14</v>
      </c>
      <c r="C21" s="32" t="s">
        <v>15</v>
      </c>
      <c r="D21" s="33" t="s">
        <v>16</v>
      </c>
      <c r="E21" s="34" t="s">
        <v>17</v>
      </c>
      <c r="F21" s="34" t="s">
        <v>18</v>
      </c>
      <c r="G21" s="34" t="s">
        <v>19</v>
      </c>
      <c r="H21" s="35" t="s">
        <v>20</v>
      </c>
      <c r="I21" s="36" t="s">
        <v>21</v>
      </c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7" t="s">
        <v>22</v>
      </c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9"/>
    </row>
    <row r="22" ht="13.5" customHeight="1" spans="1:40">
      <c r="A22" s="40"/>
      <c r="B22" s="41"/>
      <c r="C22" s="32"/>
      <c r="D22" s="33"/>
      <c r="E22" s="34"/>
      <c r="F22" s="34"/>
      <c r="G22" s="34"/>
      <c r="H22" s="32"/>
      <c r="I22" s="36" t="s">
        <v>23</v>
      </c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42" t="s">
        <v>24</v>
      </c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</row>
    <row r="23" customHeight="1" spans="1:40">
      <c r="A23" s="40"/>
      <c r="B23" s="41"/>
      <c r="C23" s="32"/>
      <c r="D23" s="33"/>
      <c r="E23" s="34"/>
      <c r="F23" s="34"/>
      <c r="G23" s="34"/>
      <c r="H23" s="32"/>
      <c r="I23" s="43">
        <v>1</v>
      </c>
      <c r="J23" s="43">
        <v>2</v>
      </c>
      <c r="K23" s="43">
        <v>3</v>
      </c>
      <c r="L23" s="43">
        <v>4</v>
      </c>
      <c r="M23" s="43">
        <v>5</v>
      </c>
      <c r="N23" s="43">
        <v>6</v>
      </c>
      <c r="O23" s="43">
        <v>7</v>
      </c>
      <c r="P23" s="43">
        <v>8</v>
      </c>
      <c r="Q23" s="43">
        <v>9</v>
      </c>
      <c r="R23" s="43">
        <v>10</v>
      </c>
      <c r="S23" s="44" t="s">
        <v>33</v>
      </c>
      <c r="T23" s="43">
        <v>12</v>
      </c>
      <c r="U23" s="43">
        <v>13</v>
      </c>
      <c r="V23" s="44">
        <v>14</v>
      </c>
      <c r="W23" s="43">
        <v>15</v>
      </c>
      <c r="X23" s="43">
        <v>16</v>
      </c>
      <c r="Y23" s="45">
        <f t="shared" ref="Y23:AN23" si="5">I23</f>
        <v>1</v>
      </c>
      <c r="Z23" s="45">
        <f t="shared" si="5"/>
        <v>2</v>
      </c>
      <c r="AA23" s="45">
        <f t="shared" si="5"/>
        <v>3</v>
      </c>
      <c r="AB23" s="45">
        <f t="shared" si="5"/>
        <v>4</v>
      </c>
      <c r="AC23" s="45">
        <f t="shared" si="5"/>
        <v>5</v>
      </c>
      <c r="AD23" s="45">
        <f t="shared" si="5"/>
        <v>6</v>
      </c>
      <c r="AE23" s="45">
        <f t="shared" si="5"/>
        <v>7</v>
      </c>
      <c r="AF23" s="45">
        <f t="shared" si="5"/>
        <v>8</v>
      </c>
      <c r="AG23" s="45">
        <f t="shared" si="5"/>
        <v>9</v>
      </c>
      <c r="AH23" s="45">
        <f t="shared" si="5"/>
        <v>10</v>
      </c>
      <c r="AI23" s="45" t="str">
        <f t="shared" si="5"/>
        <v>复测9</v>
      </c>
      <c r="AJ23" s="45">
        <f t="shared" si="5"/>
        <v>12</v>
      </c>
      <c r="AK23" s="45">
        <f t="shared" si="5"/>
        <v>13</v>
      </c>
      <c r="AL23" s="45">
        <f t="shared" si="5"/>
        <v>14</v>
      </c>
      <c r="AM23" s="45">
        <f t="shared" si="5"/>
        <v>15</v>
      </c>
      <c r="AN23" s="45">
        <f t="shared" si="5"/>
        <v>16</v>
      </c>
    </row>
    <row r="24" ht="15" customHeight="1" spans="1:40">
      <c r="A24" s="46">
        <v>46205</v>
      </c>
      <c r="B24" s="47" t="s">
        <v>25</v>
      </c>
      <c r="C24" s="48">
        <v>0.5</v>
      </c>
      <c r="D24" s="48">
        <v>0.03</v>
      </c>
      <c r="E24" s="48">
        <v>-0.03</v>
      </c>
      <c r="F24" s="49">
        <f>C24+D24</f>
        <v>0.53</v>
      </c>
      <c r="G24" s="49">
        <f>C24+E24</f>
        <v>0.47</v>
      </c>
      <c r="H24" s="48" t="s">
        <v>26</v>
      </c>
      <c r="I24" s="50">
        <v>0.5003</v>
      </c>
      <c r="J24" s="50">
        <v>0.4888</v>
      </c>
      <c r="K24" s="50">
        <v>0.4974</v>
      </c>
      <c r="L24" s="50">
        <v>0.4988</v>
      </c>
      <c r="M24" s="50">
        <v>0.4926</v>
      </c>
      <c r="N24" s="50">
        <v>0.489</v>
      </c>
      <c r="O24" s="50">
        <v>0.4927</v>
      </c>
      <c r="P24" s="50">
        <v>0.4917</v>
      </c>
      <c r="Q24" s="50">
        <v>0.5105</v>
      </c>
      <c r="R24" s="50">
        <v>0.5129</v>
      </c>
      <c r="S24" s="50"/>
      <c r="T24" s="50"/>
      <c r="U24" s="50"/>
      <c r="V24" s="50"/>
      <c r="W24" s="50"/>
      <c r="X24" s="50"/>
      <c r="Y24" s="51" t="str">
        <f t="shared" ref="Y24:AN24" si="6">IF(I24="","",IF(I24&gt;($C24+$D24),(I24-$C24-$D24),IF(I24&lt;($C24+$E24),(I24-$C24-$E24),"√")))</f>
        <v>√</v>
      </c>
      <c r="Z24" s="51" t="str">
        <f t="shared" si="6"/>
        <v>√</v>
      </c>
      <c r="AA24" s="51" t="str">
        <f t="shared" si="6"/>
        <v>√</v>
      </c>
      <c r="AB24" s="51" t="str">
        <f t="shared" si="6"/>
        <v>√</v>
      </c>
      <c r="AC24" s="51" t="str">
        <f t="shared" si="6"/>
        <v>√</v>
      </c>
      <c r="AD24" s="51" t="str">
        <f t="shared" si="6"/>
        <v>√</v>
      </c>
      <c r="AE24" s="51" t="str">
        <f t="shared" si="6"/>
        <v>√</v>
      </c>
      <c r="AF24" s="51" t="str">
        <f t="shared" si="6"/>
        <v>√</v>
      </c>
      <c r="AG24" s="51" t="str">
        <f t="shared" si="6"/>
        <v>√</v>
      </c>
      <c r="AH24" s="51" t="str">
        <f t="shared" si="6"/>
        <v>√</v>
      </c>
      <c r="AI24" s="51" t="str">
        <f t="shared" si="6"/>
        <v/>
      </c>
      <c r="AJ24" s="51" t="str">
        <f t="shared" si="6"/>
        <v/>
      </c>
      <c r="AK24" s="51" t="str">
        <f t="shared" si="6"/>
        <v/>
      </c>
      <c r="AL24" s="51" t="str">
        <f t="shared" si="6"/>
        <v/>
      </c>
      <c r="AM24" s="51" t="str">
        <f t="shared" si="6"/>
        <v/>
      </c>
      <c r="AN24" s="51" t="str">
        <f t="shared" si="6"/>
        <v/>
      </c>
    </row>
    <row r="25" ht="15" customHeight="1" spans="1:40">
      <c r="A25" s="46"/>
      <c r="B25" s="52" t="s">
        <v>27</v>
      </c>
      <c r="C25" s="48">
        <v>1.3</v>
      </c>
      <c r="D25" s="48">
        <v>0.03</v>
      </c>
      <c r="E25" s="48">
        <v>-0.03</v>
      </c>
      <c r="F25" s="49">
        <f t="shared" ref="F24:F27" si="7">C25+D25</f>
        <v>1.33</v>
      </c>
      <c r="G25" s="49">
        <f t="shared" ref="G24:G27" si="8">C25+E25</f>
        <v>1.27</v>
      </c>
      <c r="H25" s="48" t="s">
        <v>28</v>
      </c>
      <c r="I25" s="50">
        <v>1.3131</v>
      </c>
      <c r="J25" s="50">
        <v>1.2994</v>
      </c>
      <c r="K25" s="50">
        <v>1.302</v>
      </c>
      <c r="L25" s="50">
        <v>1.3163</v>
      </c>
      <c r="M25" s="50">
        <v>1.3007</v>
      </c>
      <c r="N25" s="50">
        <v>1.3227</v>
      </c>
      <c r="O25" s="50">
        <v>1.2897</v>
      </c>
      <c r="P25" s="50">
        <v>1.2986</v>
      </c>
      <c r="Q25" s="50">
        <v>1.3425</v>
      </c>
      <c r="R25" s="50">
        <v>1.333</v>
      </c>
      <c r="S25" s="50">
        <v>1.3432</v>
      </c>
      <c r="T25" s="50"/>
      <c r="U25" s="50"/>
      <c r="V25" s="50"/>
      <c r="W25" s="50"/>
      <c r="X25" s="50"/>
      <c r="Y25" s="53" t="str">
        <f t="shared" ref="Y25:AN25" si="9">IF(I25="","",IF(I25&gt;($C25+$D25),(I25-$C25-$D25),IF(I25&lt;($C25+$E25),(I25-$C25-$E25),"√")))</f>
        <v>√</v>
      </c>
      <c r="Z25" s="53" t="str">
        <f t="shared" si="9"/>
        <v>√</v>
      </c>
      <c r="AA25" s="53" t="str">
        <f t="shared" si="9"/>
        <v>√</v>
      </c>
      <c r="AB25" s="53" t="str">
        <f t="shared" si="9"/>
        <v>√</v>
      </c>
      <c r="AC25" s="53" t="str">
        <f t="shared" si="9"/>
        <v>√</v>
      </c>
      <c r="AD25" s="53" t="str">
        <f t="shared" si="9"/>
        <v>√</v>
      </c>
      <c r="AE25" s="53" t="str">
        <f t="shared" si="9"/>
        <v>√</v>
      </c>
      <c r="AF25" s="53" t="str">
        <f t="shared" si="9"/>
        <v>√</v>
      </c>
      <c r="AG25" s="53">
        <f t="shared" si="9"/>
        <v>0.0125</v>
      </c>
      <c r="AH25" s="53">
        <f t="shared" si="9"/>
        <v>0.00299999999999992</v>
      </c>
      <c r="AI25" s="53">
        <f t="shared" si="9"/>
        <v>0.0131999999999999</v>
      </c>
      <c r="AJ25" s="53" t="str">
        <f t="shared" si="9"/>
        <v/>
      </c>
      <c r="AK25" s="53" t="str">
        <f t="shared" si="9"/>
        <v/>
      </c>
      <c r="AL25" s="53" t="str">
        <f t="shared" si="9"/>
        <v/>
      </c>
      <c r="AM25" s="53" t="str">
        <f t="shared" si="9"/>
        <v/>
      </c>
      <c r="AN25" s="53" t="str">
        <f t="shared" si="9"/>
        <v/>
      </c>
    </row>
    <row r="26" ht="15" customHeight="1" spans="1:40">
      <c r="A26" s="46"/>
      <c r="B26" s="52" t="s">
        <v>29</v>
      </c>
      <c r="C26" s="48">
        <v>186.04</v>
      </c>
      <c r="D26" s="48">
        <v>1</v>
      </c>
      <c r="E26" s="48">
        <v>-1</v>
      </c>
      <c r="F26" s="49">
        <f t="shared" si="7"/>
        <v>187.04</v>
      </c>
      <c r="G26" s="49">
        <f t="shared" si="8"/>
        <v>185.04</v>
      </c>
      <c r="H26" s="48" t="s">
        <v>28</v>
      </c>
      <c r="I26" s="50">
        <v>186.5182</v>
      </c>
      <c r="J26" s="50">
        <v>186.4765</v>
      </c>
      <c r="K26" s="50">
        <v>186.3132</v>
      </c>
      <c r="L26" s="50">
        <v>186.3989</v>
      </c>
      <c r="M26" s="50">
        <v>186.3093</v>
      </c>
      <c r="N26" s="50">
        <v>186.6723</v>
      </c>
      <c r="O26" s="50">
        <v>186.2567</v>
      </c>
      <c r="P26" s="50">
        <v>186.4203</v>
      </c>
      <c r="Q26" s="50">
        <v>186.7132</v>
      </c>
      <c r="R26" s="50">
        <v>186.4685</v>
      </c>
      <c r="S26" s="50">
        <v>186.7179</v>
      </c>
      <c r="T26" s="50"/>
      <c r="U26" s="50"/>
      <c r="V26" s="50"/>
      <c r="W26" s="50"/>
      <c r="X26" s="50"/>
      <c r="Y26" s="53" t="str">
        <f t="shared" ref="Y26:AN26" si="10">IF(I26="","",IF(I26&gt;($C26+$D26),(I26-$C26-$D26),IF(I26&lt;($C26+$E26),(I26-$C26-$E26),"√")))</f>
        <v>√</v>
      </c>
      <c r="Z26" s="53" t="str">
        <f t="shared" si="10"/>
        <v>√</v>
      </c>
      <c r="AA26" s="53" t="str">
        <f t="shared" si="10"/>
        <v>√</v>
      </c>
      <c r="AB26" s="53" t="str">
        <f t="shared" si="10"/>
        <v>√</v>
      </c>
      <c r="AC26" s="53" t="str">
        <f t="shared" si="10"/>
        <v>√</v>
      </c>
      <c r="AD26" s="53" t="str">
        <f t="shared" si="10"/>
        <v>√</v>
      </c>
      <c r="AE26" s="53" t="str">
        <f t="shared" si="10"/>
        <v>√</v>
      </c>
      <c r="AF26" s="53" t="str">
        <f t="shared" si="10"/>
        <v>√</v>
      </c>
      <c r="AG26" s="53" t="str">
        <f t="shared" si="10"/>
        <v>√</v>
      </c>
      <c r="AH26" s="53" t="str">
        <f t="shared" si="10"/>
        <v>√</v>
      </c>
      <c r="AI26" s="53" t="str">
        <f t="shared" si="10"/>
        <v>√</v>
      </c>
      <c r="AJ26" s="53" t="str">
        <f t="shared" si="10"/>
        <v/>
      </c>
      <c r="AK26" s="53" t="str">
        <f t="shared" si="10"/>
        <v/>
      </c>
      <c r="AL26" s="53" t="str">
        <f t="shared" si="10"/>
        <v/>
      </c>
      <c r="AM26" s="53" t="str">
        <f t="shared" si="10"/>
        <v/>
      </c>
      <c r="AN26" s="53" t="str">
        <f t="shared" si="10"/>
        <v/>
      </c>
    </row>
    <row r="27" ht="15" customHeight="1" spans="1:40">
      <c r="A27" s="46"/>
      <c r="B27" s="52" t="s">
        <v>30</v>
      </c>
      <c r="C27" s="48">
        <v>0</v>
      </c>
      <c r="D27" s="48">
        <v>0.03</v>
      </c>
      <c r="E27" s="48">
        <v>0</v>
      </c>
      <c r="F27" s="49">
        <f t="shared" si="7"/>
        <v>0.03</v>
      </c>
      <c r="G27" s="49">
        <f t="shared" si="8"/>
        <v>0</v>
      </c>
      <c r="H27" s="48" t="s">
        <v>28</v>
      </c>
      <c r="I27" s="50">
        <v>0.016</v>
      </c>
      <c r="J27" s="50">
        <v>0.0114</v>
      </c>
      <c r="K27" s="50">
        <v>0.0181</v>
      </c>
      <c r="L27" s="50">
        <v>0.0182</v>
      </c>
      <c r="M27" s="50">
        <v>0.0155</v>
      </c>
      <c r="N27" s="50">
        <v>0.0165</v>
      </c>
      <c r="O27" s="50">
        <v>0.0071</v>
      </c>
      <c r="P27" s="50">
        <v>0.0117</v>
      </c>
      <c r="Q27" s="50">
        <v>0.0202</v>
      </c>
      <c r="R27" s="50">
        <v>0.026</v>
      </c>
      <c r="S27" s="50">
        <v>0.0204</v>
      </c>
      <c r="T27" s="50"/>
      <c r="U27" s="50"/>
      <c r="V27" s="50"/>
      <c r="W27" s="50"/>
      <c r="X27" s="50"/>
      <c r="Y27" s="53" t="str">
        <f t="shared" ref="Y27:AN27" si="11">IF(I27="","",IF(I27&gt;($C27+$D27),(I27-$C27-$D27),IF(I27&lt;($C27+$E27),(I27-$C27-$E27),"√")))</f>
        <v>√</v>
      </c>
      <c r="Z27" s="53" t="str">
        <f t="shared" si="11"/>
        <v>√</v>
      </c>
      <c r="AA27" s="53" t="str">
        <f t="shared" si="11"/>
        <v>√</v>
      </c>
      <c r="AB27" s="53" t="str">
        <f t="shared" si="11"/>
        <v>√</v>
      </c>
      <c r="AC27" s="53" t="str">
        <f t="shared" si="11"/>
        <v>√</v>
      </c>
      <c r="AD27" s="53" t="str">
        <f t="shared" si="11"/>
        <v>√</v>
      </c>
      <c r="AE27" s="53" t="str">
        <f t="shared" si="11"/>
        <v>√</v>
      </c>
      <c r="AF27" s="53" t="str">
        <f t="shared" si="11"/>
        <v>√</v>
      </c>
      <c r="AG27" s="53" t="str">
        <f t="shared" si="11"/>
        <v>√</v>
      </c>
      <c r="AH27" s="53" t="str">
        <f t="shared" si="11"/>
        <v>√</v>
      </c>
      <c r="AI27" s="53" t="str">
        <f t="shared" si="11"/>
        <v>√</v>
      </c>
      <c r="AJ27" s="53" t="str">
        <f t="shared" si="11"/>
        <v/>
      </c>
      <c r="AK27" s="53" t="str">
        <f t="shared" si="11"/>
        <v/>
      </c>
      <c r="AL27" s="53" t="str">
        <f t="shared" si="11"/>
        <v/>
      </c>
      <c r="AM27" s="53" t="str">
        <f t="shared" si="11"/>
        <v/>
      </c>
      <c r="AN27" s="53" t="str">
        <f t="shared" si="11"/>
        <v/>
      </c>
    </row>
    <row r="28" ht="15" customHeight="1" spans="1:40">
      <c r="A28" s="46"/>
      <c r="B28" s="52">
        <v>1</v>
      </c>
      <c r="C28" s="48"/>
      <c r="D28" s="48"/>
      <c r="E28" s="48"/>
      <c r="F28" s="49"/>
      <c r="G28" s="49"/>
      <c r="H28" s="48" t="s">
        <v>28</v>
      </c>
      <c r="I28" s="50">
        <v>0.008</v>
      </c>
      <c r="J28" s="50">
        <v>0.0057</v>
      </c>
      <c r="K28" s="50">
        <v>0.0091</v>
      </c>
      <c r="L28" s="50">
        <v>0.0091</v>
      </c>
      <c r="M28" s="50">
        <v>0.0077</v>
      </c>
      <c r="N28" s="50">
        <v>0.0082</v>
      </c>
      <c r="O28" s="50">
        <v>0.0035</v>
      </c>
      <c r="P28" s="50">
        <v>0.0058</v>
      </c>
      <c r="Q28" s="50">
        <v>0.0101</v>
      </c>
      <c r="R28" s="50">
        <v>0.013</v>
      </c>
      <c r="S28" s="50">
        <v>0.0102</v>
      </c>
      <c r="T28" s="50"/>
      <c r="U28" s="50"/>
      <c r="V28" s="50"/>
      <c r="W28" s="50"/>
      <c r="X28" s="50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</row>
    <row r="29" ht="15" customHeight="1" spans="1:40">
      <c r="A29" s="46"/>
      <c r="B29" s="52">
        <v>2</v>
      </c>
      <c r="C29" s="48"/>
      <c r="D29" s="48"/>
      <c r="E29" s="48"/>
      <c r="F29" s="49"/>
      <c r="G29" s="49"/>
      <c r="H29" s="48" t="s">
        <v>28</v>
      </c>
      <c r="I29" s="50">
        <v>-0.005</v>
      </c>
      <c r="J29" s="50">
        <v>-0.001</v>
      </c>
      <c r="K29" s="50">
        <v>-0.0086</v>
      </c>
      <c r="L29" s="50">
        <v>-0.0057</v>
      </c>
      <c r="M29" s="50">
        <v>-0.0076</v>
      </c>
      <c r="N29" s="50">
        <v>-0.0069</v>
      </c>
      <c r="O29" s="50">
        <v>-0.003</v>
      </c>
      <c r="P29" s="50">
        <v>-0.0032</v>
      </c>
      <c r="Q29" s="50">
        <v>-0.0066</v>
      </c>
      <c r="R29" s="50">
        <v>-0.0023</v>
      </c>
      <c r="S29" s="50">
        <v>-0.0072</v>
      </c>
      <c r="T29" s="50"/>
      <c r="U29" s="50"/>
      <c r="V29" s="50"/>
      <c r="W29" s="50"/>
      <c r="X29" s="50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</row>
    <row r="30" ht="15" customHeight="1" spans="1:40">
      <c r="A30" s="46"/>
      <c r="B30" s="52">
        <v>3</v>
      </c>
      <c r="C30" s="48"/>
      <c r="D30" s="48"/>
      <c r="E30" s="48"/>
      <c r="F30" s="49"/>
      <c r="G30" s="49"/>
      <c r="H30" s="48" t="s">
        <v>28</v>
      </c>
      <c r="I30" s="50">
        <v>-0.008</v>
      </c>
      <c r="J30" s="50">
        <v>-0.0004</v>
      </c>
      <c r="K30" s="50">
        <v>-0.0069</v>
      </c>
      <c r="L30" s="50">
        <v>-0.0085</v>
      </c>
      <c r="M30" s="50">
        <v>-0.0058</v>
      </c>
      <c r="N30" s="50">
        <v>-0.0082</v>
      </c>
      <c r="O30" s="50">
        <v>-0.0034</v>
      </c>
      <c r="P30" s="50">
        <v>-0.0058</v>
      </c>
      <c r="Q30" s="50">
        <v>-0.0101</v>
      </c>
      <c r="R30" s="50">
        <v>-0.0071</v>
      </c>
      <c r="S30" s="50">
        <v>-0.0102</v>
      </c>
      <c r="T30" s="50"/>
      <c r="U30" s="50"/>
      <c r="V30" s="50"/>
      <c r="W30" s="50"/>
      <c r="X30" s="50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</row>
    <row r="31" ht="15" customHeight="1" spans="1:40">
      <c r="A31" s="46"/>
      <c r="B31" s="52">
        <v>4</v>
      </c>
      <c r="C31" s="48"/>
      <c r="D31" s="48"/>
      <c r="E31" s="48"/>
      <c r="F31" s="49"/>
      <c r="G31" s="49"/>
      <c r="H31" s="48" t="s">
        <v>28</v>
      </c>
      <c r="I31" s="50">
        <v>-0.0068</v>
      </c>
      <c r="J31" s="50">
        <v>-0.0057</v>
      </c>
      <c r="K31" s="50">
        <v>-0.0091</v>
      </c>
      <c r="L31" s="50">
        <v>-0.0091</v>
      </c>
      <c r="M31" s="50">
        <v>-0.0077</v>
      </c>
      <c r="N31" s="50">
        <v>-0.007</v>
      </c>
      <c r="O31" s="50">
        <v>-0.0035</v>
      </c>
      <c r="P31" s="50">
        <v>-0.0057</v>
      </c>
      <c r="Q31" s="50">
        <v>-0.008</v>
      </c>
      <c r="R31" s="50">
        <v>-0.013</v>
      </c>
      <c r="S31" s="50">
        <v>-0.0083</v>
      </c>
      <c r="T31" s="50"/>
      <c r="U31" s="50"/>
      <c r="V31" s="50"/>
      <c r="W31" s="50"/>
      <c r="X31" s="50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</row>
    <row r="32" spans="1:40">
      <c r="A32" s="54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6"/>
      <c r="AK32" s="57"/>
      <c r="AL32" s="58"/>
      <c r="AM32" s="59"/>
      <c r="AN32" s="60"/>
    </row>
  </sheetData>
  <mergeCells count="61">
    <mergeCell ref="A1:AN1"/>
    <mergeCell ref="R2:W2"/>
    <mergeCell ref="X2:AC2"/>
    <mergeCell ref="AD2:AH2"/>
    <mergeCell ref="AI2:AL2"/>
    <mergeCell ref="AM2:AN2"/>
    <mergeCell ref="R3:W3"/>
    <mergeCell ref="X3:AC3"/>
    <mergeCell ref="AD3:AH3"/>
    <mergeCell ref="AI3:AL3"/>
    <mergeCell ref="AM3:AN3"/>
    <mergeCell ref="I4:X4"/>
    <mergeCell ref="Y4:AN4"/>
    <mergeCell ref="I5:X5"/>
    <mergeCell ref="Y5:AN5"/>
    <mergeCell ref="A15:AJ15"/>
    <mergeCell ref="AK15:AL15"/>
    <mergeCell ref="AM15:AN15"/>
    <mergeCell ref="R19:W19"/>
    <mergeCell ref="X19:AC19"/>
    <mergeCell ref="AD19:AH19"/>
    <mergeCell ref="AI19:AL19"/>
    <mergeCell ref="AM19:AN19"/>
    <mergeCell ref="R20:W20"/>
    <mergeCell ref="X20:AC20"/>
    <mergeCell ref="AD20:AH20"/>
    <mergeCell ref="AI20:AL20"/>
    <mergeCell ref="AM20:AN20"/>
    <mergeCell ref="I21:X21"/>
    <mergeCell ref="Y21:AN21"/>
    <mergeCell ref="I22:X22"/>
    <mergeCell ref="Y22:AN22"/>
    <mergeCell ref="A32:AJ32"/>
    <mergeCell ref="AK32:AL32"/>
    <mergeCell ref="AM32:AN32"/>
    <mergeCell ref="A2:A3"/>
    <mergeCell ref="A4:A6"/>
    <mergeCell ref="A7:A14"/>
    <mergeCell ref="A19:A20"/>
    <mergeCell ref="A21:A23"/>
    <mergeCell ref="A24:A31"/>
    <mergeCell ref="B4:B6"/>
    <mergeCell ref="B21:B23"/>
    <mergeCell ref="C4:C6"/>
    <mergeCell ref="C21:C23"/>
    <mergeCell ref="D4:D6"/>
    <mergeCell ref="D21:D23"/>
    <mergeCell ref="E4:E6"/>
    <mergeCell ref="E21:E23"/>
    <mergeCell ref="F4:F6"/>
    <mergeCell ref="F21:F23"/>
    <mergeCell ref="G4:G6"/>
    <mergeCell ref="G21:G23"/>
    <mergeCell ref="H4:H6"/>
    <mergeCell ref="H21:H23"/>
    <mergeCell ref="G2:J3"/>
    <mergeCell ref="K2:Q3"/>
    <mergeCell ref="B2:F3"/>
    <mergeCell ref="B19:F20"/>
    <mergeCell ref="G19:J20"/>
    <mergeCell ref="K19:Q20"/>
  </mergeCells>
  <conditionalFormatting sqref="I7:X7">
    <cfRule type="cellIs" dxfId="0" priority="15" operator="notBetween">
      <formula>$F7</formula>
      <formula>$G7</formula>
    </cfRule>
  </conditionalFormatting>
  <conditionalFormatting sqref="J8:X8">
    <cfRule type="cellIs" dxfId="0" priority="10" operator="notBetween">
      <formula>$F8</formula>
      <formula>$G8</formula>
    </cfRule>
  </conditionalFormatting>
  <conditionalFormatting sqref="I9">
    <cfRule type="cellIs" dxfId="0" priority="8" operator="notBetween">
      <formula>$F9</formula>
      <formula>$G9</formula>
    </cfRule>
  </conditionalFormatting>
  <conditionalFormatting sqref="J9:X9">
    <cfRule type="cellIs" dxfId="0" priority="7" operator="notBetween">
      <formula>$F9</formula>
      <formula>$G9</formula>
    </cfRule>
  </conditionalFormatting>
  <conditionalFormatting sqref="J10:X10">
    <cfRule type="cellIs" dxfId="0" priority="12" operator="notBetween">
      <formula>$F10</formula>
      <formula>$G10</formula>
    </cfRule>
  </conditionalFormatting>
  <conditionalFormatting sqref="I24:X24">
    <cfRule type="cellIs" dxfId="0" priority="6" operator="notBetween">
      <formula>$F24</formula>
      <formula>$G24</formula>
    </cfRule>
  </conditionalFormatting>
  <conditionalFormatting sqref="J25:X25">
    <cfRule type="cellIs" dxfId="0" priority="3" operator="notBetween">
      <formula>$F25</formula>
      <formula>$G25</formula>
    </cfRule>
  </conditionalFormatting>
  <conditionalFormatting sqref="I26">
    <cfRule type="cellIs" dxfId="0" priority="2" operator="notBetween">
      <formula>$F26</formula>
      <formula>$G26</formula>
    </cfRule>
  </conditionalFormatting>
  <conditionalFormatting sqref="J26:X26">
    <cfRule type="cellIs" dxfId="0" priority="1" operator="notBetween">
      <formula>$F26</formula>
      <formula>$G26</formula>
    </cfRule>
  </conditionalFormatting>
  <conditionalFormatting sqref="J27:X27">
    <cfRule type="cellIs" dxfId="0" priority="4" operator="notBetween">
      <formula>$F27</formula>
      <formula>$G27</formula>
    </cfRule>
  </conditionalFormatting>
  <conditionalFormatting sqref="I8 I10">
    <cfRule type="cellIs" dxfId="0" priority="13" operator="notBetween">
      <formula>$F8</formula>
      <formula>$G8</formula>
    </cfRule>
  </conditionalFormatting>
  <conditionalFormatting sqref="I25 I27">
    <cfRule type="cellIs" dxfId="0" priority="5" operator="notBetween">
      <formula>$F25</formula>
      <formula>$G25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613-41427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2026-07-02T20:40:33Z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