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1-10" sheetId="8" r:id="rId1"/>
    <sheet name="11-20" sheetId="9" r:id="rId2"/>
  </sheets>
  <definedNames>
    <definedName name="_xlnm.Print_Area" localSheetId="0">'1-10'!$B$1:$AD$6</definedName>
    <definedName name="_xlnm.Print_Titles" localSheetId="0">'1-10'!$1:$6</definedName>
    <definedName name="_xlnm.Print_Area" localSheetId="1">'11-20'!$B$1:$AD$6</definedName>
    <definedName name="_xlnm.Print_Titles" localSheetId="1">'11-20'!$1:$6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<sst xmlns="http://schemas.openxmlformats.org/spreadsheetml/2006/main" count="354" uniqueCount="69">
  <si>
    <t>安徽中耀智能科技有限公司首件尺寸报告</t>
  </si>
  <si>
    <t>料号</t>
  </si>
  <si>
    <t>613-41426</t>
  </si>
  <si>
    <t>工单号</t>
  </si>
  <si>
    <t>工站</t>
  </si>
  <si>
    <t>炉号</t>
  </si>
  <si>
    <t>测量机台号</t>
  </si>
  <si>
    <t>测量人员</t>
  </si>
  <si>
    <t>审核</t>
  </si>
  <si>
    <t>焊接</t>
  </si>
  <si>
    <t>CMM6#/OMM5#</t>
  </si>
  <si>
    <t>张元庆/禹欣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</si>
  <si>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</si>
  <si>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</si>
  <si>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</si>
  <si>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</si>
  <si>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</si>
  <si>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</si>
  <si>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</si>
  <si>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</si>
  <si>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</si>
  <si>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</si>
  <si>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</si>
  <si>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</si>
  <si>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</si>
  <si>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复测10</t>
  </si>
  <si>
    <t>FAI 14</t>
  </si>
  <si>
    <t>OMM</t>
  </si>
  <si>
    <t>FAI 6</t>
  </si>
  <si>
    <t>CMM</t>
  </si>
  <si>
    <t>FAI 12</t>
  </si>
  <si>
    <t>FAI 11.1</t>
  </si>
  <si>
    <t>FAI 11.2</t>
  </si>
  <si>
    <t>PL1_FLATNESS</t>
  </si>
  <si>
    <t>FAI-平面度</t>
  </si>
  <si>
    <t>ML_1</t>
  </si>
  <si>
    <t>ML_2</t>
  </si>
  <si>
    <t>ML_3</t>
  </si>
  <si>
    <t>ML_4</t>
  </si>
  <si>
    <t>ML_5</t>
  </si>
  <si>
    <t>ML_6</t>
  </si>
  <si>
    <t>ML_7</t>
  </si>
  <si>
    <t>ML_8</t>
  </si>
  <si>
    <t>ML_9</t>
  </si>
  <si>
    <t>ML_10</t>
  </si>
  <si>
    <t>ML_11</t>
  </si>
  <si>
    <t>ML_12</t>
  </si>
  <si>
    <t>ML_13</t>
  </si>
  <si>
    <t>ML_14</t>
  </si>
  <si>
    <t>ML_15</t>
  </si>
  <si>
    <t>ML_16</t>
  </si>
  <si>
    <t>ML_17</t>
  </si>
  <si>
    <t>ML_18</t>
  </si>
  <si>
    <t>ML_19</t>
  </si>
  <si>
    <t>ML_20</t>
  </si>
  <si>
    <t>ML_21</t>
  </si>
  <si>
    <t>ML_22</t>
  </si>
  <si>
    <t>ML_23</t>
  </si>
  <si>
    <t>ML_24</t>
  </si>
  <si>
    <t>FAI_9</t>
  </si>
  <si>
    <t>左翅</t>
  </si>
  <si>
    <t>右翅</t>
  </si>
  <si>
    <t>双翅</t>
  </si>
  <si>
    <r>
      <rPr>
        <sz val="10"/>
        <color theme="1"/>
        <rFont val="Arial"/>
        <charset val="134"/>
      </rPr>
      <t>FAI_9-</t>
    </r>
    <r>
      <rPr>
        <sz val="10"/>
        <color theme="1"/>
        <rFont val="宋体"/>
        <charset val="134"/>
      </rPr>
      <t>左翅</t>
    </r>
  </si>
  <si>
    <r>
      <rPr>
        <sz val="10"/>
        <color theme="1"/>
        <rFont val="Arial"/>
        <charset val="134"/>
      </rPr>
      <t>FAI_9-</t>
    </r>
    <r>
      <rPr>
        <sz val="10"/>
        <color theme="1"/>
        <rFont val="宋体"/>
        <charset val="134"/>
      </rPr>
      <t>右翅</t>
    </r>
  </si>
  <si>
    <r>
      <rPr>
        <sz val="10"/>
        <color theme="1"/>
        <rFont val="宋体"/>
        <charset val="134"/>
      </rPr>
      <t>FAI_9-</t>
    </r>
    <r>
      <rPr>
        <sz val="10"/>
        <color theme="1"/>
        <rFont val="宋体"/>
        <charset val="134"/>
      </rPr>
      <t>双翅</t>
    </r>
  </si>
  <si>
    <t>蒋金潘/禹欣</t>
  </si>
  <si>
    <t>陈跃进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</si>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</sst>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11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4" borderId="1" xfId="60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2" fillId="5" borderId="1" xfId="60" applyFont="1" applyFill="1" applyBorder="1" applyAlignment="1">
      <alignment horizontal="center" vertical="center"/>
    </xf>
    <xf numFmtId="0" fontId="12" fillId="6" borderId="1" xfId="60" applyFont="1" applyFill="1" applyBorder="1" applyAlignment="1">
      <alignment horizontal="center" vertical="center"/>
    </xf>
    <xf numFmtId="0" fontId="10" fillId="7" borderId="7" xfId="53" applyFont="1" applyFill="1" applyBorder="1" applyAlignment="1">
      <alignment horizontal="center" vertical="center"/>
    </xf>
    <xf numFmtId="0" fontId="11" fillId="7" borderId="1" xfId="59" applyFont="1" applyFill="1" applyBorder="1" applyAlignment="1">
      <alignment horizontal="center" vertical="center"/>
    </xf>
    <xf numFmtId="0" fontId="13" fillId="0" borderId="7" xfId="53" applyFont="1" applyBorder="1" applyAlignment="1">
      <alignment horizontal="center" vertical="center"/>
    </xf>
    <xf numFmtId="0" fontId="13" fillId="7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7"/>
  <sheetViews>
    <sheetView topLeftCell="F1" workbookViewId="0">
      <selection activeCell="AI3" sqref="AI3:AL3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/>
      <c r="L2" s="9"/>
      <c r="M2" s="9"/>
      <c r="N2" s="9"/>
      <c r="O2" s="9"/>
      <c r="P2" s="9"/>
      <c r="Q2" s="9"/>
      <c r="R2" s="10" t="s">
        <v>4</v>
      </c>
      <c r="S2" s="11"/>
      <c r="T2" s="11"/>
      <c r="U2" s="11"/>
      <c r="V2" s="11"/>
      <c r="W2" s="12"/>
      <c r="X2" s="13" t="s">
        <v>5</v>
      </c>
      <c r="Y2" s="14"/>
      <c r="Z2" s="14"/>
      <c r="AA2" s="14"/>
      <c r="AB2" s="14"/>
      <c r="AC2" s="15"/>
      <c r="AD2" s="13" t="s">
        <v>6</v>
      </c>
      <c r="AE2" s="14"/>
      <c r="AF2" s="14"/>
      <c r="AG2" s="14"/>
      <c r="AH2" s="15"/>
      <c r="AI2" s="16" t="s">
        <v>7</v>
      </c>
      <c r="AJ2" s="17"/>
      <c r="AK2" s="17"/>
      <c r="AL2" s="18"/>
      <c r="AM2" s="16" t="s">
        <v>8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9</v>
      </c>
      <c r="S3" s="26"/>
      <c r="T3" s="26"/>
      <c r="U3" s="26"/>
      <c r="V3" s="26"/>
      <c r="W3" s="27"/>
      <c r="X3" s="13"/>
      <c r="Y3" s="14"/>
      <c r="Z3" s="14"/>
      <c r="AA3" s="14"/>
      <c r="AB3" s="14"/>
      <c r="AC3" s="15"/>
      <c r="AD3" s="28" t="s">
        <v>10</v>
      </c>
      <c r="AE3" s="29"/>
      <c r="AF3" s="29"/>
      <c r="AG3" s="29"/>
      <c r="AH3" s="30"/>
      <c r="AI3" s="28" t="s">
        <v>11</v>
      </c>
      <c r="AJ3" s="29"/>
      <c r="AK3" s="29"/>
      <c r="AL3" s="30"/>
      <c r="AM3" s="28" t="s">
        <v>12</v>
      </c>
      <c r="AN3" s="30"/>
    </row>
    <row r="4" customHeight="1" spans="1:40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4" t="s">
        <v>18</v>
      </c>
      <c r="G4" s="34" t="s">
        <v>19</v>
      </c>
      <c r="H4" s="35" t="s">
        <v>20</v>
      </c>
      <c r="I4" s="36" t="s">
        <v>21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22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23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24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4" t="s">
        <v>25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 t="str">
        <f t="shared" si="0"/>
        <v>复测10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46204</v>
      </c>
      <c r="B7" s="47" t="s">
        <v>26</v>
      </c>
      <c r="C7" s="48">
        <v>0.5</v>
      </c>
      <c r="D7" s="48">
        <v>0.03</v>
      </c>
      <c r="E7" s="48">
        <v>-0.03</v>
      </c>
      <c r="F7" s="49">
        <f>C7+D7</f>
        <v>0.53</v>
      </c>
      <c r="G7" s="49">
        <f>C7+E7</f>
        <v>0.47</v>
      </c>
      <c r="H7" s="48" t="s">
        <v>27</v>
      </c>
      <c r="I7" s="50">
        <v>0.4958</v>
      </c>
      <c r="J7" s="50">
        <v>0.4952</v>
      </c>
      <c r="K7" s="50">
        <v>0.4985</v>
      </c>
      <c r="L7" s="50">
        <v>0.4991</v>
      </c>
      <c r="M7" s="50">
        <v>0.5004</v>
      </c>
      <c r="N7" s="50">
        <v>0.4917</v>
      </c>
      <c r="O7" s="50">
        <v>0.4917</v>
      </c>
      <c r="P7" s="50">
        <v>0.4963</v>
      </c>
      <c r="Q7" s="50">
        <v>0.4952</v>
      </c>
      <c r="R7" s="50">
        <v>0.5058</v>
      </c>
      <c r="S7" s="50"/>
      <c r="T7" s="50"/>
      <c r="U7" s="50"/>
      <c r="V7" s="50"/>
      <c r="W7" s="50"/>
      <c r="X7" s="50"/>
      <c r="Y7" s="51" t="str">
        <f t="shared" ref="Y7:AN7" si="1">IF(I7="","",IF(I7&gt;($C7+$D7),(I7-$C7-$D7),IF(I7&lt;($C7+$E7),(I7-$C7-$E7),"√")))</f>
        <v>√</v>
      </c>
      <c r="Z7" s="51" t="str">
        <f t="shared" si="1"/>
        <v>√</v>
      </c>
      <c r="AA7" s="51" t="str">
        <f t="shared" si="1"/>
        <v>√</v>
      </c>
      <c r="AB7" s="51" t="str">
        <f t="shared" si="1"/>
        <v>√</v>
      </c>
      <c r="AC7" s="51" t="str">
        <f t="shared" si="1"/>
        <v>√</v>
      </c>
      <c r="AD7" s="51" t="str">
        <f t="shared" si="1"/>
        <v>√</v>
      </c>
      <c r="AE7" s="51" t="str">
        <f t="shared" si="1"/>
        <v>√</v>
      </c>
      <c r="AF7" s="51" t="str">
        <f t="shared" si="1"/>
        <v>√</v>
      </c>
      <c r="AG7" s="51" t="str">
        <f t="shared" si="1"/>
        <v>√</v>
      </c>
      <c r="AH7" s="51" t="str">
        <f t="shared" si="1"/>
        <v>√</v>
      </c>
      <c r="AI7" s="51" t="str">
        <f t="shared" si="1"/>
        <v/>
      </c>
      <c r="AJ7" s="51" t="str">
        <f t="shared" si="1"/>
        <v/>
      </c>
      <c r="AK7" s="51" t="str">
        <f t="shared" si="1"/>
        <v/>
      </c>
      <c r="AL7" s="51" t="str">
        <f t="shared" si="1"/>
        <v/>
      </c>
      <c r="AM7" s="51" t="str">
        <f t="shared" si="1"/>
        <v/>
      </c>
      <c r="AN7" s="51" t="str">
        <f t="shared" si="1"/>
        <v/>
      </c>
    </row>
    <row r="8" ht="15" customHeight="1" spans="1:40">
      <c r="A8" s="46"/>
      <c r="B8" s="47" t="s">
        <v>28</v>
      </c>
      <c r="C8" s="48">
        <v>1.3</v>
      </c>
      <c r="D8" s="48">
        <v>0.03</v>
      </c>
      <c r="E8" s="48">
        <v>-0.03</v>
      </c>
      <c r="F8" s="49">
        <f>C8+D8</f>
        <v>1.33</v>
      </c>
      <c r="G8" s="49">
        <f>C8+E8</f>
        <v>1.27</v>
      </c>
      <c r="H8" s="48" t="s">
        <v>29</v>
      </c>
      <c r="I8" s="50">
        <v>1.3036</v>
      </c>
      <c r="J8" s="50">
        <v>1.2843</v>
      </c>
      <c r="K8" s="50">
        <v>1.2833</v>
      </c>
      <c r="L8" s="50">
        <v>1.2803</v>
      </c>
      <c r="M8" s="50">
        <v>1.306</v>
      </c>
      <c r="N8" s="50">
        <v>1.2873</v>
      </c>
      <c r="O8" s="50">
        <v>1.2866</v>
      </c>
      <c r="P8" s="50">
        <v>1.293</v>
      </c>
      <c r="Q8" s="50">
        <v>1.2939</v>
      </c>
      <c r="R8" s="50">
        <v>1.2887</v>
      </c>
      <c r="S8" s="50">
        <v>1.289</v>
      </c>
      <c r="T8" s="50"/>
      <c r="U8" s="50"/>
      <c r="V8" s="50"/>
      <c r="W8" s="50"/>
      <c r="X8" s="50"/>
      <c r="Y8" s="51" t="str">
        <f t="shared" ref="Y8:AN8" si="2">IF(I8="","",IF(I8&gt;($C8+$D8),(I8-$C8-$D8),IF(I8&lt;($C8+$E8),(I8-$C8-$E8),"√")))</f>
        <v>√</v>
      </c>
      <c r="Z8" s="51" t="str">
        <f t="shared" si="2"/>
        <v>√</v>
      </c>
      <c r="AA8" s="51" t="str">
        <f t="shared" si="2"/>
        <v>√</v>
      </c>
      <c r="AB8" s="51" t="str">
        <f t="shared" si="2"/>
        <v>√</v>
      </c>
      <c r="AC8" s="51" t="str">
        <f t="shared" si="2"/>
        <v>√</v>
      </c>
      <c r="AD8" s="51" t="str">
        <f t="shared" si="2"/>
        <v>√</v>
      </c>
      <c r="AE8" s="51" t="str">
        <f t="shared" si="2"/>
        <v>√</v>
      </c>
      <c r="AF8" s="51" t="str">
        <f t="shared" si="2"/>
        <v>√</v>
      </c>
      <c r="AG8" s="51" t="str">
        <f t="shared" si="2"/>
        <v>√</v>
      </c>
      <c r="AH8" s="51" t="str">
        <f t="shared" si="2"/>
        <v>√</v>
      </c>
      <c r="AI8" s="51" t="str">
        <f t="shared" si="2"/>
        <v>√</v>
      </c>
      <c r="AJ8" s="51" t="str">
        <f t="shared" si="2"/>
        <v/>
      </c>
      <c r="AK8" s="51" t="str">
        <f t="shared" si="2"/>
        <v/>
      </c>
      <c r="AL8" s="51" t="str">
        <f t="shared" si="2"/>
        <v/>
      </c>
      <c r="AM8" s="51" t="str">
        <f t="shared" si="2"/>
        <v/>
      </c>
      <c r="AN8" s="51" t="str">
        <f t="shared" si="2"/>
        <v/>
      </c>
    </row>
    <row r="9" ht="15" customHeight="1" spans="1:40">
      <c r="A9" s="46"/>
      <c r="B9" s="47" t="s">
        <v>30</v>
      </c>
      <c r="C9" s="48">
        <v>186.04</v>
      </c>
      <c r="D9" s="48">
        <v>1</v>
      </c>
      <c r="E9" s="48">
        <v>-1</v>
      </c>
      <c r="F9" s="49">
        <f>C9+D9</f>
        <v>187.04</v>
      </c>
      <c r="G9" s="49">
        <f>C9+E9</f>
        <v>185.04</v>
      </c>
      <c r="H9" s="48" t="s">
        <v>29</v>
      </c>
      <c r="I9" s="50">
        <v>186.4302</v>
      </c>
      <c r="J9" s="50">
        <v>185.8681</v>
      </c>
      <c r="K9" s="50">
        <v>186.2359</v>
      </c>
      <c r="L9" s="50">
        <v>186.2883</v>
      </c>
      <c r="M9" s="50">
        <v>186.546</v>
      </c>
      <c r="N9" s="50">
        <v>186.2266</v>
      </c>
      <c r="O9" s="50">
        <v>186.3131</v>
      </c>
      <c r="P9" s="50">
        <v>186.3142</v>
      </c>
      <c r="Q9" s="50">
        <v>186.3756</v>
      </c>
      <c r="R9" s="50">
        <v>186.2316</v>
      </c>
      <c r="S9" s="50">
        <v>186.2349</v>
      </c>
      <c r="T9" s="50"/>
      <c r="U9" s="50"/>
      <c r="V9" s="50"/>
      <c r="W9" s="50"/>
      <c r="X9" s="50"/>
      <c r="Y9" s="51" t="str">
        <f t="shared" ref="Y9:AN9" si="3">IF(I9="","",IF(I9&gt;($C9+$D9),(I9-$C9-$D9),IF(I9&lt;($C9+$E9),(I9-$C9-$E9),"√")))</f>
        <v>√</v>
      </c>
      <c r="Z9" s="51" t="str">
        <f t="shared" si="3"/>
        <v>√</v>
      </c>
      <c r="AA9" s="51" t="str">
        <f t="shared" si="3"/>
        <v>√</v>
      </c>
      <c r="AB9" s="51" t="str">
        <f t="shared" si="3"/>
        <v>√</v>
      </c>
      <c r="AC9" s="51" t="str">
        <f t="shared" si="3"/>
        <v>√</v>
      </c>
      <c r="AD9" s="51" t="str">
        <f t="shared" si="3"/>
        <v>√</v>
      </c>
      <c r="AE9" s="51" t="str">
        <f t="shared" si="3"/>
        <v>√</v>
      </c>
      <c r="AF9" s="51" t="str">
        <f t="shared" si="3"/>
        <v>√</v>
      </c>
      <c r="AG9" s="51" t="str">
        <f t="shared" si="3"/>
        <v>√</v>
      </c>
      <c r="AH9" s="51" t="str">
        <f t="shared" si="3"/>
        <v>√</v>
      </c>
      <c r="AI9" s="51" t="str">
        <f t="shared" si="3"/>
        <v>√</v>
      </c>
      <c r="AJ9" s="51" t="str">
        <f t="shared" si="3"/>
        <v/>
      </c>
      <c r="AK9" s="51" t="str">
        <f t="shared" si="3"/>
        <v/>
      </c>
      <c r="AL9" s="51" t="str">
        <f t="shared" si="3"/>
        <v/>
      </c>
      <c r="AM9" s="51" t="str">
        <f t="shared" si="3"/>
        <v/>
      </c>
      <c r="AN9" s="51" t="str">
        <f t="shared" si="3"/>
        <v/>
      </c>
    </row>
    <row r="10" ht="15" customHeight="1" spans="1:40">
      <c r="A10" s="46"/>
      <c r="B10" s="47" t="s">
        <v>31</v>
      </c>
      <c r="C10" s="48">
        <v>0</v>
      </c>
      <c r="D10" s="48">
        <v>0.03</v>
      </c>
      <c r="E10" s="48">
        <v>0</v>
      </c>
      <c r="F10" s="49">
        <f>C10+D10</f>
        <v>0.03</v>
      </c>
      <c r="G10" s="49">
        <f>C10+E10</f>
        <v>0</v>
      </c>
      <c r="H10" s="48" t="s">
        <v>29</v>
      </c>
      <c r="I10" s="50">
        <v>0.0034</v>
      </c>
      <c r="J10" s="50">
        <v>0.0135</v>
      </c>
      <c r="K10" s="50">
        <v>0.0046</v>
      </c>
      <c r="L10" s="50">
        <v>0.007</v>
      </c>
      <c r="M10" s="50">
        <v>0.0059</v>
      </c>
      <c r="N10" s="50">
        <v>0.0038</v>
      </c>
      <c r="O10" s="50">
        <v>0.0016</v>
      </c>
      <c r="P10" s="50">
        <v>0.0041</v>
      </c>
      <c r="Q10" s="50">
        <v>0.0042</v>
      </c>
      <c r="R10" s="50">
        <v>0.0049</v>
      </c>
      <c r="S10" s="50">
        <v>0.005</v>
      </c>
      <c r="T10" s="50"/>
      <c r="U10" s="50"/>
      <c r="V10" s="50"/>
      <c r="W10" s="50"/>
      <c r="X10" s="50"/>
      <c r="Y10" s="51" t="str">
        <f t="shared" ref="Y10:AN10" si="4">IF(I10="","",IF(I10&gt;($C10+$D10),(I10-$C10-$D10),IF(I10&lt;($C10+$E10),(I10-$C10-$E10),"√")))</f>
        <v>√</v>
      </c>
      <c r="Z10" s="51" t="str">
        <f t="shared" si="4"/>
        <v>√</v>
      </c>
      <c r="AA10" s="51" t="str">
        <f t="shared" si="4"/>
        <v>√</v>
      </c>
      <c r="AB10" s="51" t="str">
        <f t="shared" si="4"/>
        <v>√</v>
      </c>
      <c r="AC10" s="51" t="str">
        <f t="shared" si="4"/>
        <v>√</v>
      </c>
      <c r="AD10" s="51" t="str">
        <f t="shared" si="4"/>
        <v>√</v>
      </c>
      <c r="AE10" s="51" t="str">
        <f t="shared" si="4"/>
        <v>√</v>
      </c>
      <c r="AF10" s="51" t="str">
        <f t="shared" si="4"/>
        <v>√</v>
      </c>
      <c r="AG10" s="51" t="str">
        <f t="shared" si="4"/>
        <v>√</v>
      </c>
      <c r="AH10" s="51" t="str">
        <f t="shared" si="4"/>
        <v>√</v>
      </c>
      <c r="AI10" s="51" t="str">
        <f t="shared" si="4"/>
        <v>√</v>
      </c>
      <c r="AJ10" s="51" t="str">
        <f t="shared" si="4"/>
        <v/>
      </c>
      <c r="AK10" s="51" t="str">
        <f t="shared" si="4"/>
        <v/>
      </c>
      <c r="AL10" s="51" t="str">
        <f t="shared" si="4"/>
        <v/>
      </c>
      <c r="AM10" s="51" t="str">
        <f t="shared" si="4"/>
        <v/>
      </c>
      <c r="AN10" s="51" t="str">
        <f t="shared" si="4"/>
        <v/>
      </c>
    </row>
    <row r="11" ht="15" customHeight="1" spans="1:40">
      <c r="A11" s="46"/>
      <c r="B11" s="47">
        <v>1</v>
      </c>
      <c r="C11" s="48"/>
      <c r="D11" s="48"/>
      <c r="E11" s="48"/>
      <c r="F11" s="49"/>
      <c r="G11" s="49"/>
      <c r="H11" s="48" t="s">
        <v>29</v>
      </c>
      <c r="I11" s="50">
        <v>0.0017</v>
      </c>
      <c r="J11" s="50">
        <v>-0.0068</v>
      </c>
      <c r="K11" s="50">
        <v>0.0023</v>
      </c>
      <c r="L11" s="50">
        <v>0.0001</v>
      </c>
      <c r="M11" s="50">
        <v>-0.0026</v>
      </c>
      <c r="N11" s="50">
        <v>0.0019</v>
      </c>
      <c r="O11" s="50">
        <v>-0.0008</v>
      </c>
      <c r="P11" s="50">
        <v>0.0021</v>
      </c>
      <c r="Q11" s="50">
        <v>0.0021</v>
      </c>
      <c r="R11" s="50">
        <v>-0.0025</v>
      </c>
      <c r="S11" s="50">
        <v>-0.0025</v>
      </c>
      <c r="T11" s="50"/>
      <c r="U11" s="50"/>
      <c r="V11" s="50"/>
      <c r="W11" s="50"/>
      <c r="X11" s="50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</row>
    <row r="12" ht="15" customHeight="1" spans="1:40">
      <c r="A12" s="46"/>
      <c r="B12" s="47">
        <v>2</v>
      </c>
      <c r="C12" s="48"/>
      <c r="D12" s="48"/>
      <c r="E12" s="48"/>
      <c r="F12" s="49"/>
      <c r="G12" s="49"/>
      <c r="H12" s="48" t="s">
        <v>29</v>
      </c>
      <c r="I12" s="50">
        <v>-0.0017</v>
      </c>
      <c r="J12" s="50">
        <v>-0.0003</v>
      </c>
      <c r="K12" s="50">
        <v>-0.0023</v>
      </c>
      <c r="L12" s="50">
        <v>-0.0035</v>
      </c>
      <c r="M12" s="50">
        <v>-0.0029</v>
      </c>
      <c r="N12" s="50">
        <v>-0.0019</v>
      </c>
      <c r="O12" s="50">
        <v>0.0008</v>
      </c>
      <c r="P12" s="50">
        <v>-0.0021</v>
      </c>
      <c r="Q12" s="50">
        <v>-0.0021</v>
      </c>
      <c r="R12" s="50">
        <v>0.0025</v>
      </c>
      <c r="S12" s="50">
        <v>0.0025</v>
      </c>
      <c r="T12" s="50"/>
      <c r="U12" s="50"/>
      <c r="V12" s="50"/>
      <c r="W12" s="50"/>
      <c r="X12" s="50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</row>
    <row r="13" ht="15" customHeight="1" spans="1:40">
      <c r="A13" s="46"/>
      <c r="B13" s="47">
        <v>3</v>
      </c>
      <c r="C13" s="48"/>
      <c r="D13" s="48"/>
      <c r="E13" s="48"/>
      <c r="F13" s="49"/>
      <c r="G13" s="49"/>
      <c r="H13" s="48" t="s">
        <v>29</v>
      </c>
      <c r="I13" s="50">
        <v>0.0005</v>
      </c>
      <c r="J13" s="50">
        <v>0.0068</v>
      </c>
      <c r="K13" s="50">
        <v>-0.0005</v>
      </c>
      <c r="L13" s="50">
        <v>0.0035</v>
      </c>
      <c r="M13" s="50">
        <v>0.0029</v>
      </c>
      <c r="N13" s="50">
        <v>-0.0005</v>
      </c>
      <c r="O13" s="50">
        <v>-0.0008</v>
      </c>
      <c r="P13" s="50">
        <v>0.0021</v>
      </c>
      <c r="Q13" s="50">
        <v>-0.0003</v>
      </c>
      <c r="R13" s="50">
        <v>-0.0011</v>
      </c>
      <c r="S13" s="50">
        <v>-0.0012</v>
      </c>
      <c r="T13" s="50"/>
      <c r="U13" s="50"/>
      <c r="V13" s="50"/>
      <c r="W13" s="50"/>
      <c r="X13" s="50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</row>
    <row r="14" ht="15" customHeight="1" spans="1:40">
      <c r="A14" s="46"/>
      <c r="B14" s="47">
        <v>4</v>
      </c>
      <c r="C14" s="48"/>
      <c r="D14" s="48"/>
      <c r="E14" s="48"/>
      <c r="F14" s="49"/>
      <c r="G14" s="49"/>
      <c r="H14" s="48" t="s">
        <v>29</v>
      </c>
      <c r="I14" s="50">
        <v>0.0017</v>
      </c>
      <c r="J14" s="50">
        <v>-0.0068</v>
      </c>
      <c r="K14" s="50">
        <v>0.0023</v>
      </c>
      <c r="L14" s="50">
        <v>-0.0035</v>
      </c>
      <c r="M14" s="50">
        <v>-0.0029</v>
      </c>
      <c r="N14" s="50">
        <v>0.0019</v>
      </c>
      <c r="O14" s="50">
        <v>-0.0006</v>
      </c>
      <c r="P14" s="50">
        <v>-0.0008</v>
      </c>
      <c r="Q14" s="50">
        <v>0.0021</v>
      </c>
      <c r="R14" s="50">
        <v>-0.0025</v>
      </c>
      <c r="S14" s="50">
        <v>-0.0025</v>
      </c>
      <c r="T14" s="50"/>
      <c r="U14" s="50"/>
      <c r="V14" s="50"/>
      <c r="W14" s="50"/>
      <c r="X14" s="50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</row>
    <row r="15" ht="15" customHeight="1" spans="1:40">
      <c r="A15" s="46"/>
      <c r="B15" s="47" t="s">
        <v>32</v>
      </c>
      <c r="C15" s="48">
        <v>0</v>
      </c>
      <c r="D15" s="48">
        <v>0.03</v>
      </c>
      <c r="E15" s="48">
        <v>0</v>
      </c>
      <c r="F15" s="49">
        <f>C15+D15</f>
        <v>0.03</v>
      </c>
      <c r="G15" s="49">
        <f>C15+E15</f>
        <v>0</v>
      </c>
      <c r="H15" s="48" t="s">
        <v>29</v>
      </c>
      <c r="I15" s="50">
        <v>0.0048</v>
      </c>
      <c r="J15" s="50">
        <v>0.0089</v>
      </c>
      <c r="K15" s="50">
        <v>0.0051</v>
      </c>
      <c r="L15" s="50">
        <v>0.007</v>
      </c>
      <c r="M15" s="50">
        <v>0.001</v>
      </c>
      <c r="N15" s="50">
        <v>0.0019</v>
      </c>
      <c r="O15" s="50">
        <v>0.0006</v>
      </c>
      <c r="P15" s="50">
        <v>0.0046</v>
      </c>
      <c r="Q15" s="50">
        <v>0.0046</v>
      </c>
      <c r="R15" s="50">
        <v>0.0009</v>
      </c>
      <c r="S15" s="50">
        <v>0.0011</v>
      </c>
      <c r="T15" s="50"/>
      <c r="U15" s="50"/>
      <c r="V15" s="50"/>
      <c r="W15" s="50"/>
      <c r="X15" s="50"/>
      <c r="Y15" s="51" t="str">
        <f t="shared" ref="Y15:AN15" si="5">IF(I15="","",IF(I15&gt;($C15+$D15),(I15-$C15-$D15),IF(I15&lt;($C15+$E15),(I15-$C15-$E15),"√")))</f>
        <v>√</v>
      </c>
      <c r="Z15" s="51" t="str">
        <f t="shared" si="5"/>
        <v>√</v>
      </c>
      <c r="AA15" s="51" t="str">
        <f t="shared" si="5"/>
        <v>√</v>
      </c>
      <c r="AB15" s="51" t="str">
        <f t="shared" si="5"/>
        <v>√</v>
      </c>
      <c r="AC15" s="51" t="str">
        <f t="shared" si="5"/>
        <v>√</v>
      </c>
      <c r="AD15" s="51" t="str">
        <f t="shared" si="5"/>
        <v>√</v>
      </c>
      <c r="AE15" s="51" t="str">
        <f t="shared" si="5"/>
        <v>√</v>
      </c>
      <c r="AF15" s="51" t="str">
        <f t="shared" si="5"/>
        <v>√</v>
      </c>
      <c r="AG15" s="51" t="str">
        <f t="shared" si="5"/>
        <v>√</v>
      </c>
      <c r="AH15" s="51" t="str">
        <f t="shared" si="5"/>
        <v>√</v>
      </c>
      <c r="AI15" s="51" t="str">
        <f t="shared" si="5"/>
        <v>√</v>
      </c>
      <c r="AJ15" s="51" t="str">
        <f t="shared" si="5"/>
        <v/>
      </c>
      <c r="AK15" s="51" t="str">
        <f t="shared" si="5"/>
        <v/>
      </c>
      <c r="AL15" s="51" t="str">
        <f t="shared" si="5"/>
        <v/>
      </c>
      <c r="AM15" s="51" t="str">
        <f t="shared" si="5"/>
        <v/>
      </c>
      <c r="AN15" s="51" t="str">
        <f t="shared" si="5"/>
        <v/>
      </c>
    </row>
    <row r="16" ht="15" customHeight="1" spans="1:40">
      <c r="A16" s="46"/>
      <c r="B16" s="47">
        <v>1</v>
      </c>
      <c r="C16" s="48"/>
      <c r="D16" s="48"/>
      <c r="E16" s="48"/>
      <c r="F16" s="49"/>
      <c r="G16" s="49"/>
      <c r="H16" s="48" t="s">
        <v>29</v>
      </c>
      <c r="I16" s="50">
        <v>0.0024</v>
      </c>
      <c r="J16" s="50">
        <v>-0.0044</v>
      </c>
      <c r="K16" s="50">
        <v>0.0025</v>
      </c>
      <c r="L16" s="50">
        <v>0.0035</v>
      </c>
      <c r="M16" s="50">
        <v>0.0005</v>
      </c>
      <c r="N16" s="50">
        <v>-0.001</v>
      </c>
      <c r="O16" s="50">
        <v>0.0003</v>
      </c>
      <c r="P16" s="50">
        <v>0.0023</v>
      </c>
      <c r="Q16" s="50">
        <v>0.0023</v>
      </c>
      <c r="R16" s="50">
        <v>-0.0005</v>
      </c>
      <c r="S16" s="50">
        <v>-0.0006</v>
      </c>
      <c r="T16" s="50"/>
      <c r="U16" s="50"/>
      <c r="V16" s="50"/>
      <c r="W16" s="50"/>
      <c r="X16" s="50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</row>
    <row r="17" ht="15" customHeight="1" spans="1:40">
      <c r="A17" s="46"/>
      <c r="B17" s="47">
        <v>2</v>
      </c>
      <c r="C17" s="48"/>
      <c r="D17" s="48"/>
      <c r="E17" s="48"/>
      <c r="F17" s="49"/>
      <c r="G17" s="49"/>
      <c r="H17" s="48" t="s">
        <v>29</v>
      </c>
      <c r="I17" s="50">
        <v>-0.0024</v>
      </c>
      <c r="J17" s="50">
        <v>0.0027</v>
      </c>
      <c r="K17" s="50">
        <v>-0.0025</v>
      </c>
      <c r="L17" s="50">
        <v>-0.0035</v>
      </c>
      <c r="M17" s="50">
        <v>-0.0005</v>
      </c>
      <c r="N17" s="50">
        <v>0.001</v>
      </c>
      <c r="O17" s="50">
        <v>-0.0001</v>
      </c>
      <c r="P17" s="50">
        <v>-0.0023</v>
      </c>
      <c r="Q17" s="50">
        <v>-0.0023</v>
      </c>
      <c r="R17" s="50">
        <v>0.0005</v>
      </c>
      <c r="S17" s="50">
        <v>0.0006</v>
      </c>
      <c r="T17" s="50"/>
      <c r="U17" s="50"/>
      <c r="V17" s="50"/>
      <c r="W17" s="50"/>
      <c r="X17" s="50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</row>
    <row r="18" ht="15" customHeight="1" spans="1:40">
      <c r="A18" s="46"/>
      <c r="B18" s="47">
        <v>3</v>
      </c>
      <c r="C18" s="48"/>
      <c r="D18" s="48"/>
      <c r="E18" s="48"/>
      <c r="F18" s="49"/>
      <c r="G18" s="49"/>
      <c r="H18" s="48" t="s">
        <v>29</v>
      </c>
      <c r="I18" s="50">
        <v>0</v>
      </c>
      <c r="J18" s="50">
        <v>0.0044</v>
      </c>
      <c r="K18" s="50">
        <v>-0.0008</v>
      </c>
      <c r="L18" s="50">
        <v>-0.001</v>
      </c>
      <c r="M18" s="50">
        <v>0.0005</v>
      </c>
      <c r="N18" s="50">
        <v>0.0006</v>
      </c>
      <c r="O18" s="50">
        <v>-0.0003</v>
      </c>
      <c r="P18" s="50">
        <v>0.001</v>
      </c>
      <c r="Q18" s="50">
        <v>-0.0005</v>
      </c>
      <c r="R18" s="50">
        <v>-0.0002</v>
      </c>
      <c r="S18" s="50">
        <v>0</v>
      </c>
      <c r="T18" s="50"/>
      <c r="U18" s="50"/>
      <c r="V18" s="50"/>
      <c r="W18" s="50"/>
      <c r="X18" s="50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</row>
    <row r="19" ht="15" customHeight="1" spans="1:40">
      <c r="A19" s="46"/>
      <c r="B19" s="47">
        <v>4</v>
      </c>
      <c r="C19" s="48"/>
      <c r="D19" s="48"/>
      <c r="E19" s="48"/>
      <c r="F19" s="49"/>
      <c r="G19" s="49"/>
      <c r="H19" s="48" t="s">
        <v>29</v>
      </c>
      <c r="I19" s="50">
        <v>0.0024</v>
      </c>
      <c r="J19" s="50">
        <v>-0.0044</v>
      </c>
      <c r="K19" s="50">
        <v>0.0025</v>
      </c>
      <c r="L19" s="50">
        <v>0.0035</v>
      </c>
      <c r="M19" s="50">
        <v>0.0002</v>
      </c>
      <c r="N19" s="50">
        <v>-0.001</v>
      </c>
      <c r="O19" s="50">
        <v>0.0003</v>
      </c>
      <c r="P19" s="50">
        <v>0.0023</v>
      </c>
      <c r="Q19" s="50">
        <v>0.0023</v>
      </c>
      <c r="R19" s="50">
        <v>-0.0005</v>
      </c>
      <c r="S19" s="50">
        <v>-0.0006</v>
      </c>
      <c r="T19" s="50"/>
      <c r="U19" s="50"/>
      <c r="V19" s="50"/>
      <c r="W19" s="50"/>
      <c r="X19" s="50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</row>
    <row r="20" ht="15" customHeight="1" spans="1:40">
      <c r="A20" s="46"/>
      <c r="B20" s="52" t="s">
        <v>33</v>
      </c>
      <c r="C20" s="48">
        <v>0</v>
      </c>
      <c r="D20" s="48">
        <v>0.01</v>
      </c>
      <c r="E20" s="48">
        <v>0</v>
      </c>
      <c r="F20" s="49">
        <f>C20+D20</f>
        <v>0.01</v>
      </c>
      <c r="G20" s="49">
        <f>C20+E20</f>
        <v>0</v>
      </c>
      <c r="H20" s="48" t="s">
        <v>29</v>
      </c>
      <c r="I20" s="50">
        <v>0.0074</v>
      </c>
      <c r="J20" s="50">
        <v>0.021</v>
      </c>
      <c r="K20" s="50">
        <v>0.0094</v>
      </c>
      <c r="L20" s="50">
        <v>0.0082</v>
      </c>
      <c r="M20" s="50">
        <v>0.0082</v>
      </c>
      <c r="N20" s="50">
        <v>0.0059</v>
      </c>
      <c r="O20" s="50">
        <v>0.006</v>
      </c>
      <c r="P20" s="50">
        <v>0.0087</v>
      </c>
      <c r="Q20" s="50">
        <v>0.0289</v>
      </c>
      <c r="R20" s="50">
        <v>0.0311</v>
      </c>
      <c r="S20" s="50">
        <v>0.0323</v>
      </c>
      <c r="T20" s="50"/>
      <c r="U20" s="50"/>
      <c r="V20" s="50"/>
      <c r="W20" s="50"/>
      <c r="X20" s="50"/>
      <c r="Y20" s="53" t="str">
        <f t="shared" ref="Y20:AN20" si="6">IF(I20="","",IF(I20&gt;($C20+$D20),(I20-$C20-$D20),IF(I20&lt;($C20+$E20),(I20-$C20-$E20),"√")))</f>
        <v>√</v>
      </c>
      <c r="Z20" s="53">
        <f t="shared" si="6"/>
        <v>0.011</v>
      </c>
      <c r="AA20" s="53" t="str">
        <f t="shared" si="6"/>
        <v>√</v>
      </c>
      <c r="AB20" s="53" t="str">
        <f t="shared" si="6"/>
        <v>√</v>
      </c>
      <c r="AC20" s="53" t="str">
        <f t="shared" si="6"/>
        <v>√</v>
      </c>
      <c r="AD20" s="53" t="str">
        <f t="shared" si="6"/>
        <v>√</v>
      </c>
      <c r="AE20" s="53" t="str">
        <f t="shared" si="6"/>
        <v>√</v>
      </c>
      <c r="AF20" s="53" t="str">
        <f t="shared" si="6"/>
        <v>√</v>
      </c>
      <c r="AG20" s="53">
        <f t="shared" si="6"/>
        <v>0.0189</v>
      </c>
      <c r="AH20" s="53">
        <f t="shared" si="6"/>
        <v>0.0211</v>
      </c>
      <c r="AI20" s="53">
        <f t="shared" si="6"/>
        <v>0.0223</v>
      </c>
      <c r="AJ20" s="53" t="str">
        <f t="shared" si="6"/>
        <v/>
      </c>
      <c r="AK20" s="53" t="str">
        <f t="shared" si="6"/>
        <v/>
      </c>
      <c r="AL20" s="53" t="str">
        <f t="shared" si="6"/>
        <v/>
      </c>
      <c r="AM20" s="53" t="str">
        <f t="shared" si="6"/>
        <v/>
      </c>
      <c r="AN20" s="53" t="str">
        <f t="shared" si="6"/>
        <v/>
      </c>
    </row>
    <row r="21" ht="15" customHeight="1" spans="1:40">
      <c r="A21" s="46"/>
      <c r="B21" s="52">
        <v>1</v>
      </c>
      <c r="C21" s="48"/>
      <c r="D21" s="48"/>
      <c r="E21" s="48"/>
      <c r="F21" s="49"/>
      <c r="G21" s="49"/>
      <c r="H21" s="48" t="s">
        <v>29</v>
      </c>
      <c r="I21" s="50">
        <v>0.0005</v>
      </c>
      <c r="J21" s="50">
        <v>0.0105</v>
      </c>
      <c r="K21" s="50">
        <v>0.0006</v>
      </c>
      <c r="L21" s="50">
        <v>0.0031</v>
      </c>
      <c r="M21" s="50">
        <v>0.0012</v>
      </c>
      <c r="N21" s="50">
        <v>0.0015</v>
      </c>
      <c r="O21" s="50">
        <v>0.003</v>
      </c>
      <c r="P21" s="50">
        <v>0.0026</v>
      </c>
      <c r="Q21" s="50">
        <v>0.0145</v>
      </c>
      <c r="R21" s="50">
        <v>0.0156</v>
      </c>
      <c r="S21" s="50">
        <v>0.0162</v>
      </c>
      <c r="T21" s="50"/>
      <c r="U21" s="50"/>
      <c r="V21" s="50"/>
      <c r="W21" s="50"/>
      <c r="X21" s="50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ht="15" customHeight="1" spans="1:40">
      <c r="A22" s="46"/>
      <c r="B22" s="52">
        <v>2</v>
      </c>
      <c r="C22" s="48"/>
      <c r="D22" s="48"/>
      <c r="E22" s="48"/>
      <c r="F22" s="49"/>
      <c r="G22" s="49"/>
      <c r="H22" s="48" t="s">
        <v>29</v>
      </c>
      <c r="I22" s="50">
        <v>-0.0037</v>
      </c>
      <c r="J22" s="50">
        <v>0.0056</v>
      </c>
      <c r="K22" s="50">
        <v>-0.0047</v>
      </c>
      <c r="L22" s="50">
        <v>-0.0041</v>
      </c>
      <c r="M22" s="50">
        <v>-0.0028</v>
      </c>
      <c r="N22" s="50">
        <v>-0.003</v>
      </c>
      <c r="O22" s="50">
        <v>-0.0009</v>
      </c>
      <c r="P22" s="50">
        <v>-0.0044</v>
      </c>
      <c r="Q22" s="50">
        <v>0.0113</v>
      </c>
      <c r="R22" s="50">
        <v>0.0145</v>
      </c>
      <c r="S22" s="50">
        <v>0.0152</v>
      </c>
      <c r="T22" s="50"/>
      <c r="U22" s="50"/>
      <c r="V22" s="50"/>
      <c r="W22" s="50"/>
      <c r="X22" s="50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</row>
    <row r="23" ht="15" customHeight="1" spans="1:40">
      <c r="A23" s="46"/>
      <c r="B23" s="52">
        <v>3</v>
      </c>
      <c r="C23" s="48"/>
      <c r="D23" s="48"/>
      <c r="E23" s="48"/>
      <c r="F23" s="49"/>
      <c r="G23" s="49"/>
      <c r="H23" s="48" t="s">
        <v>29</v>
      </c>
      <c r="I23" s="50">
        <v>-0.0007</v>
      </c>
      <c r="J23" s="50">
        <v>0.0038</v>
      </c>
      <c r="K23" s="50">
        <v>0.0005</v>
      </c>
      <c r="L23" s="50">
        <v>0.0018</v>
      </c>
      <c r="M23" s="50">
        <v>-0.0004</v>
      </c>
      <c r="N23" s="50">
        <v>-0.0011</v>
      </c>
      <c r="O23" s="50">
        <v>-0.0005</v>
      </c>
      <c r="P23" s="50">
        <v>0.0016</v>
      </c>
      <c r="Q23" s="50">
        <v>0.0072</v>
      </c>
      <c r="R23" s="50">
        <v>0.0063</v>
      </c>
      <c r="S23" s="50">
        <v>0.0067</v>
      </c>
      <c r="T23" s="50"/>
      <c r="U23" s="50"/>
      <c r="V23" s="50"/>
      <c r="W23" s="50"/>
      <c r="X23" s="50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</row>
    <row r="24" ht="15" customHeight="1" spans="1:40">
      <c r="A24" s="46"/>
      <c r="B24" s="52">
        <v>4</v>
      </c>
      <c r="C24" s="48"/>
      <c r="D24" s="48"/>
      <c r="E24" s="48"/>
      <c r="F24" s="49"/>
      <c r="G24" s="49"/>
      <c r="H24" s="48" t="s">
        <v>29</v>
      </c>
      <c r="I24" s="50">
        <v>-0.0005</v>
      </c>
      <c r="J24" s="50">
        <v>-0.0045</v>
      </c>
      <c r="K24" s="50">
        <v>0.0025</v>
      </c>
      <c r="L24" s="50">
        <v>0.0036</v>
      </c>
      <c r="M24" s="50">
        <v>0.0011</v>
      </c>
      <c r="N24" s="50">
        <v>-0.0001</v>
      </c>
      <c r="O24" s="50">
        <v>-0.0001</v>
      </c>
      <c r="P24" s="50">
        <v>0.0017</v>
      </c>
      <c r="Q24" s="50">
        <v>-0.0051</v>
      </c>
      <c r="R24" s="50">
        <v>-0.0086</v>
      </c>
      <c r="S24" s="50">
        <v>-0.0089</v>
      </c>
      <c r="T24" s="50"/>
      <c r="U24" s="50"/>
      <c r="V24" s="50"/>
      <c r="W24" s="50"/>
      <c r="X24" s="50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</row>
    <row r="25" ht="15" customHeight="1" spans="1:40">
      <c r="A25" s="46"/>
      <c r="B25" s="52">
        <v>5</v>
      </c>
      <c r="C25" s="48"/>
      <c r="D25" s="48"/>
      <c r="E25" s="48"/>
      <c r="F25" s="49"/>
      <c r="G25" s="49"/>
      <c r="H25" s="48" t="s">
        <v>29</v>
      </c>
      <c r="I25" s="50">
        <v>-0.0027</v>
      </c>
      <c r="J25" s="50">
        <v>-0.0105</v>
      </c>
      <c r="K25" s="50">
        <v>0.0001</v>
      </c>
      <c r="L25" s="50">
        <v>-0.0017</v>
      </c>
      <c r="M25" s="50">
        <v>-0.0041</v>
      </c>
      <c r="N25" s="50">
        <v>-0.0023</v>
      </c>
      <c r="O25" s="50">
        <v>-0.003</v>
      </c>
      <c r="P25" s="50">
        <v>-0.0028</v>
      </c>
      <c r="Q25" s="50">
        <v>-0.0056</v>
      </c>
      <c r="R25" s="50">
        <v>-0.0099</v>
      </c>
      <c r="S25" s="50">
        <v>-0.0103</v>
      </c>
      <c r="T25" s="50"/>
      <c r="U25" s="50"/>
      <c r="V25" s="50"/>
      <c r="W25" s="50"/>
      <c r="X25" s="50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</row>
    <row r="26" ht="15" customHeight="1" spans="1:40">
      <c r="A26" s="46"/>
      <c r="B26" s="52">
        <v>6</v>
      </c>
      <c r="C26" s="48"/>
      <c r="D26" s="48"/>
      <c r="E26" s="48"/>
      <c r="F26" s="49"/>
      <c r="G26" s="49"/>
      <c r="H26" s="48" t="s">
        <v>29</v>
      </c>
      <c r="I26" s="50">
        <v>-0.0002</v>
      </c>
      <c r="J26" s="50">
        <v>-0.0072</v>
      </c>
      <c r="K26" s="50">
        <v>0.0047</v>
      </c>
      <c r="L26" s="50">
        <v>0.0041</v>
      </c>
      <c r="M26" s="50">
        <v>0.0004</v>
      </c>
      <c r="N26" s="50">
        <v>0.0001</v>
      </c>
      <c r="O26" s="50">
        <v>-0.0003</v>
      </c>
      <c r="P26" s="50">
        <v>0.0021</v>
      </c>
      <c r="Q26" s="50">
        <v>-0.0117</v>
      </c>
      <c r="R26" s="50">
        <v>-0.0156</v>
      </c>
      <c r="S26" s="50">
        <v>-0.0162</v>
      </c>
      <c r="T26" s="50"/>
      <c r="U26" s="50"/>
      <c r="V26" s="50"/>
      <c r="W26" s="50"/>
      <c r="X26" s="50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</row>
    <row r="27" ht="15" customHeight="1" spans="1:40">
      <c r="A27" s="46"/>
      <c r="B27" s="52">
        <v>7</v>
      </c>
      <c r="C27" s="48"/>
      <c r="D27" s="48"/>
      <c r="E27" s="48"/>
      <c r="F27" s="49"/>
      <c r="G27" s="49"/>
      <c r="H27" s="48" t="s">
        <v>29</v>
      </c>
      <c r="I27" s="50">
        <v>-0.0037</v>
      </c>
      <c r="J27" s="50">
        <v>0.0052</v>
      </c>
      <c r="K27" s="50">
        <v>-0.0017</v>
      </c>
      <c r="L27" s="50">
        <v>-0.0041</v>
      </c>
      <c r="M27" s="50">
        <v>-0.0041</v>
      </c>
      <c r="N27" s="50">
        <v>-0.003</v>
      </c>
      <c r="O27" s="50">
        <v>-0.003</v>
      </c>
      <c r="P27" s="50">
        <v>-0.0044</v>
      </c>
      <c r="Q27" s="50">
        <v>0.0065</v>
      </c>
      <c r="R27" s="50">
        <v>0.0095</v>
      </c>
      <c r="S27" s="50">
        <v>0.01</v>
      </c>
      <c r="T27" s="50"/>
      <c r="U27" s="50"/>
      <c r="V27" s="50"/>
      <c r="W27" s="50"/>
      <c r="X27" s="50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ht="15" customHeight="1" spans="1:40">
      <c r="A28" s="46"/>
      <c r="B28" s="52">
        <v>8</v>
      </c>
      <c r="C28" s="48"/>
      <c r="D28" s="48"/>
      <c r="E28" s="48"/>
      <c r="F28" s="49"/>
      <c r="G28" s="49"/>
      <c r="H28" s="48" t="s">
        <v>29</v>
      </c>
      <c r="I28" s="50">
        <v>0.0037</v>
      </c>
      <c r="J28" s="50">
        <v>0.0103</v>
      </c>
      <c r="K28" s="50">
        <v>0.0047</v>
      </c>
      <c r="L28" s="50">
        <v>0.0041</v>
      </c>
      <c r="M28" s="50">
        <v>0.0041</v>
      </c>
      <c r="N28" s="50">
        <v>0.003</v>
      </c>
      <c r="O28" s="50">
        <v>0.0019</v>
      </c>
      <c r="P28" s="50">
        <v>0.0044</v>
      </c>
      <c r="Q28" s="50">
        <v>0.0145</v>
      </c>
      <c r="R28" s="50">
        <v>0.0154</v>
      </c>
      <c r="S28" s="50">
        <v>0.0157</v>
      </c>
      <c r="T28" s="50"/>
      <c r="U28" s="50"/>
      <c r="V28" s="50"/>
      <c r="W28" s="50"/>
      <c r="X28" s="50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</row>
    <row r="29" ht="15" customHeight="1" spans="1:40">
      <c r="A29" s="46"/>
      <c r="B29" s="52">
        <v>9</v>
      </c>
      <c r="C29" s="48"/>
      <c r="D29" s="48"/>
      <c r="E29" s="48"/>
      <c r="F29" s="49"/>
      <c r="G29" s="49"/>
      <c r="H29" s="48" t="s">
        <v>29</v>
      </c>
      <c r="I29" s="50">
        <v>0.0031</v>
      </c>
      <c r="J29" s="50">
        <v>0.0024</v>
      </c>
      <c r="K29" s="50">
        <v>0.0032</v>
      </c>
      <c r="L29" s="50">
        <v>0.0037</v>
      </c>
      <c r="M29" s="50">
        <v>0.0031</v>
      </c>
      <c r="N29" s="50">
        <v>0.0022</v>
      </c>
      <c r="O29" s="50">
        <v>0.0027</v>
      </c>
      <c r="P29" s="50">
        <v>0.0026</v>
      </c>
      <c r="Q29" s="50">
        <v>0.0041</v>
      </c>
      <c r="R29" s="50">
        <v>0.0029</v>
      </c>
      <c r="S29" s="50">
        <v>0.0029</v>
      </c>
      <c r="T29" s="50"/>
      <c r="U29" s="50"/>
      <c r="V29" s="50"/>
      <c r="W29" s="50"/>
      <c r="X29" s="50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</row>
    <row r="30" ht="15" customHeight="1" spans="1:40">
      <c r="A30" s="46"/>
      <c r="B30" s="52">
        <v>10</v>
      </c>
      <c r="C30" s="48"/>
      <c r="D30" s="48"/>
      <c r="E30" s="48"/>
      <c r="F30" s="49"/>
      <c r="G30" s="49"/>
      <c r="H30" s="48" t="s">
        <v>29</v>
      </c>
      <c r="I30" s="50">
        <v>-0.0017</v>
      </c>
      <c r="J30" s="50">
        <v>-0.0105</v>
      </c>
      <c r="K30" s="50">
        <v>-0.0047</v>
      </c>
      <c r="L30" s="50">
        <v>-0.0018</v>
      </c>
      <c r="M30" s="50">
        <v>-0.0031</v>
      </c>
      <c r="N30" s="50">
        <v>-0.001</v>
      </c>
      <c r="O30" s="50">
        <v>-0.0017</v>
      </c>
      <c r="P30" s="50">
        <v>-0.0041</v>
      </c>
      <c r="Q30" s="50">
        <v>-0.0137</v>
      </c>
      <c r="R30" s="50">
        <v>-0.0156</v>
      </c>
      <c r="S30" s="50">
        <v>-0.0162</v>
      </c>
      <c r="T30" s="50"/>
      <c r="U30" s="50"/>
      <c r="V30" s="50"/>
      <c r="W30" s="50"/>
      <c r="X30" s="50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</row>
    <row r="31" ht="15" customHeight="1" spans="1:40">
      <c r="A31" s="46"/>
      <c r="B31" s="52">
        <v>11</v>
      </c>
      <c r="C31" s="48"/>
      <c r="D31" s="48"/>
      <c r="E31" s="48"/>
      <c r="F31" s="49"/>
      <c r="G31" s="49"/>
      <c r="H31" s="48" t="s">
        <v>29</v>
      </c>
      <c r="I31" s="50">
        <v>0.0037</v>
      </c>
      <c r="J31" s="50">
        <v>-0.0062</v>
      </c>
      <c r="K31" s="50">
        <v>0.0005</v>
      </c>
      <c r="L31" s="50">
        <v>0.0034</v>
      </c>
      <c r="M31" s="50">
        <v>0.003</v>
      </c>
      <c r="N31" s="50">
        <v>0.0018</v>
      </c>
      <c r="O31" s="50">
        <v>0.003</v>
      </c>
      <c r="P31" s="50">
        <v>0.0021</v>
      </c>
      <c r="Q31" s="50">
        <v>-0.0084</v>
      </c>
      <c r="R31" s="50">
        <v>-0.0113</v>
      </c>
      <c r="S31" s="50">
        <v>-0.0119</v>
      </c>
      <c r="T31" s="50"/>
      <c r="U31" s="50"/>
      <c r="V31" s="50"/>
      <c r="W31" s="50"/>
      <c r="X31" s="50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</row>
    <row r="32" ht="15" customHeight="1" spans="1:40">
      <c r="A32" s="46"/>
      <c r="B32" s="52">
        <v>12</v>
      </c>
      <c r="C32" s="48"/>
      <c r="D32" s="48"/>
      <c r="E32" s="48"/>
      <c r="F32" s="49"/>
      <c r="G32" s="49"/>
      <c r="H32" s="48" t="s">
        <v>29</v>
      </c>
      <c r="I32" s="50">
        <v>0.0028</v>
      </c>
      <c r="J32" s="50">
        <v>-0.0098</v>
      </c>
      <c r="K32" s="50">
        <v>0</v>
      </c>
      <c r="L32" s="50">
        <v>0.003</v>
      </c>
      <c r="M32" s="50">
        <v>0.0035</v>
      </c>
      <c r="N32" s="50">
        <v>0.003</v>
      </c>
      <c r="O32" s="50">
        <v>0.0013</v>
      </c>
      <c r="P32" s="50">
        <v>0.0028</v>
      </c>
      <c r="Q32" s="50">
        <v>-0.0145</v>
      </c>
      <c r="R32" s="50">
        <v>-0.0152</v>
      </c>
      <c r="S32" s="50">
        <v>-0.0151</v>
      </c>
      <c r="T32" s="50"/>
      <c r="U32" s="50"/>
      <c r="V32" s="50"/>
      <c r="W32" s="50"/>
      <c r="X32" s="50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ht="15" customHeight="1" spans="1:40">
      <c r="A33" s="46"/>
      <c r="B33" s="52">
        <v>13</v>
      </c>
      <c r="C33" s="48"/>
      <c r="D33" s="48"/>
      <c r="E33" s="48"/>
      <c r="F33" s="49"/>
      <c r="G33" s="49"/>
      <c r="H33" s="48" t="s">
        <v>29</v>
      </c>
      <c r="I33" s="50">
        <v>0.0029</v>
      </c>
      <c r="J33" s="50">
        <v>0.0105</v>
      </c>
      <c r="K33" s="50">
        <v>-0.0027</v>
      </c>
      <c r="L33" s="50">
        <v>0.0036</v>
      </c>
      <c r="M33" s="50">
        <v>0.0041</v>
      </c>
      <c r="N33" s="50">
        <v>0.0027</v>
      </c>
      <c r="O33" s="50">
        <v>0.0009</v>
      </c>
      <c r="P33" s="50">
        <v>0.0044</v>
      </c>
      <c r="Q33" s="50">
        <v>0.0145</v>
      </c>
      <c r="R33" s="50">
        <v>0.0156</v>
      </c>
      <c r="S33" s="50">
        <v>0.0162</v>
      </c>
      <c r="T33" s="50"/>
      <c r="U33" s="50"/>
      <c r="V33" s="50"/>
      <c r="W33" s="50"/>
      <c r="X33" s="50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</row>
    <row r="34" ht="15" customHeight="1" spans="1:40">
      <c r="A34" s="46"/>
      <c r="B34" s="52" t="s">
        <v>34</v>
      </c>
      <c r="C34" s="48">
        <v>0</v>
      </c>
      <c r="D34" s="48">
        <v>0.01</v>
      </c>
      <c r="E34" s="48">
        <v>0</v>
      </c>
      <c r="F34" s="49">
        <f>C34+D34</f>
        <v>0.01</v>
      </c>
      <c r="G34" s="49">
        <f>C34+E34</f>
        <v>0</v>
      </c>
      <c r="H34" s="48" t="s">
        <v>29</v>
      </c>
      <c r="I34" s="50">
        <v>0.0074</v>
      </c>
      <c r="J34" s="50">
        <v>0.021</v>
      </c>
      <c r="K34" s="50">
        <v>0.0094</v>
      </c>
      <c r="L34" s="50">
        <v>0.0082</v>
      </c>
      <c r="M34" s="50">
        <v>0.0082</v>
      </c>
      <c r="N34" s="50">
        <v>0.0059</v>
      </c>
      <c r="O34" s="50">
        <v>0.006</v>
      </c>
      <c r="P34" s="50">
        <v>0.0087</v>
      </c>
      <c r="Q34" s="50">
        <v>0</v>
      </c>
      <c r="R34" s="50">
        <v>0.0311</v>
      </c>
      <c r="S34" s="50">
        <v>0.0323</v>
      </c>
      <c r="T34" s="50"/>
      <c r="U34" s="50"/>
      <c r="V34" s="50"/>
      <c r="W34" s="50"/>
      <c r="X34" s="50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ht="15" customHeight="1" spans="1:40">
      <c r="A35" s="46"/>
      <c r="B35" s="52" t="s">
        <v>35</v>
      </c>
      <c r="C35" s="48"/>
      <c r="D35" s="48"/>
      <c r="E35" s="48"/>
      <c r="F35" s="49"/>
      <c r="G35" s="49"/>
      <c r="H35" s="48" t="s">
        <v>29</v>
      </c>
      <c r="I35" s="50">
        <v>-0.3971</v>
      </c>
      <c r="J35" s="50">
        <v>-0.382</v>
      </c>
      <c r="K35" s="50">
        <v>-0.4008</v>
      </c>
      <c r="L35" s="50">
        <v>-0.3997</v>
      </c>
      <c r="M35" s="50">
        <v>-0.3921</v>
      </c>
      <c r="N35" s="50">
        <v>-0.3943</v>
      </c>
      <c r="O35" s="50">
        <v>-0.3862</v>
      </c>
      <c r="P35" s="50">
        <v>-0.4046</v>
      </c>
      <c r="Q35" s="50">
        <v>-0.3909</v>
      </c>
      <c r="R35" s="50">
        <v>-0.3725</v>
      </c>
      <c r="S35" s="50">
        <v>-0.3722</v>
      </c>
      <c r="T35" s="50"/>
      <c r="U35" s="50"/>
      <c r="V35" s="50"/>
      <c r="W35" s="50"/>
      <c r="X35" s="50"/>
      <c r="Y35" s="54"/>
      <c r="Z35" s="54"/>
      <c r="AA35" s="54"/>
      <c r="AB35" s="54"/>
      <c r="AC35" s="54"/>
      <c r="AD35" s="54"/>
      <c r="AE35" s="53"/>
      <c r="AF35" s="54"/>
      <c r="AG35" s="54"/>
      <c r="AH35" s="54"/>
      <c r="AI35" s="54"/>
      <c r="AJ35" s="54"/>
      <c r="AK35" s="54"/>
      <c r="AL35" s="54"/>
      <c r="AM35" s="54"/>
      <c r="AN35" s="54"/>
    </row>
    <row r="36" ht="15" customHeight="1" spans="1:40">
      <c r="A36" s="46"/>
      <c r="B36" s="52" t="s">
        <v>36</v>
      </c>
      <c r="C36" s="48"/>
      <c r="D36" s="48"/>
      <c r="E36" s="48"/>
      <c r="F36" s="49"/>
      <c r="G36" s="49"/>
      <c r="H36" s="48" t="s">
        <v>29</v>
      </c>
      <c r="I36" s="50">
        <v>-0.3808</v>
      </c>
      <c r="J36" s="50">
        <v>-0.3662</v>
      </c>
      <c r="K36" s="50">
        <v>-0.3825</v>
      </c>
      <c r="L36" s="50">
        <v>-0.3747</v>
      </c>
      <c r="M36" s="50">
        <v>-0.3711</v>
      </c>
      <c r="N36" s="50">
        <v>-0.3799</v>
      </c>
      <c r="O36" s="50">
        <v>-0.3734</v>
      </c>
      <c r="P36" s="50">
        <v>-0.3802</v>
      </c>
      <c r="Q36" s="50">
        <v>-0.3728</v>
      </c>
      <c r="R36" s="50">
        <v>-0.3603</v>
      </c>
      <c r="S36" s="50">
        <v>-0.36</v>
      </c>
      <c r="T36" s="50"/>
      <c r="U36" s="50"/>
      <c r="V36" s="50"/>
      <c r="W36" s="50"/>
      <c r="X36" s="50"/>
      <c r="Y36" s="54"/>
      <c r="Z36" s="54"/>
      <c r="AA36" s="54"/>
      <c r="AB36" s="54"/>
      <c r="AC36" s="54"/>
      <c r="AD36" s="54"/>
      <c r="AE36" s="53"/>
      <c r="AF36" s="54"/>
      <c r="AG36" s="54"/>
      <c r="AH36" s="54"/>
      <c r="AI36" s="54"/>
      <c r="AJ36" s="54"/>
      <c r="AK36" s="54"/>
      <c r="AL36" s="54"/>
      <c r="AM36" s="54"/>
      <c r="AN36" s="54"/>
    </row>
    <row r="37" ht="15" customHeight="1" spans="1:40">
      <c r="A37" s="46"/>
      <c r="B37" s="52" t="s">
        <v>37</v>
      </c>
      <c r="C37" s="48"/>
      <c r="D37" s="48"/>
      <c r="E37" s="48"/>
      <c r="F37" s="49"/>
      <c r="G37" s="49"/>
      <c r="H37" s="48" t="s">
        <v>29</v>
      </c>
      <c r="I37" s="50">
        <v>-0.3974</v>
      </c>
      <c r="J37" s="50">
        <v>-0.3906</v>
      </c>
      <c r="K37" s="50">
        <v>-0.4007</v>
      </c>
      <c r="L37" s="50">
        <v>-0.4011</v>
      </c>
      <c r="M37" s="50">
        <v>-0.3969</v>
      </c>
      <c r="N37" s="50">
        <v>-0.3945</v>
      </c>
      <c r="O37" s="50">
        <v>-0.3923</v>
      </c>
      <c r="P37" s="50">
        <v>-0.4053</v>
      </c>
      <c r="Q37" s="50">
        <v>-0.3922</v>
      </c>
      <c r="R37" s="50">
        <v>-0.3848</v>
      </c>
      <c r="S37" s="50">
        <v>-0.3849</v>
      </c>
      <c r="T37" s="50"/>
      <c r="U37" s="50"/>
      <c r="V37" s="50"/>
      <c r="W37" s="50"/>
      <c r="X37" s="50"/>
      <c r="Y37" s="54"/>
      <c r="Z37" s="54"/>
      <c r="AA37" s="54"/>
      <c r="AB37" s="54"/>
      <c r="AC37" s="54"/>
      <c r="AD37" s="54"/>
      <c r="AE37" s="53"/>
      <c r="AF37" s="54"/>
      <c r="AG37" s="54"/>
      <c r="AH37" s="54"/>
      <c r="AI37" s="54"/>
      <c r="AJ37" s="54"/>
      <c r="AK37" s="54"/>
      <c r="AL37" s="54"/>
      <c r="AM37" s="54"/>
      <c r="AN37" s="54"/>
    </row>
    <row r="38" ht="15" customHeight="1" spans="1:40">
      <c r="A38" s="46"/>
      <c r="B38" s="52" t="s">
        <v>38</v>
      </c>
      <c r="C38" s="48"/>
      <c r="D38" s="48"/>
      <c r="E38" s="48"/>
      <c r="F38" s="49"/>
      <c r="G38" s="49"/>
      <c r="H38" s="48" t="s">
        <v>29</v>
      </c>
      <c r="I38" s="50">
        <v>-0.3906</v>
      </c>
      <c r="J38" s="50">
        <v>-0.3841</v>
      </c>
      <c r="K38" s="50">
        <v>-0.3896</v>
      </c>
      <c r="L38" s="50">
        <v>-0.3858</v>
      </c>
      <c r="M38" s="50">
        <v>-0.3893</v>
      </c>
      <c r="N38" s="50">
        <v>-0.3881</v>
      </c>
      <c r="O38" s="50">
        <v>-0.3882</v>
      </c>
      <c r="P38" s="50">
        <v>-0.3904</v>
      </c>
      <c r="Q38" s="50">
        <v>-0.3876</v>
      </c>
      <c r="R38" s="50">
        <v>-0.3875</v>
      </c>
      <c r="S38" s="50">
        <v>-0.3878</v>
      </c>
      <c r="T38" s="50"/>
      <c r="U38" s="50"/>
      <c r="V38" s="50"/>
      <c r="W38" s="50"/>
      <c r="X38" s="50"/>
      <c r="Y38" s="54"/>
      <c r="Z38" s="54"/>
      <c r="AA38" s="54"/>
      <c r="AB38" s="54"/>
      <c r="AC38" s="54"/>
      <c r="AD38" s="54"/>
      <c r="AE38" s="53"/>
      <c r="AF38" s="54"/>
      <c r="AG38" s="54"/>
      <c r="AH38" s="54"/>
      <c r="AI38" s="54"/>
      <c r="AJ38" s="54"/>
      <c r="AK38" s="54"/>
      <c r="AL38" s="54"/>
      <c r="AM38" s="54"/>
      <c r="AN38" s="54"/>
    </row>
    <row r="39" ht="15" customHeight="1" spans="1:40">
      <c r="A39" s="46"/>
      <c r="B39" s="52" t="s">
        <v>39</v>
      </c>
      <c r="C39" s="48"/>
      <c r="D39" s="48"/>
      <c r="E39" s="48"/>
      <c r="F39" s="49"/>
      <c r="G39" s="49"/>
      <c r="H39" s="48" t="s">
        <v>29</v>
      </c>
      <c r="I39" s="50">
        <v>-0.3906</v>
      </c>
      <c r="J39" s="50">
        <v>-0.3919</v>
      </c>
      <c r="K39" s="50">
        <v>-0.3896</v>
      </c>
      <c r="L39" s="50">
        <v>-0.39</v>
      </c>
      <c r="M39" s="50">
        <v>-0.3906</v>
      </c>
      <c r="N39" s="50">
        <v>-0.3894</v>
      </c>
      <c r="O39" s="50">
        <v>-0.3893</v>
      </c>
      <c r="P39" s="50">
        <v>-0.3936</v>
      </c>
      <c r="Q39" s="50">
        <v>-0.3903</v>
      </c>
      <c r="R39" s="50">
        <v>-0.3902</v>
      </c>
      <c r="S39" s="50">
        <v>-0.3906</v>
      </c>
      <c r="T39" s="50"/>
      <c r="U39" s="50"/>
      <c r="V39" s="50"/>
      <c r="W39" s="50"/>
      <c r="X39" s="50"/>
      <c r="Y39" s="54"/>
      <c r="Z39" s="54"/>
      <c r="AA39" s="54"/>
      <c r="AB39" s="54"/>
      <c r="AC39" s="54"/>
      <c r="AD39" s="54"/>
      <c r="AE39" s="53"/>
      <c r="AF39" s="54"/>
      <c r="AG39" s="54"/>
      <c r="AH39" s="54"/>
      <c r="AI39" s="54"/>
      <c r="AJ39" s="54"/>
      <c r="AK39" s="54"/>
      <c r="AL39" s="54"/>
      <c r="AM39" s="54"/>
      <c r="AN39" s="54"/>
    </row>
    <row r="40" ht="15" customHeight="1" spans="1:40">
      <c r="A40" s="46"/>
      <c r="B40" s="52" t="s">
        <v>40</v>
      </c>
      <c r="C40" s="48"/>
      <c r="D40" s="48"/>
      <c r="E40" s="48"/>
      <c r="F40" s="49"/>
      <c r="G40" s="49"/>
      <c r="H40" s="48" t="s">
        <v>29</v>
      </c>
      <c r="I40" s="50">
        <v>-0.3945</v>
      </c>
      <c r="J40" s="50">
        <v>-0.3982</v>
      </c>
      <c r="K40" s="50">
        <v>-0.3911</v>
      </c>
      <c r="L40" s="50">
        <v>-0.3978</v>
      </c>
      <c r="M40" s="50">
        <v>-0.3966</v>
      </c>
      <c r="N40" s="50">
        <v>-0.3905</v>
      </c>
      <c r="O40" s="50">
        <v>-0.3903</v>
      </c>
      <c r="P40" s="50">
        <v>-0.4004</v>
      </c>
      <c r="Q40" s="50">
        <v>-0.3945</v>
      </c>
      <c r="R40" s="50">
        <v>-0.3929</v>
      </c>
      <c r="S40" s="50">
        <v>-0.3934</v>
      </c>
      <c r="T40" s="50"/>
      <c r="U40" s="50"/>
      <c r="V40" s="50"/>
      <c r="W40" s="50"/>
      <c r="X40" s="50"/>
      <c r="Y40" s="54"/>
      <c r="Z40" s="54"/>
      <c r="AA40" s="54"/>
      <c r="AB40" s="54"/>
      <c r="AC40" s="54"/>
      <c r="AD40" s="54"/>
      <c r="AE40" s="53"/>
      <c r="AF40" s="54"/>
      <c r="AG40" s="54"/>
      <c r="AH40" s="54"/>
      <c r="AI40" s="54"/>
      <c r="AJ40" s="54"/>
      <c r="AK40" s="54"/>
      <c r="AL40" s="54"/>
      <c r="AM40" s="54"/>
      <c r="AN40" s="54"/>
    </row>
    <row r="41" ht="15" customHeight="1" spans="1:40">
      <c r="A41" s="46"/>
      <c r="B41" s="52" t="s">
        <v>41</v>
      </c>
      <c r="C41" s="48"/>
      <c r="D41" s="48"/>
      <c r="E41" s="48"/>
      <c r="F41" s="49"/>
      <c r="G41" s="49"/>
      <c r="H41" s="48" t="s">
        <v>29</v>
      </c>
      <c r="I41" s="50">
        <v>-0.3879</v>
      </c>
      <c r="J41" s="50">
        <v>-0.3885</v>
      </c>
      <c r="K41" s="50">
        <v>-0.3852</v>
      </c>
      <c r="L41" s="50">
        <v>-0.385</v>
      </c>
      <c r="M41" s="50">
        <v>-0.3862</v>
      </c>
      <c r="N41" s="50">
        <v>-0.3887</v>
      </c>
      <c r="O41" s="50">
        <v>-0.3876</v>
      </c>
      <c r="P41" s="50">
        <v>-0.3884</v>
      </c>
      <c r="Q41" s="50">
        <v>-0.3909</v>
      </c>
      <c r="R41" s="50">
        <v>-0.3906</v>
      </c>
      <c r="S41" s="50">
        <v>-0.3913</v>
      </c>
      <c r="T41" s="50"/>
      <c r="U41" s="50"/>
      <c r="V41" s="50"/>
      <c r="W41" s="50"/>
      <c r="X41" s="50"/>
      <c r="Y41" s="54"/>
      <c r="Z41" s="54"/>
      <c r="AA41" s="54"/>
      <c r="AB41" s="54"/>
      <c r="AC41" s="54"/>
      <c r="AD41" s="54"/>
      <c r="AE41" s="53"/>
      <c r="AF41" s="54"/>
      <c r="AG41" s="54"/>
      <c r="AH41" s="54"/>
      <c r="AI41" s="54"/>
      <c r="AJ41" s="54"/>
      <c r="AK41" s="54"/>
      <c r="AL41" s="54"/>
      <c r="AM41" s="54"/>
      <c r="AN41" s="54"/>
    </row>
    <row r="42" ht="15" customHeight="1" spans="1:40">
      <c r="A42" s="46"/>
      <c r="B42" s="52" t="s">
        <v>42</v>
      </c>
      <c r="C42" s="48"/>
      <c r="D42" s="48"/>
      <c r="E42" s="48"/>
      <c r="F42" s="49"/>
      <c r="G42" s="49"/>
      <c r="H42" s="48" t="s">
        <v>29</v>
      </c>
      <c r="I42" s="50">
        <v>-0.3908</v>
      </c>
      <c r="J42" s="50">
        <v>-0.395</v>
      </c>
      <c r="K42" s="50">
        <v>-0.3877</v>
      </c>
      <c r="L42" s="50">
        <v>-0.3912</v>
      </c>
      <c r="M42" s="50">
        <v>-0.3918</v>
      </c>
      <c r="N42" s="50">
        <v>-0.3905</v>
      </c>
      <c r="O42" s="50">
        <v>-0.388</v>
      </c>
      <c r="P42" s="50">
        <v>-0.3948</v>
      </c>
      <c r="Q42" s="50">
        <v>-0.3939</v>
      </c>
      <c r="R42" s="50">
        <v>-0.3925</v>
      </c>
      <c r="S42" s="50">
        <v>-0.3932</v>
      </c>
      <c r="T42" s="50"/>
      <c r="U42" s="50"/>
      <c r="V42" s="50"/>
      <c r="W42" s="50"/>
      <c r="X42" s="50"/>
      <c r="Y42" s="54"/>
      <c r="Z42" s="54"/>
      <c r="AA42" s="54"/>
      <c r="AB42" s="54"/>
      <c r="AC42" s="54"/>
      <c r="AD42" s="54"/>
      <c r="AE42" s="53"/>
      <c r="AF42" s="54"/>
      <c r="AG42" s="54"/>
      <c r="AH42" s="54"/>
      <c r="AI42" s="54"/>
      <c r="AJ42" s="54"/>
      <c r="AK42" s="54"/>
      <c r="AL42" s="54"/>
      <c r="AM42" s="54"/>
      <c r="AN42" s="54"/>
    </row>
    <row r="43" ht="15" customHeight="1" spans="1:40">
      <c r="A43" s="46"/>
      <c r="B43" s="52" t="s">
        <v>43</v>
      </c>
      <c r="C43" s="48"/>
      <c r="D43" s="48"/>
      <c r="E43" s="48"/>
      <c r="F43" s="49"/>
      <c r="G43" s="49"/>
      <c r="H43" s="48" t="s">
        <v>29</v>
      </c>
      <c r="I43" s="50">
        <v>-0.3923</v>
      </c>
      <c r="J43" s="50">
        <v>-0.3935</v>
      </c>
      <c r="K43" s="50">
        <v>-0.3861</v>
      </c>
      <c r="L43" s="50">
        <v>-0.3909</v>
      </c>
      <c r="M43" s="50">
        <v>-0.3936</v>
      </c>
      <c r="N43" s="50">
        <v>-0.3908</v>
      </c>
      <c r="O43" s="50">
        <v>-0.3876</v>
      </c>
      <c r="P43" s="50">
        <v>-0.3959</v>
      </c>
      <c r="Q43" s="50">
        <v>-0.3964</v>
      </c>
      <c r="R43" s="50">
        <v>-0.3934</v>
      </c>
      <c r="S43" s="50">
        <v>-0.3941</v>
      </c>
      <c r="T43" s="50"/>
      <c r="U43" s="50"/>
      <c r="V43" s="50"/>
      <c r="W43" s="50"/>
      <c r="X43" s="50"/>
      <c r="Y43" s="54"/>
      <c r="Z43" s="54"/>
      <c r="AA43" s="54"/>
      <c r="AB43" s="54"/>
      <c r="AC43" s="54"/>
      <c r="AD43" s="54"/>
      <c r="AE43" s="53"/>
      <c r="AF43" s="54"/>
      <c r="AG43" s="54"/>
      <c r="AH43" s="54"/>
      <c r="AI43" s="54"/>
      <c r="AJ43" s="54"/>
      <c r="AK43" s="54"/>
      <c r="AL43" s="54"/>
      <c r="AM43" s="54"/>
      <c r="AN43" s="54"/>
    </row>
    <row r="44" ht="15" customHeight="1" spans="1:40">
      <c r="A44" s="46"/>
      <c r="B44" s="52" t="s">
        <v>44</v>
      </c>
      <c r="C44" s="48"/>
      <c r="D44" s="48"/>
      <c r="E44" s="48"/>
      <c r="F44" s="49"/>
      <c r="G44" s="49"/>
      <c r="H44" s="48" t="s">
        <v>29</v>
      </c>
      <c r="I44" s="50">
        <v>-0.3909</v>
      </c>
      <c r="J44" s="50">
        <v>-0.3839</v>
      </c>
      <c r="K44" s="50">
        <v>-0.3845</v>
      </c>
      <c r="L44" s="50">
        <v>-0.3813</v>
      </c>
      <c r="M44" s="50">
        <v>-0.3872</v>
      </c>
      <c r="N44" s="50">
        <v>-0.3896</v>
      </c>
      <c r="O44" s="50">
        <v>-0.3893</v>
      </c>
      <c r="P44" s="50">
        <v>-0.3867</v>
      </c>
      <c r="Q44" s="50">
        <v>-0.398</v>
      </c>
      <c r="R44" s="50">
        <v>-0.3955</v>
      </c>
      <c r="S44" s="50">
        <v>-0.3964</v>
      </c>
      <c r="T44" s="50"/>
      <c r="U44" s="50"/>
      <c r="V44" s="50"/>
      <c r="W44" s="50"/>
      <c r="X44" s="50"/>
      <c r="Y44" s="54"/>
      <c r="Z44" s="54"/>
      <c r="AA44" s="54"/>
      <c r="AB44" s="54"/>
      <c r="AC44" s="54"/>
      <c r="AD44" s="54"/>
      <c r="AE44" s="53"/>
      <c r="AF44" s="54"/>
      <c r="AG44" s="54"/>
      <c r="AH44" s="54"/>
      <c r="AI44" s="54"/>
      <c r="AJ44" s="54"/>
      <c r="AK44" s="54"/>
      <c r="AL44" s="54"/>
      <c r="AM44" s="54"/>
      <c r="AN44" s="54"/>
    </row>
    <row r="45" ht="15" customHeight="1" spans="1:40">
      <c r="A45" s="46"/>
      <c r="B45" s="52" t="s">
        <v>45</v>
      </c>
      <c r="C45" s="48"/>
      <c r="D45" s="48"/>
      <c r="E45" s="48"/>
      <c r="F45" s="49"/>
      <c r="G45" s="49"/>
      <c r="H45" s="48" t="s">
        <v>29</v>
      </c>
      <c r="I45" s="50">
        <v>-0.392</v>
      </c>
      <c r="J45" s="50">
        <v>-0.3829</v>
      </c>
      <c r="K45" s="50">
        <v>-0.3846</v>
      </c>
      <c r="L45" s="50">
        <v>-0.381</v>
      </c>
      <c r="M45" s="50">
        <v>-0.3887</v>
      </c>
      <c r="N45" s="50">
        <v>-0.3916</v>
      </c>
      <c r="O45" s="50">
        <v>-0.3878</v>
      </c>
      <c r="P45" s="50">
        <v>-0.3895</v>
      </c>
      <c r="Q45" s="50">
        <v>-0.402</v>
      </c>
      <c r="R45" s="50">
        <v>-0.3981</v>
      </c>
      <c r="S45" s="50">
        <v>-0.399</v>
      </c>
      <c r="T45" s="50"/>
      <c r="U45" s="50"/>
      <c r="V45" s="50"/>
      <c r="W45" s="50"/>
      <c r="X45" s="50"/>
      <c r="Y45" s="54"/>
      <c r="Z45" s="54"/>
      <c r="AA45" s="54"/>
      <c r="AB45" s="54"/>
      <c r="AC45" s="54"/>
      <c r="AD45" s="54"/>
      <c r="AE45" s="53"/>
      <c r="AF45" s="54"/>
      <c r="AG45" s="54"/>
      <c r="AH45" s="54"/>
      <c r="AI45" s="54"/>
      <c r="AJ45" s="54"/>
      <c r="AK45" s="54"/>
      <c r="AL45" s="54"/>
      <c r="AM45" s="54"/>
      <c r="AN45" s="54"/>
    </row>
    <row r="46" ht="15" customHeight="1" spans="1:40">
      <c r="A46" s="46"/>
      <c r="B46" s="52" t="s">
        <v>46</v>
      </c>
      <c r="C46" s="48"/>
      <c r="D46" s="48"/>
      <c r="E46" s="48"/>
      <c r="F46" s="49"/>
      <c r="G46" s="49"/>
      <c r="H46" s="48" t="s">
        <v>29</v>
      </c>
      <c r="I46" s="50">
        <v>-0.3926</v>
      </c>
      <c r="J46" s="50">
        <v>-0.3804</v>
      </c>
      <c r="K46" s="50">
        <v>-0.385</v>
      </c>
      <c r="L46" s="50">
        <v>-0.3793</v>
      </c>
      <c r="M46" s="50">
        <v>-0.3859</v>
      </c>
      <c r="N46" s="50">
        <v>-0.3898</v>
      </c>
      <c r="O46" s="50">
        <v>-0.3895</v>
      </c>
      <c r="P46" s="50">
        <v>-0.3863</v>
      </c>
      <c r="Q46" s="50">
        <v>-0.4006</v>
      </c>
      <c r="R46" s="50">
        <v>-0.3991</v>
      </c>
      <c r="S46" s="50">
        <v>-0.4002</v>
      </c>
      <c r="T46" s="50"/>
      <c r="U46" s="50"/>
      <c r="V46" s="50"/>
      <c r="W46" s="50"/>
      <c r="X46" s="50"/>
      <c r="Y46" s="54"/>
      <c r="Z46" s="54"/>
      <c r="AA46" s="54"/>
      <c r="AB46" s="54"/>
      <c r="AC46" s="54"/>
      <c r="AD46" s="54"/>
      <c r="AE46" s="53"/>
      <c r="AF46" s="54"/>
      <c r="AG46" s="54"/>
      <c r="AH46" s="54"/>
      <c r="AI46" s="54"/>
      <c r="AJ46" s="54"/>
      <c r="AK46" s="54"/>
      <c r="AL46" s="54"/>
      <c r="AM46" s="54"/>
      <c r="AN46" s="54"/>
    </row>
    <row r="47" ht="15" customHeight="1" spans="1:40">
      <c r="A47" s="46"/>
      <c r="B47" s="52" t="s">
        <v>47</v>
      </c>
      <c r="C47" s="48"/>
      <c r="D47" s="48"/>
      <c r="E47" s="48"/>
      <c r="F47" s="49"/>
      <c r="G47" s="49"/>
      <c r="H47" s="48" t="s">
        <v>29</v>
      </c>
      <c r="I47" s="50">
        <v>-0.3807</v>
      </c>
      <c r="J47" s="50">
        <v>-0.3694</v>
      </c>
      <c r="K47" s="50">
        <v>-0.3791</v>
      </c>
      <c r="L47" s="50">
        <v>-0.3766</v>
      </c>
      <c r="M47" s="50">
        <v>-0.3735</v>
      </c>
      <c r="N47" s="50">
        <v>-0.379</v>
      </c>
      <c r="O47" s="50">
        <v>-0.3742</v>
      </c>
      <c r="P47" s="50">
        <v>-0.3784</v>
      </c>
      <c r="Q47" s="50">
        <v>-0.377</v>
      </c>
      <c r="R47" s="50">
        <v>-0.3672</v>
      </c>
      <c r="S47" s="50">
        <v>-0.3673</v>
      </c>
      <c r="T47" s="50"/>
      <c r="U47" s="50"/>
      <c r="V47" s="50"/>
      <c r="W47" s="50"/>
      <c r="X47" s="50"/>
      <c r="Y47" s="54"/>
      <c r="Z47" s="54"/>
      <c r="AA47" s="54"/>
      <c r="AB47" s="54"/>
      <c r="AC47" s="54"/>
      <c r="AD47" s="54"/>
      <c r="AE47" s="53"/>
      <c r="AF47" s="54"/>
      <c r="AG47" s="54"/>
      <c r="AH47" s="54"/>
      <c r="AI47" s="54"/>
      <c r="AJ47" s="54"/>
      <c r="AK47" s="54"/>
      <c r="AL47" s="54"/>
      <c r="AM47" s="54"/>
      <c r="AN47" s="54"/>
    </row>
    <row r="48" ht="15" customHeight="1" spans="1:40">
      <c r="A48" s="46"/>
      <c r="B48" s="52" t="s">
        <v>48</v>
      </c>
      <c r="C48" s="48"/>
      <c r="D48" s="48"/>
      <c r="E48" s="48"/>
      <c r="F48" s="49"/>
      <c r="G48" s="49"/>
      <c r="H48" s="48" t="s">
        <v>29</v>
      </c>
      <c r="I48" s="50">
        <v>-0.3957</v>
      </c>
      <c r="J48" s="50">
        <v>-0.3801</v>
      </c>
      <c r="K48" s="50">
        <v>-0.3918</v>
      </c>
      <c r="L48" s="50">
        <v>-0.3987</v>
      </c>
      <c r="M48" s="50">
        <v>-0.391</v>
      </c>
      <c r="N48" s="50">
        <v>-0.3917</v>
      </c>
      <c r="O48" s="50">
        <v>-0.3865</v>
      </c>
      <c r="P48" s="50">
        <v>-0.3988</v>
      </c>
      <c r="Q48" s="50">
        <v>-0.391</v>
      </c>
      <c r="R48" s="50">
        <v>-0.3809</v>
      </c>
      <c r="S48" s="50">
        <v>-0.3808</v>
      </c>
      <c r="T48" s="50"/>
      <c r="U48" s="50"/>
      <c r="V48" s="50"/>
      <c r="W48" s="50"/>
      <c r="X48" s="50"/>
      <c r="Y48" s="54"/>
      <c r="Z48" s="54"/>
      <c r="AA48" s="54"/>
      <c r="AB48" s="54"/>
      <c r="AC48" s="54"/>
      <c r="AD48" s="54"/>
      <c r="AE48" s="53"/>
      <c r="AF48" s="54"/>
      <c r="AG48" s="54"/>
      <c r="AH48" s="54"/>
      <c r="AI48" s="54"/>
      <c r="AJ48" s="54"/>
      <c r="AK48" s="54"/>
      <c r="AL48" s="54"/>
      <c r="AM48" s="54"/>
      <c r="AN48" s="54"/>
    </row>
    <row r="49" ht="15" customHeight="1" spans="1:40">
      <c r="A49" s="46"/>
      <c r="B49" s="52" t="s">
        <v>49</v>
      </c>
      <c r="C49" s="48"/>
      <c r="D49" s="48"/>
      <c r="E49" s="48"/>
      <c r="F49" s="49"/>
      <c r="G49" s="49"/>
      <c r="H49" s="48" t="s">
        <v>29</v>
      </c>
      <c r="I49" s="50">
        <v>-0.3974</v>
      </c>
      <c r="J49" s="50">
        <v>-0.389</v>
      </c>
      <c r="K49" s="50">
        <v>-0.393</v>
      </c>
      <c r="L49" s="50">
        <v>-0.3992</v>
      </c>
      <c r="M49" s="50">
        <v>-0.3952</v>
      </c>
      <c r="N49" s="50">
        <v>-0.3929</v>
      </c>
      <c r="O49" s="50">
        <v>-0.3921</v>
      </c>
      <c r="P49" s="50">
        <v>-0.4014</v>
      </c>
      <c r="Q49" s="50">
        <v>-0.3966</v>
      </c>
      <c r="R49" s="50">
        <v>-0.389</v>
      </c>
      <c r="S49" s="50">
        <v>-0.3892</v>
      </c>
      <c r="T49" s="50"/>
      <c r="U49" s="50"/>
      <c r="V49" s="50"/>
      <c r="W49" s="50"/>
      <c r="X49" s="50"/>
      <c r="Y49" s="54"/>
      <c r="Z49" s="54"/>
      <c r="AA49" s="54"/>
      <c r="AB49" s="54"/>
      <c r="AC49" s="54"/>
      <c r="AD49" s="54"/>
      <c r="AE49" s="53"/>
      <c r="AF49" s="54"/>
      <c r="AG49" s="54"/>
      <c r="AH49" s="54"/>
      <c r="AI49" s="54"/>
      <c r="AJ49" s="54"/>
      <c r="AK49" s="54"/>
      <c r="AL49" s="54"/>
      <c r="AM49" s="54"/>
      <c r="AN49" s="54"/>
    </row>
    <row r="50" ht="15" customHeight="1" spans="1:40">
      <c r="A50" s="46"/>
      <c r="B50" s="52" t="s">
        <v>50</v>
      </c>
      <c r="C50" s="48"/>
      <c r="D50" s="48"/>
      <c r="E50" s="48"/>
      <c r="F50" s="49"/>
      <c r="G50" s="49"/>
      <c r="H50" s="48" t="s">
        <v>29</v>
      </c>
      <c r="I50" s="50">
        <v>-0.39</v>
      </c>
      <c r="J50" s="50">
        <v>-0.3871</v>
      </c>
      <c r="K50" s="50">
        <v>-0.3877</v>
      </c>
      <c r="L50" s="50">
        <v>-0.3855</v>
      </c>
      <c r="M50" s="50">
        <v>-0.3882</v>
      </c>
      <c r="N50" s="50">
        <v>-0.3895</v>
      </c>
      <c r="O50" s="50">
        <v>-0.3876</v>
      </c>
      <c r="P50" s="50">
        <v>-0.3904</v>
      </c>
      <c r="Q50" s="50">
        <v>-0.3897</v>
      </c>
      <c r="R50" s="50">
        <v>-0.3896</v>
      </c>
      <c r="S50" s="50">
        <v>-0.3901</v>
      </c>
      <c r="T50" s="50"/>
      <c r="U50" s="50"/>
      <c r="V50" s="50"/>
      <c r="W50" s="50"/>
      <c r="X50" s="50"/>
      <c r="Y50" s="54"/>
      <c r="Z50" s="54"/>
      <c r="AA50" s="54"/>
      <c r="AB50" s="54"/>
      <c r="AC50" s="54"/>
      <c r="AD50" s="54"/>
      <c r="AE50" s="53"/>
      <c r="AF50" s="54"/>
      <c r="AG50" s="54"/>
      <c r="AH50" s="54"/>
      <c r="AI50" s="54"/>
      <c r="AJ50" s="54"/>
      <c r="AK50" s="54"/>
      <c r="AL50" s="54"/>
      <c r="AM50" s="54"/>
      <c r="AN50" s="54"/>
    </row>
    <row r="51" ht="15" customHeight="1" spans="1:40">
      <c r="A51" s="46"/>
      <c r="B51" s="52" t="s">
        <v>51</v>
      </c>
      <c r="C51" s="48"/>
      <c r="D51" s="48"/>
      <c r="E51" s="48"/>
      <c r="F51" s="49"/>
      <c r="G51" s="49"/>
      <c r="H51" s="48" t="s">
        <v>29</v>
      </c>
      <c r="I51" s="50">
        <v>-0.3903</v>
      </c>
      <c r="J51" s="50">
        <v>-0.3922</v>
      </c>
      <c r="K51" s="50">
        <v>-0.3872</v>
      </c>
      <c r="L51" s="50">
        <v>-0.3889</v>
      </c>
      <c r="M51" s="50">
        <v>-0.3899</v>
      </c>
      <c r="N51" s="50">
        <v>-0.3911</v>
      </c>
      <c r="O51" s="50">
        <v>-0.3886</v>
      </c>
      <c r="P51" s="50">
        <v>-0.3935</v>
      </c>
      <c r="Q51" s="50">
        <v>-0.3944</v>
      </c>
      <c r="R51" s="50">
        <v>-0.3938</v>
      </c>
      <c r="S51" s="50">
        <v>-0.3946</v>
      </c>
      <c r="T51" s="50"/>
      <c r="U51" s="50"/>
      <c r="V51" s="50"/>
      <c r="W51" s="50"/>
      <c r="X51" s="50"/>
      <c r="Y51" s="54"/>
      <c r="Z51" s="54"/>
      <c r="AA51" s="54"/>
      <c r="AB51" s="54"/>
      <c r="AC51" s="54"/>
      <c r="AD51" s="54"/>
      <c r="AE51" s="53"/>
      <c r="AF51" s="54"/>
      <c r="AG51" s="54"/>
      <c r="AH51" s="54"/>
      <c r="AI51" s="54"/>
      <c r="AJ51" s="54"/>
      <c r="AK51" s="54"/>
      <c r="AL51" s="54"/>
      <c r="AM51" s="54"/>
      <c r="AN51" s="54"/>
    </row>
    <row r="52" ht="15" customHeight="1" spans="1:40">
      <c r="A52" s="46"/>
      <c r="B52" s="52" t="s">
        <v>52</v>
      </c>
      <c r="C52" s="48"/>
      <c r="D52" s="48"/>
      <c r="E52" s="48"/>
      <c r="F52" s="49"/>
      <c r="G52" s="49"/>
      <c r="H52" s="48" t="s">
        <v>29</v>
      </c>
      <c r="I52" s="50">
        <v>-0.3921</v>
      </c>
      <c r="J52" s="50">
        <v>-0.3999</v>
      </c>
      <c r="K52" s="50">
        <v>-0.3916</v>
      </c>
      <c r="L52" s="50">
        <v>-0.3978</v>
      </c>
      <c r="M52" s="50">
        <v>-0.3964</v>
      </c>
      <c r="N52" s="50">
        <v>-0.3899</v>
      </c>
      <c r="O52" s="50">
        <v>-0.3875</v>
      </c>
      <c r="P52" s="50">
        <v>-0.4011</v>
      </c>
      <c r="Q52" s="50">
        <v>-0.3983</v>
      </c>
      <c r="R52" s="50">
        <v>-0.3952</v>
      </c>
      <c r="S52" s="50">
        <v>-0.3961</v>
      </c>
      <c r="T52" s="50"/>
      <c r="U52" s="50"/>
      <c r="V52" s="50"/>
      <c r="W52" s="50"/>
      <c r="X52" s="50"/>
      <c r="Y52" s="54"/>
      <c r="Z52" s="54"/>
      <c r="AA52" s="54"/>
      <c r="AB52" s="54"/>
      <c r="AC52" s="54"/>
      <c r="AD52" s="54"/>
      <c r="AE52" s="53"/>
      <c r="AF52" s="54"/>
      <c r="AG52" s="54"/>
      <c r="AH52" s="54"/>
      <c r="AI52" s="54"/>
      <c r="AJ52" s="54"/>
      <c r="AK52" s="54"/>
      <c r="AL52" s="54"/>
      <c r="AM52" s="54"/>
      <c r="AN52" s="54"/>
    </row>
    <row r="53" ht="15" customHeight="1" spans="1:40">
      <c r="A53" s="46"/>
      <c r="B53" s="52" t="s">
        <v>53</v>
      </c>
      <c r="C53" s="48"/>
      <c r="D53" s="48"/>
      <c r="E53" s="48"/>
      <c r="F53" s="49"/>
      <c r="G53" s="49"/>
      <c r="H53" s="48" t="s">
        <v>29</v>
      </c>
      <c r="I53" s="50">
        <v>-0.3896</v>
      </c>
      <c r="J53" s="50">
        <v>-0.3924</v>
      </c>
      <c r="K53" s="50">
        <v>-0.3888</v>
      </c>
      <c r="L53" s="50">
        <v>-0.3883</v>
      </c>
      <c r="M53" s="50">
        <v>-0.3887</v>
      </c>
      <c r="N53" s="50">
        <v>-0.3884</v>
      </c>
      <c r="O53" s="50">
        <v>-0.3869</v>
      </c>
      <c r="P53" s="50">
        <v>-0.3906</v>
      </c>
      <c r="Q53" s="50">
        <v>-0.3954</v>
      </c>
      <c r="R53" s="50">
        <v>-0.3949</v>
      </c>
      <c r="S53" s="50">
        <v>-0.3958</v>
      </c>
      <c r="T53" s="50"/>
      <c r="U53" s="50"/>
      <c r="V53" s="50"/>
      <c r="W53" s="50"/>
      <c r="X53" s="50"/>
      <c r="Y53" s="54"/>
      <c r="Z53" s="54"/>
      <c r="AA53" s="54"/>
      <c r="AB53" s="54"/>
      <c r="AC53" s="54"/>
      <c r="AD53" s="54"/>
      <c r="AE53" s="53"/>
      <c r="AF53" s="54"/>
      <c r="AG53" s="54"/>
      <c r="AH53" s="54"/>
      <c r="AI53" s="54"/>
      <c r="AJ53" s="54"/>
      <c r="AK53" s="54"/>
      <c r="AL53" s="54"/>
      <c r="AM53" s="54"/>
      <c r="AN53" s="54"/>
    </row>
    <row r="54" ht="15" customHeight="1" spans="1:40">
      <c r="A54" s="46"/>
      <c r="B54" s="52" t="s">
        <v>54</v>
      </c>
      <c r="C54" s="48"/>
      <c r="D54" s="48"/>
      <c r="E54" s="48"/>
      <c r="F54" s="49"/>
      <c r="G54" s="49"/>
      <c r="H54" s="48" t="s">
        <v>29</v>
      </c>
      <c r="I54" s="50">
        <v>-0.3923</v>
      </c>
      <c r="J54" s="50">
        <v>-0.3993</v>
      </c>
      <c r="K54" s="50">
        <v>-0.3919</v>
      </c>
      <c r="L54" s="50">
        <v>-0.3953</v>
      </c>
      <c r="M54" s="50">
        <v>-0.3934</v>
      </c>
      <c r="N54" s="50">
        <v>-0.3883</v>
      </c>
      <c r="O54" s="50">
        <v>-0.3872</v>
      </c>
      <c r="P54" s="50">
        <v>-0.3991</v>
      </c>
      <c r="Q54" s="50">
        <v>-0.4011</v>
      </c>
      <c r="R54" s="50">
        <v>-0.3977</v>
      </c>
      <c r="S54" s="50">
        <v>-0.3988</v>
      </c>
      <c r="T54" s="50"/>
      <c r="U54" s="50"/>
      <c r="V54" s="50"/>
      <c r="W54" s="50"/>
      <c r="X54" s="50"/>
      <c r="Y54" s="54"/>
      <c r="Z54" s="54"/>
      <c r="AA54" s="54"/>
      <c r="AB54" s="54"/>
      <c r="AC54" s="54"/>
      <c r="AD54" s="54"/>
      <c r="AE54" s="53"/>
      <c r="AF54" s="54"/>
      <c r="AG54" s="54"/>
      <c r="AH54" s="54"/>
      <c r="AI54" s="54"/>
      <c r="AJ54" s="54"/>
      <c r="AK54" s="54"/>
      <c r="AL54" s="54"/>
      <c r="AM54" s="54"/>
      <c r="AN54" s="54"/>
    </row>
    <row r="55" ht="15" customHeight="1" spans="1:40">
      <c r="A55" s="46"/>
      <c r="B55" s="52" t="s">
        <v>55</v>
      </c>
      <c r="C55" s="48"/>
      <c r="D55" s="48"/>
      <c r="E55" s="48"/>
      <c r="F55" s="49"/>
      <c r="G55" s="49"/>
      <c r="H55" s="48" t="s">
        <v>29</v>
      </c>
      <c r="I55" s="50">
        <v>-0.3926</v>
      </c>
      <c r="J55" s="50">
        <v>-0.4</v>
      </c>
      <c r="K55" s="50">
        <v>-0.3963</v>
      </c>
      <c r="L55" s="50">
        <v>-0.3993</v>
      </c>
      <c r="M55" s="50">
        <v>-0.395</v>
      </c>
      <c r="N55" s="50">
        <v>-0.3853</v>
      </c>
      <c r="O55" s="50">
        <v>-0.3849</v>
      </c>
      <c r="P55" s="50">
        <v>-0.4018</v>
      </c>
      <c r="Q55" s="50">
        <v>-0.405</v>
      </c>
      <c r="R55" s="50">
        <v>-0.3994</v>
      </c>
      <c r="S55" s="50">
        <v>-0.4006</v>
      </c>
      <c r="T55" s="50"/>
      <c r="U55" s="50"/>
      <c r="V55" s="50"/>
      <c r="W55" s="50"/>
      <c r="X55" s="50"/>
      <c r="Y55" s="54"/>
      <c r="Z55" s="54"/>
      <c r="AA55" s="54"/>
      <c r="AB55" s="54"/>
      <c r="AC55" s="54"/>
      <c r="AD55" s="54"/>
      <c r="AE55" s="53"/>
      <c r="AF55" s="54"/>
      <c r="AG55" s="54"/>
      <c r="AH55" s="54"/>
      <c r="AI55" s="54"/>
      <c r="AJ55" s="54"/>
      <c r="AK55" s="54"/>
      <c r="AL55" s="54"/>
      <c r="AM55" s="54"/>
      <c r="AN55" s="54"/>
    </row>
    <row r="56" ht="15" customHeight="1" spans="1:40">
      <c r="A56" s="46"/>
      <c r="B56" s="52" t="s">
        <v>56</v>
      </c>
      <c r="C56" s="48"/>
      <c r="D56" s="48"/>
      <c r="E56" s="48"/>
      <c r="F56" s="49"/>
      <c r="G56" s="49"/>
      <c r="H56" s="48" t="s">
        <v>29</v>
      </c>
      <c r="I56" s="50">
        <v>-0.3893</v>
      </c>
      <c r="J56" s="50">
        <v>-0.3932</v>
      </c>
      <c r="K56" s="50">
        <v>-0.3916</v>
      </c>
      <c r="L56" s="50">
        <v>-0.3903</v>
      </c>
      <c r="M56" s="50">
        <v>-0.3894</v>
      </c>
      <c r="N56" s="50">
        <v>-0.3876</v>
      </c>
      <c r="O56" s="50">
        <v>-0.3863</v>
      </c>
      <c r="P56" s="50">
        <v>-0.3889</v>
      </c>
      <c r="Q56" s="50">
        <v>-0.4037</v>
      </c>
      <c r="R56" s="50">
        <v>-0.4013</v>
      </c>
      <c r="S56" s="50">
        <v>-0.4024</v>
      </c>
      <c r="T56" s="50"/>
      <c r="U56" s="50"/>
      <c r="V56" s="50"/>
      <c r="W56" s="50"/>
      <c r="X56" s="50"/>
      <c r="Y56" s="54"/>
      <c r="Z56" s="54"/>
      <c r="AA56" s="54"/>
      <c r="AB56" s="54"/>
      <c r="AC56" s="54"/>
      <c r="AD56" s="54"/>
      <c r="AE56" s="53"/>
      <c r="AF56" s="54"/>
      <c r="AG56" s="54"/>
      <c r="AH56" s="54"/>
      <c r="AI56" s="54"/>
      <c r="AJ56" s="54"/>
      <c r="AK56" s="54"/>
      <c r="AL56" s="54"/>
      <c r="AM56" s="54"/>
      <c r="AN56" s="54"/>
    </row>
    <row r="57" ht="15" customHeight="1" spans="1:40">
      <c r="A57" s="46"/>
      <c r="B57" s="52" t="s">
        <v>57</v>
      </c>
      <c r="C57" s="48"/>
      <c r="D57" s="48"/>
      <c r="E57" s="48"/>
      <c r="F57" s="49"/>
      <c r="G57" s="49"/>
      <c r="H57" s="48" t="s">
        <v>29</v>
      </c>
      <c r="I57" s="50">
        <v>-0.389</v>
      </c>
      <c r="J57" s="50">
        <v>-0.387</v>
      </c>
      <c r="K57" s="50">
        <v>-0.392</v>
      </c>
      <c r="L57" s="50">
        <v>-0.3889</v>
      </c>
      <c r="M57" s="50">
        <v>-0.3849</v>
      </c>
      <c r="N57" s="50">
        <v>-0.3794</v>
      </c>
      <c r="O57" s="50">
        <v>-0.3872</v>
      </c>
      <c r="P57" s="50">
        <v>-0.385</v>
      </c>
      <c r="Q57" s="50">
        <v>-0.4032</v>
      </c>
      <c r="R57" s="50">
        <v>-0.4065</v>
      </c>
      <c r="S57" s="50">
        <v>-0.4076</v>
      </c>
      <c r="T57" s="50"/>
      <c r="U57" s="50"/>
      <c r="V57" s="50"/>
      <c r="W57" s="50"/>
      <c r="X57" s="50"/>
      <c r="Y57" s="54"/>
      <c r="Z57" s="54"/>
      <c r="AA57" s="54"/>
      <c r="AB57" s="54"/>
      <c r="AC57" s="54"/>
      <c r="AD57" s="54"/>
      <c r="AE57" s="53"/>
      <c r="AF57" s="54"/>
      <c r="AG57" s="54"/>
      <c r="AH57" s="54"/>
      <c r="AI57" s="54"/>
      <c r="AJ57" s="54"/>
      <c r="AK57" s="54"/>
      <c r="AL57" s="54"/>
      <c r="AM57" s="54"/>
      <c r="AN57" s="54"/>
    </row>
    <row r="58" ht="15" customHeight="1" spans="1:40">
      <c r="A58" s="46"/>
      <c r="B58" s="52" t="s">
        <v>58</v>
      </c>
      <c r="C58" s="48"/>
      <c r="D58" s="48"/>
      <c r="E58" s="48"/>
      <c r="F58" s="49"/>
      <c r="G58" s="49"/>
      <c r="H58" s="48" t="s">
        <v>29</v>
      </c>
      <c r="I58" s="50">
        <v>-0.3891</v>
      </c>
      <c r="J58" s="50">
        <v>-0.3904</v>
      </c>
      <c r="K58" s="50">
        <v>-0.3958</v>
      </c>
      <c r="L58" s="50">
        <v>-0.3968</v>
      </c>
      <c r="M58" s="50">
        <v>-0.3897</v>
      </c>
      <c r="N58" s="50">
        <v>-0.3781</v>
      </c>
      <c r="O58" s="50">
        <v>-0.3857</v>
      </c>
      <c r="P58" s="50">
        <v>-0.3908</v>
      </c>
      <c r="Q58" s="50">
        <v>-0.4063</v>
      </c>
      <c r="R58" s="50">
        <v>-0.4065</v>
      </c>
      <c r="S58" s="50">
        <v>-0.4079</v>
      </c>
      <c r="T58" s="50"/>
      <c r="U58" s="50"/>
      <c r="V58" s="50"/>
      <c r="W58" s="50"/>
      <c r="X58" s="50"/>
      <c r="Y58" s="54"/>
      <c r="Z58" s="54"/>
      <c r="AA58" s="54"/>
      <c r="AB58" s="54"/>
      <c r="AC58" s="54"/>
      <c r="AD58" s="54"/>
      <c r="AE58" s="53"/>
      <c r="AF58" s="54"/>
      <c r="AG58" s="54"/>
      <c r="AH58" s="54"/>
      <c r="AI58" s="54"/>
      <c r="AJ58" s="54"/>
      <c r="AK58" s="54"/>
      <c r="AL58" s="54"/>
      <c r="AM58" s="54"/>
      <c r="AN58" s="54"/>
    </row>
    <row r="59" ht="15" customHeight="1" spans="1:40">
      <c r="A59" s="46"/>
      <c r="B59" s="55" t="s">
        <v>59</v>
      </c>
      <c r="C59" s="56">
        <v>0.4</v>
      </c>
      <c r="D59" s="56">
        <v>0.03</v>
      </c>
      <c r="E59" s="56">
        <v>-0.03</v>
      </c>
      <c r="F59" s="56">
        <f>C59+D59</f>
        <v>0.43</v>
      </c>
      <c r="G59" s="56">
        <f>C59+E59</f>
        <v>0.37</v>
      </c>
      <c r="H59" s="48" t="s">
        <v>29</v>
      </c>
      <c r="I59" s="50" cm="1">
        <f t="array" ref="I59">(I34/2)+MAX(ABS(I35:I58))</f>
        <v>0.4011</v>
      </c>
      <c r="J59" s="50" cm="1">
        <f t="array" ref="J59">(J34/2)+MAX(ABS(J35:J58))</f>
        <v>0.4105</v>
      </c>
      <c r="K59" s="50">
        <v>0.0102</v>
      </c>
      <c r="L59" s="50" cm="1">
        <f t="array" ref="L59">(L34/2)+MAX(ABS(L35:L58))</f>
        <v>0.4052</v>
      </c>
      <c r="M59" s="50" cm="1">
        <f t="array" ref="M59">(M34/2)+MAX(ABS(M35:M58))</f>
        <v>0.401</v>
      </c>
      <c r="N59" s="50" cm="1">
        <f t="array" ref="N59">(N34/2)+MAX(ABS(N35:N58))</f>
        <v>0.39745</v>
      </c>
      <c r="O59" s="50">
        <v>0.0111</v>
      </c>
      <c r="P59" s="50" cm="1">
        <f t="array" ref="P59">(P34/2)+MAX(ABS(P35:P58))</f>
        <v>0.40965</v>
      </c>
      <c r="Q59" s="50">
        <v>0.0085</v>
      </c>
      <c r="R59" s="50">
        <v>0.0157</v>
      </c>
      <c r="S59" s="50">
        <v>0.0159</v>
      </c>
      <c r="T59" s="50" cm="1">
        <f t="array" ref="T59">(T34/2)+MAX(ABS(T35:T58))</f>
        <v>0</v>
      </c>
      <c r="U59" s="50" cm="1">
        <f t="array" ref="U59">(U34/2)+MAX(ABS(U35:U58))</f>
        <v>0</v>
      </c>
      <c r="V59" s="50" cm="1">
        <f t="array" ref="V59">(V34/2)+MAX(ABS(V35:V58))</f>
        <v>0</v>
      </c>
      <c r="W59" s="50" cm="1">
        <f t="array" ref="W59">(W34/2)+MAX(ABS(W35:W58))</f>
        <v>0</v>
      </c>
      <c r="X59" s="50" cm="1">
        <f t="array" ref="X59">(X34/2)+MAX(ABS(X35:X58))</f>
        <v>0</v>
      </c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</row>
    <row r="60" ht="15" customHeight="1" spans="1:40">
      <c r="A60" s="46"/>
      <c r="B60" s="52" t="s">
        <v>60</v>
      </c>
      <c r="C60" s="48">
        <v>0</v>
      </c>
      <c r="D60" s="48">
        <v>0.01</v>
      </c>
      <c r="E60" s="48">
        <v>0</v>
      </c>
      <c r="F60" s="49">
        <f>C60+D60</f>
        <v>0.01</v>
      </c>
      <c r="G60" s="49">
        <f>C60+E60</f>
        <v>0</v>
      </c>
      <c r="H60" s="48" t="s">
        <v>29</v>
      </c>
      <c r="I60" s="50">
        <v>0.0082</v>
      </c>
      <c r="J60" s="50">
        <v>0.0168</v>
      </c>
      <c r="K60" s="50">
        <v>0.0042</v>
      </c>
      <c r="L60" s="50">
        <v>0.0118</v>
      </c>
      <c r="M60" s="50">
        <v>0.0143</v>
      </c>
      <c r="N60" s="50">
        <v>0.0067</v>
      </c>
      <c r="O60" s="50">
        <v>0.0008</v>
      </c>
      <c r="P60" s="50">
        <v>0.0099</v>
      </c>
      <c r="Q60" s="50">
        <v>0.0043</v>
      </c>
      <c r="R60" s="50">
        <v>0</v>
      </c>
      <c r="S60" s="50">
        <v>-0.0001</v>
      </c>
      <c r="T60" s="50"/>
      <c r="U60" s="50"/>
      <c r="V60" s="50"/>
      <c r="W60" s="50"/>
      <c r="X60" s="50"/>
      <c r="Y60" s="53" t="str">
        <f t="shared" ref="Y60:AN60" si="7">IF(I60="","",IF(I60&gt;($C60+$D60),(I60-$C60-$D60),IF(I60&lt;($C60+$E60),(I60-$C60-$E60),"√")))</f>
        <v>√</v>
      </c>
      <c r="Z60" s="53">
        <f t="shared" si="7"/>
        <v>0.0068</v>
      </c>
      <c r="AA60" s="53" t="str">
        <f t="shared" si="7"/>
        <v>√</v>
      </c>
      <c r="AB60" s="53">
        <f t="shared" si="7"/>
        <v>0.0018</v>
      </c>
      <c r="AC60" s="53">
        <f t="shared" si="7"/>
        <v>0.0043</v>
      </c>
      <c r="AD60" s="53" t="str">
        <f t="shared" si="7"/>
        <v>√</v>
      </c>
      <c r="AE60" s="53" t="str">
        <f t="shared" si="7"/>
        <v>√</v>
      </c>
      <c r="AF60" s="53" t="str">
        <f t="shared" si="7"/>
        <v>√</v>
      </c>
      <c r="AG60" s="53" t="str">
        <f t="shared" si="7"/>
        <v>√</v>
      </c>
      <c r="AH60" s="53" t="str">
        <f t="shared" si="7"/>
        <v>√</v>
      </c>
      <c r="AI60" s="53">
        <f t="shared" si="7"/>
        <v>-0.0001</v>
      </c>
      <c r="AJ60" s="53" t="str">
        <f t="shared" si="7"/>
        <v/>
      </c>
      <c r="AK60" s="53" t="str">
        <f t="shared" si="7"/>
        <v/>
      </c>
      <c r="AL60" s="53" t="str">
        <f t="shared" si="7"/>
        <v/>
      </c>
      <c r="AM60" s="53" t="str">
        <f t="shared" si="7"/>
        <v/>
      </c>
      <c r="AN60" s="53" t="str">
        <f t="shared" si="7"/>
        <v/>
      </c>
    </row>
    <row r="61" ht="15" customHeight="1" spans="1:40">
      <c r="A61" s="46"/>
      <c r="B61" s="52">
        <v>1</v>
      </c>
      <c r="C61" s="48"/>
      <c r="D61" s="48"/>
      <c r="E61" s="48"/>
      <c r="F61" s="49"/>
      <c r="G61" s="49"/>
      <c r="H61" s="48" t="s">
        <v>29</v>
      </c>
      <c r="I61" s="50">
        <v>0.0041</v>
      </c>
      <c r="J61" s="50">
        <v>-0.0062</v>
      </c>
      <c r="K61" s="50">
        <v>-0.0051</v>
      </c>
      <c r="L61" s="50">
        <v>0.0042</v>
      </c>
      <c r="M61" s="50">
        <v>0.0038</v>
      </c>
      <c r="N61" s="50">
        <v>0.0034</v>
      </c>
      <c r="O61" s="50">
        <v>-0.0056</v>
      </c>
      <c r="P61" s="50">
        <v>0.0045</v>
      </c>
      <c r="Q61" s="50">
        <v>-0.0043</v>
      </c>
      <c r="R61" s="50">
        <v>-0.0079</v>
      </c>
      <c r="S61" s="50">
        <v>-0.008</v>
      </c>
      <c r="T61" s="50"/>
      <c r="U61" s="50"/>
      <c r="V61" s="50"/>
      <c r="W61" s="50"/>
      <c r="X61" s="50"/>
      <c r="Y61" s="54"/>
      <c r="Z61" s="54"/>
      <c r="AA61" s="54"/>
      <c r="AB61" s="54"/>
      <c r="AC61" s="54"/>
      <c r="AD61" s="54"/>
      <c r="AE61" s="53"/>
      <c r="AF61" s="54"/>
      <c r="AG61" s="54"/>
      <c r="AH61" s="54"/>
      <c r="AI61" s="54"/>
      <c r="AJ61" s="54"/>
      <c r="AK61" s="54"/>
      <c r="AL61" s="54"/>
      <c r="AM61" s="54"/>
      <c r="AN61" s="54"/>
    </row>
    <row r="62" ht="15" customHeight="1" spans="1:40">
      <c r="A62" s="46"/>
      <c r="B62" s="52">
        <v>2</v>
      </c>
      <c r="C62" s="48"/>
      <c r="D62" s="48"/>
      <c r="E62" s="48"/>
      <c r="F62" s="49"/>
      <c r="G62" s="49"/>
      <c r="H62" s="48" t="s">
        <v>29</v>
      </c>
      <c r="I62" s="50">
        <v>-0.0041</v>
      </c>
      <c r="J62" s="50">
        <v>-0.0084</v>
      </c>
      <c r="K62" s="50">
        <v>0.0051</v>
      </c>
      <c r="L62" s="50">
        <v>-0.0059</v>
      </c>
      <c r="M62" s="50">
        <v>-0.0071</v>
      </c>
      <c r="N62" s="50">
        <v>-0.0034</v>
      </c>
      <c r="O62" s="50">
        <v>0.0056</v>
      </c>
      <c r="P62" s="50">
        <v>-0.005</v>
      </c>
      <c r="Q62" s="50">
        <v>0.0031</v>
      </c>
      <c r="R62" s="50">
        <v>0.0079</v>
      </c>
      <c r="S62" s="50">
        <v>0.008</v>
      </c>
      <c r="T62" s="50"/>
      <c r="U62" s="50"/>
      <c r="V62" s="50"/>
      <c r="W62" s="50"/>
      <c r="X62" s="50"/>
      <c r="Y62" s="54"/>
      <c r="Z62" s="54"/>
      <c r="AA62" s="54"/>
      <c r="AB62" s="54"/>
      <c r="AC62" s="54"/>
      <c r="AD62" s="54"/>
      <c r="AE62" s="53"/>
      <c r="AF62" s="54"/>
      <c r="AG62" s="54"/>
      <c r="AH62" s="54"/>
      <c r="AI62" s="54"/>
      <c r="AJ62" s="54"/>
      <c r="AK62" s="54"/>
      <c r="AL62" s="54"/>
      <c r="AM62" s="54"/>
      <c r="AN62" s="54"/>
    </row>
    <row r="63" ht="15" customHeight="1" spans="1:40">
      <c r="A63" s="46"/>
      <c r="B63" s="52">
        <v>3</v>
      </c>
      <c r="C63" s="48"/>
      <c r="D63" s="48"/>
      <c r="E63" s="48"/>
      <c r="F63" s="49"/>
      <c r="G63" s="49"/>
      <c r="H63" s="48" t="s">
        <v>29</v>
      </c>
      <c r="I63" s="50">
        <v>0.0038</v>
      </c>
      <c r="J63" s="50">
        <v>0.0012</v>
      </c>
      <c r="K63" s="50">
        <v>0.0044</v>
      </c>
      <c r="L63" s="50">
        <v>0.0059</v>
      </c>
      <c r="M63" s="50">
        <v>0.0071</v>
      </c>
      <c r="N63" s="50">
        <v>0.003</v>
      </c>
      <c r="O63" s="50">
        <v>0.0056</v>
      </c>
      <c r="P63" s="50">
        <v>0.005</v>
      </c>
      <c r="Q63" s="50">
        <v>0.0043</v>
      </c>
      <c r="R63" s="50">
        <v>0.0079</v>
      </c>
      <c r="S63" s="50">
        <v>0.008</v>
      </c>
      <c r="T63" s="50"/>
      <c r="U63" s="50"/>
      <c r="V63" s="50"/>
      <c r="W63" s="50"/>
      <c r="X63" s="50"/>
      <c r="Y63" s="54"/>
      <c r="Z63" s="54"/>
      <c r="AA63" s="54"/>
      <c r="AB63" s="54"/>
      <c r="AC63" s="54"/>
      <c r="AD63" s="54"/>
      <c r="AE63" s="53"/>
      <c r="AF63" s="54"/>
      <c r="AG63" s="54"/>
      <c r="AH63" s="54"/>
      <c r="AI63" s="54"/>
      <c r="AJ63" s="54"/>
      <c r="AK63" s="54"/>
      <c r="AL63" s="54"/>
      <c r="AM63" s="54"/>
      <c r="AN63" s="54"/>
    </row>
    <row r="64" ht="15" customHeight="1" spans="1:40">
      <c r="A64" s="46"/>
      <c r="B64" s="52">
        <v>4</v>
      </c>
      <c r="C64" s="48"/>
      <c r="D64" s="48"/>
      <c r="E64" s="48"/>
      <c r="F64" s="49"/>
      <c r="G64" s="49"/>
      <c r="H64" s="48" t="s">
        <v>29</v>
      </c>
      <c r="I64" s="50">
        <v>0.0041</v>
      </c>
      <c r="J64" s="50">
        <v>0.0065</v>
      </c>
      <c r="K64" s="50">
        <v>0.0019</v>
      </c>
      <c r="L64" s="50">
        <v>0.0059</v>
      </c>
      <c r="M64" s="50">
        <v>0.0071</v>
      </c>
      <c r="N64" s="50">
        <v>0.0034</v>
      </c>
      <c r="O64" s="50">
        <v>0.0034</v>
      </c>
      <c r="P64" s="50">
        <v>0.005</v>
      </c>
      <c r="Q64" s="50">
        <v>0.0015</v>
      </c>
      <c r="R64" s="50">
        <v>0.0055</v>
      </c>
      <c r="S64" s="50">
        <v>0.0057</v>
      </c>
      <c r="T64" s="50"/>
      <c r="U64" s="50"/>
      <c r="V64" s="50"/>
      <c r="W64" s="50"/>
      <c r="X64" s="50"/>
      <c r="Y64" s="54"/>
      <c r="Z64" s="54"/>
      <c r="AA64" s="54"/>
      <c r="AB64" s="54"/>
      <c r="AC64" s="54"/>
      <c r="AD64" s="54"/>
      <c r="AE64" s="53"/>
      <c r="AF64" s="54"/>
      <c r="AG64" s="54"/>
      <c r="AH64" s="54"/>
      <c r="AI64" s="54"/>
      <c r="AJ64" s="54"/>
      <c r="AK64" s="54"/>
      <c r="AL64" s="54"/>
      <c r="AM64" s="54"/>
      <c r="AN64" s="54"/>
    </row>
    <row r="65" ht="15" customHeight="1" spans="1:40">
      <c r="A65" s="46"/>
      <c r="B65" s="52">
        <v>5</v>
      </c>
      <c r="C65" s="48"/>
      <c r="D65" s="48"/>
      <c r="E65" s="48"/>
      <c r="F65" s="49"/>
      <c r="G65" s="49"/>
      <c r="H65" s="48" t="s">
        <v>29</v>
      </c>
      <c r="I65" s="50">
        <v>0.0007</v>
      </c>
      <c r="J65" s="50">
        <v>0.0084</v>
      </c>
      <c r="K65" s="50">
        <v>-0.0016</v>
      </c>
      <c r="L65" s="50">
        <v>0.0047</v>
      </c>
      <c r="M65" s="50">
        <v>0.0037</v>
      </c>
      <c r="N65" s="50">
        <v>0.0014</v>
      </c>
      <c r="O65" s="50">
        <v>-0.0006</v>
      </c>
      <c r="P65" s="50">
        <v>0.0026</v>
      </c>
      <c r="Q65" s="50">
        <v>-0.002</v>
      </c>
      <c r="R65" s="50">
        <v>0.0025</v>
      </c>
      <c r="S65" s="50">
        <v>0.0026</v>
      </c>
      <c r="T65" s="50"/>
      <c r="U65" s="50"/>
      <c r="V65" s="50"/>
      <c r="W65" s="50"/>
      <c r="X65" s="50"/>
      <c r="Y65" s="54"/>
      <c r="Z65" s="54"/>
      <c r="AA65" s="54"/>
      <c r="AB65" s="54"/>
      <c r="AC65" s="54"/>
      <c r="AD65" s="54"/>
      <c r="AE65" s="53"/>
      <c r="AF65" s="54"/>
      <c r="AG65" s="54"/>
      <c r="AH65" s="54"/>
      <c r="AI65" s="54"/>
      <c r="AJ65" s="54"/>
      <c r="AK65" s="54"/>
      <c r="AL65" s="54"/>
      <c r="AM65" s="54"/>
      <c r="AN65" s="54"/>
    </row>
    <row r="66" ht="15" customHeight="1" spans="1:40">
      <c r="A66" s="46"/>
      <c r="B66" s="52">
        <v>6</v>
      </c>
      <c r="C66" s="48"/>
      <c r="D66" s="48"/>
      <c r="E66" s="48"/>
      <c r="F66" s="49"/>
      <c r="G66" s="49"/>
      <c r="H66" s="48" t="s">
        <v>29</v>
      </c>
      <c r="I66" s="50">
        <v>-0.0009</v>
      </c>
      <c r="J66" s="50">
        <v>0.0053</v>
      </c>
      <c r="K66" s="50">
        <v>0.002</v>
      </c>
      <c r="L66" s="50">
        <v>0.0032</v>
      </c>
      <c r="M66" s="50">
        <v>0.0022</v>
      </c>
      <c r="N66" s="50">
        <v>-0.0028</v>
      </c>
      <c r="O66" s="50">
        <v>0.0021</v>
      </c>
      <c r="P66" s="50">
        <v>-0.0003</v>
      </c>
      <c r="Q66" s="50">
        <v>0.0022</v>
      </c>
      <c r="R66" s="50">
        <v>0.0015</v>
      </c>
      <c r="S66" s="50">
        <v>0.0017</v>
      </c>
      <c r="T66" s="50"/>
      <c r="U66" s="50"/>
      <c r="V66" s="50"/>
      <c r="W66" s="50"/>
      <c r="X66" s="50"/>
      <c r="Y66" s="54"/>
      <c r="Z66" s="54"/>
      <c r="AA66" s="54"/>
      <c r="AB66" s="54"/>
      <c r="AC66" s="54"/>
      <c r="AD66" s="54"/>
      <c r="AE66" s="53"/>
      <c r="AF66" s="54"/>
      <c r="AG66" s="54"/>
      <c r="AH66" s="54"/>
      <c r="AI66" s="54"/>
      <c r="AJ66" s="54"/>
      <c r="AK66" s="54"/>
      <c r="AL66" s="54"/>
      <c r="AM66" s="54"/>
      <c r="AN66" s="54"/>
    </row>
    <row r="67" ht="15" customHeight="1" spans="1:40">
      <c r="A67" s="46"/>
      <c r="B67" s="52">
        <v>7</v>
      </c>
      <c r="C67" s="48"/>
      <c r="D67" s="48"/>
      <c r="E67" s="48"/>
      <c r="F67" s="49"/>
      <c r="G67" s="49"/>
      <c r="H67" s="48" t="s">
        <v>29</v>
      </c>
      <c r="I67" s="50">
        <v>0.0002</v>
      </c>
      <c r="J67" s="50">
        <v>0.0084</v>
      </c>
      <c r="K67" s="50">
        <v>-0.0018</v>
      </c>
      <c r="L67" s="50">
        <v>0.0055</v>
      </c>
      <c r="M67" s="50">
        <v>0.0008</v>
      </c>
      <c r="N67" s="50">
        <v>0.0027</v>
      </c>
      <c r="O67" s="50">
        <v>-0.0024</v>
      </c>
      <c r="P67" s="50">
        <v>0.0027</v>
      </c>
      <c r="Q67" s="50">
        <v>-0.0022</v>
      </c>
      <c r="R67" s="50">
        <v>-0.0006</v>
      </c>
      <c r="S67" s="50">
        <v>-0.0004</v>
      </c>
      <c r="T67" s="50"/>
      <c r="U67" s="50"/>
      <c r="V67" s="50"/>
      <c r="W67" s="50"/>
      <c r="X67" s="50"/>
      <c r="Y67" s="54"/>
      <c r="Z67" s="54"/>
      <c r="AA67" s="54"/>
      <c r="AB67" s="54"/>
      <c r="AC67" s="54"/>
      <c r="AD67" s="54"/>
      <c r="AE67" s="53"/>
      <c r="AF67" s="54"/>
      <c r="AG67" s="54"/>
      <c r="AH67" s="54"/>
      <c r="AI67" s="54"/>
      <c r="AJ67" s="54"/>
      <c r="AK67" s="54"/>
      <c r="AL67" s="54"/>
      <c r="AM67" s="54"/>
      <c r="AN67" s="54"/>
    </row>
    <row r="68" ht="15" customHeight="1" spans="1:40">
      <c r="A68" s="46"/>
      <c r="B68" s="52">
        <v>8</v>
      </c>
      <c r="C68" s="48"/>
      <c r="D68" s="48"/>
      <c r="E68" s="48"/>
      <c r="F68" s="49"/>
      <c r="G68" s="49"/>
      <c r="H68" s="48" t="s">
        <v>29</v>
      </c>
      <c r="I68" s="50">
        <v>-0.0029</v>
      </c>
      <c r="J68" s="50">
        <v>0.0048</v>
      </c>
      <c r="K68" s="50">
        <v>-0.0051</v>
      </c>
      <c r="L68" s="50">
        <v>0.0008</v>
      </c>
      <c r="M68" s="50">
        <v>-0.0012</v>
      </c>
      <c r="N68" s="50">
        <v>-0.0011</v>
      </c>
      <c r="O68" s="50">
        <v>-0.0056</v>
      </c>
      <c r="P68" s="50">
        <v>-0.0019</v>
      </c>
      <c r="Q68" s="50">
        <v>-0.0043</v>
      </c>
      <c r="R68" s="50">
        <v>-0.0044</v>
      </c>
      <c r="S68" s="50">
        <v>-0.0043</v>
      </c>
      <c r="T68" s="50"/>
      <c r="U68" s="50"/>
      <c r="V68" s="50"/>
      <c r="W68" s="50"/>
      <c r="X68" s="50"/>
      <c r="Y68" s="54"/>
      <c r="Z68" s="54"/>
      <c r="AA68" s="54"/>
      <c r="AB68" s="54"/>
      <c r="AC68" s="54"/>
      <c r="AD68" s="54"/>
      <c r="AE68" s="53"/>
      <c r="AF68" s="54"/>
      <c r="AG68" s="54"/>
      <c r="AH68" s="54"/>
      <c r="AI68" s="54"/>
      <c r="AJ68" s="54"/>
      <c r="AK68" s="54"/>
      <c r="AL68" s="54"/>
      <c r="AM68" s="54"/>
      <c r="AN68" s="54"/>
    </row>
    <row r="69" ht="15" customHeight="1" spans="1:40">
      <c r="A69" s="46"/>
      <c r="B69" s="52">
        <v>9</v>
      </c>
      <c r="C69" s="48"/>
      <c r="D69" s="48"/>
      <c r="E69" s="48"/>
      <c r="F69" s="49"/>
      <c r="G69" s="49"/>
      <c r="H69" s="48" t="s">
        <v>29</v>
      </c>
      <c r="I69" s="50">
        <v>-0.0041</v>
      </c>
      <c r="J69" s="50">
        <v>-0.0014</v>
      </c>
      <c r="K69" s="50">
        <v>0.0035</v>
      </c>
      <c r="L69" s="50">
        <v>-0.0033</v>
      </c>
      <c r="M69" s="50">
        <v>-0.0033</v>
      </c>
      <c r="N69" s="50">
        <v>-0.0034</v>
      </c>
      <c r="O69" s="50">
        <v>0.0006</v>
      </c>
      <c r="P69" s="50">
        <v>-0.005</v>
      </c>
      <c r="Q69" s="50">
        <v>0.0036</v>
      </c>
      <c r="R69" s="50">
        <v>-0.004</v>
      </c>
      <c r="S69" s="50">
        <v>-0.0039</v>
      </c>
      <c r="T69" s="50"/>
      <c r="U69" s="50"/>
      <c r="V69" s="50"/>
      <c r="W69" s="50"/>
      <c r="X69" s="50"/>
      <c r="Y69" s="54"/>
      <c r="Z69" s="54"/>
      <c r="AA69" s="54"/>
      <c r="AB69" s="54"/>
      <c r="AC69" s="54"/>
      <c r="AD69" s="54"/>
      <c r="AE69" s="53"/>
      <c r="AF69" s="54"/>
      <c r="AG69" s="54"/>
      <c r="AH69" s="54"/>
      <c r="AI69" s="54"/>
      <c r="AJ69" s="54"/>
      <c r="AK69" s="54"/>
      <c r="AL69" s="54"/>
      <c r="AM69" s="54"/>
      <c r="AN69" s="54"/>
    </row>
    <row r="70" ht="15" customHeight="1" spans="1:40">
      <c r="A70" s="46"/>
      <c r="B70" s="52">
        <v>10</v>
      </c>
      <c r="C70" s="48"/>
      <c r="D70" s="48"/>
      <c r="E70" s="48"/>
      <c r="F70" s="49"/>
      <c r="G70" s="49"/>
      <c r="H70" s="48" t="s">
        <v>29</v>
      </c>
      <c r="I70" s="50">
        <v>0.0018</v>
      </c>
      <c r="J70" s="50">
        <v>0.0011</v>
      </c>
      <c r="K70" s="50">
        <v>-0.0003</v>
      </c>
      <c r="L70" s="50">
        <v>0.0023</v>
      </c>
      <c r="M70" s="50">
        <v>-0.0017</v>
      </c>
      <c r="N70" s="50">
        <v>0.0023</v>
      </c>
      <c r="O70" s="50">
        <v>-0.0056</v>
      </c>
      <c r="P70" s="50">
        <v>0.0007</v>
      </c>
      <c r="Q70" s="50">
        <v>0.0001</v>
      </c>
      <c r="R70" s="50">
        <v>-0.0079</v>
      </c>
      <c r="S70" s="50">
        <v>-0.008</v>
      </c>
      <c r="T70" s="50"/>
      <c r="U70" s="50"/>
      <c r="V70" s="50"/>
      <c r="W70" s="50"/>
      <c r="X70" s="50"/>
      <c r="Y70" s="54"/>
      <c r="Z70" s="54"/>
      <c r="AA70" s="54"/>
      <c r="AB70" s="54"/>
      <c r="AC70" s="54"/>
      <c r="AD70" s="54"/>
      <c r="AE70" s="53"/>
      <c r="AF70" s="54"/>
      <c r="AG70" s="54"/>
      <c r="AH70" s="54"/>
      <c r="AI70" s="54"/>
      <c r="AJ70" s="54"/>
      <c r="AK70" s="54"/>
      <c r="AL70" s="54"/>
      <c r="AM70" s="54"/>
      <c r="AN70" s="54"/>
    </row>
    <row r="71" ht="15" customHeight="1" spans="1:40">
      <c r="A71" s="46"/>
      <c r="B71" s="52">
        <v>11</v>
      </c>
      <c r="C71" s="48"/>
      <c r="D71" s="48"/>
      <c r="E71" s="48"/>
      <c r="F71" s="49"/>
      <c r="G71" s="49"/>
      <c r="H71" s="48" t="s">
        <v>29</v>
      </c>
      <c r="I71" s="50">
        <v>-0.002</v>
      </c>
      <c r="J71" s="50">
        <v>-0.0084</v>
      </c>
      <c r="K71" s="50">
        <v>0.0051</v>
      </c>
      <c r="L71" s="50">
        <v>-0.0059</v>
      </c>
      <c r="M71" s="50">
        <v>-0.0071</v>
      </c>
      <c r="N71" s="50">
        <v>-0.0004</v>
      </c>
      <c r="O71" s="50">
        <v>-0.0007</v>
      </c>
      <c r="P71" s="50">
        <v>-0.0047</v>
      </c>
      <c r="Q71" s="50">
        <v>0.0034</v>
      </c>
      <c r="R71" s="50">
        <v>-0.0054</v>
      </c>
      <c r="S71" s="50">
        <v>-0.0053</v>
      </c>
      <c r="T71" s="50"/>
      <c r="U71" s="50"/>
      <c r="V71" s="50"/>
      <c r="W71" s="50"/>
      <c r="X71" s="50"/>
      <c r="Y71" s="54"/>
      <c r="Z71" s="54"/>
      <c r="AA71" s="54"/>
      <c r="AB71" s="54"/>
      <c r="AC71" s="54"/>
      <c r="AD71" s="54"/>
      <c r="AE71" s="53"/>
      <c r="AF71" s="54"/>
      <c r="AG71" s="54"/>
      <c r="AH71" s="54"/>
      <c r="AI71" s="54"/>
      <c r="AJ71" s="54"/>
      <c r="AK71" s="54"/>
      <c r="AL71" s="54"/>
      <c r="AM71" s="54"/>
      <c r="AN71" s="54"/>
    </row>
    <row r="72" ht="15" customHeight="1" spans="1:40">
      <c r="A72" s="46"/>
      <c r="B72" s="52">
        <v>12</v>
      </c>
      <c r="C72" s="48"/>
      <c r="D72" s="48"/>
      <c r="E72" s="48"/>
      <c r="F72" s="49"/>
      <c r="G72" s="49"/>
      <c r="H72" s="48" t="s">
        <v>29</v>
      </c>
      <c r="I72" s="50">
        <v>0.0028</v>
      </c>
      <c r="J72" s="50">
        <v>-0.0037</v>
      </c>
      <c r="K72" s="50">
        <v>0.0055</v>
      </c>
      <c r="L72" s="50">
        <v>0.0006</v>
      </c>
      <c r="M72" s="50">
        <v>-0.0047</v>
      </c>
      <c r="N72" s="50">
        <v>0.0018</v>
      </c>
      <c r="O72" s="50">
        <v>0.0116</v>
      </c>
      <c r="P72" s="50">
        <v>0.0002</v>
      </c>
      <c r="Q72" s="50">
        <v>0.0071</v>
      </c>
      <c r="R72" s="50">
        <v>0.012</v>
      </c>
      <c r="S72" s="50">
        <v>0.012</v>
      </c>
      <c r="T72" s="50"/>
      <c r="U72" s="50"/>
      <c r="V72" s="50"/>
      <c r="W72" s="50"/>
      <c r="X72" s="50"/>
      <c r="Y72" s="54"/>
      <c r="Z72" s="54"/>
      <c r="AA72" s="54"/>
      <c r="AB72" s="54"/>
      <c r="AC72" s="54"/>
      <c r="AD72" s="54"/>
      <c r="AE72" s="53"/>
      <c r="AF72" s="54"/>
      <c r="AG72" s="54"/>
      <c r="AH72" s="54"/>
      <c r="AI72" s="54"/>
      <c r="AJ72" s="54"/>
      <c r="AK72" s="54"/>
      <c r="AL72" s="54"/>
      <c r="AM72" s="54"/>
      <c r="AN72" s="54"/>
    </row>
    <row r="73" ht="15" customHeight="1" spans="1:40">
      <c r="A73" s="46"/>
      <c r="B73" s="57" t="s">
        <v>61</v>
      </c>
      <c r="C73" s="48">
        <v>0</v>
      </c>
      <c r="D73" s="48">
        <v>0.01</v>
      </c>
      <c r="E73" s="48">
        <v>0</v>
      </c>
      <c r="F73" s="49">
        <f>C73+D73</f>
        <v>0.01</v>
      </c>
      <c r="G73" s="49">
        <f>C73+E73</f>
        <v>0</v>
      </c>
      <c r="H73" s="48" t="s">
        <v>29</v>
      </c>
      <c r="I73" s="50">
        <v>0.0084</v>
      </c>
      <c r="J73" s="50">
        <v>0.0144</v>
      </c>
      <c r="K73" s="50">
        <v>-0.0027</v>
      </c>
      <c r="L73" s="50">
        <v>0.0069</v>
      </c>
      <c r="M73" s="50">
        <v>0.0116</v>
      </c>
      <c r="N73" s="50">
        <v>0.0125</v>
      </c>
      <c r="O73" s="50">
        <v>-0.0058</v>
      </c>
      <c r="P73" s="50">
        <v>0.0107</v>
      </c>
      <c r="Q73" s="50">
        <v>-0.0035</v>
      </c>
      <c r="R73" s="50">
        <v>-0.006</v>
      </c>
      <c r="S73" s="50">
        <v>-0.006</v>
      </c>
      <c r="T73" s="50"/>
      <c r="U73" s="50"/>
      <c r="V73" s="50"/>
      <c r="W73" s="50"/>
      <c r="X73" s="50"/>
      <c r="Y73" s="53" t="str">
        <f t="shared" ref="Y73:AN73" si="8">IF(I73="","",IF(I73&gt;($C73+$D73),(I73-$C73-$D73),IF(I73&lt;($C73+$E73),(I73-$C73-$E73),"√")))</f>
        <v>√</v>
      </c>
      <c r="Z73" s="53">
        <f t="shared" si="8"/>
        <v>0.0044</v>
      </c>
      <c r="AA73" s="53">
        <f t="shared" si="8"/>
        <v>-0.0027</v>
      </c>
      <c r="AB73" s="53" t="str">
        <f t="shared" si="8"/>
        <v>√</v>
      </c>
      <c r="AC73" s="53">
        <f t="shared" si="8"/>
        <v>0.0016</v>
      </c>
      <c r="AD73" s="53">
        <f t="shared" si="8"/>
        <v>0.0025</v>
      </c>
      <c r="AE73" s="53">
        <f t="shared" si="8"/>
        <v>-0.0058</v>
      </c>
      <c r="AF73" s="53">
        <f t="shared" si="8"/>
        <v>0.000699999999999999</v>
      </c>
      <c r="AG73" s="53">
        <f t="shared" si="8"/>
        <v>-0.0035</v>
      </c>
      <c r="AH73" s="53">
        <f t="shared" si="8"/>
        <v>-0.006</v>
      </c>
      <c r="AI73" s="53">
        <f t="shared" si="8"/>
        <v>-0.006</v>
      </c>
      <c r="AJ73" s="53" t="str">
        <f t="shared" si="8"/>
        <v/>
      </c>
      <c r="AK73" s="53" t="str">
        <f t="shared" si="8"/>
        <v/>
      </c>
      <c r="AL73" s="53" t="str">
        <f t="shared" si="8"/>
        <v/>
      </c>
      <c r="AM73" s="53" t="str">
        <f t="shared" si="8"/>
        <v/>
      </c>
      <c r="AN73" s="53" t="str">
        <f t="shared" si="8"/>
        <v/>
      </c>
    </row>
    <row r="74" ht="15" customHeight="1" spans="1:40">
      <c r="A74" s="46"/>
      <c r="B74" s="52">
        <v>1</v>
      </c>
      <c r="C74" s="48"/>
      <c r="D74" s="48"/>
      <c r="E74" s="48"/>
      <c r="F74" s="49"/>
      <c r="G74" s="49"/>
      <c r="H74" s="48" t="s">
        <v>29</v>
      </c>
      <c r="I74" s="50">
        <v>-0.0042</v>
      </c>
      <c r="J74" s="50">
        <v>-0.0072</v>
      </c>
      <c r="K74" s="50">
        <v>0.0027</v>
      </c>
      <c r="L74" s="50">
        <v>-0.0035</v>
      </c>
      <c r="M74" s="50">
        <v>-0.0058</v>
      </c>
      <c r="N74" s="50">
        <v>-0.0062</v>
      </c>
      <c r="O74" s="50">
        <v>0.001</v>
      </c>
      <c r="P74" s="50">
        <v>-0.0053</v>
      </c>
      <c r="Q74" s="50">
        <v>0.0007</v>
      </c>
      <c r="R74" s="50">
        <v>0.0022</v>
      </c>
      <c r="S74" s="50">
        <v>0.0022</v>
      </c>
      <c r="T74" s="50"/>
      <c r="U74" s="50"/>
      <c r="V74" s="50"/>
      <c r="W74" s="50"/>
      <c r="X74" s="50"/>
      <c r="Y74" s="54"/>
      <c r="Z74" s="54"/>
      <c r="AA74" s="54"/>
      <c r="AB74" s="54"/>
      <c r="AC74" s="54"/>
      <c r="AD74" s="54"/>
      <c r="AE74" s="53"/>
      <c r="AF74" s="54"/>
      <c r="AG74" s="54"/>
      <c r="AH74" s="54"/>
      <c r="AI74" s="54"/>
      <c r="AJ74" s="54"/>
      <c r="AK74" s="54"/>
      <c r="AL74" s="54"/>
      <c r="AM74" s="54"/>
      <c r="AN74" s="54"/>
    </row>
    <row r="75" ht="15" customHeight="1" spans="1:40">
      <c r="A75" s="46"/>
      <c r="B75" s="52">
        <v>2</v>
      </c>
      <c r="C75" s="48"/>
      <c r="D75" s="48"/>
      <c r="E75" s="48"/>
      <c r="F75" s="49"/>
      <c r="G75" s="49"/>
      <c r="H75" s="48" t="s">
        <v>29</v>
      </c>
      <c r="I75" s="50">
        <v>0.0029</v>
      </c>
      <c r="J75" s="50">
        <v>-0.0053</v>
      </c>
      <c r="K75" s="50">
        <v>0.0026</v>
      </c>
      <c r="L75" s="50">
        <v>0.0035</v>
      </c>
      <c r="M75" s="50">
        <v>0.0029</v>
      </c>
      <c r="N75" s="50">
        <v>0.0048</v>
      </c>
      <c r="O75" s="50">
        <v>0.0058</v>
      </c>
      <c r="P75" s="50">
        <v>0.0034</v>
      </c>
      <c r="Q75" s="50">
        <v>0.0035</v>
      </c>
      <c r="R75" s="50">
        <v>0.006</v>
      </c>
      <c r="S75" s="50">
        <v>0.006</v>
      </c>
      <c r="T75" s="50"/>
      <c r="U75" s="50"/>
      <c r="V75" s="50"/>
      <c r="W75" s="50"/>
      <c r="X75" s="50"/>
      <c r="Y75" s="54"/>
      <c r="Z75" s="54"/>
      <c r="AA75" s="54"/>
      <c r="AB75" s="54"/>
      <c r="AC75" s="54"/>
      <c r="AD75" s="54"/>
      <c r="AE75" s="53"/>
      <c r="AF75" s="54"/>
      <c r="AG75" s="54"/>
      <c r="AH75" s="54"/>
      <c r="AI75" s="54"/>
      <c r="AJ75" s="54"/>
      <c r="AK75" s="54"/>
      <c r="AL75" s="54"/>
      <c r="AM75" s="54"/>
      <c r="AN75" s="54"/>
    </row>
    <row r="76" ht="15" customHeight="1" spans="1:40">
      <c r="A76" s="46"/>
      <c r="B76" s="52">
        <v>3</v>
      </c>
      <c r="C76" s="48"/>
      <c r="D76" s="48"/>
      <c r="E76" s="48"/>
      <c r="F76" s="49"/>
      <c r="G76" s="49"/>
      <c r="H76" s="48" t="s">
        <v>29</v>
      </c>
      <c r="I76" s="50">
        <v>0.0042</v>
      </c>
      <c r="J76" s="50">
        <v>0.0018</v>
      </c>
      <c r="K76" s="50">
        <v>0.0027</v>
      </c>
      <c r="L76" s="50">
        <v>0.003</v>
      </c>
      <c r="M76" s="50">
        <v>0.0058</v>
      </c>
      <c r="N76" s="50">
        <v>0.0062</v>
      </c>
      <c r="O76" s="50">
        <v>0.0058</v>
      </c>
      <c r="P76" s="50">
        <v>0.0053</v>
      </c>
      <c r="Q76" s="50">
        <v>0.0025</v>
      </c>
      <c r="R76" s="50">
        <v>0.006</v>
      </c>
      <c r="S76" s="50">
        <v>0.006</v>
      </c>
      <c r="T76" s="50"/>
      <c r="U76" s="50"/>
      <c r="V76" s="50"/>
      <c r="W76" s="50"/>
      <c r="X76" s="50"/>
      <c r="Y76" s="54"/>
      <c r="Z76" s="54"/>
      <c r="AA76" s="54"/>
      <c r="AB76" s="54"/>
      <c r="AC76" s="54"/>
      <c r="AD76" s="54"/>
      <c r="AE76" s="53"/>
      <c r="AF76" s="54"/>
      <c r="AG76" s="54"/>
      <c r="AH76" s="54"/>
      <c r="AI76" s="54"/>
      <c r="AJ76" s="54"/>
      <c r="AK76" s="54"/>
      <c r="AL76" s="54"/>
      <c r="AM76" s="54"/>
      <c r="AN76" s="54"/>
    </row>
    <row r="77" ht="15" customHeight="1" spans="1:40">
      <c r="A77" s="46"/>
      <c r="B77" s="52">
        <v>4</v>
      </c>
      <c r="C77" s="48"/>
      <c r="D77" s="48"/>
      <c r="E77" s="48"/>
      <c r="F77" s="49"/>
      <c r="G77" s="49"/>
      <c r="H77" s="48" t="s">
        <v>29</v>
      </c>
      <c r="I77" s="50">
        <v>0.0042</v>
      </c>
      <c r="J77" s="50">
        <v>0.0061</v>
      </c>
      <c r="K77" s="50">
        <v>-0.0011</v>
      </c>
      <c r="L77" s="50">
        <v>0.003</v>
      </c>
      <c r="M77" s="50">
        <v>0.0058</v>
      </c>
      <c r="N77" s="50">
        <v>0.0048</v>
      </c>
      <c r="O77" s="50">
        <v>0.0046</v>
      </c>
      <c r="P77" s="50">
        <v>0.0053</v>
      </c>
      <c r="Q77" s="50">
        <v>0.0017</v>
      </c>
      <c r="R77" s="50">
        <v>0.0041</v>
      </c>
      <c r="S77" s="50">
        <v>0.0043</v>
      </c>
      <c r="T77" s="50"/>
      <c r="U77" s="50"/>
      <c r="V77" s="50"/>
      <c r="W77" s="50"/>
      <c r="X77" s="50"/>
      <c r="Y77" s="54"/>
      <c r="Z77" s="54"/>
      <c r="AA77" s="54"/>
      <c r="AB77" s="54"/>
      <c r="AC77" s="54"/>
      <c r="AD77" s="54"/>
      <c r="AE77" s="53"/>
      <c r="AF77" s="54"/>
      <c r="AG77" s="54"/>
      <c r="AH77" s="54"/>
      <c r="AI77" s="54"/>
      <c r="AJ77" s="54"/>
      <c r="AK77" s="54"/>
      <c r="AL77" s="54"/>
      <c r="AM77" s="54"/>
      <c r="AN77" s="54"/>
    </row>
    <row r="78" ht="15" customHeight="1" spans="1:40">
      <c r="A78" s="46"/>
      <c r="B78" s="52">
        <v>5</v>
      </c>
      <c r="C78" s="48"/>
      <c r="D78" s="48"/>
      <c r="E78" s="48"/>
      <c r="F78" s="49"/>
      <c r="G78" s="49"/>
      <c r="H78" s="48" t="s">
        <v>29</v>
      </c>
      <c r="I78" s="50">
        <v>0.0021</v>
      </c>
      <c r="J78" s="50">
        <v>0.0069</v>
      </c>
      <c r="K78" s="50">
        <v>-0.0027</v>
      </c>
      <c r="L78" s="50">
        <v>0.0014</v>
      </c>
      <c r="M78" s="50">
        <v>0.004</v>
      </c>
      <c r="N78" s="50">
        <v>0.0062</v>
      </c>
      <c r="O78" s="50">
        <v>-0.0011</v>
      </c>
      <c r="P78" s="50">
        <v>0.0049</v>
      </c>
      <c r="Q78" s="50">
        <v>-0.0031</v>
      </c>
      <c r="R78" s="50">
        <v>-0.001</v>
      </c>
      <c r="S78" s="50">
        <v>-0.0007</v>
      </c>
      <c r="T78" s="50"/>
      <c r="U78" s="50"/>
      <c r="V78" s="50"/>
      <c r="W78" s="50"/>
      <c r="X78" s="50"/>
      <c r="Y78" s="54"/>
      <c r="Z78" s="54"/>
      <c r="AA78" s="54"/>
      <c r="AB78" s="54"/>
      <c r="AC78" s="54"/>
      <c r="AD78" s="54"/>
      <c r="AE78" s="53"/>
      <c r="AF78" s="54"/>
      <c r="AG78" s="54"/>
      <c r="AH78" s="54"/>
      <c r="AI78" s="54"/>
      <c r="AJ78" s="54"/>
      <c r="AK78" s="54"/>
      <c r="AL78" s="54"/>
      <c r="AM78" s="54"/>
      <c r="AN78" s="54"/>
    </row>
    <row r="79" ht="15" customHeight="1" spans="1:40">
      <c r="A79" s="46"/>
      <c r="B79" s="52">
        <v>6</v>
      </c>
      <c r="C79" s="48"/>
      <c r="D79" s="48"/>
      <c r="E79" s="48"/>
      <c r="F79" s="49"/>
      <c r="G79" s="49"/>
      <c r="H79" s="48" t="s">
        <v>29</v>
      </c>
      <c r="I79" s="50">
        <v>-0.0022</v>
      </c>
      <c r="J79" s="50">
        <v>0.0071</v>
      </c>
      <c r="K79" s="50">
        <v>0.0008</v>
      </c>
      <c r="L79" s="50">
        <v>-0.0016</v>
      </c>
      <c r="M79" s="50">
        <v>0.0033</v>
      </c>
      <c r="N79" s="50">
        <v>0.004</v>
      </c>
      <c r="O79" s="50">
        <v>0.0033</v>
      </c>
      <c r="P79" s="50">
        <v>0.0034</v>
      </c>
      <c r="Q79" s="50">
        <v>0.0021</v>
      </c>
      <c r="R79" s="50">
        <v>0.0015</v>
      </c>
      <c r="S79" s="50">
        <v>0.0016</v>
      </c>
      <c r="T79" s="50"/>
      <c r="U79" s="50"/>
      <c r="V79" s="50"/>
      <c r="W79" s="50"/>
      <c r="X79" s="50"/>
      <c r="Y79" s="54"/>
      <c r="Z79" s="54"/>
      <c r="AA79" s="54"/>
      <c r="AB79" s="54"/>
      <c r="AC79" s="54"/>
      <c r="AD79" s="54"/>
      <c r="AE79" s="53"/>
      <c r="AF79" s="54"/>
      <c r="AG79" s="54"/>
      <c r="AH79" s="54"/>
      <c r="AI79" s="54"/>
      <c r="AJ79" s="54"/>
      <c r="AK79" s="54"/>
      <c r="AL79" s="54"/>
      <c r="AM79" s="54"/>
      <c r="AN79" s="54"/>
    </row>
    <row r="80" ht="15" customHeight="1" spans="1:40">
      <c r="A80" s="46"/>
      <c r="B80" s="52">
        <v>7</v>
      </c>
      <c r="C80" s="48"/>
      <c r="D80" s="48"/>
      <c r="E80" s="48"/>
      <c r="F80" s="49"/>
      <c r="G80" s="49"/>
      <c r="H80" s="48" t="s">
        <v>29</v>
      </c>
      <c r="I80" s="50">
        <v>0.0029</v>
      </c>
      <c r="J80" s="50">
        <v>0.0072</v>
      </c>
      <c r="K80" s="50">
        <v>-0.0017</v>
      </c>
      <c r="L80" s="50">
        <v>0.0035</v>
      </c>
      <c r="M80" s="50">
        <v>0.0036</v>
      </c>
      <c r="N80" s="50">
        <v>0.0043</v>
      </c>
      <c r="O80" s="50">
        <v>-0.0007</v>
      </c>
      <c r="P80" s="50">
        <v>0.0043</v>
      </c>
      <c r="Q80" s="50">
        <v>-0.0003</v>
      </c>
      <c r="R80" s="50">
        <v>-0.0011</v>
      </c>
      <c r="S80" s="50">
        <v>-0.0008</v>
      </c>
      <c r="T80" s="50"/>
      <c r="U80" s="50"/>
      <c r="V80" s="50"/>
      <c r="W80" s="50"/>
      <c r="X80" s="50"/>
      <c r="Y80" s="54"/>
      <c r="Z80" s="54"/>
      <c r="AA80" s="54"/>
      <c r="AB80" s="54"/>
      <c r="AC80" s="54"/>
      <c r="AD80" s="54"/>
      <c r="AE80" s="53"/>
      <c r="AF80" s="54"/>
      <c r="AG80" s="54"/>
      <c r="AH80" s="54"/>
      <c r="AI80" s="54"/>
      <c r="AJ80" s="54"/>
      <c r="AK80" s="54"/>
      <c r="AL80" s="54"/>
      <c r="AM80" s="54"/>
      <c r="AN80" s="54"/>
    </row>
    <row r="81" ht="15" customHeight="1" spans="1:40">
      <c r="A81" s="46"/>
      <c r="B81" s="52">
        <v>8</v>
      </c>
      <c r="C81" s="48"/>
      <c r="D81" s="48"/>
      <c r="E81" s="48"/>
      <c r="F81" s="49"/>
      <c r="G81" s="49"/>
      <c r="H81" s="48" t="s">
        <v>29</v>
      </c>
      <c r="I81" s="50">
        <v>-0.0003</v>
      </c>
      <c r="J81" s="50">
        <v>0.0072</v>
      </c>
      <c r="K81" s="50">
        <v>-0.0013</v>
      </c>
      <c r="L81" s="50">
        <v>-0.001</v>
      </c>
      <c r="M81" s="50">
        <v>0.0015</v>
      </c>
      <c r="N81" s="50">
        <v>0.0031</v>
      </c>
      <c r="O81" s="50">
        <v>-0.0058</v>
      </c>
      <c r="P81" s="50">
        <v>0.0042</v>
      </c>
      <c r="Q81" s="50">
        <v>-0.0029</v>
      </c>
      <c r="R81" s="50">
        <v>-0.006</v>
      </c>
      <c r="S81" s="50">
        <v>-0.0057</v>
      </c>
      <c r="T81" s="50"/>
      <c r="U81" s="50"/>
      <c r="V81" s="50"/>
      <c r="W81" s="50"/>
      <c r="X81" s="50"/>
      <c r="Y81" s="54"/>
      <c r="Z81" s="54"/>
      <c r="AA81" s="54"/>
      <c r="AB81" s="54"/>
      <c r="AC81" s="54"/>
      <c r="AD81" s="54"/>
      <c r="AE81" s="53"/>
      <c r="AF81" s="54"/>
      <c r="AG81" s="54"/>
      <c r="AH81" s="54"/>
      <c r="AI81" s="54"/>
      <c r="AJ81" s="54"/>
      <c r="AK81" s="54"/>
      <c r="AL81" s="54"/>
      <c r="AM81" s="54"/>
      <c r="AN81" s="54"/>
    </row>
    <row r="82" ht="15" customHeight="1" spans="1:40">
      <c r="A82" s="46"/>
      <c r="B82" s="52">
        <v>9</v>
      </c>
      <c r="C82" s="48"/>
      <c r="D82" s="48"/>
      <c r="E82" s="48"/>
      <c r="F82" s="49"/>
      <c r="G82" s="49"/>
      <c r="H82" s="48" t="s">
        <v>29</v>
      </c>
      <c r="I82" s="50">
        <v>-0.0032</v>
      </c>
      <c r="J82" s="50">
        <v>0.0027</v>
      </c>
      <c r="K82" s="50">
        <v>0.0005</v>
      </c>
      <c r="L82" s="50">
        <v>-0.0035</v>
      </c>
      <c r="M82" s="50">
        <v>-0.0014</v>
      </c>
      <c r="N82" s="50">
        <v>-0.0003</v>
      </c>
      <c r="O82" s="50">
        <v>0.0008</v>
      </c>
      <c r="P82" s="50">
        <v>0.002</v>
      </c>
      <c r="Q82" s="50">
        <v>0.0035</v>
      </c>
      <c r="R82" s="50">
        <v>-0.0027</v>
      </c>
      <c r="S82" s="50">
        <v>-0.0029</v>
      </c>
      <c r="T82" s="50"/>
      <c r="U82" s="50"/>
      <c r="V82" s="50"/>
      <c r="W82" s="50"/>
      <c r="X82" s="50"/>
      <c r="Y82" s="54"/>
      <c r="Z82" s="54"/>
      <c r="AA82" s="54"/>
      <c r="AB82" s="54"/>
      <c r="AC82" s="54"/>
      <c r="AD82" s="54"/>
      <c r="AE82" s="53"/>
      <c r="AF82" s="54"/>
      <c r="AG82" s="54"/>
      <c r="AH82" s="54"/>
      <c r="AI82" s="54"/>
      <c r="AJ82" s="54"/>
      <c r="AK82" s="54"/>
      <c r="AL82" s="54"/>
      <c r="AM82" s="54"/>
      <c r="AN82" s="54"/>
    </row>
    <row r="83" ht="15" customHeight="1" spans="1:40">
      <c r="A83" s="46"/>
      <c r="B83" s="52">
        <v>10</v>
      </c>
      <c r="C83" s="48"/>
      <c r="D83" s="48"/>
      <c r="E83" s="48"/>
      <c r="F83" s="49"/>
      <c r="G83" s="49"/>
      <c r="H83" s="48" t="s">
        <v>29</v>
      </c>
      <c r="I83" s="50">
        <v>0.0017</v>
      </c>
      <c r="J83" s="50">
        <v>0.0035</v>
      </c>
      <c r="K83" s="50">
        <v>-0.0014</v>
      </c>
      <c r="L83" s="50">
        <v>0.0029</v>
      </c>
      <c r="M83" s="50">
        <v>0.0012</v>
      </c>
      <c r="N83" s="50">
        <v>0.0041</v>
      </c>
      <c r="O83" s="50">
        <v>0.0003</v>
      </c>
      <c r="P83" s="50">
        <v>0.0013</v>
      </c>
      <c r="Q83" s="50">
        <v>-0.0013</v>
      </c>
      <c r="R83" s="50">
        <v>-0.0034</v>
      </c>
      <c r="S83" s="50">
        <v>-0.0037</v>
      </c>
      <c r="T83" s="50"/>
      <c r="U83" s="50"/>
      <c r="V83" s="50"/>
      <c r="W83" s="50"/>
      <c r="X83" s="50"/>
      <c r="Y83" s="54"/>
      <c r="Z83" s="54"/>
      <c r="AA83" s="54"/>
      <c r="AB83" s="54"/>
      <c r="AC83" s="54"/>
      <c r="AD83" s="54"/>
      <c r="AE83" s="53"/>
      <c r="AF83" s="54"/>
      <c r="AG83" s="54"/>
      <c r="AH83" s="54"/>
      <c r="AI83" s="54"/>
      <c r="AJ83" s="54"/>
      <c r="AK83" s="54"/>
      <c r="AL83" s="54"/>
      <c r="AM83" s="54"/>
      <c r="AN83" s="54"/>
    </row>
    <row r="84" ht="15" customHeight="1" spans="1:40">
      <c r="A84" s="46"/>
      <c r="B84" s="52">
        <v>11</v>
      </c>
      <c r="C84" s="48"/>
      <c r="D84" s="48"/>
      <c r="E84" s="48"/>
      <c r="F84" s="49"/>
      <c r="G84" s="49"/>
      <c r="H84" s="48" t="s">
        <v>29</v>
      </c>
      <c r="I84" s="50">
        <v>0.0002</v>
      </c>
      <c r="J84" s="50">
        <v>-0.0058</v>
      </c>
      <c r="K84" s="50">
        <v>-0.0017</v>
      </c>
      <c r="L84" s="50">
        <v>-0.0011</v>
      </c>
      <c r="M84" s="50">
        <v>-0.0056</v>
      </c>
      <c r="N84" s="50">
        <v>-0.004</v>
      </c>
      <c r="O84" s="50">
        <v>-0.0043</v>
      </c>
      <c r="P84" s="50">
        <v>-0.0044</v>
      </c>
      <c r="Q84" s="50">
        <v>-0.0035</v>
      </c>
      <c r="R84" s="50">
        <v>-0.006</v>
      </c>
      <c r="S84" s="50">
        <v>-0.006</v>
      </c>
      <c r="T84" s="50"/>
      <c r="U84" s="50"/>
      <c r="V84" s="50"/>
      <c r="W84" s="50"/>
      <c r="X84" s="50"/>
      <c r="Y84" s="54"/>
      <c r="Z84" s="54"/>
      <c r="AA84" s="54"/>
      <c r="AB84" s="54"/>
      <c r="AC84" s="54"/>
      <c r="AD84" s="54"/>
      <c r="AE84" s="53"/>
      <c r="AF84" s="54"/>
      <c r="AG84" s="54"/>
      <c r="AH84" s="54"/>
      <c r="AI84" s="54"/>
      <c r="AJ84" s="54"/>
      <c r="AK84" s="54"/>
      <c r="AL84" s="54"/>
      <c r="AM84" s="54"/>
      <c r="AN84" s="54"/>
    </row>
    <row r="85" ht="15" customHeight="1" spans="1:40">
      <c r="A85" s="46"/>
      <c r="B85" s="52">
        <v>12</v>
      </c>
      <c r="C85" s="48"/>
      <c r="D85" s="48"/>
      <c r="E85" s="48"/>
      <c r="F85" s="49"/>
      <c r="G85" s="49"/>
      <c r="H85" s="48" t="s">
        <v>29</v>
      </c>
      <c r="I85" s="50">
        <v>-0.0042</v>
      </c>
      <c r="J85" s="50">
        <v>-0.0072</v>
      </c>
      <c r="K85" s="50">
        <v>0.0175</v>
      </c>
      <c r="L85" s="50">
        <v>-0.0019</v>
      </c>
      <c r="M85" s="50">
        <v>-0.0058</v>
      </c>
      <c r="N85" s="50">
        <v>-0.0062</v>
      </c>
      <c r="O85" s="50">
        <v>0.0169</v>
      </c>
      <c r="P85" s="50">
        <v>-0.0053</v>
      </c>
      <c r="Q85" s="50">
        <v>0.0173</v>
      </c>
      <c r="R85" s="50">
        <v>0.0188</v>
      </c>
      <c r="S85" s="50">
        <v>0.019</v>
      </c>
      <c r="T85" s="50"/>
      <c r="U85" s="50"/>
      <c r="V85" s="50"/>
      <c r="W85" s="50"/>
      <c r="X85" s="50"/>
      <c r="Y85" s="54"/>
      <c r="Z85" s="54"/>
      <c r="AA85" s="54"/>
      <c r="AB85" s="54"/>
      <c r="AC85" s="54"/>
      <c r="AD85" s="54"/>
      <c r="AE85" s="53"/>
      <c r="AF85" s="54"/>
      <c r="AG85" s="54"/>
      <c r="AH85" s="54"/>
      <c r="AI85" s="54"/>
      <c r="AJ85" s="54"/>
      <c r="AK85" s="54"/>
      <c r="AL85" s="54"/>
      <c r="AM85" s="54"/>
      <c r="AN85" s="54"/>
    </row>
    <row r="86" ht="15" customHeight="1" spans="1:40">
      <c r="A86" s="46"/>
      <c r="B86" s="57" t="s">
        <v>62</v>
      </c>
      <c r="C86" s="48">
        <v>0</v>
      </c>
      <c r="D86" s="48">
        <v>0.01</v>
      </c>
      <c r="E86" s="48">
        <v>0</v>
      </c>
      <c r="F86" s="49">
        <f>C86+D86</f>
        <v>0.01</v>
      </c>
      <c r="G86" s="49">
        <f>C86+E86</f>
        <v>0</v>
      </c>
      <c r="H86" s="48" t="s">
        <v>29</v>
      </c>
      <c r="I86" s="50">
        <v>0.0159</v>
      </c>
      <c r="J86" s="50">
        <v>0.0247</v>
      </c>
      <c r="K86" s="50">
        <v>0.0087</v>
      </c>
      <c r="L86" s="50">
        <v>0.0254</v>
      </c>
      <c r="M86" s="50">
        <v>0.0232</v>
      </c>
      <c r="N86" s="50">
        <v>0.0145</v>
      </c>
      <c r="O86" s="50">
        <v>0.0038</v>
      </c>
      <c r="P86" s="50">
        <v>0.0236</v>
      </c>
      <c r="Q86" s="50">
        <v>0.0087</v>
      </c>
      <c r="R86" s="50">
        <v>0.0018</v>
      </c>
      <c r="S86" s="50">
        <v>0.0017</v>
      </c>
      <c r="T86" s="50"/>
      <c r="U86" s="50"/>
      <c r="V86" s="50"/>
      <c r="W86" s="50"/>
      <c r="X86" s="50"/>
      <c r="Y86" s="53">
        <f t="shared" ref="Y86:AN86" si="9">IF(I86="","",IF(I86&gt;($C86+$D86),(I86-$C86-$D86),IF(I86&lt;($C86+$E86),(I86-$C86-$E86),"√")))</f>
        <v>0.0059</v>
      </c>
      <c r="Z86" s="53">
        <f t="shared" si="9"/>
        <v>0.0147</v>
      </c>
      <c r="AA86" s="53" t="str">
        <f t="shared" si="9"/>
        <v>√</v>
      </c>
      <c r="AB86" s="53">
        <f t="shared" si="9"/>
        <v>0.0154</v>
      </c>
      <c r="AC86" s="53">
        <f t="shared" si="9"/>
        <v>0.0132</v>
      </c>
      <c r="AD86" s="53">
        <f t="shared" si="9"/>
        <v>0.0045</v>
      </c>
      <c r="AE86" s="53" t="str">
        <f t="shared" si="9"/>
        <v>√</v>
      </c>
      <c r="AF86" s="53">
        <f t="shared" si="9"/>
        <v>0.0136</v>
      </c>
      <c r="AG86" s="53" t="str">
        <f t="shared" si="9"/>
        <v>√</v>
      </c>
      <c r="AH86" s="53" t="str">
        <f t="shared" si="9"/>
        <v>√</v>
      </c>
      <c r="AI86" s="53" t="str">
        <f t="shared" si="9"/>
        <v>√</v>
      </c>
      <c r="AJ86" s="53" t="str">
        <f t="shared" si="9"/>
        <v/>
      </c>
      <c r="AK86" s="53" t="str">
        <f t="shared" si="9"/>
        <v/>
      </c>
      <c r="AL86" s="53" t="str">
        <f t="shared" si="9"/>
        <v/>
      </c>
      <c r="AM86" s="53" t="str">
        <f t="shared" si="9"/>
        <v/>
      </c>
      <c r="AN86" s="53" t="str">
        <f t="shared" si="9"/>
        <v/>
      </c>
    </row>
    <row r="87" ht="15" customHeight="1" spans="1:40">
      <c r="A87" s="46"/>
      <c r="B87" s="52">
        <v>1</v>
      </c>
      <c r="C87" s="48"/>
      <c r="D87" s="48"/>
      <c r="E87" s="48"/>
      <c r="F87" s="49"/>
      <c r="G87" s="49"/>
      <c r="H87" s="48" t="s">
        <v>29</v>
      </c>
      <c r="I87" s="50">
        <v>0.0079</v>
      </c>
      <c r="J87" s="50">
        <v>0.0031</v>
      </c>
      <c r="K87" s="50">
        <v>-0.0087</v>
      </c>
      <c r="L87" s="50">
        <v>0.0118</v>
      </c>
      <c r="M87" s="50">
        <v>0.0085</v>
      </c>
      <c r="N87" s="50">
        <v>0.0069</v>
      </c>
      <c r="O87" s="50">
        <v>-0.0085</v>
      </c>
      <c r="P87" s="50">
        <v>0.0118</v>
      </c>
      <c r="Q87" s="50">
        <v>-0.0087</v>
      </c>
      <c r="R87" s="50">
        <v>-0.0094</v>
      </c>
      <c r="S87" s="50">
        <v>-0.0095</v>
      </c>
      <c r="T87" s="50"/>
      <c r="U87" s="50"/>
      <c r="V87" s="50"/>
      <c r="W87" s="50"/>
      <c r="X87" s="50"/>
      <c r="Y87" s="54"/>
      <c r="Z87" s="54"/>
      <c r="AA87" s="54"/>
      <c r="AB87" s="54"/>
      <c r="AC87" s="54"/>
      <c r="AD87" s="54"/>
      <c r="AE87" s="53"/>
      <c r="AF87" s="54"/>
      <c r="AG87" s="54"/>
      <c r="AH87" s="54"/>
      <c r="AI87" s="54"/>
      <c r="AJ87" s="54"/>
      <c r="AK87" s="54"/>
      <c r="AL87" s="54"/>
      <c r="AM87" s="54"/>
      <c r="AN87" s="54"/>
    </row>
    <row r="88" ht="15" customHeight="1" spans="1:40">
      <c r="A88" s="46"/>
      <c r="B88" s="52">
        <v>2</v>
      </c>
      <c r="C88" s="48"/>
      <c r="D88" s="48"/>
      <c r="E88" s="48"/>
      <c r="F88" s="49"/>
      <c r="G88" s="49"/>
      <c r="H88" s="48" t="s">
        <v>29</v>
      </c>
      <c r="I88" s="50">
        <v>-0.0079</v>
      </c>
      <c r="J88" s="50">
        <v>-0.0123</v>
      </c>
      <c r="K88" s="50">
        <v>0.0084</v>
      </c>
      <c r="L88" s="50">
        <v>-0.0127</v>
      </c>
      <c r="M88" s="50">
        <v>-0.0116</v>
      </c>
      <c r="N88" s="50">
        <v>-0.0072</v>
      </c>
      <c r="O88" s="50">
        <v>0.0085</v>
      </c>
      <c r="P88" s="50">
        <v>-0.0118</v>
      </c>
      <c r="Q88" s="50">
        <v>0.0065</v>
      </c>
      <c r="R88" s="50">
        <v>0.0094</v>
      </c>
      <c r="S88" s="50">
        <v>0.0095</v>
      </c>
      <c r="T88" s="50"/>
      <c r="U88" s="50"/>
      <c r="V88" s="50"/>
      <c r="W88" s="50"/>
      <c r="X88" s="50"/>
      <c r="Y88" s="54"/>
      <c r="Z88" s="54"/>
      <c r="AA88" s="54"/>
      <c r="AB88" s="54"/>
      <c r="AC88" s="54"/>
      <c r="AD88" s="54"/>
      <c r="AE88" s="53"/>
      <c r="AF88" s="54"/>
      <c r="AG88" s="54"/>
      <c r="AH88" s="54"/>
      <c r="AI88" s="54"/>
      <c r="AJ88" s="54"/>
      <c r="AK88" s="54"/>
      <c r="AL88" s="54"/>
      <c r="AM88" s="54"/>
      <c r="AN88" s="54"/>
    </row>
    <row r="89" ht="15" customHeight="1" spans="1:40">
      <c r="A89" s="46"/>
      <c r="B89" s="52">
        <v>3</v>
      </c>
      <c r="C89" s="48"/>
      <c r="D89" s="48"/>
      <c r="E89" s="48"/>
      <c r="F89" s="49"/>
      <c r="G89" s="49"/>
      <c r="H89" s="48" t="s">
        <v>29</v>
      </c>
      <c r="I89" s="50">
        <v>0.0072</v>
      </c>
      <c r="J89" s="50">
        <v>0.0099</v>
      </c>
      <c r="K89" s="50">
        <v>-0.0022</v>
      </c>
      <c r="L89" s="50">
        <v>0.0127</v>
      </c>
      <c r="M89" s="50">
        <v>0.0116</v>
      </c>
      <c r="N89" s="50">
        <v>0.0072</v>
      </c>
      <c r="O89" s="50">
        <v>0.0025</v>
      </c>
      <c r="P89" s="50">
        <v>0.0118</v>
      </c>
      <c r="Q89" s="50">
        <v>-0.0026</v>
      </c>
      <c r="R89" s="50">
        <v>0.0057</v>
      </c>
      <c r="S89" s="50">
        <v>0.0058</v>
      </c>
      <c r="T89" s="50"/>
      <c r="U89" s="50"/>
      <c r="V89" s="50"/>
      <c r="W89" s="50"/>
      <c r="X89" s="50"/>
      <c r="Y89" s="54"/>
      <c r="Z89" s="54"/>
      <c r="AA89" s="54"/>
      <c r="AB89" s="54"/>
      <c r="AC89" s="54"/>
      <c r="AD89" s="54"/>
      <c r="AE89" s="53"/>
      <c r="AF89" s="54"/>
      <c r="AG89" s="54"/>
      <c r="AH89" s="54"/>
      <c r="AI89" s="54"/>
      <c r="AJ89" s="54"/>
      <c r="AK89" s="54"/>
      <c r="AL89" s="54"/>
      <c r="AM89" s="54"/>
      <c r="AN89" s="54"/>
    </row>
    <row r="90" ht="15" customHeight="1" spans="1:40">
      <c r="A90" s="46"/>
      <c r="B90" s="52">
        <v>4</v>
      </c>
      <c r="C90" s="48"/>
      <c r="D90" s="48"/>
      <c r="E90" s="48"/>
      <c r="F90" s="49"/>
      <c r="G90" s="49"/>
      <c r="H90" s="48" t="s">
        <v>29</v>
      </c>
      <c r="I90" s="50">
        <v>-0.0009</v>
      </c>
      <c r="J90" s="50">
        <v>0.0011</v>
      </c>
      <c r="K90" s="50">
        <v>-0.0026</v>
      </c>
      <c r="L90" s="50">
        <v>-0.003</v>
      </c>
      <c r="M90" s="50">
        <v>0.0019</v>
      </c>
      <c r="N90" s="50">
        <v>0.0011</v>
      </c>
      <c r="O90" s="50">
        <v>0.0023</v>
      </c>
      <c r="P90" s="50">
        <v>-0.0036</v>
      </c>
      <c r="Q90" s="50">
        <v>-0.0028</v>
      </c>
      <c r="R90" s="50">
        <v>0.0044</v>
      </c>
      <c r="S90" s="50">
        <v>0.0046</v>
      </c>
      <c r="T90" s="50"/>
      <c r="U90" s="50"/>
      <c r="V90" s="50"/>
      <c r="W90" s="50"/>
      <c r="X90" s="50"/>
      <c r="Y90" s="54"/>
      <c r="Z90" s="54"/>
      <c r="AA90" s="54"/>
      <c r="AB90" s="54"/>
      <c r="AC90" s="54"/>
      <c r="AD90" s="54"/>
      <c r="AE90" s="53"/>
      <c r="AF90" s="54"/>
      <c r="AG90" s="54"/>
      <c r="AH90" s="54"/>
      <c r="AI90" s="54"/>
      <c r="AJ90" s="54"/>
      <c r="AK90" s="54"/>
      <c r="AL90" s="54"/>
      <c r="AM90" s="54"/>
      <c r="AN90" s="54"/>
    </row>
    <row r="91" ht="15" customHeight="1" spans="1:40">
      <c r="A91" s="46"/>
      <c r="B91" s="52">
        <v>5</v>
      </c>
      <c r="C91" s="48"/>
      <c r="D91" s="48"/>
      <c r="E91" s="48"/>
      <c r="F91" s="49"/>
      <c r="G91" s="49"/>
      <c r="H91" s="48" t="s">
        <v>29</v>
      </c>
      <c r="I91" s="50">
        <v>-0.0018</v>
      </c>
      <c r="J91" s="50">
        <v>0.0074</v>
      </c>
      <c r="K91" s="50">
        <v>-0.0018</v>
      </c>
      <c r="L91" s="50">
        <v>0.0005</v>
      </c>
      <c r="M91" s="50">
        <v>0.0016</v>
      </c>
      <c r="N91" s="50">
        <v>0.0023</v>
      </c>
      <c r="O91" s="50">
        <v>0.0019</v>
      </c>
      <c r="P91" s="50">
        <v>-0.0012</v>
      </c>
      <c r="Q91" s="50">
        <v>-0.0014</v>
      </c>
      <c r="R91" s="50">
        <v>0.0034</v>
      </c>
      <c r="S91" s="50">
        <v>0.0035</v>
      </c>
      <c r="T91" s="50"/>
      <c r="U91" s="50"/>
      <c r="V91" s="50"/>
      <c r="W91" s="50"/>
      <c r="X91" s="50"/>
      <c r="Y91" s="54"/>
      <c r="Z91" s="54"/>
      <c r="AA91" s="54"/>
      <c r="AB91" s="54"/>
      <c r="AC91" s="54"/>
      <c r="AD91" s="54"/>
      <c r="AE91" s="53"/>
      <c r="AF91" s="54"/>
      <c r="AG91" s="54"/>
      <c r="AH91" s="54"/>
      <c r="AI91" s="54"/>
      <c r="AJ91" s="54"/>
      <c r="AK91" s="54"/>
      <c r="AL91" s="54"/>
      <c r="AM91" s="54"/>
      <c r="AN91" s="54"/>
    </row>
    <row r="92" ht="15" customHeight="1" spans="1:40">
      <c r="A92" s="46"/>
      <c r="B92" s="52">
        <v>6</v>
      </c>
      <c r="C92" s="48"/>
      <c r="D92" s="48"/>
      <c r="E92" s="48"/>
      <c r="F92" s="49"/>
      <c r="G92" s="49"/>
      <c r="H92" s="48" t="s">
        <v>29</v>
      </c>
      <c r="I92" s="50">
        <v>0.0012</v>
      </c>
      <c r="J92" s="50">
        <v>0.0123</v>
      </c>
      <c r="K92" s="50">
        <v>-0.0071</v>
      </c>
      <c r="L92" s="50">
        <v>0.0077</v>
      </c>
      <c r="M92" s="50">
        <v>0.0059</v>
      </c>
      <c r="N92" s="50">
        <v>0.0034</v>
      </c>
      <c r="O92" s="50">
        <v>-0.0013</v>
      </c>
      <c r="P92" s="50">
        <v>0.0046</v>
      </c>
      <c r="Q92" s="50">
        <v>-0.0065</v>
      </c>
      <c r="R92" s="50">
        <v>-0.0011</v>
      </c>
      <c r="S92" s="50">
        <v>-0.0009</v>
      </c>
      <c r="T92" s="50"/>
      <c r="U92" s="50"/>
      <c r="V92" s="50"/>
      <c r="W92" s="50"/>
      <c r="X92" s="50"/>
      <c r="Y92" s="54"/>
      <c r="Z92" s="54"/>
      <c r="AA92" s="54"/>
      <c r="AB92" s="54"/>
      <c r="AC92" s="54"/>
      <c r="AD92" s="54"/>
      <c r="AE92" s="53"/>
      <c r="AF92" s="54"/>
      <c r="AG92" s="54"/>
      <c r="AH92" s="54"/>
      <c r="AI92" s="54"/>
      <c r="AJ92" s="54"/>
      <c r="AK92" s="54"/>
      <c r="AL92" s="54"/>
      <c r="AM92" s="54"/>
      <c r="AN92" s="54"/>
    </row>
    <row r="93" ht="15" customHeight="1" spans="1:40">
      <c r="A93" s="46"/>
      <c r="B93" s="52">
        <v>7</v>
      </c>
      <c r="C93" s="48"/>
      <c r="D93" s="48"/>
      <c r="E93" s="48"/>
      <c r="F93" s="49"/>
      <c r="G93" s="49"/>
      <c r="H93" s="48" t="s">
        <v>29</v>
      </c>
      <c r="I93" s="50">
        <v>-0.0057</v>
      </c>
      <c r="J93" s="50">
        <v>0.0017</v>
      </c>
      <c r="K93" s="50">
        <v>-0.0052</v>
      </c>
      <c r="L93" s="50">
        <v>-0.0051</v>
      </c>
      <c r="M93" s="50">
        <v>-0.005</v>
      </c>
      <c r="N93" s="50">
        <v>0.0018</v>
      </c>
      <c r="O93" s="50">
        <v>-0.0015</v>
      </c>
      <c r="P93" s="50">
        <v>-0.0072</v>
      </c>
      <c r="Q93" s="50">
        <v>-0.0048</v>
      </c>
      <c r="R93" s="50">
        <v>-0.0008</v>
      </c>
      <c r="S93" s="50">
        <v>-0.0007</v>
      </c>
      <c r="T93" s="50"/>
      <c r="U93" s="50"/>
      <c r="V93" s="50"/>
      <c r="W93" s="50"/>
      <c r="X93" s="50"/>
      <c r="Y93" s="54"/>
      <c r="Z93" s="54"/>
      <c r="AA93" s="54"/>
      <c r="AB93" s="54"/>
      <c r="AC93" s="54"/>
      <c r="AD93" s="54"/>
      <c r="AE93" s="53"/>
      <c r="AF93" s="54"/>
      <c r="AG93" s="54"/>
      <c r="AH93" s="54"/>
      <c r="AI93" s="54"/>
      <c r="AJ93" s="54"/>
      <c r="AK93" s="54"/>
      <c r="AL93" s="54"/>
      <c r="AM93" s="54"/>
      <c r="AN93" s="54"/>
    </row>
    <row r="94" ht="15" customHeight="1" spans="1:40">
      <c r="A94" s="46"/>
      <c r="B94" s="52">
        <v>8</v>
      </c>
      <c r="C94" s="48"/>
      <c r="D94" s="48"/>
      <c r="E94" s="48"/>
      <c r="F94" s="49"/>
      <c r="G94" s="49"/>
      <c r="H94" s="48" t="s">
        <v>29</v>
      </c>
      <c r="I94" s="50">
        <v>-0.0033</v>
      </c>
      <c r="J94" s="50">
        <v>0.0077</v>
      </c>
      <c r="K94" s="50">
        <v>-0.0072</v>
      </c>
      <c r="L94" s="50">
        <v>0.0007</v>
      </c>
      <c r="M94" s="50">
        <v>-0.0003</v>
      </c>
      <c r="N94" s="50">
        <v>0.0035</v>
      </c>
      <c r="O94" s="50">
        <v>-0.0032</v>
      </c>
      <c r="P94" s="50">
        <v>-0.0015</v>
      </c>
      <c r="Q94" s="50">
        <v>-0.0051</v>
      </c>
      <c r="R94" s="50">
        <v>-0.0039</v>
      </c>
      <c r="S94" s="50">
        <v>-0.0038</v>
      </c>
      <c r="T94" s="50"/>
      <c r="U94" s="50"/>
      <c r="V94" s="50"/>
      <c r="W94" s="50"/>
      <c r="X94" s="50"/>
      <c r="Y94" s="54"/>
      <c r="Z94" s="54"/>
      <c r="AA94" s="54"/>
      <c r="AB94" s="54"/>
      <c r="AC94" s="54"/>
      <c r="AD94" s="54"/>
      <c r="AE94" s="53"/>
      <c r="AF94" s="54"/>
      <c r="AG94" s="54"/>
      <c r="AH94" s="54"/>
      <c r="AI94" s="54"/>
      <c r="AJ94" s="54"/>
      <c r="AK94" s="54"/>
      <c r="AL94" s="54"/>
      <c r="AM94" s="54"/>
      <c r="AN94" s="54"/>
    </row>
    <row r="95" ht="15" customHeight="1" spans="1:40">
      <c r="A95" s="46"/>
      <c r="B95" s="52">
        <v>9</v>
      </c>
      <c r="C95" s="48"/>
      <c r="D95" s="48"/>
      <c r="E95" s="48"/>
      <c r="F95" s="49"/>
      <c r="G95" s="49"/>
      <c r="H95" s="48" t="s">
        <v>29</v>
      </c>
      <c r="I95" s="50">
        <v>-0.0027</v>
      </c>
      <c r="J95" s="50">
        <v>0.0047</v>
      </c>
      <c r="K95" s="50">
        <v>-0.0083</v>
      </c>
      <c r="L95" s="50">
        <v>-0.0001</v>
      </c>
      <c r="M95" s="50">
        <v>-0.0001</v>
      </c>
      <c r="N95" s="50">
        <v>0.0038</v>
      </c>
      <c r="O95" s="50">
        <v>-0.0031</v>
      </c>
      <c r="P95" s="50">
        <v>-0.0011</v>
      </c>
      <c r="Q95" s="50">
        <v>-0.0073</v>
      </c>
      <c r="R95" s="50">
        <v>-0.0072</v>
      </c>
      <c r="S95" s="50">
        <v>-0.007</v>
      </c>
      <c r="T95" s="50"/>
      <c r="U95" s="50"/>
      <c r="V95" s="50"/>
      <c r="W95" s="50"/>
      <c r="X95" s="50"/>
      <c r="Y95" s="54"/>
      <c r="Z95" s="54"/>
      <c r="AA95" s="54"/>
      <c r="AB95" s="54"/>
      <c r="AC95" s="54"/>
      <c r="AD95" s="54"/>
      <c r="AE95" s="53"/>
      <c r="AF95" s="54"/>
      <c r="AG95" s="54"/>
      <c r="AH95" s="54"/>
      <c r="AI95" s="54"/>
      <c r="AJ95" s="54"/>
      <c r="AK95" s="54"/>
      <c r="AL95" s="54"/>
      <c r="AM95" s="54"/>
      <c r="AN95" s="54"/>
    </row>
    <row r="96" ht="15" customHeight="1" spans="1:40">
      <c r="A96" s="46"/>
      <c r="B96" s="52">
        <v>10</v>
      </c>
      <c r="C96" s="48"/>
      <c r="D96" s="48"/>
      <c r="E96" s="48"/>
      <c r="F96" s="49"/>
      <c r="G96" s="49"/>
      <c r="H96" s="48" t="s">
        <v>29</v>
      </c>
      <c r="I96" s="50">
        <v>-0.0052</v>
      </c>
      <c r="J96" s="50">
        <v>-0.0069</v>
      </c>
      <c r="K96" s="50">
        <v>-0.0087</v>
      </c>
      <c r="L96" s="50">
        <v>-0.0101</v>
      </c>
      <c r="M96" s="50">
        <v>-0.0081</v>
      </c>
      <c r="N96" s="50">
        <v>0.0029</v>
      </c>
      <c r="O96" s="50">
        <v>-0.0062</v>
      </c>
      <c r="P96" s="50">
        <v>-0.0106</v>
      </c>
      <c r="Q96" s="50">
        <v>-0.0069</v>
      </c>
      <c r="R96" s="50">
        <v>-0.0094</v>
      </c>
      <c r="S96" s="50">
        <v>-0.0095</v>
      </c>
      <c r="T96" s="50"/>
      <c r="U96" s="50"/>
      <c r="V96" s="50"/>
      <c r="W96" s="50"/>
      <c r="X96" s="50"/>
      <c r="Y96" s="54"/>
      <c r="Z96" s="54"/>
      <c r="AA96" s="54"/>
      <c r="AB96" s="54"/>
      <c r="AC96" s="54"/>
      <c r="AD96" s="54"/>
      <c r="AE96" s="53"/>
      <c r="AF96" s="54"/>
      <c r="AG96" s="54"/>
      <c r="AH96" s="54"/>
      <c r="AI96" s="54"/>
      <c r="AJ96" s="54"/>
      <c r="AK96" s="54"/>
      <c r="AL96" s="54"/>
      <c r="AM96" s="54"/>
      <c r="AN96" s="54"/>
    </row>
    <row r="97" ht="15" customHeight="1" spans="1:40">
      <c r="A97" s="46"/>
      <c r="B97" s="52">
        <v>11</v>
      </c>
      <c r="C97" s="48"/>
      <c r="D97" s="48"/>
      <c r="E97" s="48"/>
      <c r="F97" s="49"/>
      <c r="G97" s="49"/>
      <c r="H97" s="48" t="s">
        <v>29</v>
      </c>
      <c r="I97" s="50">
        <v>-0.0052</v>
      </c>
      <c r="J97" s="50">
        <v>-0.0096</v>
      </c>
      <c r="K97" s="50">
        <v>-0.008</v>
      </c>
      <c r="L97" s="50">
        <v>-0.0112</v>
      </c>
      <c r="M97" s="50">
        <v>-0.0088</v>
      </c>
      <c r="N97" s="50">
        <v>0.0048</v>
      </c>
      <c r="O97" s="50">
        <v>-0.0045</v>
      </c>
      <c r="P97" s="50">
        <v>-0.0089</v>
      </c>
      <c r="Q97" s="50">
        <v>-0.0086</v>
      </c>
      <c r="R97" s="50">
        <v>-0.0088</v>
      </c>
      <c r="S97" s="50">
        <v>-0.0086</v>
      </c>
      <c r="T97" s="50"/>
      <c r="U97" s="50"/>
      <c r="V97" s="50"/>
      <c r="W97" s="50"/>
      <c r="X97" s="50"/>
      <c r="Y97" s="54"/>
      <c r="Z97" s="54"/>
      <c r="AA97" s="54"/>
      <c r="AB97" s="54"/>
      <c r="AC97" s="54"/>
      <c r="AD97" s="54"/>
      <c r="AE97" s="53"/>
      <c r="AF97" s="54"/>
      <c r="AG97" s="54"/>
      <c r="AH97" s="54"/>
      <c r="AI97" s="54"/>
      <c r="AJ97" s="54"/>
      <c r="AK97" s="54"/>
      <c r="AL97" s="54"/>
      <c r="AM97" s="54"/>
      <c r="AN97" s="54"/>
    </row>
    <row r="98" ht="15" customHeight="1" spans="1:40">
      <c r="A98" s="46"/>
      <c r="B98" s="52">
        <v>12</v>
      </c>
      <c r="C98" s="48"/>
      <c r="D98" s="48"/>
      <c r="E98" s="48"/>
      <c r="F98" s="49"/>
      <c r="G98" s="49"/>
      <c r="H98" s="48" t="s">
        <v>29</v>
      </c>
      <c r="I98" s="50">
        <v>-0.0046</v>
      </c>
      <c r="J98" s="50">
        <v>-0.0123</v>
      </c>
      <c r="K98" s="50">
        <v>-0.0079</v>
      </c>
      <c r="L98" s="50">
        <v>-0.0127</v>
      </c>
      <c r="M98" s="50">
        <v>-0.0114</v>
      </c>
      <c r="N98" s="50">
        <v>0.0031</v>
      </c>
      <c r="O98" s="50">
        <v>-0.0077</v>
      </c>
      <c r="P98" s="50">
        <v>-0.0118</v>
      </c>
      <c r="Q98" s="50">
        <v>-0.0066</v>
      </c>
      <c r="R98" s="50">
        <v>-0.0063</v>
      </c>
      <c r="S98" s="50">
        <v>-0.0061</v>
      </c>
      <c r="T98" s="50"/>
      <c r="U98" s="50"/>
      <c r="V98" s="50"/>
      <c r="W98" s="50"/>
      <c r="X98" s="50"/>
      <c r="Y98" s="54"/>
      <c r="Z98" s="54"/>
      <c r="AA98" s="54"/>
      <c r="AB98" s="54"/>
      <c r="AC98" s="54"/>
      <c r="AD98" s="54"/>
      <c r="AE98" s="53"/>
      <c r="AF98" s="54"/>
      <c r="AG98" s="54"/>
      <c r="AH98" s="54"/>
      <c r="AI98" s="54"/>
      <c r="AJ98" s="54"/>
      <c r="AK98" s="54"/>
      <c r="AL98" s="54"/>
      <c r="AM98" s="54"/>
      <c r="AN98" s="54"/>
    </row>
    <row r="99" ht="15" customHeight="1" spans="1:40">
      <c r="A99" s="46"/>
      <c r="B99" s="52">
        <v>13</v>
      </c>
      <c r="C99" s="48"/>
      <c r="D99" s="48"/>
      <c r="E99" s="48"/>
      <c r="F99" s="49"/>
      <c r="G99" s="49"/>
      <c r="H99" s="48" t="s">
        <v>29</v>
      </c>
      <c r="I99" s="50">
        <v>-0.0077</v>
      </c>
      <c r="J99" s="50">
        <v>-0.0106</v>
      </c>
      <c r="K99" s="50">
        <v>0.0054</v>
      </c>
      <c r="L99" s="50">
        <v>-0.0095</v>
      </c>
      <c r="M99" s="50">
        <v>-0.0081</v>
      </c>
      <c r="N99" s="50">
        <v>-0.0069</v>
      </c>
      <c r="O99" s="50">
        <v>0.0044</v>
      </c>
      <c r="P99" s="50">
        <v>-0.0108</v>
      </c>
      <c r="Q99" s="50">
        <v>0.0065</v>
      </c>
      <c r="R99" s="50">
        <v>0.006</v>
      </c>
      <c r="S99" s="50">
        <v>0.006</v>
      </c>
      <c r="T99" s="50"/>
      <c r="U99" s="50"/>
      <c r="V99" s="50"/>
      <c r="W99" s="50"/>
      <c r="X99" s="50"/>
      <c r="Y99" s="54"/>
      <c r="Z99" s="54"/>
      <c r="AA99" s="54"/>
      <c r="AB99" s="54"/>
      <c r="AC99" s="54"/>
      <c r="AD99" s="54"/>
      <c r="AE99" s="53"/>
      <c r="AF99" s="54"/>
      <c r="AG99" s="54"/>
      <c r="AH99" s="54"/>
      <c r="AI99" s="54"/>
      <c r="AJ99" s="54"/>
      <c r="AK99" s="54"/>
      <c r="AL99" s="54"/>
      <c r="AM99" s="54"/>
      <c r="AN99" s="54"/>
    </row>
    <row r="100" ht="15" customHeight="1" spans="1:40">
      <c r="A100" s="46"/>
      <c r="B100" s="52">
        <v>14</v>
      </c>
      <c r="C100" s="48"/>
      <c r="D100" s="48"/>
      <c r="E100" s="48"/>
      <c r="F100" s="49"/>
      <c r="G100" s="49"/>
      <c r="H100" s="48" t="s">
        <v>29</v>
      </c>
      <c r="I100" s="50">
        <v>0.0072</v>
      </c>
      <c r="J100" s="50">
        <v>-0.0005</v>
      </c>
      <c r="K100" s="50">
        <v>0.0064</v>
      </c>
      <c r="L100" s="50">
        <v>0.0127</v>
      </c>
      <c r="M100" s="50">
        <v>0.0093</v>
      </c>
      <c r="N100" s="50">
        <v>0.006</v>
      </c>
      <c r="O100" s="50">
        <v>0.0085</v>
      </c>
      <c r="P100" s="50">
        <v>0.01</v>
      </c>
      <c r="Q100" s="50">
        <v>0.0087</v>
      </c>
      <c r="R100" s="50">
        <v>0.0094</v>
      </c>
      <c r="S100" s="50">
        <v>0.0095</v>
      </c>
      <c r="T100" s="50"/>
      <c r="U100" s="50"/>
      <c r="V100" s="50"/>
      <c r="W100" s="50"/>
      <c r="X100" s="50"/>
      <c r="Y100" s="54"/>
      <c r="Z100" s="54"/>
      <c r="AA100" s="54"/>
      <c r="AB100" s="54"/>
      <c r="AC100" s="54"/>
      <c r="AD100" s="54"/>
      <c r="AE100" s="53"/>
      <c r="AF100" s="54"/>
      <c r="AG100" s="54"/>
      <c r="AH100" s="54"/>
      <c r="AI100" s="54"/>
      <c r="AJ100" s="54"/>
      <c r="AK100" s="54"/>
      <c r="AL100" s="54"/>
      <c r="AM100" s="54"/>
      <c r="AN100" s="54"/>
    </row>
    <row r="101" ht="15" customHeight="1" spans="1:40">
      <c r="A101" s="46"/>
      <c r="B101" s="52">
        <v>15</v>
      </c>
      <c r="C101" s="48"/>
      <c r="D101" s="48"/>
      <c r="E101" s="48"/>
      <c r="F101" s="49"/>
      <c r="G101" s="49"/>
      <c r="H101" s="48" t="s">
        <v>29</v>
      </c>
      <c r="I101" s="50">
        <v>0.0079</v>
      </c>
      <c r="J101" s="50">
        <v>0.0066</v>
      </c>
      <c r="K101" s="50">
        <v>0.0002</v>
      </c>
      <c r="L101" s="50">
        <v>0.0127</v>
      </c>
      <c r="M101" s="50">
        <v>0.0116</v>
      </c>
      <c r="N101" s="50">
        <v>0.0072</v>
      </c>
      <c r="O101" s="50">
        <v>0.0022</v>
      </c>
      <c r="P101" s="50">
        <v>0.0118</v>
      </c>
      <c r="Q101" s="50">
        <v>-0.0021</v>
      </c>
      <c r="R101" s="50">
        <v>0.0049</v>
      </c>
      <c r="S101" s="50">
        <v>0.0052</v>
      </c>
      <c r="T101" s="50"/>
      <c r="U101" s="50"/>
      <c r="V101" s="50"/>
      <c r="W101" s="50"/>
      <c r="X101" s="50"/>
      <c r="Y101" s="54"/>
      <c r="Z101" s="54"/>
      <c r="AA101" s="54"/>
      <c r="AB101" s="54"/>
      <c r="AC101" s="54"/>
      <c r="AD101" s="54"/>
      <c r="AE101" s="53"/>
      <c r="AF101" s="54"/>
      <c r="AG101" s="54"/>
      <c r="AH101" s="54"/>
      <c r="AI101" s="54"/>
      <c r="AJ101" s="54"/>
      <c r="AK101" s="54"/>
      <c r="AL101" s="54"/>
      <c r="AM101" s="54"/>
      <c r="AN101" s="54"/>
    </row>
    <row r="102" ht="15" customHeight="1" spans="1:40">
      <c r="A102" s="46"/>
      <c r="B102" s="52">
        <v>16</v>
      </c>
      <c r="C102" s="48"/>
      <c r="D102" s="48"/>
      <c r="E102" s="48"/>
      <c r="F102" s="49"/>
      <c r="G102" s="49"/>
      <c r="H102" s="48" t="s">
        <v>29</v>
      </c>
      <c r="I102" s="50">
        <v>-0.0008</v>
      </c>
      <c r="J102" s="50">
        <v>0.0029</v>
      </c>
      <c r="K102" s="50">
        <v>-0.0004</v>
      </c>
      <c r="L102" s="50">
        <v>-0.002</v>
      </c>
      <c r="M102" s="50">
        <v>0.0022</v>
      </c>
      <c r="N102" s="50">
        <v>0.0037</v>
      </c>
      <c r="O102" s="50">
        <v>0.0016</v>
      </c>
      <c r="P102" s="50">
        <v>-0.0006</v>
      </c>
      <c r="Q102" s="50">
        <v>-0.0012</v>
      </c>
      <c r="R102" s="50">
        <v>0.0038</v>
      </c>
      <c r="S102" s="50">
        <v>0.0041</v>
      </c>
      <c r="T102" s="50"/>
      <c r="U102" s="50"/>
      <c r="V102" s="50"/>
      <c r="W102" s="50"/>
      <c r="X102" s="50"/>
      <c r="Y102" s="54"/>
      <c r="Z102" s="54"/>
      <c r="AA102" s="54"/>
      <c r="AB102" s="54"/>
      <c r="AC102" s="54"/>
      <c r="AD102" s="54"/>
      <c r="AE102" s="53"/>
      <c r="AF102" s="54"/>
      <c r="AG102" s="54"/>
      <c r="AH102" s="54"/>
      <c r="AI102" s="54"/>
      <c r="AJ102" s="54"/>
      <c r="AK102" s="54"/>
      <c r="AL102" s="54"/>
      <c r="AM102" s="54"/>
      <c r="AN102" s="54"/>
    </row>
    <row r="103" ht="15" customHeight="1" spans="1:40">
      <c r="A103" s="46"/>
      <c r="B103" s="52">
        <v>17</v>
      </c>
      <c r="C103" s="48"/>
      <c r="D103" s="48"/>
      <c r="E103" s="48"/>
      <c r="F103" s="49"/>
      <c r="G103" s="49"/>
      <c r="H103" s="48" t="s">
        <v>29</v>
      </c>
      <c r="I103" s="50">
        <v>-0.0017</v>
      </c>
      <c r="J103" s="50">
        <v>0.006</v>
      </c>
      <c r="K103" s="50">
        <v>0.0044</v>
      </c>
      <c r="L103" s="50">
        <v>0.0009</v>
      </c>
      <c r="M103" s="50">
        <v>0.0021</v>
      </c>
      <c r="N103" s="50">
        <v>0.0054</v>
      </c>
      <c r="O103" s="50">
        <v>-0.0006</v>
      </c>
      <c r="P103" s="50">
        <v>0.0018</v>
      </c>
      <c r="Q103" s="50">
        <v>0.0001</v>
      </c>
      <c r="R103" s="50">
        <v>0.0015</v>
      </c>
      <c r="S103" s="50">
        <v>0.0018</v>
      </c>
      <c r="T103" s="50"/>
      <c r="U103" s="50"/>
      <c r="V103" s="50"/>
      <c r="W103" s="50"/>
      <c r="X103" s="50"/>
      <c r="Y103" s="54"/>
      <c r="Z103" s="54"/>
      <c r="AA103" s="54"/>
      <c r="AB103" s="54"/>
      <c r="AC103" s="54"/>
      <c r="AD103" s="54"/>
      <c r="AE103" s="53"/>
      <c r="AF103" s="54"/>
      <c r="AG103" s="54"/>
      <c r="AH103" s="54"/>
      <c r="AI103" s="54"/>
      <c r="AJ103" s="54"/>
      <c r="AK103" s="54"/>
      <c r="AL103" s="54"/>
      <c r="AM103" s="54"/>
      <c r="AN103" s="54"/>
    </row>
    <row r="104" ht="15" customHeight="1" spans="1:40">
      <c r="A104" s="46"/>
      <c r="B104" s="52">
        <v>18</v>
      </c>
      <c r="C104" s="48"/>
      <c r="D104" s="48"/>
      <c r="E104" s="48"/>
      <c r="F104" s="49"/>
      <c r="G104" s="49"/>
      <c r="H104" s="48" t="s">
        <v>29</v>
      </c>
      <c r="I104" s="50">
        <v>-0.0005</v>
      </c>
      <c r="J104" s="50">
        <v>0.0123</v>
      </c>
      <c r="K104" s="50">
        <v>0.0008</v>
      </c>
      <c r="L104" s="50">
        <v>0.0096</v>
      </c>
      <c r="M104" s="50">
        <v>0.0075</v>
      </c>
      <c r="N104" s="50">
        <v>0.0045</v>
      </c>
      <c r="O104" s="50">
        <v>-0.0018</v>
      </c>
      <c r="P104" s="50">
        <v>0.0092</v>
      </c>
      <c r="Q104" s="50">
        <v>-0.0039</v>
      </c>
      <c r="R104" s="50">
        <v>-0.0002</v>
      </c>
      <c r="S104" s="50">
        <v>0.0001</v>
      </c>
      <c r="T104" s="50"/>
      <c r="U104" s="50"/>
      <c r="V104" s="50"/>
      <c r="W104" s="50"/>
      <c r="X104" s="50"/>
      <c r="Y104" s="54"/>
      <c r="Z104" s="54"/>
      <c r="AA104" s="54"/>
      <c r="AB104" s="54"/>
      <c r="AC104" s="54"/>
      <c r="AD104" s="54"/>
      <c r="AE104" s="53"/>
      <c r="AF104" s="54"/>
      <c r="AG104" s="54"/>
      <c r="AH104" s="54"/>
      <c r="AI104" s="54"/>
      <c r="AJ104" s="54"/>
      <c r="AK104" s="54"/>
      <c r="AL104" s="54"/>
      <c r="AM104" s="54"/>
      <c r="AN104" s="54"/>
    </row>
    <row r="105" ht="15" customHeight="1" spans="1:40">
      <c r="A105" s="46"/>
      <c r="B105" s="52">
        <v>19</v>
      </c>
      <c r="C105" s="48"/>
      <c r="D105" s="48"/>
      <c r="E105" s="48"/>
      <c r="F105" s="49"/>
      <c r="G105" s="49"/>
      <c r="H105" s="48" t="s">
        <v>29</v>
      </c>
      <c r="I105" s="50">
        <v>-0.0036</v>
      </c>
      <c r="J105" s="50">
        <v>0.0043</v>
      </c>
      <c r="K105" s="50">
        <v>0.0044</v>
      </c>
      <c r="L105" s="50">
        <v>-0.0004</v>
      </c>
      <c r="M105" s="50">
        <v>-0.0012</v>
      </c>
      <c r="N105" s="50">
        <v>0.0027</v>
      </c>
      <c r="O105" s="50">
        <v>-0.0022</v>
      </c>
      <c r="P105" s="50">
        <v>-0.002</v>
      </c>
      <c r="Q105" s="50">
        <v>0</v>
      </c>
      <c r="R105" s="50">
        <v>0</v>
      </c>
      <c r="S105" s="50">
        <v>0.0004</v>
      </c>
      <c r="T105" s="50"/>
      <c r="U105" s="50"/>
      <c r="V105" s="50"/>
      <c r="W105" s="50"/>
      <c r="X105" s="50"/>
      <c r="Y105" s="54"/>
      <c r="Z105" s="54"/>
      <c r="AA105" s="54"/>
      <c r="AB105" s="54"/>
      <c r="AC105" s="54"/>
      <c r="AD105" s="54"/>
      <c r="AE105" s="53"/>
      <c r="AF105" s="54"/>
      <c r="AG105" s="54"/>
      <c r="AH105" s="54"/>
      <c r="AI105" s="54"/>
      <c r="AJ105" s="54"/>
      <c r="AK105" s="54"/>
      <c r="AL105" s="54"/>
      <c r="AM105" s="54"/>
      <c r="AN105" s="54"/>
    </row>
    <row r="106" ht="15" customHeight="1" spans="1:40">
      <c r="A106" s="46"/>
      <c r="B106" s="52">
        <v>20</v>
      </c>
      <c r="C106" s="48"/>
      <c r="D106" s="48"/>
      <c r="E106" s="48"/>
      <c r="F106" s="49"/>
      <c r="G106" s="49"/>
      <c r="H106" s="48" t="s">
        <v>29</v>
      </c>
      <c r="I106" s="50">
        <v>-0.0013</v>
      </c>
      <c r="J106" s="50">
        <v>0.0103</v>
      </c>
      <c r="K106" s="50">
        <v>0.0087</v>
      </c>
      <c r="L106" s="50">
        <v>0.0064</v>
      </c>
      <c r="M106" s="50">
        <v>0.0028</v>
      </c>
      <c r="N106" s="50">
        <v>0.0028</v>
      </c>
      <c r="O106" s="50">
        <v>-0.0062</v>
      </c>
      <c r="P106" s="50">
        <v>0.0065</v>
      </c>
      <c r="Q106" s="50">
        <v>-0.0001</v>
      </c>
      <c r="R106" s="50">
        <v>-0.0038</v>
      </c>
      <c r="S106" s="50">
        <v>-0.0034</v>
      </c>
      <c r="T106" s="50"/>
      <c r="U106" s="50"/>
      <c r="V106" s="50"/>
      <c r="W106" s="50"/>
      <c r="X106" s="50"/>
      <c r="Y106" s="54"/>
      <c r="Z106" s="54"/>
      <c r="AA106" s="54"/>
      <c r="AB106" s="54"/>
      <c r="AC106" s="54"/>
      <c r="AD106" s="54"/>
      <c r="AE106" s="53"/>
      <c r="AF106" s="54"/>
      <c r="AG106" s="54"/>
      <c r="AH106" s="54"/>
      <c r="AI106" s="54"/>
      <c r="AJ106" s="54"/>
      <c r="AK106" s="54"/>
      <c r="AL106" s="54"/>
      <c r="AM106" s="54"/>
      <c r="AN106" s="54"/>
    </row>
    <row r="107" ht="15" customHeight="1" spans="1:40">
      <c r="A107" s="46"/>
      <c r="B107" s="52">
        <v>21</v>
      </c>
      <c r="C107" s="48"/>
      <c r="D107" s="48"/>
      <c r="E107" s="48"/>
      <c r="F107" s="49"/>
      <c r="G107" s="49"/>
      <c r="H107" s="48" t="s">
        <v>29</v>
      </c>
      <c r="I107" s="50">
        <v>-0.002</v>
      </c>
      <c r="J107" s="50">
        <v>0.0089</v>
      </c>
      <c r="K107" s="50">
        <v>0.0031</v>
      </c>
      <c r="L107" s="50">
        <v>0.01</v>
      </c>
      <c r="M107" s="50">
        <v>0.0025</v>
      </c>
      <c r="N107" s="50">
        <v>-0.0001</v>
      </c>
      <c r="O107" s="50">
        <v>-0.0061</v>
      </c>
      <c r="P107" s="50">
        <v>0.0085</v>
      </c>
      <c r="Q107" s="50">
        <v>-0.0039</v>
      </c>
      <c r="R107" s="50">
        <v>-0.0052</v>
      </c>
      <c r="S107" s="50">
        <v>-0.0051</v>
      </c>
      <c r="T107" s="50"/>
      <c r="U107" s="50"/>
      <c r="V107" s="50"/>
      <c r="W107" s="50"/>
      <c r="X107" s="50"/>
      <c r="Y107" s="54"/>
      <c r="Z107" s="54"/>
      <c r="AA107" s="54"/>
      <c r="AB107" s="54"/>
      <c r="AC107" s="54"/>
      <c r="AD107" s="54"/>
      <c r="AE107" s="53"/>
      <c r="AF107" s="54"/>
      <c r="AG107" s="54"/>
      <c r="AH107" s="54"/>
      <c r="AI107" s="54"/>
      <c r="AJ107" s="54"/>
      <c r="AK107" s="54"/>
      <c r="AL107" s="54"/>
      <c r="AM107" s="54"/>
      <c r="AN107" s="54"/>
    </row>
    <row r="108" ht="15" customHeight="1" spans="1:40">
      <c r="A108" s="46"/>
      <c r="B108" s="52">
        <v>22</v>
      </c>
      <c r="C108" s="48"/>
      <c r="D108" s="48"/>
      <c r="E108" s="48"/>
      <c r="F108" s="49"/>
      <c r="G108" s="49"/>
      <c r="H108" s="48" t="s">
        <v>29</v>
      </c>
      <c r="I108" s="50">
        <v>-0.0064</v>
      </c>
      <c r="J108" s="50">
        <v>0.0009</v>
      </c>
      <c r="K108" s="50">
        <v>0.0033</v>
      </c>
      <c r="L108" s="50">
        <v>0.0002</v>
      </c>
      <c r="M108" s="50">
        <v>-0.0049</v>
      </c>
      <c r="N108" s="50">
        <v>0.002</v>
      </c>
      <c r="O108" s="50">
        <v>-0.007</v>
      </c>
      <c r="P108" s="50">
        <v>-0.0056</v>
      </c>
      <c r="Q108" s="50">
        <v>-0.0087</v>
      </c>
      <c r="R108" s="50">
        <v>-0.0059</v>
      </c>
      <c r="S108" s="50">
        <v>-0.0059</v>
      </c>
      <c r="T108" s="50"/>
      <c r="U108" s="50"/>
      <c r="V108" s="50"/>
      <c r="W108" s="50"/>
      <c r="X108" s="50"/>
      <c r="Y108" s="54"/>
      <c r="Z108" s="54"/>
      <c r="AA108" s="54"/>
      <c r="AB108" s="54"/>
      <c r="AC108" s="54"/>
      <c r="AD108" s="54"/>
      <c r="AE108" s="53"/>
      <c r="AF108" s="54"/>
      <c r="AG108" s="54"/>
      <c r="AH108" s="54"/>
      <c r="AI108" s="54"/>
      <c r="AJ108" s="54"/>
      <c r="AK108" s="54"/>
      <c r="AL108" s="54"/>
      <c r="AM108" s="54"/>
      <c r="AN108" s="54"/>
    </row>
    <row r="109" ht="15" customHeight="1" spans="1:40">
      <c r="A109" s="46"/>
      <c r="B109" s="52">
        <v>23</v>
      </c>
      <c r="C109" s="48"/>
      <c r="D109" s="48"/>
      <c r="E109" s="48"/>
      <c r="F109" s="49"/>
      <c r="G109" s="49"/>
      <c r="H109" s="48" t="s">
        <v>29</v>
      </c>
      <c r="I109" s="50">
        <v>-0.0079</v>
      </c>
      <c r="J109" s="50">
        <v>-0.0075</v>
      </c>
      <c r="K109" s="50">
        <v>0.0075</v>
      </c>
      <c r="L109" s="50">
        <v>-0.0019</v>
      </c>
      <c r="M109" s="50">
        <v>-0.0116</v>
      </c>
      <c r="N109" s="50">
        <v>-0.0061</v>
      </c>
      <c r="O109" s="50">
        <v>-0.0085</v>
      </c>
      <c r="P109" s="50">
        <v>-0.0104</v>
      </c>
      <c r="Q109" s="50">
        <v>-0.0057</v>
      </c>
      <c r="R109" s="50">
        <v>-0.0062</v>
      </c>
      <c r="S109" s="50">
        <v>-0.0059</v>
      </c>
      <c r="T109" s="50"/>
      <c r="U109" s="50"/>
      <c r="V109" s="50"/>
      <c r="W109" s="50"/>
      <c r="X109" s="50"/>
      <c r="Y109" s="54"/>
      <c r="Z109" s="54"/>
      <c r="AA109" s="54"/>
      <c r="AB109" s="54"/>
      <c r="AC109" s="54"/>
      <c r="AD109" s="54"/>
      <c r="AE109" s="53"/>
      <c r="AF109" s="54"/>
      <c r="AG109" s="54"/>
      <c r="AH109" s="54"/>
      <c r="AI109" s="54"/>
      <c r="AJ109" s="54"/>
      <c r="AK109" s="54"/>
      <c r="AL109" s="54"/>
      <c r="AM109" s="54"/>
      <c r="AN109" s="54"/>
    </row>
    <row r="110" ht="15" customHeight="1" spans="1:40">
      <c r="A110" s="46"/>
      <c r="B110" s="52">
        <v>24</v>
      </c>
      <c r="C110" s="48"/>
      <c r="D110" s="48"/>
      <c r="E110" s="48"/>
      <c r="F110" s="49"/>
      <c r="G110" s="49"/>
      <c r="H110" s="48" t="s">
        <v>29</v>
      </c>
      <c r="I110" s="50">
        <v>-0.0077</v>
      </c>
      <c r="J110" s="50">
        <v>-0.0042</v>
      </c>
      <c r="K110" s="50">
        <v>0.0051</v>
      </c>
      <c r="L110" s="50">
        <v>0.0062</v>
      </c>
      <c r="M110" s="50">
        <v>-0.0067</v>
      </c>
      <c r="N110" s="50">
        <v>-0.0072</v>
      </c>
      <c r="O110" s="50">
        <v>0.0056</v>
      </c>
      <c r="P110" s="50">
        <v>-0.0043</v>
      </c>
      <c r="Q110" s="50">
        <v>0.0043</v>
      </c>
      <c r="R110" s="50">
        <v>0.0079</v>
      </c>
      <c r="S110" s="50">
        <v>0.008</v>
      </c>
      <c r="T110" s="50"/>
      <c r="U110" s="50"/>
      <c r="V110" s="50"/>
      <c r="W110" s="50"/>
      <c r="X110" s="50"/>
      <c r="Y110" s="54"/>
      <c r="Z110" s="54"/>
      <c r="AA110" s="54"/>
      <c r="AB110" s="54"/>
      <c r="AC110" s="54"/>
      <c r="AD110" s="54"/>
      <c r="AE110" s="53"/>
      <c r="AF110" s="54"/>
      <c r="AG110" s="54"/>
      <c r="AH110" s="54"/>
      <c r="AI110" s="54"/>
      <c r="AJ110" s="54"/>
      <c r="AK110" s="54"/>
      <c r="AL110" s="54"/>
      <c r="AM110" s="54"/>
      <c r="AN110" s="54"/>
    </row>
    <row r="111" ht="15" customHeight="1" spans="1:40">
      <c r="A111" s="46"/>
      <c r="B111" s="52" t="s">
        <v>60</v>
      </c>
      <c r="C111" s="48">
        <v>0</v>
      </c>
      <c r="D111" s="48">
        <v>0.01</v>
      </c>
      <c r="E111" s="48">
        <v>0</v>
      </c>
      <c r="F111" s="49">
        <f t="shared" ref="F111:F116" si="10">C111+D111</f>
        <v>0.01</v>
      </c>
      <c r="G111" s="49">
        <f t="shared" ref="G111:G116" si="11">C111+E111</f>
        <v>0</v>
      </c>
      <c r="H111" s="48" t="s">
        <v>29</v>
      </c>
      <c r="I111" s="50">
        <v>0.0041</v>
      </c>
      <c r="J111" s="50">
        <v>0.0084</v>
      </c>
      <c r="K111" s="50">
        <v>0.0048</v>
      </c>
      <c r="L111" s="50">
        <v>0.0059</v>
      </c>
      <c r="M111" s="50">
        <v>0.0071</v>
      </c>
      <c r="N111" s="50">
        <v>0.0034</v>
      </c>
      <c r="O111" s="50">
        <v>0.0058</v>
      </c>
      <c r="P111" s="50">
        <v>0.005</v>
      </c>
      <c r="Q111" s="50"/>
      <c r="R111" s="50"/>
      <c r="S111" s="50"/>
      <c r="T111" s="50"/>
      <c r="U111" s="50"/>
      <c r="V111" s="50"/>
      <c r="W111" s="50"/>
      <c r="X111" s="50"/>
      <c r="Y111" s="53" t="str">
        <f t="shared" ref="Y111:AN111" si="12">IF(I111="","",IF(I111&gt;($C111+$D111),(I111-$C111-$D111),IF(I111&lt;($C111+$E111),(I111-$C111-$E111),"√")))</f>
        <v>√</v>
      </c>
      <c r="Z111" s="53" t="str">
        <f t="shared" si="12"/>
        <v>√</v>
      </c>
      <c r="AA111" s="53" t="str">
        <f t="shared" si="12"/>
        <v>√</v>
      </c>
      <c r="AB111" s="53" t="str">
        <f t="shared" si="12"/>
        <v>√</v>
      </c>
      <c r="AC111" s="53" t="str">
        <f t="shared" si="12"/>
        <v>√</v>
      </c>
      <c r="AD111" s="53" t="str">
        <f t="shared" si="12"/>
        <v>√</v>
      </c>
      <c r="AE111" s="53" t="str">
        <f t="shared" si="12"/>
        <v>√</v>
      </c>
      <c r="AF111" s="53" t="str">
        <f t="shared" si="12"/>
        <v>√</v>
      </c>
      <c r="AG111" s="53" t="str">
        <f t="shared" si="12"/>
        <v/>
      </c>
      <c r="AH111" s="53" t="str">
        <f t="shared" si="12"/>
        <v/>
      </c>
      <c r="AI111" s="53" t="str">
        <f t="shared" si="12"/>
        <v/>
      </c>
      <c r="AJ111" s="53" t="str">
        <f t="shared" si="12"/>
        <v/>
      </c>
      <c r="AK111" s="53" t="str">
        <f t="shared" si="12"/>
        <v/>
      </c>
      <c r="AL111" s="53" t="str">
        <f t="shared" si="12"/>
        <v/>
      </c>
      <c r="AM111" s="53" t="str">
        <f t="shared" si="12"/>
        <v/>
      </c>
      <c r="AN111" s="53" t="str">
        <f t="shared" si="12"/>
        <v/>
      </c>
    </row>
    <row r="112" ht="15" customHeight="1" spans="1:40">
      <c r="A112" s="46"/>
      <c r="B112" s="57" t="s">
        <v>61</v>
      </c>
      <c r="C112" s="48">
        <v>0</v>
      </c>
      <c r="D112" s="48">
        <v>0.01</v>
      </c>
      <c r="E112" s="48">
        <v>0</v>
      </c>
      <c r="F112" s="49">
        <f t="shared" si="10"/>
        <v>0.01</v>
      </c>
      <c r="G112" s="49">
        <f t="shared" si="11"/>
        <v>0</v>
      </c>
      <c r="H112" s="48" t="s">
        <v>29</v>
      </c>
      <c r="I112" s="50">
        <v>0.0042</v>
      </c>
      <c r="J112" s="50">
        <v>0.0072</v>
      </c>
      <c r="K112" s="50">
        <v>0.0029</v>
      </c>
      <c r="L112" s="50">
        <v>0.0035</v>
      </c>
      <c r="M112" s="50">
        <v>0.0058</v>
      </c>
      <c r="N112" s="50">
        <v>0.0062</v>
      </c>
      <c r="O112" s="50">
        <v>0.0062</v>
      </c>
      <c r="P112" s="50">
        <v>0.0053</v>
      </c>
      <c r="Q112" s="50"/>
      <c r="R112" s="50"/>
      <c r="S112" s="50"/>
      <c r="T112" s="50"/>
      <c r="U112" s="50"/>
      <c r="V112" s="50"/>
      <c r="W112" s="50"/>
      <c r="X112" s="50"/>
      <c r="Y112" s="53" t="str">
        <f t="shared" ref="Y112:AN112" si="13">IF(I112="","",IF(I112&gt;($C112+$D112),(I112-$C112-$D112),IF(I112&lt;($C112+$E112),(I112-$C112-$E112),"√")))</f>
        <v>√</v>
      </c>
      <c r="Z112" s="53" t="str">
        <f t="shared" si="13"/>
        <v>√</v>
      </c>
      <c r="AA112" s="53" t="str">
        <f t="shared" si="13"/>
        <v>√</v>
      </c>
      <c r="AB112" s="53" t="str">
        <f t="shared" si="13"/>
        <v>√</v>
      </c>
      <c r="AC112" s="53" t="str">
        <f t="shared" si="13"/>
        <v>√</v>
      </c>
      <c r="AD112" s="53" t="str">
        <f t="shared" si="13"/>
        <v>√</v>
      </c>
      <c r="AE112" s="53" t="str">
        <f t="shared" si="13"/>
        <v>√</v>
      </c>
      <c r="AF112" s="53" t="str">
        <f t="shared" si="13"/>
        <v>√</v>
      </c>
      <c r="AG112" s="53" t="str">
        <f t="shared" si="13"/>
        <v/>
      </c>
      <c r="AH112" s="53" t="str">
        <f t="shared" si="13"/>
        <v/>
      </c>
      <c r="AI112" s="53" t="str">
        <f t="shared" si="13"/>
        <v/>
      </c>
      <c r="AJ112" s="53" t="str">
        <f t="shared" si="13"/>
        <v/>
      </c>
      <c r="AK112" s="53" t="str">
        <f t="shared" si="13"/>
        <v/>
      </c>
      <c r="AL112" s="53" t="str">
        <f t="shared" si="13"/>
        <v/>
      </c>
      <c r="AM112" s="53" t="str">
        <f t="shared" si="13"/>
        <v/>
      </c>
      <c r="AN112" s="53" t="str">
        <f t="shared" si="13"/>
        <v/>
      </c>
    </row>
    <row r="113" ht="15" customHeight="1" spans="1:40">
      <c r="A113" s="46"/>
      <c r="B113" s="57" t="s">
        <v>62</v>
      </c>
      <c r="C113" s="48">
        <v>0</v>
      </c>
      <c r="D113" s="48">
        <v>0.01</v>
      </c>
      <c r="E113" s="48">
        <v>0</v>
      </c>
      <c r="F113" s="49">
        <f t="shared" si="10"/>
        <v>0.01</v>
      </c>
      <c r="G113" s="49">
        <f t="shared" si="11"/>
        <v>0</v>
      </c>
      <c r="H113" s="48" t="s">
        <v>29</v>
      </c>
      <c r="I113" s="50">
        <v>0.0079</v>
      </c>
      <c r="J113" s="50">
        <v>0.0123</v>
      </c>
      <c r="K113" s="50">
        <v>0.0086</v>
      </c>
      <c r="L113" s="50">
        <v>0.0127</v>
      </c>
      <c r="M113" s="50">
        <v>0.0116</v>
      </c>
      <c r="N113" s="50">
        <v>0.0072</v>
      </c>
      <c r="O113" s="50">
        <v>0.0082</v>
      </c>
      <c r="P113" s="50">
        <v>0.0118</v>
      </c>
      <c r="Q113" s="50"/>
      <c r="R113" s="50"/>
      <c r="S113" s="50"/>
      <c r="T113" s="50"/>
      <c r="U113" s="50"/>
      <c r="V113" s="50"/>
      <c r="W113" s="50"/>
      <c r="X113" s="50"/>
      <c r="Y113" s="53" t="str">
        <f t="shared" ref="Y113:AN113" si="14">IF(I113="","",IF(I113&gt;($C113+$D113),(I113-$C113-$D113),IF(I113&lt;($C113+$E113),(I113-$C113-$E113),"√")))</f>
        <v>√</v>
      </c>
      <c r="Z113" s="53">
        <f t="shared" si="14"/>
        <v>0.0023</v>
      </c>
      <c r="AA113" s="53" t="str">
        <f t="shared" si="14"/>
        <v>√</v>
      </c>
      <c r="AB113" s="53">
        <f t="shared" si="14"/>
        <v>0.0027</v>
      </c>
      <c r="AC113" s="53">
        <f t="shared" si="14"/>
        <v>0.0016</v>
      </c>
      <c r="AD113" s="53" t="str">
        <f t="shared" si="14"/>
        <v>√</v>
      </c>
      <c r="AE113" s="53" t="str">
        <f t="shared" si="14"/>
        <v>√</v>
      </c>
      <c r="AF113" s="53">
        <f t="shared" si="14"/>
        <v>0.0018</v>
      </c>
      <c r="AG113" s="53" t="str">
        <f t="shared" si="14"/>
        <v/>
      </c>
      <c r="AH113" s="53" t="str">
        <f t="shared" si="14"/>
        <v/>
      </c>
      <c r="AI113" s="53" t="str">
        <f t="shared" si="14"/>
        <v/>
      </c>
      <c r="AJ113" s="53" t="str">
        <f t="shared" si="14"/>
        <v/>
      </c>
      <c r="AK113" s="53" t="str">
        <f t="shared" si="14"/>
        <v/>
      </c>
      <c r="AL113" s="53" t="str">
        <f t="shared" si="14"/>
        <v/>
      </c>
      <c r="AM113" s="53" t="str">
        <f t="shared" si="14"/>
        <v/>
      </c>
      <c r="AN113" s="53" t="str">
        <f t="shared" si="14"/>
        <v/>
      </c>
    </row>
    <row r="114" ht="15" customHeight="1" spans="1:40">
      <c r="A114" s="46"/>
      <c r="B114" s="55" t="s">
        <v>63</v>
      </c>
      <c r="C114" s="48">
        <v>0.4</v>
      </c>
      <c r="D114" s="48">
        <v>0.03</v>
      </c>
      <c r="E114" s="48">
        <v>-0.03</v>
      </c>
      <c r="F114" s="49">
        <f t="shared" si="10"/>
        <v>0.43</v>
      </c>
      <c r="G114" s="49">
        <f t="shared" si="11"/>
        <v>0.37</v>
      </c>
      <c r="H114" s="48" t="s">
        <v>29</v>
      </c>
      <c r="I114" s="50" cm="1">
        <f t="array" ref="I114">I111+MAX(ABS(I35:I58))</f>
        <v>0.4015</v>
      </c>
      <c r="J114" s="50" cm="1">
        <f t="array" ref="J114">J111+MAX(ABS(J35:J58))</f>
        <v>0.4084</v>
      </c>
      <c r="K114" s="50" cm="1">
        <f t="array" ref="K114">K111+MAX(ABS(K35:K58))</f>
        <v>0.4056</v>
      </c>
      <c r="L114" s="50" cm="1">
        <f t="array" ref="L114">L111+MAX(ABS(L35:L58))</f>
        <v>0.407</v>
      </c>
      <c r="M114" s="50" cm="1">
        <f t="array" ref="M114">M111+MAX(ABS(M35:M58))</f>
        <v>0.404</v>
      </c>
      <c r="N114" s="50" cm="1">
        <f t="array" ref="N114">N111+MAX(ABS(N35:N58))</f>
        <v>0.3979</v>
      </c>
      <c r="O114" s="50" cm="1">
        <f t="array" ref="O114">O111+MAX(ABS(O35:O58))</f>
        <v>0.3981</v>
      </c>
      <c r="P114" s="50" cm="1">
        <f t="array" ref="P114">P111+MAX(ABS(P35:P58))</f>
        <v>0.4103</v>
      </c>
      <c r="Q114" s="50" cm="1">
        <f t="array" ref="Q114">Q111+MAX(ABS(Q35:Q58))</f>
        <v>0.4063</v>
      </c>
      <c r="R114" s="50" cm="1">
        <f t="array" ref="R114">R111+MAX(ABS(R35:R58))</f>
        <v>0.4065</v>
      </c>
      <c r="S114" s="50" cm="1">
        <f t="array" ref="S114">S111+MAX(ABS(S35:S58))</f>
        <v>0.4079</v>
      </c>
      <c r="T114" s="50" cm="1">
        <f t="array" ref="T114">T111+MAX(ABS(T35:T58))</f>
        <v>0</v>
      </c>
      <c r="U114" s="50" cm="1">
        <f t="array" ref="U114">U111+MAX(ABS(U35:U58))</f>
        <v>0</v>
      </c>
      <c r="V114" s="50" cm="1">
        <f t="array" ref="V114">V111+MAX(ABS(V35:V58))</f>
        <v>0</v>
      </c>
      <c r="W114" s="50" cm="1">
        <f t="array" ref="W114">W111+MAX(ABS(W35:W58))</f>
        <v>0</v>
      </c>
      <c r="X114" s="50" cm="1">
        <f t="array" ref="X114">X111+MAX(ABS(X35:X58))</f>
        <v>0</v>
      </c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</row>
    <row r="115" ht="15" customHeight="1" spans="1:40">
      <c r="A115" s="46"/>
      <c r="B115" s="55" t="s">
        <v>64</v>
      </c>
      <c r="C115" s="48">
        <v>0.4</v>
      </c>
      <c r="D115" s="48">
        <v>0.03</v>
      </c>
      <c r="E115" s="48">
        <v>-0.03</v>
      </c>
      <c r="F115" s="49">
        <f t="shared" si="10"/>
        <v>0.43</v>
      </c>
      <c r="G115" s="49">
        <f t="shared" si="11"/>
        <v>0.37</v>
      </c>
      <c r="H115" s="48" t="s">
        <v>29</v>
      </c>
      <c r="I115" s="50" cm="1">
        <f t="array" ref="I115">I112+MAX(ABS(I35:I58))</f>
        <v>0.4016</v>
      </c>
      <c r="J115" s="50" cm="1">
        <f t="array" ref="J115">J112+MAX(ABS(J35:J58))</f>
        <v>0.4072</v>
      </c>
      <c r="K115" s="50" cm="1">
        <f t="array" ref="K115">K112+MAX(ABS(K35:K58))</f>
        <v>0.4037</v>
      </c>
      <c r="L115" s="50" cm="1">
        <f t="array" ref="L115">L112+MAX(ABS(L35:L58))</f>
        <v>0.4046</v>
      </c>
      <c r="M115" s="50" cm="1">
        <f t="array" ref="M115">M112+MAX(ABS(M35:M58))</f>
        <v>0.4027</v>
      </c>
      <c r="N115" s="50" cm="1">
        <f t="array" ref="N115">N112+MAX(ABS(N35:N58))</f>
        <v>0.4007</v>
      </c>
      <c r="O115" s="50" cm="1">
        <f t="array" ref="O115">O112+MAX(ABS(O35:O58))</f>
        <v>0.3985</v>
      </c>
      <c r="P115" s="50" cm="1">
        <f t="array" ref="P115">P112+MAX(ABS(P35:P58))</f>
        <v>0.4106</v>
      </c>
      <c r="Q115" s="50" cm="1">
        <f t="array" ref="Q115">Q112+MAX(ABS(Q35:Q58))</f>
        <v>0.4063</v>
      </c>
      <c r="R115" s="50" cm="1">
        <f t="array" ref="R115">R112+MAX(ABS(R35:R58))</f>
        <v>0.4065</v>
      </c>
      <c r="S115" s="50" cm="1">
        <f t="array" ref="S115">S112+MAX(ABS(S35:S58))</f>
        <v>0.4079</v>
      </c>
      <c r="T115" s="50" cm="1">
        <f t="array" ref="T115">T112+MAX(ABS(T35:T58))</f>
        <v>0</v>
      </c>
      <c r="U115" s="50" cm="1">
        <f t="array" ref="U115">U112+MAX(ABS(U35:U58))</f>
        <v>0</v>
      </c>
      <c r="V115" s="50" cm="1">
        <f t="array" ref="V115">V112+MAX(ABS(V35:V58))</f>
        <v>0</v>
      </c>
      <c r="W115" s="50" cm="1">
        <f t="array" ref="W115">W112+MAX(ABS(W35:W58))</f>
        <v>0</v>
      </c>
      <c r="X115" s="50" cm="1">
        <f t="array" ref="X115">X112+MAX(ABS(X35:X58))</f>
        <v>0</v>
      </c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</row>
    <row r="116" ht="15" customHeight="1" spans="1:40">
      <c r="A116" s="46"/>
      <c r="B116" s="58" t="s">
        <v>65</v>
      </c>
      <c r="C116" s="48">
        <v>0.4</v>
      </c>
      <c r="D116" s="48">
        <v>0.03</v>
      </c>
      <c r="E116" s="48">
        <v>-0.03</v>
      </c>
      <c r="F116" s="49">
        <f t="shared" si="10"/>
        <v>0.43</v>
      </c>
      <c r="G116" s="49">
        <f t="shared" si="11"/>
        <v>0.37</v>
      </c>
      <c r="H116" s="48" t="s">
        <v>29</v>
      </c>
      <c r="I116" s="50" cm="1">
        <f t="array" ref="I116">I113+MAX(ABS(I35:I58))</f>
        <v>0.4053</v>
      </c>
      <c r="J116" s="50" cm="1">
        <f t="array" ref="J116">J113+MAX(ABS(J35:J58))</f>
        <v>0.4123</v>
      </c>
      <c r="K116" s="50" cm="1">
        <f t="array" ref="K116">K113+MAX(ABS(K35:K58))</f>
        <v>0.4094</v>
      </c>
      <c r="L116" s="50" cm="1">
        <f t="array" ref="L116">L113+MAX(ABS(L35:L58))</f>
        <v>0.4138</v>
      </c>
      <c r="M116" s="50" cm="1">
        <f t="array" ref="M116">M113+MAX(ABS(M35:M58))</f>
        <v>0.4085</v>
      </c>
      <c r="N116" s="50" cm="1">
        <f t="array" ref="N116">N113+MAX(ABS(N35:N58))</f>
        <v>0.4017</v>
      </c>
      <c r="O116" s="50" cm="1">
        <f t="array" ref="O116">O113+MAX(ABS(O35:O58))</f>
        <v>0.4005</v>
      </c>
      <c r="P116" s="50" cm="1">
        <f t="array" ref="P116">P113+MAX(ABS(P35:P58))</f>
        <v>0.4171</v>
      </c>
      <c r="Q116" s="50" cm="1">
        <f t="array" ref="Q116">Q113+MAX(ABS(Q35:Q58))</f>
        <v>0.4063</v>
      </c>
      <c r="R116" s="50" cm="1">
        <f t="array" ref="R116">R113+MAX(ABS(R35:R58))</f>
        <v>0.4065</v>
      </c>
      <c r="S116" s="50" cm="1">
        <f t="array" ref="S116">S113+MAX(ABS(S35:S58))</f>
        <v>0.4079</v>
      </c>
      <c r="T116" s="50" cm="1">
        <f t="array" ref="T116">T113+MAX(ABS(T35:T58))</f>
        <v>0</v>
      </c>
      <c r="U116" s="50" cm="1">
        <f t="array" ref="U116">U113+MAX(ABS(U35:U58))</f>
        <v>0</v>
      </c>
      <c r="V116" s="50" cm="1">
        <f t="array" ref="V116">V113+MAX(ABS(V35:V58))</f>
        <v>0</v>
      </c>
      <c r="W116" s="50" cm="1">
        <f t="array" ref="W116">W113+MAX(ABS(W35:W58))</f>
        <v>0</v>
      </c>
      <c r="X116" s="50" cm="1">
        <f t="array" ref="X116">X113+MAX(ABS(X35:X58))</f>
        <v>0</v>
      </c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</row>
    <row r="117" spans="1:40">
      <c r="A117" s="59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1"/>
      <c r="AK117" s="62"/>
      <c r="AL117" s="63"/>
      <c r="AM117" s="64"/>
      <c r="AN117" s="65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17:AJ117"/>
    <mergeCell ref="AK117:AL117"/>
    <mergeCell ref="AM117:AN117"/>
    <mergeCell ref="A2:A3"/>
    <mergeCell ref="A4:A6"/>
    <mergeCell ref="A7:A116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">
    <cfRule type="cellIs" dxfId="0" priority="56" operator="notBetween">
      <formula>$F7</formula>
      <formula>$G7</formula>
    </cfRule>
  </conditionalFormatting>
  <conditionalFormatting sqref="J7:X7">
    <cfRule type="cellIs" dxfId="0" priority="55" operator="notBetween">
      <formula>$F7</formula>
      <formula>$G7</formula>
    </cfRule>
  </conditionalFormatting>
  <conditionalFormatting sqref="K8">
    <cfRule type="cellIs" dxfId="0" priority="16" operator="notBetween">
      <formula>$F8</formula>
      <formula>$G8</formula>
    </cfRule>
  </conditionalFormatting>
  <conditionalFormatting sqref="O8">
    <cfRule type="cellIs" dxfId="0" priority="7" operator="notBetween">
      <formula>$F8</formula>
      <formula>$G8</formula>
    </cfRule>
  </conditionalFormatting>
  <conditionalFormatting sqref="R8">
    <cfRule type="cellIs" dxfId="0" priority="25" operator="notBetween">
      <formula>$F8</formula>
      <formula>$G8</formula>
    </cfRule>
  </conditionalFormatting>
  <conditionalFormatting sqref="K9">
    <cfRule type="cellIs" dxfId="0" priority="17" operator="notBetween">
      <formula>$F9</formula>
      <formula>$G9</formula>
    </cfRule>
  </conditionalFormatting>
  <conditionalFormatting sqref="O9">
    <cfRule type="cellIs" dxfId="0" priority="8" operator="notBetween">
      <formula>$F9</formula>
      <formula>$G9</formula>
    </cfRule>
  </conditionalFormatting>
  <conditionalFormatting sqref="R9">
    <cfRule type="cellIs" dxfId="0" priority="26" operator="notBetween">
      <formula>$F9</formula>
      <formula>$G9</formula>
    </cfRule>
  </conditionalFormatting>
  <conditionalFormatting sqref="I10">
    <cfRule type="cellIs" dxfId="0" priority="66" operator="notBetween">
      <formula>$F10</formula>
      <formula>$G10</formula>
    </cfRule>
  </conditionalFormatting>
  <conditionalFormatting sqref="K10">
    <cfRule type="cellIs" dxfId="0" priority="18" operator="notBetween">
      <formula>$F10</formula>
      <formula>$G10</formula>
    </cfRule>
  </conditionalFormatting>
  <conditionalFormatting sqref="O10">
    <cfRule type="cellIs" dxfId="0" priority="9" operator="notBetween">
      <formula>$F10</formula>
      <formula>$G10</formula>
    </cfRule>
  </conditionalFormatting>
  <conditionalFormatting sqref="R10">
    <cfRule type="cellIs" dxfId="0" priority="27" operator="notBetween">
      <formula>$F10</formula>
      <formula>$G10</formula>
    </cfRule>
  </conditionalFormatting>
  <conditionalFormatting sqref="I15">
    <cfRule type="cellIs" dxfId="0" priority="58" operator="notBetween">
      <formula>$F15</formula>
      <formula>$G15</formula>
    </cfRule>
  </conditionalFormatting>
  <conditionalFormatting sqref="K15">
    <cfRule type="cellIs" dxfId="0" priority="15" operator="notBetween">
      <formula>$F15</formula>
      <formula>$G15</formula>
    </cfRule>
  </conditionalFormatting>
  <conditionalFormatting sqref="O15">
    <cfRule type="cellIs" dxfId="0" priority="6" operator="notBetween">
      <formula>$F15</formula>
      <formula>$G15</formula>
    </cfRule>
  </conditionalFormatting>
  <conditionalFormatting sqref="R15">
    <cfRule type="cellIs" dxfId="0" priority="24" operator="notBetween">
      <formula>$F15</formula>
      <formula>$G15</formula>
    </cfRule>
  </conditionalFormatting>
  <conditionalFormatting sqref="K20">
    <cfRule type="cellIs" dxfId="0" priority="14" operator="notBetween">
      <formula>$F20</formula>
      <formula>$G20</formula>
    </cfRule>
  </conditionalFormatting>
  <conditionalFormatting sqref="O20">
    <cfRule type="cellIs" dxfId="0" priority="5" operator="notBetween">
      <formula>$F20</formula>
      <formula>$G20</formula>
    </cfRule>
  </conditionalFormatting>
  <conditionalFormatting sqref="R20">
    <cfRule type="cellIs" dxfId="0" priority="23" operator="notBetween">
      <formula>$F20</formula>
      <formula>$G20</formula>
    </cfRule>
  </conditionalFormatting>
  <conditionalFormatting sqref="S20">
    <cfRule type="cellIs" dxfId="0" priority="41" operator="notBetween">
      <formula>$F20</formula>
      <formula>$G20</formula>
    </cfRule>
  </conditionalFormatting>
  <conditionalFormatting sqref="K59">
    <cfRule type="cellIs" dxfId="0" priority="13" operator="notBetween">
      <formula>$F59</formula>
      <formula>$G59</formula>
    </cfRule>
  </conditionalFormatting>
  <conditionalFormatting sqref="O59">
    <cfRule type="cellIs" dxfId="0" priority="4" operator="notBetween">
      <formula>$F59</formula>
      <formula>$G59</formula>
    </cfRule>
  </conditionalFormatting>
  <conditionalFormatting sqref="R59">
    <cfRule type="cellIs" dxfId="0" priority="22" operator="notBetween">
      <formula>$F59</formula>
      <formula>$G59</formula>
    </cfRule>
  </conditionalFormatting>
  <conditionalFormatting sqref="K60">
    <cfRule type="cellIs" dxfId="0" priority="12" operator="notBetween">
      <formula>$F60</formula>
      <formula>$G60</formula>
    </cfRule>
  </conditionalFormatting>
  <conditionalFormatting sqref="O60">
    <cfRule type="cellIs" dxfId="0" priority="3" operator="notBetween">
      <formula>$F60</formula>
      <formula>$G60</formula>
    </cfRule>
  </conditionalFormatting>
  <conditionalFormatting sqref="R60">
    <cfRule type="cellIs" dxfId="0" priority="21" operator="notBetween">
      <formula>$F60</formula>
      <formula>$G60</formula>
    </cfRule>
  </conditionalFormatting>
  <conditionalFormatting sqref="S60">
    <cfRule type="cellIs" dxfId="0" priority="38" operator="notBetween">
      <formula>$F60</formula>
      <formula>$G60</formula>
    </cfRule>
  </conditionalFormatting>
  <conditionalFormatting sqref="K73">
    <cfRule type="cellIs" dxfId="0" priority="11" operator="notBetween">
      <formula>$F73</formula>
      <formula>$G73</formula>
    </cfRule>
  </conditionalFormatting>
  <conditionalFormatting sqref="O73">
    <cfRule type="cellIs" dxfId="0" priority="2" operator="notBetween">
      <formula>$F73</formula>
      <formula>$G73</formula>
    </cfRule>
  </conditionalFormatting>
  <conditionalFormatting sqref="R73">
    <cfRule type="cellIs" dxfId="0" priority="20" operator="notBetween">
      <formula>$F73</formula>
      <formula>$G73</formula>
    </cfRule>
  </conditionalFormatting>
  <conditionalFormatting sqref="S73">
    <cfRule type="cellIs" dxfId="0" priority="36" operator="notBetween">
      <formula>$F73</formula>
      <formula>$G73</formula>
    </cfRule>
  </conditionalFormatting>
  <conditionalFormatting sqref="K86">
    <cfRule type="cellIs" dxfId="0" priority="10" operator="notBetween">
      <formula>$F86</formula>
      <formula>$G86</formula>
    </cfRule>
  </conditionalFormatting>
  <conditionalFormatting sqref="O86">
    <cfRule type="cellIs" dxfId="0" priority="1" operator="notBetween">
      <formula>$F86</formula>
      <formula>$G86</formula>
    </cfRule>
  </conditionalFormatting>
  <conditionalFormatting sqref="R86">
    <cfRule type="cellIs" dxfId="0" priority="19" operator="notBetween">
      <formula>$F86</formula>
      <formula>$G86</formula>
    </cfRule>
  </conditionalFormatting>
  <conditionalFormatting sqref="S86">
    <cfRule type="cellIs" dxfId="0" priority="34" operator="notBetween">
      <formula>$F86</formula>
      <formula>$G86</formula>
    </cfRule>
  </conditionalFormatting>
  <conditionalFormatting sqref="S111">
    <cfRule type="cellIs" dxfId="0" priority="32" operator="notBetween">
      <formula>$F111</formula>
      <formula>$G111</formula>
    </cfRule>
  </conditionalFormatting>
  <conditionalFormatting sqref="S112">
    <cfRule type="cellIs" dxfId="0" priority="30" operator="notBetween">
      <formula>$F112</formula>
      <formula>$G112</formula>
    </cfRule>
  </conditionalFormatting>
  <conditionalFormatting sqref="S113">
    <cfRule type="cellIs" dxfId="0" priority="28" operator="notBetween">
      <formula>$F113</formula>
      <formula>$G113</formula>
    </cfRule>
  </conditionalFormatting>
  <conditionalFormatting sqref="I114:X114">
    <cfRule type="cellIs" dxfId="0" priority="43" operator="notBetween">
      <formula>$F114</formula>
      <formula>$G114</formula>
    </cfRule>
  </conditionalFormatting>
  <conditionalFormatting sqref="I8:I9">
    <cfRule type="cellIs" dxfId="0" priority="61" operator="notBetween">
      <formula>$F8</formula>
      <formula>$G8</formula>
    </cfRule>
  </conditionalFormatting>
  <conditionalFormatting sqref="J8 L8:N8 P8:Q8 S8:X8">
    <cfRule type="cellIs" dxfId="0" priority="59" operator="notBetween">
      <formula>$F8</formula>
      <formula>$G8</formula>
    </cfRule>
  </conditionalFormatting>
  <conditionalFormatting sqref="J9 L9:N9 P9:Q9 S9:X9">
    <cfRule type="cellIs" dxfId="0" priority="60" operator="notBetween">
      <formula>$F9</formula>
      <formula>$G9</formula>
    </cfRule>
  </conditionalFormatting>
  <conditionalFormatting sqref="J10 L10:N10 P10:Q10 S10:X10">
    <cfRule type="cellIs" dxfId="0" priority="65" operator="notBetween">
      <formula>$F10</formula>
      <formula>$G10</formula>
    </cfRule>
  </conditionalFormatting>
  <conditionalFormatting sqref="J15 L15:N15 P15:Q15 S15:X15">
    <cfRule type="cellIs" dxfId="0" priority="57" operator="notBetween">
      <formula>$F15</formula>
      <formula>$G15</formula>
    </cfRule>
  </conditionalFormatting>
  <conditionalFormatting sqref="I20:J20 L20:N20 P20:Q20 T20:X20">
    <cfRule type="cellIs" dxfId="0" priority="44" operator="notBetween">
      <formula>$F20</formula>
      <formula>$G20</formula>
    </cfRule>
  </conditionalFormatting>
  <conditionalFormatting sqref="I59:J59 L59:N59 P59:Q59 S59:X59">
    <cfRule type="cellIs" dxfId="0" priority="40" operator="notBetween">
      <formula>$F59</formula>
      <formula>$G59</formula>
    </cfRule>
  </conditionalFormatting>
  <conditionalFormatting sqref="I60:J60 L60:N60 P60:Q60 T60:X60">
    <cfRule type="cellIs" dxfId="0" priority="39" operator="notBetween">
      <formula>$F60</formula>
      <formula>$G60</formula>
    </cfRule>
  </conditionalFormatting>
  <conditionalFormatting sqref="I73:J73 L73:N73 P73:Q73 T73:X73">
    <cfRule type="cellIs" dxfId="0" priority="37" operator="notBetween">
      <formula>$F73</formula>
      <formula>$G73</formula>
    </cfRule>
  </conditionalFormatting>
  <conditionalFormatting sqref="I86:J86 L86:N86 P86:Q86 T86:X86">
    <cfRule type="cellIs" dxfId="0" priority="35" operator="notBetween">
      <formula>$F86</formula>
      <formula>$G86</formula>
    </cfRule>
  </conditionalFormatting>
  <conditionalFormatting sqref="I111:R111 T111:X111">
    <cfRule type="cellIs" dxfId="0" priority="33" operator="notBetween">
      <formula>$F111</formula>
      <formula>$G111</formula>
    </cfRule>
  </conditionalFormatting>
  <conditionalFormatting sqref="I112:R112 T112:X112">
    <cfRule type="cellIs" dxfId="0" priority="31" operator="notBetween">
      <formula>$F112</formula>
      <formula>$G112</formula>
    </cfRule>
  </conditionalFormatting>
  <conditionalFormatting sqref="I113:R113 T113:X113">
    <cfRule type="cellIs" dxfId="0" priority="29" operator="notBetween">
      <formula>$F113</formula>
      <formula>$G113</formula>
    </cfRule>
  </conditionalFormatting>
  <conditionalFormatting sqref="I115:X116">
    <cfRule type="cellIs" dxfId="0" priority="42" operator="notBetween">
      <formula>$F115</formula>
      <formula>$G115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7"/>
  <sheetViews>
    <sheetView tabSelected="1" topLeftCell="F1" workbookViewId="0">
      <selection activeCell="I7" sqref="I7:R7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/>
      <c r="L2" s="9"/>
      <c r="M2" s="9"/>
      <c r="N2" s="9"/>
      <c r="O2" s="9"/>
      <c r="P2" s="9"/>
      <c r="Q2" s="9"/>
      <c r="R2" s="10" t="s">
        <v>4</v>
      </c>
      <c r="S2" s="11"/>
      <c r="T2" s="11"/>
      <c r="U2" s="11"/>
      <c r="V2" s="11"/>
      <c r="W2" s="12"/>
      <c r="X2" s="13" t="s">
        <v>5</v>
      </c>
      <c r="Y2" s="14"/>
      <c r="Z2" s="14"/>
      <c r="AA2" s="14"/>
      <c r="AB2" s="14"/>
      <c r="AC2" s="15"/>
      <c r="AD2" s="13" t="s">
        <v>6</v>
      </c>
      <c r="AE2" s="14"/>
      <c r="AF2" s="14"/>
      <c r="AG2" s="14"/>
      <c r="AH2" s="15"/>
      <c r="AI2" s="16" t="s">
        <v>7</v>
      </c>
      <c r="AJ2" s="17"/>
      <c r="AK2" s="17"/>
      <c r="AL2" s="18"/>
      <c r="AM2" s="16" t="s">
        <v>8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9</v>
      </c>
      <c r="S3" s="26"/>
      <c r="T3" s="26"/>
      <c r="U3" s="26"/>
      <c r="V3" s="26"/>
      <c r="W3" s="27"/>
      <c r="X3" s="13"/>
      <c r="Y3" s="14"/>
      <c r="Z3" s="14"/>
      <c r="AA3" s="14"/>
      <c r="AB3" s="14"/>
      <c r="AC3" s="15"/>
      <c r="AD3" s="28" t="s">
        <v>10</v>
      </c>
      <c r="AE3" s="29"/>
      <c r="AF3" s="29"/>
      <c r="AG3" s="29"/>
      <c r="AH3" s="30"/>
      <c r="AI3" s="28" t="s">
        <v>66</v>
      </c>
      <c r="AJ3" s="29"/>
      <c r="AK3" s="29"/>
      <c r="AL3" s="30"/>
      <c r="AM3" s="28" t="s">
        <v>67</v>
      </c>
      <c r="AN3" s="30"/>
    </row>
    <row r="4" customHeight="1" spans="1:40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4" t="s">
        <v>18</v>
      </c>
      <c r="G4" s="34" t="s">
        <v>19</v>
      </c>
      <c r="H4" s="35" t="s">
        <v>20</v>
      </c>
      <c r="I4" s="36" t="s">
        <v>21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22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23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24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4" t="s">
        <v>68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 t="str">
        <f t="shared" si="0"/>
        <v>复测1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46204</v>
      </c>
      <c r="B7" s="47" t="s">
        <v>26</v>
      </c>
      <c r="C7" s="48">
        <v>0.5</v>
      </c>
      <c r="D7" s="48">
        <v>0.03</v>
      </c>
      <c r="E7" s="48">
        <v>-0.03</v>
      </c>
      <c r="F7" s="49">
        <f t="shared" ref="F7:F10" si="1">C7+D7</f>
        <v>0.53</v>
      </c>
      <c r="G7" s="49">
        <f t="shared" ref="G7:G10" si="2">C7+E7</f>
        <v>0.47</v>
      </c>
      <c r="H7" s="48" t="s">
        <v>27</v>
      </c>
      <c r="I7" s="50">
        <v>0.5057</v>
      </c>
      <c r="J7" s="50">
        <v>0.4974</v>
      </c>
      <c r="K7" s="50">
        <v>0.4874</v>
      </c>
      <c r="L7" s="50">
        <v>0.4992</v>
      </c>
      <c r="M7" s="50">
        <v>0.4862</v>
      </c>
      <c r="N7" s="50">
        <v>0.4967</v>
      </c>
      <c r="O7" s="50">
        <v>0.4968</v>
      </c>
      <c r="P7" s="50">
        <v>0.4949</v>
      </c>
      <c r="Q7" s="50">
        <v>0.5011</v>
      </c>
      <c r="R7" s="50">
        <v>0.5009</v>
      </c>
      <c r="S7" s="50"/>
      <c r="T7" s="50"/>
      <c r="U7" s="50"/>
      <c r="V7" s="50"/>
      <c r="W7" s="50"/>
      <c r="X7" s="50"/>
      <c r="Y7" s="51" t="str">
        <f t="shared" ref="Y7:AN7" si="3">IF(I7="","",IF(I7&gt;($C7+$D7),(I7-$C7-$D7),IF(I7&lt;($C7+$E7),(I7-$C7-$E7),"√")))</f>
        <v>√</v>
      </c>
      <c r="Z7" s="51" t="str">
        <f t="shared" si="3"/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/>
      </c>
      <c r="AJ7" s="51" t="str">
        <f t="shared" si="3"/>
        <v/>
      </c>
      <c r="AK7" s="51" t="str">
        <f t="shared" si="3"/>
        <v/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</row>
    <row r="8" ht="15" customHeight="1" spans="1:40">
      <c r="A8" s="46"/>
      <c r="B8" s="47" t="s">
        <v>28</v>
      </c>
      <c r="C8" s="48">
        <v>1.3</v>
      </c>
      <c r="D8" s="48">
        <v>0.03</v>
      </c>
      <c r="E8" s="48">
        <v>-0.03</v>
      </c>
      <c r="F8" s="49">
        <f t="shared" si="1"/>
        <v>1.33</v>
      </c>
      <c r="G8" s="49">
        <f t="shared" si="2"/>
        <v>1.27</v>
      </c>
      <c r="H8" s="48" t="s">
        <v>29</v>
      </c>
      <c r="I8" s="50">
        <v>1.3007</v>
      </c>
      <c r="J8" s="50">
        <v>1.3038</v>
      </c>
      <c r="K8" s="50">
        <v>1.3111</v>
      </c>
      <c r="L8" s="50">
        <v>1.3266</v>
      </c>
      <c r="M8" s="50">
        <v>1.2877</v>
      </c>
      <c r="N8" s="50">
        <v>1.2822</v>
      </c>
      <c r="O8" s="50">
        <v>1.3023</v>
      </c>
      <c r="P8" s="50">
        <v>1.2971</v>
      </c>
      <c r="Q8" s="50">
        <v>1.2929</v>
      </c>
      <c r="R8" s="50">
        <v>1.2968</v>
      </c>
      <c r="S8" s="50">
        <v>1.3005</v>
      </c>
      <c r="T8" s="50"/>
      <c r="U8" s="50"/>
      <c r="V8" s="50"/>
      <c r="W8" s="50"/>
      <c r="X8" s="50"/>
      <c r="Y8" s="51" t="str">
        <f t="shared" ref="Y8:AN8" si="4">IF(I8="","",IF(I8&gt;($C8+$D8),(I8-$C8-$D8),IF(I8&lt;($C8+$E8),(I8-$C8-$E8),"√")))</f>
        <v>√</v>
      </c>
      <c r="Z8" s="51" t="str">
        <f t="shared" si="4"/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/>
      </c>
      <c r="AK8" s="51" t="str">
        <f t="shared" si="4"/>
        <v/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</row>
    <row r="9" ht="15" customHeight="1" spans="1:40">
      <c r="A9" s="46"/>
      <c r="B9" s="47" t="s">
        <v>30</v>
      </c>
      <c r="C9" s="48">
        <v>186.04</v>
      </c>
      <c r="D9" s="48">
        <v>1</v>
      </c>
      <c r="E9" s="48">
        <v>-1</v>
      </c>
      <c r="F9" s="49">
        <f t="shared" si="1"/>
        <v>187.04</v>
      </c>
      <c r="G9" s="49">
        <f t="shared" si="2"/>
        <v>185.04</v>
      </c>
      <c r="H9" s="48" t="s">
        <v>29</v>
      </c>
      <c r="I9" s="50">
        <v>186.4194</v>
      </c>
      <c r="J9" s="50">
        <v>186.4492</v>
      </c>
      <c r="K9" s="50">
        <v>186.4884</v>
      </c>
      <c r="L9" s="50">
        <v>186.4249</v>
      </c>
      <c r="M9" s="50">
        <v>186.364</v>
      </c>
      <c r="N9" s="50">
        <v>185.9289</v>
      </c>
      <c r="O9" s="50">
        <v>186.4253</v>
      </c>
      <c r="P9" s="50">
        <v>186.3052</v>
      </c>
      <c r="Q9" s="50">
        <v>186.3054</v>
      </c>
      <c r="R9" s="50">
        <v>186.398</v>
      </c>
      <c r="S9" s="50">
        <v>186.417</v>
      </c>
      <c r="T9" s="50"/>
      <c r="U9" s="50"/>
      <c r="V9" s="50"/>
      <c r="W9" s="50"/>
      <c r="X9" s="50"/>
      <c r="Y9" s="51" t="str">
        <f t="shared" ref="Y9:AN9" si="5">IF(I9="","",IF(I9&gt;($C9+$D9),(I9-$C9-$D9),IF(I9&lt;($C9+$E9),(I9-$C9-$E9),"√")))</f>
        <v>√</v>
      </c>
      <c r="Z9" s="51" t="str">
        <f t="shared" si="5"/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/>
      </c>
      <c r="AK9" s="51" t="str">
        <f t="shared" si="5"/>
        <v/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</row>
    <row r="10" ht="15" customHeight="1" spans="1:40">
      <c r="A10" s="46"/>
      <c r="B10" s="47" t="s">
        <v>31</v>
      </c>
      <c r="C10" s="48">
        <v>0</v>
      </c>
      <c r="D10" s="48">
        <v>0.03</v>
      </c>
      <c r="E10" s="48">
        <v>0</v>
      </c>
      <c r="F10" s="49">
        <f t="shared" si="1"/>
        <v>0.03</v>
      </c>
      <c r="G10" s="49">
        <f t="shared" si="2"/>
        <v>0</v>
      </c>
      <c r="H10" s="48" t="s">
        <v>29</v>
      </c>
      <c r="I10" s="50">
        <v>0.0025</v>
      </c>
      <c r="J10" s="50">
        <v>0.0086</v>
      </c>
      <c r="K10" s="50">
        <v>0.0007</v>
      </c>
      <c r="L10" s="50">
        <v>0.004</v>
      </c>
      <c r="M10" s="50">
        <v>0.0036</v>
      </c>
      <c r="N10" s="50">
        <v>0.0088</v>
      </c>
      <c r="O10" s="50">
        <v>0.0035</v>
      </c>
      <c r="P10" s="50">
        <v>0.0052</v>
      </c>
      <c r="Q10" s="50">
        <v>0.0035</v>
      </c>
      <c r="R10" s="50">
        <v>0.0019</v>
      </c>
      <c r="S10" s="50">
        <v>0.0025</v>
      </c>
      <c r="T10" s="50"/>
      <c r="U10" s="50"/>
      <c r="V10" s="50"/>
      <c r="W10" s="50"/>
      <c r="X10" s="50"/>
      <c r="Y10" s="51" t="str">
        <f t="shared" ref="Y10:AN10" si="6">IF(I10="","",IF(I10&gt;($C10+$D10),(I10-$C10-$D10),IF(I10&lt;($C10+$E10),(I10-$C10-$E10),"√")))</f>
        <v>√</v>
      </c>
      <c r="Z10" s="51" t="str">
        <f t="shared" si="6"/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/>
      </c>
      <c r="AK10" s="51" t="str">
        <f t="shared" si="6"/>
        <v/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</row>
    <row r="11" ht="15" customHeight="1" spans="1:40">
      <c r="A11" s="46"/>
      <c r="B11" s="47">
        <v>1</v>
      </c>
      <c r="C11" s="48"/>
      <c r="D11" s="48"/>
      <c r="E11" s="48"/>
      <c r="F11" s="49"/>
      <c r="G11" s="49"/>
      <c r="H11" s="48" t="s">
        <v>29</v>
      </c>
      <c r="I11" s="50">
        <v>-0.0012</v>
      </c>
      <c r="J11" s="50">
        <v>-0.0043</v>
      </c>
      <c r="K11" s="50">
        <v>-0.0004</v>
      </c>
      <c r="L11" s="50">
        <v>0.002</v>
      </c>
      <c r="M11" s="50">
        <v>-0.0018</v>
      </c>
      <c r="N11" s="50">
        <v>-0.0044</v>
      </c>
      <c r="O11" s="50">
        <v>-0.0017</v>
      </c>
      <c r="P11" s="50">
        <v>-0.0026</v>
      </c>
      <c r="Q11" s="50">
        <v>0.0017</v>
      </c>
      <c r="R11" s="50">
        <v>-0.0009</v>
      </c>
      <c r="S11" s="50">
        <v>-0.0012</v>
      </c>
      <c r="T11" s="50"/>
      <c r="U11" s="50"/>
      <c r="V11" s="50"/>
      <c r="W11" s="50"/>
      <c r="X11" s="50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</row>
    <row r="12" ht="15" customHeight="1" spans="1:40">
      <c r="A12" s="46"/>
      <c r="B12" s="47">
        <v>2</v>
      </c>
      <c r="C12" s="48"/>
      <c r="D12" s="48"/>
      <c r="E12" s="48"/>
      <c r="F12" s="49"/>
      <c r="G12" s="49"/>
      <c r="H12" s="48" t="s">
        <v>29</v>
      </c>
      <c r="I12" s="50">
        <v>0.0012</v>
      </c>
      <c r="J12" s="50">
        <v>-0.0024</v>
      </c>
      <c r="K12" s="50">
        <v>0.0004</v>
      </c>
      <c r="L12" s="50">
        <v>-0.0008</v>
      </c>
      <c r="M12" s="50">
        <v>0.0018</v>
      </c>
      <c r="N12" s="50">
        <v>-0.0031</v>
      </c>
      <c r="O12" s="50">
        <v>0.0017</v>
      </c>
      <c r="P12" s="50">
        <v>0.0015</v>
      </c>
      <c r="Q12" s="50">
        <v>-0.0017</v>
      </c>
      <c r="R12" s="50">
        <v>0.0009</v>
      </c>
      <c r="S12" s="50">
        <v>0.0012</v>
      </c>
      <c r="T12" s="50"/>
      <c r="U12" s="50"/>
      <c r="V12" s="50"/>
      <c r="W12" s="50"/>
      <c r="X12" s="50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</row>
    <row r="13" ht="15" customHeight="1" spans="1:40">
      <c r="A13" s="46"/>
      <c r="B13" s="47">
        <v>3</v>
      </c>
      <c r="C13" s="48"/>
      <c r="D13" s="48"/>
      <c r="E13" s="48"/>
      <c r="F13" s="49"/>
      <c r="G13" s="49"/>
      <c r="H13" s="48" t="s">
        <v>29</v>
      </c>
      <c r="I13" s="50">
        <v>0.0006</v>
      </c>
      <c r="J13" s="50">
        <v>0.0043</v>
      </c>
      <c r="K13" s="50">
        <v>-0.0003</v>
      </c>
      <c r="L13" s="50">
        <v>-0.002</v>
      </c>
      <c r="M13" s="50">
        <v>0.0002</v>
      </c>
      <c r="N13" s="50">
        <v>0.0044</v>
      </c>
      <c r="O13" s="50">
        <v>-0.0017</v>
      </c>
      <c r="P13" s="50">
        <v>0.0026</v>
      </c>
      <c r="Q13" s="50">
        <v>0.0001</v>
      </c>
      <c r="R13" s="50">
        <v>-0.0009</v>
      </c>
      <c r="S13" s="50">
        <v>0.0006</v>
      </c>
      <c r="T13" s="50"/>
      <c r="U13" s="50"/>
      <c r="V13" s="50"/>
      <c r="W13" s="50"/>
      <c r="X13" s="50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</row>
    <row r="14" ht="15" customHeight="1" spans="1:40">
      <c r="A14" s="46"/>
      <c r="B14" s="47">
        <v>4</v>
      </c>
      <c r="C14" s="48"/>
      <c r="D14" s="48"/>
      <c r="E14" s="48"/>
      <c r="F14" s="49"/>
      <c r="G14" s="49"/>
      <c r="H14" s="48" t="s">
        <v>29</v>
      </c>
      <c r="I14" s="50">
        <v>-0.0012</v>
      </c>
      <c r="J14" s="50">
        <v>-0.0043</v>
      </c>
      <c r="K14" s="50">
        <v>-0.0004</v>
      </c>
      <c r="L14" s="50">
        <v>0.002</v>
      </c>
      <c r="M14" s="50">
        <v>-0.0018</v>
      </c>
      <c r="N14" s="50">
        <v>-0.0044</v>
      </c>
      <c r="O14" s="50">
        <v>0.0016</v>
      </c>
      <c r="P14" s="50">
        <v>-0.0026</v>
      </c>
      <c r="Q14" s="50">
        <v>0.0017</v>
      </c>
      <c r="R14" s="50">
        <v>-0.0003</v>
      </c>
      <c r="S14" s="50">
        <v>-0.0012</v>
      </c>
      <c r="T14" s="50"/>
      <c r="U14" s="50"/>
      <c r="V14" s="50"/>
      <c r="W14" s="50"/>
      <c r="X14" s="50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</row>
    <row r="15" ht="15" customHeight="1" spans="1:40">
      <c r="A15" s="46"/>
      <c r="B15" s="47" t="s">
        <v>32</v>
      </c>
      <c r="C15" s="48">
        <v>0</v>
      </c>
      <c r="D15" s="48">
        <v>0.03</v>
      </c>
      <c r="E15" s="48">
        <v>0</v>
      </c>
      <c r="F15" s="49">
        <f>C15+D15</f>
        <v>0.03</v>
      </c>
      <c r="G15" s="49">
        <f>C15+E15</f>
        <v>0</v>
      </c>
      <c r="H15" s="48" t="s">
        <v>29</v>
      </c>
      <c r="I15" s="50">
        <v>0.0006</v>
      </c>
      <c r="J15" s="50">
        <v>0.0023</v>
      </c>
      <c r="K15" s="50">
        <v>0.0024</v>
      </c>
      <c r="L15" s="50">
        <v>0.0044</v>
      </c>
      <c r="M15" s="50">
        <v>0.0012</v>
      </c>
      <c r="N15" s="50">
        <v>0.0066</v>
      </c>
      <c r="O15" s="50">
        <v>0.0005</v>
      </c>
      <c r="P15" s="50">
        <v>0.0008</v>
      </c>
      <c r="Q15" s="50">
        <v>0.0045</v>
      </c>
      <c r="R15" s="50">
        <v>0.0026</v>
      </c>
      <c r="S15" s="50">
        <v>0.0007</v>
      </c>
      <c r="T15" s="50"/>
      <c r="U15" s="50"/>
      <c r="V15" s="50"/>
      <c r="W15" s="50"/>
      <c r="X15" s="50"/>
      <c r="Y15" s="51" t="str">
        <f t="shared" ref="Y15:AN15" si="7">IF(I15="","",IF(I15&gt;($C15+$D15),(I15-$C15-$D15),IF(I15&lt;($C15+$E15),(I15-$C15-$E15),"√")))</f>
        <v>√</v>
      </c>
      <c r="Z15" s="51" t="str">
        <f t="shared" si="7"/>
        <v>√</v>
      </c>
      <c r="AA15" s="51" t="str">
        <f t="shared" si="7"/>
        <v>√</v>
      </c>
      <c r="AB15" s="51" t="str">
        <f t="shared" si="7"/>
        <v>√</v>
      </c>
      <c r="AC15" s="51" t="str">
        <f t="shared" si="7"/>
        <v>√</v>
      </c>
      <c r="AD15" s="51" t="str">
        <f t="shared" si="7"/>
        <v>√</v>
      </c>
      <c r="AE15" s="51" t="str">
        <f t="shared" si="7"/>
        <v>√</v>
      </c>
      <c r="AF15" s="51" t="str">
        <f t="shared" si="7"/>
        <v>√</v>
      </c>
      <c r="AG15" s="51" t="str">
        <f t="shared" si="7"/>
        <v>√</v>
      </c>
      <c r="AH15" s="51" t="str">
        <f t="shared" si="7"/>
        <v>√</v>
      </c>
      <c r="AI15" s="51" t="str">
        <f t="shared" si="7"/>
        <v>√</v>
      </c>
      <c r="AJ15" s="51" t="str">
        <f t="shared" si="7"/>
        <v/>
      </c>
      <c r="AK15" s="51" t="str">
        <f t="shared" si="7"/>
        <v/>
      </c>
      <c r="AL15" s="51" t="str">
        <f t="shared" si="7"/>
        <v/>
      </c>
      <c r="AM15" s="51" t="str">
        <f t="shared" si="7"/>
        <v/>
      </c>
      <c r="AN15" s="51" t="str">
        <f t="shared" si="7"/>
        <v/>
      </c>
    </row>
    <row r="16" ht="15" customHeight="1" spans="1:40">
      <c r="A16" s="46"/>
      <c r="B16" s="47">
        <v>1</v>
      </c>
      <c r="C16" s="48"/>
      <c r="D16" s="48"/>
      <c r="E16" s="48"/>
      <c r="F16" s="49"/>
      <c r="G16" s="49"/>
      <c r="H16" s="48" t="s">
        <v>29</v>
      </c>
      <c r="I16" s="50">
        <v>-0.0003</v>
      </c>
      <c r="J16" s="50">
        <v>0.0007</v>
      </c>
      <c r="K16" s="50">
        <v>0.0012</v>
      </c>
      <c r="L16" s="50">
        <v>0.0022</v>
      </c>
      <c r="M16" s="50">
        <v>-0.0006</v>
      </c>
      <c r="N16" s="50">
        <v>-0.0033</v>
      </c>
      <c r="O16" s="50">
        <v>-0.0002</v>
      </c>
      <c r="P16" s="50">
        <v>-0.0004</v>
      </c>
      <c r="Q16" s="50">
        <v>0.0022</v>
      </c>
      <c r="R16" s="50">
        <v>0.0013</v>
      </c>
      <c r="S16" s="50">
        <v>-0.0003</v>
      </c>
      <c r="T16" s="50"/>
      <c r="U16" s="50"/>
      <c r="V16" s="50"/>
      <c r="W16" s="50"/>
      <c r="X16" s="50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</row>
    <row r="17" ht="15" customHeight="1" spans="1:40">
      <c r="A17" s="46"/>
      <c r="B17" s="47">
        <v>2</v>
      </c>
      <c r="C17" s="48"/>
      <c r="D17" s="48"/>
      <c r="E17" s="48"/>
      <c r="F17" s="49"/>
      <c r="G17" s="49"/>
      <c r="H17" s="48" t="s">
        <v>29</v>
      </c>
      <c r="I17" s="50">
        <v>0.0003</v>
      </c>
      <c r="J17" s="50">
        <v>-0.0012</v>
      </c>
      <c r="K17" s="50">
        <v>-0.0012</v>
      </c>
      <c r="L17" s="50">
        <v>-0.0022</v>
      </c>
      <c r="M17" s="50">
        <v>0.0006</v>
      </c>
      <c r="N17" s="50">
        <v>0.0023</v>
      </c>
      <c r="O17" s="50">
        <v>0.0002</v>
      </c>
      <c r="P17" s="50">
        <v>-0.0001</v>
      </c>
      <c r="Q17" s="50">
        <v>-0.0016</v>
      </c>
      <c r="R17" s="50">
        <v>-0.0013</v>
      </c>
      <c r="S17" s="50">
        <v>0.0003</v>
      </c>
      <c r="T17" s="50"/>
      <c r="U17" s="50"/>
      <c r="V17" s="50"/>
      <c r="W17" s="50"/>
      <c r="X17" s="50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</row>
    <row r="18" ht="15" customHeight="1" spans="1:40">
      <c r="A18" s="46"/>
      <c r="B18" s="47">
        <v>3</v>
      </c>
      <c r="C18" s="48"/>
      <c r="D18" s="48"/>
      <c r="E18" s="48"/>
      <c r="F18" s="49"/>
      <c r="G18" s="49"/>
      <c r="H18" s="48" t="s">
        <v>29</v>
      </c>
      <c r="I18" s="50">
        <v>-0.0003</v>
      </c>
      <c r="J18" s="50">
        <v>0.0012</v>
      </c>
      <c r="K18" s="50">
        <v>-0.0005</v>
      </c>
      <c r="L18" s="50">
        <v>0.0006</v>
      </c>
      <c r="M18" s="50">
        <v>-0.0006</v>
      </c>
      <c r="N18" s="50">
        <v>0.0033</v>
      </c>
      <c r="O18" s="50">
        <v>-0.0001</v>
      </c>
      <c r="P18" s="50">
        <v>0.0004</v>
      </c>
      <c r="Q18" s="50">
        <v>-0.0022</v>
      </c>
      <c r="R18" s="50">
        <v>-0.0007</v>
      </c>
      <c r="S18" s="50">
        <v>-0.0003</v>
      </c>
      <c r="T18" s="50"/>
      <c r="U18" s="50"/>
      <c r="V18" s="50"/>
      <c r="W18" s="50"/>
      <c r="X18" s="50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</row>
    <row r="19" ht="15" customHeight="1" spans="1:40">
      <c r="A19" s="46"/>
      <c r="B19" s="47">
        <v>4</v>
      </c>
      <c r="C19" s="48"/>
      <c r="D19" s="48"/>
      <c r="E19" s="48"/>
      <c r="F19" s="49"/>
      <c r="G19" s="49"/>
      <c r="H19" s="48" t="s">
        <v>29</v>
      </c>
      <c r="I19" s="50">
        <v>-0.0001</v>
      </c>
      <c r="J19" s="50">
        <v>-0.0012</v>
      </c>
      <c r="K19" s="50">
        <v>0.0012</v>
      </c>
      <c r="L19" s="50">
        <v>0.0022</v>
      </c>
      <c r="M19" s="50">
        <v>0.0005</v>
      </c>
      <c r="N19" s="50">
        <v>-0.0033</v>
      </c>
      <c r="O19" s="50">
        <v>-0.0002</v>
      </c>
      <c r="P19" s="50">
        <v>-0.0004</v>
      </c>
      <c r="Q19" s="50">
        <v>0.0022</v>
      </c>
      <c r="R19" s="50">
        <v>0.0013</v>
      </c>
      <c r="S19" s="50">
        <v>0</v>
      </c>
      <c r="T19" s="50"/>
      <c r="U19" s="50"/>
      <c r="V19" s="50"/>
      <c r="W19" s="50"/>
      <c r="X19" s="50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</row>
    <row r="20" ht="15" customHeight="1" spans="1:40">
      <c r="A20" s="46"/>
      <c r="B20" s="52" t="s">
        <v>33</v>
      </c>
      <c r="C20" s="48">
        <v>0</v>
      </c>
      <c r="D20" s="48">
        <v>0.01</v>
      </c>
      <c r="E20" s="48">
        <v>0</v>
      </c>
      <c r="F20" s="49">
        <f>C20+D20</f>
        <v>0.01</v>
      </c>
      <c r="G20" s="49">
        <f>C20+E20</f>
        <v>0</v>
      </c>
      <c r="H20" s="48" t="s">
        <v>29</v>
      </c>
      <c r="I20" s="50">
        <v>0.0313</v>
      </c>
      <c r="J20" s="50">
        <v>0.0078</v>
      </c>
      <c r="K20" s="50">
        <v>0.0041</v>
      </c>
      <c r="L20" s="50">
        <v>0.0074</v>
      </c>
      <c r="M20" s="50">
        <v>0.0066</v>
      </c>
      <c r="N20" s="50">
        <v>0.0125</v>
      </c>
      <c r="O20" s="50">
        <v>0.0052</v>
      </c>
      <c r="P20" s="50">
        <v>0.0071</v>
      </c>
      <c r="Q20" s="50">
        <v>0.0062</v>
      </c>
      <c r="R20" s="50">
        <v>0.005</v>
      </c>
      <c r="S20" s="50">
        <v>0.031</v>
      </c>
      <c r="T20" s="50"/>
      <c r="U20" s="50"/>
      <c r="V20" s="50"/>
      <c r="W20" s="50"/>
      <c r="X20" s="50"/>
      <c r="Y20" s="53">
        <f t="shared" ref="Y20:AN20" si="8">IF(I20="","",IF(I20&gt;($C20+$D20),(I20-$C20-$D20),IF(I20&lt;($C20+$E20),(I20-$C20-$E20),"√")))</f>
        <v>0.0213</v>
      </c>
      <c r="Z20" s="53" t="str">
        <f t="shared" si="8"/>
        <v>√</v>
      </c>
      <c r="AA20" s="53" t="str">
        <f t="shared" si="8"/>
        <v>√</v>
      </c>
      <c r="AB20" s="53" t="str">
        <f t="shared" si="8"/>
        <v>√</v>
      </c>
      <c r="AC20" s="53" t="str">
        <f t="shared" si="8"/>
        <v>√</v>
      </c>
      <c r="AD20" s="53">
        <f t="shared" si="8"/>
        <v>0.0025</v>
      </c>
      <c r="AE20" s="53" t="str">
        <f t="shared" si="8"/>
        <v>√</v>
      </c>
      <c r="AF20" s="53" t="str">
        <f t="shared" si="8"/>
        <v>√</v>
      </c>
      <c r="AG20" s="53" t="str">
        <f t="shared" si="8"/>
        <v>√</v>
      </c>
      <c r="AH20" s="53" t="str">
        <f t="shared" si="8"/>
        <v>√</v>
      </c>
      <c r="AI20" s="53">
        <f t="shared" si="8"/>
        <v>0.021</v>
      </c>
      <c r="AJ20" s="53" t="str">
        <f t="shared" si="8"/>
        <v/>
      </c>
      <c r="AK20" s="53" t="str">
        <f t="shared" si="8"/>
        <v/>
      </c>
      <c r="AL20" s="53" t="str">
        <f t="shared" si="8"/>
        <v/>
      </c>
      <c r="AM20" s="53" t="str">
        <f t="shared" si="8"/>
        <v/>
      </c>
      <c r="AN20" s="53" t="str">
        <f t="shared" si="8"/>
        <v/>
      </c>
    </row>
    <row r="21" ht="15" customHeight="1" spans="1:40">
      <c r="A21" s="46"/>
      <c r="B21" s="52">
        <v>1</v>
      </c>
      <c r="C21" s="48"/>
      <c r="D21" s="48"/>
      <c r="E21" s="48"/>
      <c r="F21" s="49"/>
      <c r="G21" s="49"/>
      <c r="H21" s="48" t="s">
        <v>29</v>
      </c>
      <c r="I21" s="50">
        <v>0.0156</v>
      </c>
      <c r="J21" s="50">
        <v>0.0039</v>
      </c>
      <c r="K21" s="50">
        <v>0.0021</v>
      </c>
      <c r="L21" s="50">
        <v>0.0024</v>
      </c>
      <c r="M21" s="50">
        <v>-0.0012</v>
      </c>
      <c r="N21" s="50">
        <v>-0.0012</v>
      </c>
      <c r="O21" s="50">
        <v>-0.0007</v>
      </c>
      <c r="P21" s="50">
        <v>0.0031</v>
      </c>
      <c r="Q21" s="50">
        <v>0.0008</v>
      </c>
      <c r="R21" s="50">
        <v>0.0003</v>
      </c>
      <c r="S21" s="50">
        <v>0.0155</v>
      </c>
      <c r="T21" s="50"/>
      <c r="U21" s="50"/>
      <c r="V21" s="50"/>
      <c r="W21" s="50"/>
      <c r="X21" s="50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ht="15" customHeight="1" spans="1:40">
      <c r="A22" s="46"/>
      <c r="B22" s="52">
        <v>2</v>
      </c>
      <c r="C22" s="48"/>
      <c r="D22" s="48"/>
      <c r="E22" s="48"/>
      <c r="F22" s="49"/>
      <c r="G22" s="49"/>
      <c r="H22" s="48" t="s">
        <v>29</v>
      </c>
      <c r="I22" s="50">
        <v>0.0135</v>
      </c>
      <c r="J22" s="50">
        <v>0.0004</v>
      </c>
      <c r="K22" s="50">
        <v>-0.0021</v>
      </c>
      <c r="L22" s="50">
        <v>-0.0037</v>
      </c>
      <c r="M22" s="50">
        <v>-0.0033</v>
      </c>
      <c r="N22" s="50">
        <v>-0.0062</v>
      </c>
      <c r="O22" s="50">
        <v>-0.0025</v>
      </c>
      <c r="P22" s="50">
        <v>-0.0024</v>
      </c>
      <c r="Q22" s="50">
        <v>-0.0031</v>
      </c>
      <c r="R22" s="50">
        <v>-0.0025</v>
      </c>
      <c r="S22" s="50">
        <v>0.0134</v>
      </c>
      <c r="T22" s="50"/>
      <c r="U22" s="50"/>
      <c r="V22" s="50"/>
      <c r="W22" s="50"/>
      <c r="X22" s="50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</row>
    <row r="23" ht="15" customHeight="1" spans="1:40">
      <c r="A23" s="46"/>
      <c r="B23" s="52">
        <v>3</v>
      </c>
      <c r="C23" s="48"/>
      <c r="D23" s="48"/>
      <c r="E23" s="48"/>
      <c r="F23" s="49"/>
      <c r="G23" s="49"/>
      <c r="H23" s="48" t="s">
        <v>29</v>
      </c>
      <c r="I23" s="50">
        <v>0.0067</v>
      </c>
      <c r="J23" s="50">
        <v>0.0012</v>
      </c>
      <c r="K23" s="50">
        <v>0.0014</v>
      </c>
      <c r="L23" s="50">
        <v>-0.0008</v>
      </c>
      <c r="M23" s="50">
        <v>-0.0029</v>
      </c>
      <c r="N23" s="50">
        <v>-0.0012</v>
      </c>
      <c r="O23" s="50">
        <v>-0.0025</v>
      </c>
      <c r="P23" s="50">
        <v>0.0002</v>
      </c>
      <c r="Q23" s="50">
        <v>0.0004</v>
      </c>
      <c r="R23" s="50">
        <v>-0.001</v>
      </c>
      <c r="S23" s="50">
        <v>0.0067</v>
      </c>
      <c r="T23" s="50"/>
      <c r="U23" s="50"/>
      <c r="V23" s="50"/>
      <c r="W23" s="50"/>
      <c r="X23" s="50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</row>
    <row r="24" ht="15" customHeight="1" spans="1:40">
      <c r="A24" s="46"/>
      <c r="B24" s="52">
        <v>4</v>
      </c>
      <c r="C24" s="48"/>
      <c r="D24" s="48"/>
      <c r="E24" s="48"/>
      <c r="F24" s="49"/>
      <c r="G24" s="49"/>
      <c r="H24" s="48" t="s">
        <v>29</v>
      </c>
      <c r="I24" s="50">
        <v>-0.0074</v>
      </c>
      <c r="J24" s="50">
        <v>0.002</v>
      </c>
      <c r="K24" s="50">
        <v>0.0021</v>
      </c>
      <c r="L24" s="50">
        <v>-0.0017</v>
      </c>
      <c r="M24" s="50">
        <v>0.0002</v>
      </c>
      <c r="N24" s="50">
        <v>0.0036</v>
      </c>
      <c r="O24" s="50">
        <v>-0.0026</v>
      </c>
      <c r="P24" s="50">
        <v>0.0001</v>
      </c>
      <c r="Q24" s="50">
        <v>0.0031</v>
      </c>
      <c r="R24" s="50">
        <v>0.0013</v>
      </c>
      <c r="S24" s="50">
        <v>-0.0073</v>
      </c>
      <c r="T24" s="50"/>
      <c r="U24" s="50"/>
      <c r="V24" s="50"/>
      <c r="W24" s="50"/>
      <c r="X24" s="50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</row>
    <row r="25" ht="15" customHeight="1" spans="1:40">
      <c r="A25" s="46"/>
      <c r="B25" s="52">
        <v>5</v>
      </c>
      <c r="C25" s="48"/>
      <c r="D25" s="48"/>
      <c r="E25" s="48"/>
      <c r="F25" s="49"/>
      <c r="G25" s="49"/>
      <c r="H25" s="48" t="s">
        <v>29</v>
      </c>
      <c r="I25" s="50">
        <v>-0.0097</v>
      </c>
      <c r="J25" s="50">
        <v>-0.0039</v>
      </c>
      <c r="K25" s="50">
        <v>-0.0005</v>
      </c>
      <c r="L25" s="50">
        <v>-0.003</v>
      </c>
      <c r="M25" s="50">
        <v>-0.002</v>
      </c>
      <c r="N25" s="50">
        <v>-0.0013</v>
      </c>
      <c r="O25" s="50">
        <v>-0.0021</v>
      </c>
      <c r="P25" s="50">
        <v>-0.0036</v>
      </c>
      <c r="Q25" s="50">
        <v>-0.0003</v>
      </c>
      <c r="R25" s="50">
        <v>-0.0017</v>
      </c>
      <c r="S25" s="50">
        <v>-0.0097</v>
      </c>
      <c r="T25" s="50"/>
      <c r="U25" s="50"/>
      <c r="V25" s="50"/>
      <c r="W25" s="50"/>
      <c r="X25" s="50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</row>
    <row r="26" ht="15" customHeight="1" spans="1:40">
      <c r="A26" s="46"/>
      <c r="B26" s="52">
        <v>6</v>
      </c>
      <c r="C26" s="48"/>
      <c r="D26" s="48"/>
      <c r="E26" s="48"/>
      <c r="F26" s="49"/>
      <c r="G26" s="49"/>
      <c r="H26" s="48" t="s">
        <v>29</v>
      </c>
      <c r="I26" s="50">
        <v>-0.0156</v>
      </c>
      <c r="J26" s="50">
        <v>0.0003</v>
      </c>
      <c r="K26" s="50">
        <v>0.0018</v>
      </c>
      <c r="L26" s="50">
        <v>-0.0036</v>
      </c>
      <c r="M26" s="50">
        <v>0.0005</v>
      </c>
      <c r="N26" s="50">
        <v>0.0062</v>
      </c>
      <c r="O26" s="50">
        <v>-0.0023</v>
      </c>
      <c r="P26" s="50">
        <v>0.0015</v>
      </c>
      <c r="Q26" s="50">
        <v>0.0024</v>
      </c>
      <c r="R26" s="50">
        <v>0</v>
      </c>
      <c r="S26" s="50">
        <v>-0.0155</v>
      </c>
      <c r="T26" s="50"/>
      <c r="U26" s="50"/>
      <c r="V26" s="50"/>
      <c r="W26" s="50"/>
      <c r="X26" s="50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</row>
    <row r="27" ht="15" customHeight="1" spans="1:40">
      <c r="A27" s="46"/>
      <c r="B27" s="52">
        <v>7</v>
      </c>
      <c r="C27" s="48"/>
      <c r="D27" s="48"/>
      <c r="E27" s="48"/>
      <c r="F27" s="49"/>
      <c r="G27" s="49"/>
      <c r="H27" s="48" t="s">
        <v>29</v>
      </c>
      <c r="I27" s="50">
        <v>0.0038</v>
      </c>
      <c r="J27" s="50">
        <v>-0.0039</v>
      </c>
      <c r="K27" s="50">
        <v>-0.0007</v>
      </c>
      <c r="L27" s="50">
        <v>-0.0037</v>
      </c>
      <c r="M27" s="50">
        <v>-0.0033</v>
      </c>
      <c r="N27" s="50">
        <v>0.0009</v>
      </c>
      <c r="O27" s="50">
        <v>-0.0026</v>
      </c>
      <c r="P27" s="50">
        <v>-0.0036</v>
      </c>
      <c r="Q27" s="50">
        <v>-0.0024</v>
      </c>
      <c r="R27" s="50">
        <v>-0.0025</v>
      </c>
      <c r="S27" s="50">
        <v>0.0037</v>
      </c>
      <c r="T27" s="50"/>
      <c r="U27" s="50"/>
      <c r="V27" s="50"/>
      <c r="W27" s="50"/>
      <c r="X27" s="50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</row>
    <row r="28" ht="15" customHeight="1" spans="1:40">
      <c r="A28" s="46"/>
      <c r="B28" s="52">
        <v>8</v>
      </c>
      <c r="C28" s="48"/>
      <c r="D28" s="48"/>
      <c r="E28" s="48"/>
      <c r="F28" s="49"/>
      <c r="G28" s="49"/>
      <c r="H28" s="48" t="s">
        <v>29</v>
      </c>
      <c r="I28" s="50">
        <v>0.01</v>
      </c>
      <c r="J28" s="50">
        <v>0.0027</v>
      </c>
      <c r="K28" s="50">
        <v>0.0014</v>
      </c>
      <c r="L28" s="50">
        <v>0.0037</v>
      </c>
      <c r="M28" s="50">
        <v>0.0033</v>
      </c>
      <c r="N28" s="50">
        <v>0.0062</v>
      </c>
      <c r="O28" s="50">
        <v>0.0026</v>
      </c>
      <c r="P28" s="50">
        <v>0.0036</v>
      </c>
      <c r="Q28" s="50">
        <v>0.0031</v>
      </c>
      <c r="R28" s="50">
        <v>0.0025</v>
      </c>
      <c r="S28" s="50">
        <v>0.0098</v>
      </c>
      <c r="T28" s="50"/>
      <c r="U28" s="50"/>
      <c r="V28" s="50"/>
      <c r="W28" s="50"/>
      <c r="X28" s="50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</row>
    <row r="29" ht="15" customHeight="1" spans="1:40">
      <c r="A29" s="46"/>
      <c r="B29" s="52">
        <v>9</v>
      </c>
      <c r="C29" s="48"/>
      <c r="D29" s="48"/>
      <c r="E29" s="48"/>
      <c r="F29" s="49"/>
      <c r="G29" s="49"/>
      <c r="H29" s="48" t="s">
        <v>29</v>
      </c>
      <c r="I29" s="50">
        <v>0.0015</v>
      </c>
      <c r="J29" s="50">
        <v>0.0032</v>
      </c>
      <c r="K29" s="50">
        <v>0.0014</v>
      </c>
      <c r="L29" s="50">
        <v>0.0037</v>
      </c>
      <c r="M29" s="50">
        <v>0.0027</v>
      </c>
      <c r="N29" s="50">
        <v>-0.0001</v>
      </c>
      <c r="O29" s="50">
        <v>0.0011</v>
      </c>
      <c r="P29" s="50">
        <v>0.002</v>
      </c>
      <c r="Q29" s="50">
        <v>0.0016</v>
      </c>
      <c r="R29" s="50">
        <v>0.0023</v>
      </c>
      <c r="S29" s="50">
        <v>0.0014</v>
      </c>
      <c r="T29" s="50"/>
      <c r="U29" s="50"/>
      <c r="V29" s="50"/>
      <c r="W29" s="50"/>
      <c r="X29" s="50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</row>
    <row r="30" ht="15" customHeight="1" spans="1:40">
      <c r="A30" s="46"/>
      <c r="B30" s="52">
        <v>10</v>
      </c>
      <c r="C30" s="48"/>
      <c r="D30" s="48"/>
      <c r="E30" s="48"/>
      <c r="F30" s="49"/>
      <c r="G30" s="49"/>
      <c r="H30" s="48" t="s">
        <v>29</v>
      </c>
      <c r="I30" s="50">
        <v>-0.0156</v>
      </c>
      <c r="J30" s="50">
        <v>-0.0033</v>
      </c>
      <c r="K30" s="50">
        <v>-0.0021</v>
      </c>
      <c r="L30" s="50">
        <v>-0.002</v>
      </c>
      <c r="M30" s="50">
        <v>0.0003</v>
      </c>
      <c r="N30" s="50">
        <v>-0.0062</v>
      </c>
      <c r="O30" s="50">
        <v>-0.0017</v>
      </c>
      <c r="P30" s="50">
        <v>-0.0026</v>
      </c>
      <c r="Q30" s="50">
        <v>-0.0031</v>
      </c>
      <c r="R30" s="50">
        <v>-0.0008</v>
      </c>
      <c r="S30" s="50">
        <v>-0.0155</v>
      </c>
      <c r="T30" s="50"/>
      <c r="U30" s="50"/>
      <c r="V30" s="50"/>
      <c r="W30" s="50"/>
      <c r="X30" s="50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</row>
    <row r="31" ht="15" customHeight="1" spans="1:40">
      <c r="A31" s="46"/>
      <c r="B31" s="52">
        <v>11</v>
      </c>
      <c r="C31" s="48"/>
      <c r="D31" s="48"/>
      <c r="E31" s="48"/>
      <c r="F31" s="49"/>
      <c r="G31" s="49"/>
      <c r="H31" s="48" t="s">
        <v>29</v>
      </c>
      <c r="I31" s="50">
        <v>-0.0117</v>
      </c>
      <c r="J31" s="50">
        <v>0.0035</v>
      </c>
      <c r="K31" s="50">
        <v>0</v>
      </c>
      <c r="L31" s="50">
        <v>0.0026</v>
      </c>
      <c r="M31" s="50">
        <v>0.0033</v>
      </c>
      <c r="N31" s="50">
        <v>-0.0004</v>
      </c>
      <c r="O31" s="50">
        <v>0.0017</v>
      </c>
      <c r="P31" s="50">
        <v>0.0027</v>
      </c>
      <c r="Q31" s="50">
        <v>0.0013</v>
      </c>
      <c r="R31" s="50">
        <v>0.0025</v>
      </c>
      <c r="S31" s="50">
        <v>-0.0116</v>
      </c>
      <c r="T31" s="50"/>
      <c r="U31" s="50"/>
      <c r="V31" s="50"/>
      <c r="W31" s="50"/>
      <c r="X31" s="50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</row>
    <row r="32" ht="15" customHeight="1" spans="1:40">
      <c r="A32" s="46"/>
      <c r="B32" s="52">
        <v>12</v>
      </c>
      <c r="C32" s="48"/>
      <c r="D32" s="48"/>
      <c r="E32" s="48"/>
      <c r="F32" s="49"/>
      <c r="G32" s="49"/>
      <c r="H32" s="48" t="s">
        <v>29</v>
      </c>
      <c r="I32" s="50">
        <v>-0.0142</v>
      </c>
      <c r="J32" s="50">
        <v>0.0036</v>
      </c>
      <c r="K32" s="50">
        <v>-0.0011</v>
      </c>
      <c r="L32" s="50">
        <v>0.0019</v>
      </c>
      <c r="M32" s="50">
        <v>0.0025</v>
      </c>
      <c r="N32" s="50">
        <v>-0.0003</v>
      </c>
      <c r="O32" s="50">
        <v>0.0006</v>
      </c>
      <c r="P32" s="50">
        <v>0.0031</v>
      </c>
      <c r="Q32" s="50">
        <v>0.0016</v>
      </c>
      <c r="R32" s="50">
        <v>0.002</v>
      </c>
      <c r="S32" s="50">
        <v>-0.0143</v>
      </c>
      <c r="T32" s="50"/>
      <c r="U32" s="50"/>
      <c r="V32" s="50"/>
      <c r="W32" s="50"/>
      <c r="X32" s="50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ht="15" customHeight="1" spans="1:40">
      <c r="A33" s="46"/>
      <c r="B33" s="52">
        <v>13</v>
      </c>
      <c r="C33" s="48"/>
      <c r="D33" s="48"/>
      <c r="E33" s="48"/>
      <c r="F33" s="49"/>
      <c r="G33" s="49"/>
      <c r="H33" s="48" t="s">
        <v>29</v>
      </c>
      <c r="I33" s="50">
        <v>0.0156</v>
      </c>
      <c r="J33" s="50">
        <v>0.0039</v>
      </c>
      <c r="K33" s="50">
        <v>-0.0013</v>
      </c>
      <c r="L33" s="50">
        <v>0.003</v>
      </c>
      <c r="M33" s="50">
        <v>0.003</v>
      </c>
      <c r="N33" s="50">
        <v>0.0061</v>
      </c>
      <c r="O33" s="50">
        <v>0.0026</v>
      </c>
      <c r="P33" s="50">
        <v>0.0036</v>
      </c>
      <c r="Q33" s="50">
        <v>-0.0004</v>
      </c>
      <c r="R33" s="50">
        <v>0.0015</v>
      </c>
      <c r="S33" s="50">
        <v>0.0155</v>
      </c>
      <c r="T33" s="50"/>
      <c r="U33" s="50"/>
      <c r="V33" s="50"/>
      <c r="W33" s="50"/>
      <c r="X33" s="50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</row>
    <row r="34" ht="15" customHeight="1" spans="1:40">
      <c r="A34" s="46"/>
      <c r="B34" s="52" t="s">
        <v>34</v>
      </c>
      <c r="C34" s="48">
        <v>0</v>
      </c>
      <c r="D34" s="48">
        <v>0.01</v>
      </c>
      <c r="E34" s="48">
        <v>0</v>
      </c>
      <c r="F34" s="49">
        <f>C34+D34</f>
        <v>0.01</v>
      </c>
      <c r="G34" s="49">
        <f>C34+E34</f>
        <v>0</v>
      </c>
      <c r="H34" s="48" t="s">
        <v>29</v>
      </c>
      <c r="I34" s="50">
        <v>0.0313</v>
      </c>
      <c r="J34" s="50">
        <v>0.0078</v>
      </c>
      <c r="K34" s="50">
        <v>0.0041</v>
      </c>
      <c r="L34" s="50">
        <v>0.0074</v>
      </c>
      <c r="M34" s="50">
        <v>0.0066</v>
      </c>
      <c r="N34" s="50">
        <v>0.0125</v>
      </c>
      <c r="O34" s="50">
        <v>0.0052</v>
      </c>
      <c r="P34" s="50">
        <v>0.0071</v>
      </c>
      <c r="Q34" s="50">
        <v>0.0062</v>
      </c>
      <c r="R34" s="50">
        <v>0.005</v>
      </c>
      <c r="S34" s="50">
        <v>0.031</v>
      </c>
      <c r="T34" s="50"/>
      <c r="U34" s="50"/>
      <c r="V34" s="50"/>
      <c r="W34" s="50"/>
      <c r="X34" s="50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ht="15" customHeight="1" spans="1:40">
      <c r="A35" s="46"/>
      <c r="B35" s="52" t="s">
        <v>35</v>
      </c>
      <c r="C35" s="48"/>
      <c r="D35" s="48"/>
      <c r="E35" s="48"/>
      <c r="F35" s="49"/>
      <c r="G35" s="49"/>
      <c r="H35" s="48" t="s">
        <v>29</v>
      </c>
      <c r="I35" s="50">
        <v>-0.3738</v>
      </c>
      <c r="J35" s="50">
        <v>-0.386</v>
      </c>
      <c r="K35" s="50">
        <v>-0.3935</v>
      </c>
      <c r="L35" s="50">
        <v>-0.3911</v>
      </c>
      <c r="M35" s="50">
        <v>-0.3864</v>
      </c>
      <c r="N35" s="50">
        <v>-0.4014</v>
      </c>
      <c r="O35" s="50">
        <v>-0.3855</v>
      </c>
      <c r="P35" s="50">
        <v>-0.3899</v>
      </c>
      <c r="Q35" s="50">
        <v>-0.3967</v>
      </c>
      <c r="R35" s="50">
        <v>-0.3885</v>
      </c>
      <c r="S35" s="50">
        <v>-0.3738</v>
      </c>
      <c r="T35" s="50"/>
      <c r="U35" s="50"/>
      <c r="V35" s="50"/>
      <c r="W35" s="50"/>
      <c r="X35" s="50"/>
      <c r="Y35" s="54"/>
      <c r="Z35" s="54"/>
      <c r="AA35" s="54"/>
      <c r="AB35" s="54"/>
      <c r="AC35" s="54"/>
      <c r="AD35" s="54"/>
      <c r="AE35" s="53"/>
      <c r="AF35" s="54"/>
      <c r="AG35" s="54"/>
      <c r="AH35" s="54"/>
      <c r="AI35" s="54"/>
      <c r="AJ35" s="54"/>
      <c r="AK35" s="54"/>
      <c r="AL35" s="54"/>
      <c r="AM35" s="54"/>
      <c r="AN35" s="54"/>
    </row>
    <row r="36" ht="15" customHeight="1" spans="1:40">
      <c r="A36" s="46"/>
      <c r="B36" s="52" t="s">
        <v>36</v>
      </c>
      <c r="C36" s="48"/>
      <c r="D36" s="48"/>
      <c r="E36" s="48"/>
      <c r="F36" s="49"/>
      <c r="G36" s="49"/>
      <c r="H36" s="48" t="s">
        <v>29</v>
      </c>
      <c r="I36" s="50">
        <v>-0.3585</v>
      </c>
      <c r="J36" s="50">
        <v>-0.3665</v>
      </c>
      <c r="K36" s="50">
        <v>-0.3797</v>
      </c>
      <c r="L36" s="50">
        <v>-0.3764</v>
      </c>
      <c r="M36" s="50">
        <v>-0.3725</v>
      </c>
      <c r="N36" s="50">
        <v>-0.3826</v>
      </c>
      <c r="O36" s="50">
        <v>-0.3736</v>
      </c>
      <c r="P36" s="50">
        <v>-0.3712</v>
      </c>
      <c r="Q36" s="50">
        <v>-0.3779</v>
      </c>
      <c r="R36" s="50">
        <v>-0.374</v>
      </c>
      <c r="S36" s="50">
        <v>-0.3584</v>
      </c>
      <c r="T36" s="50"/>
      <c r="U36" s="50"/>
      <c r="V36" s="50"/>
      <c r="W36" s="50"/>
      <c r="X36" s="50"/>
      <c r="Y36" s="54"/>
      <c r="Z36" s="54"/>
      <c r="AA36" s="54"/>
      <c r="AB36" s="54"/>
      <c r="AC36" s="54"/>
      <c r="AD36" s="54"/>
      <c r="AE36" s="53"/>
      <c r="AF36" s="54"/>
      <c r="AG36" s="54"/>
      <c r="AH36" s="54"/>
      <c r="AI36" s="54"/>
      <c r="AJ36" s="54"/>
      <c r="AK36" s="54"/>
      <c r="AL36" s="54"/>
      <c r="AM36" s="54"/>
      <c r="AN36" s="54"/>
    </row>
    <row r="37" ht="15" customHeight="1" spans="1:40">
      <c r="A37" s="46"/>
      <c r="B37" s="52" t="s">
        <v>37</v>
      </c>
      <c r="C37" s="48"/>
      <c r="D37" s="48"/>
      <c r="E37" s="48"/>
      <c r="F37" s="49"/>
      <c r="G37" s="49"/>
      <c r="H37" s="48" t="s">
        <v>29</v>
      </c>
      <c r="I37" s="50">
        <v>-0.3839</v>
      </c>
      <c r="J37" s="50">
        <v>-0.3929</v>
      </c>
      <c r="K37" s="50">
        <v>-0.3989</v>
      </c>
      <c r="L37" s="50">
        <v>-0.3941</v>
      </c>
      <c r="M37" s="50">
        <v>-0.3926</v>
      </c>
      <c r="N37" s="50">
        <v>-0.4055</v>
      </c>
      <c r="O37" s="50">
        <v>-0.3908</v>
      </c>
      <c r="P37" s="50">
        <v>-0.3951</v>
      </c>
      <c r="Q37" s="50">
        <v>-0.3975</v>
      </c>
      <c r="R37" s="50">
        <v>-0.3938</v>
      </c>
      <c r="S37" s="50">
        <v>-0.3839</v>
      </c>
      <c r="T37" s="50"/>
      <c r="U37" s="50"/>
      <c r="V37" s="50"/>
      <c r="W37" s="50"/>
      <c r="X37" s="50"/>
      <c r="Y37" s="54"/>
      <c r="Z37" s="54"/>
      <c r="AA37" s="54"/>
      <c r="AB37" s="54"/>
      <c r="AC37" s="54"/>
      <c r="AD37" s="54"/>
      <c r="AE37" s="53"/>
      <c r="AF37" s="54"/>
      <c r="AG37" s="54"/>
      <c r="AH37" s="54"/>
      <c r="AI37" s="54"/>
      <c r="AJ37" s="54"/>
      <c r="AK37" s="54"/>
      <c r="AL37" s="54"/>
      <c r="AM37" s="54"/>
      <c r="AN37" s="54"/>
    </row>
    <row r="38" ht="15" customHeight="1" spans="1:40">
      <c r="A38" s="46"/>
      <c r="B38" s="52" t="s">
        <v>38</v>
      </c>
      <c r="C38" s="48"/>
      <c r="D38" s="48"/>
      <c r="E38" s="48"/>
      <c r="F38" s="49"/>
      <c r="G38" s="49"/>
      <c r="H38" s="48" t="s">
        <v>29</v>
      </c>
      <c r="I38" s="50">
        <v>-0.3832</v>
      </c>
      <c r="J38" s="50">
        <v>-0.385</v>
      </c>
      <c r="K38" s="50">
        <v>-0.3899</v>
      </c>
      <c r="L38" s="50">
        <v>-0.3885</v>
      </c>
      <c r="M38" s="50">
        <v>-0.3893</v>
      </c>
      <c r="N38" s="50">
        <v>-0.3921</v>
      </c>
      <c r="O38" s="50">
        <v>-0.3903</v>
      </c>
      <c r="P38" s="50">
        <v>-0.3874</v>
      </c>
      <c r="Q38" s="50">
        <v>-0.3864</v>
      </c>
      <c r="R38" s="50">
        <v>-0.3893</v>
      </c>
      <c r="S38" s="50">
        <v>-0.383</v>
      </c>
      <c r="T38" s="50"/>
      <c r="U38" s="50"/>
      <c r="V38" s="50"/>
      <c r="W38" s="50"/>
      <c r="X38" s="50"/>
      <c r="Y38" s="54"/>
      <c r="Z38" s="54"/>
      <c r="AA38" s="54"/>
      <c r="AB38" s="54"/>
      <c r="AC38" s="54"/>
      <c r="AD38" s="54"/>
      <c r="AE38" s="53"/>
      <c r="AF38" s="54"/>
      <c r="AG38" s="54"/>
      <c r="AH38" s="54"/>
      <c r="AI38" s="54"/>
      <c r="AJ38" s="54"/>
      <c r="AK38" s="54"/>
      <c r="AL38" s="54"/>
      <c r="AM38" s="54"/>
      <c r="AN38" s="54"/>
    </row>
    <row r="39" ht="15" customHeight="1" spans="1:40">
      <c r="A39" s="46"/>
      <c r="B39" s="52" t="s">
        <v>39</v>
      </c>
      <c r="C39" s="48"/>
      <c r="D39" s="48"/>
      <c r="E39" s="48"/>
      <c r="F39" s="49"/>
      <c r="G39" s="49"/>
      <c r="H39" s="48" t="s">
        <v>29</v>
      </c>
      <c r="I39" s="50">
        <v>-0.3882</v>
      </c>
      <c r="J39" s="50">
        <v>-0.3889</v>
      </c>
      <c r="K39" s="50">
        <v>-0.3915</v>
      </c>
      <c r="L39" s="50">
        <v>-0.3912</v>
      </c>
      <c r="M39" s="50">
        <v>-0.3914</v>
      </c>
      <c r="N39" s="50">
        <v>-0.3964</v>
      </c>
      <c r="O39" s="50">
        <v>-0.3899</v>
      </c>
      <c r="P39" s="50">
        <v>-0.3913</v>
      </c>
      <c r="Q39" s="50">
        <v>-0.3902</v>
      </c>
      <c r="R39" s="50">
        <v>-0.3905</v>
      </c>
      <c r="S39" s="50">
        <v>-0.3881</v>
      </c>
      <c r="T39" s="50"/>
      <c r="U39" s="50"/>
      <c r="V39" s="50"/>
      <c r="W39" s="50"/>
      <c r="X39" s="50"/>
      <c r="Y39" s="54"/>
      <c r="Z39" s="54"/>
      <c r="AA39" s="54"/>
      <c r="AB39" s="54"/>
      <c r="AC39" s="54"/>
      <c r="AD39" s="54"/>
      <c r="AE39" s="53"/>
      <c r="AF39" s="54"/>
      <c r="AG39" s="54"/>
      <c r="AH39" s="54"/>
      <c r="AI39" s="54"/>
      <c r="AJ39" s="54"/>
      <c r="AK39" s="54"/>
      <c r="AL39" s="54"/>
      <c r="AM39" s="54"/>
      <c r="AN39" s="54"/>
    </row>
    <row r="40" ht="15" customHeight="1" spans="1:40">
      <c r="A40" s="46"/>
      <c r="B40" s="52" t="s">
        <v>40</v>
      </c>
      <c r="C40" s="48"/>
      <c r="D40" s="48"/>
      <c r="E40" s="48"/>
      <c r="F40" s="49"/>
      <c r="G40" s="49"/>
      <c r="H40" s="48" t="s">
        <v>29</v>
      </c>
      <c r="I40" s="50">
        <v>-0.391</v>
      </c>
      <c r="J40" s="50">
        <v>-0.3973</v>
      </c>
      <c r="K40" s="50">
        <v>-0.3938</v>
      </c>
      <c r="L40" s="50">
        <v>-0.3928</v>
      </c>
      <c r="M40" s="50">
        <v>-0.3921</v>
      </c>
      <c r="N40" s="50">
        <v>-0.4032</v>
      </c>
      <c r="O40" s="50">
        <v>-0.3883</v>
      </c>
      <c r="P40" s="50">
        <v>-0.3945</v>
      </c>
      <c r="Q40" s="50">
        <v>-0.393</v>
      </c>
      <c r="R40" s="50">
        <v>-0.3924</v>
      </c>
      <c r="S40" s="50">
        <v>-0.3907</v>
      </c>
      <c r="T40" s="50"/>
      <c r="U40" s="50"/>
      <c r="V40" s="50"/>
      <c r="W40" s="50"/>
      <c r="X40" s="50"/>
      <c r="Y40" s="54"/>
      <c r="Z40" s="54"/>
      <c r="AA40" s="54"/>
      <c r="AB40" s="54"/>
      <c r="AC40" s="54"/>
      <c r="AD40" s="54"/>
      <c r="AE40" s="53"/>
      <c r="AF40" s="54"/>
      <c r="AG40" s="54"/>
      <c r="AH40" s="54"/>
      <c r="AI40" s="54"/>
      <c r="AJ40" s="54"/>
      <c r="AK40" s="54"/>
      <c r="AL40" s="54"/>
      <c r="AM40" s="54"/>
      <c r="AN40" s="54"/>
    </row>
    <row r="41" ht="15" customHeight="1" spans="1:40">
      <c r="A41" s="46"/>
      <c r="B41" s="52" t="s">
        <v>41</v>
      </c>
      <c r="C41" s="48"/>
      <c r="D41" s="48"/>
      <c r="E41" s="48"/>
      <c r="F41" s="49"/>
      <c r="G41" s="49"/>
      <c r="H41" s="48" t="s">
        <v>29</v>
      </c>
      <c r="I41" s="50">
        <v>-0.3889</v>
      </c>
      <c r="J41" s="50">
        <v>-0.3865</v>
      </c>
      <c r="K41" s="50">
        <v>-0.3878</v>
      </c>
      <c r="L41" s="50">
        <v>-0.3889</v>
      </c>
      <c r="M41" s="50">
        <v>-0.3888</v>
      </c>
      <c r="N41" s="50">
        <v>-0.3878</v>
      </c>
      <c r="O41" s="50">
        <v>-0.3869</v>
      </c>
      <c r="P41" s="50">
        <v>-0.3889</v>
      </c>
      <c r="Q41" s="50">
        <v>-0.3855</v>
      </c>
      <c r="R41" s="50">
        <v>-0.3866</v>
      </c>
      <c r="S41" s="50">
        <v>-0.3886</v>
      </c>
      <c r="T41" s="50"/>
      <c r="U41" s="50"/>
      <c r="V41" s="50"/>
      <c r="W41" s="50"/>
      <c r="X41" s="50"/>
      <c r="Y41" s="54"/>
      <c r="Z41" s="54"/>
      <c r="AA41" s="54"/>
      <c r="AB41" s="54"/>
      <c r="AC41" s="54"/>
      <c r="AD41" s="54"/>
      <c r="AE41" s="53"/>
      <c r="AF41" s="54"/>
      <c r="AG41" s="54"/>
      <c r="AH41" s="54"/>
      <c r="AI41" s="54"/>
      <c r="AJ41" s="54"/>
      <c r="AK41" s="54"/>
      <c r="AL41" s="54"/>
      <c r="AM41" s="54"/>
      <c r="AN41" s="54"/>
    </row>
    <row r="42" ht="15" customHeight="1" spans="1:40">
      <c r="A42" s="46"/>
      <c r="B42" s="52" t="s">
        <v>42</v>
      </c>
      <c r="C42" s="48"/>
      <c r="D42" s="48"/>
      <c r="E42" s="48"/>
      <c r="F42" s="49"/>
      <c r="G42" s="49"/>
      <c r="H42" s="48" t="s">
        <v>29</v>
      </c>
      <c r="I42" s="50">
        <v>-0.3912</v>
      </c>
      <c r="J42" s="50">
        <v>-0.3945</v>
      </c>
      <c r="K42" s="50">
        <v>-0.3911</v>
      </c>
      <c r="L42" s="50">
        <v>-0.3935</v>
      </c>
      <c r="M42" s="50">
        <v>-0.3904</v>
      </c>
      <c r="N42" s="50">
        <v>-0.3952</v>
      </c>
      <c r="O42" s="50">
        <v>-0.3875</v>
      </c>
      <c r="P42" s="50">
        <v>-0.3925</v>
      </c>
      <c r="Q42" s="50">
        <v>-0.3891</v>
      </c>
      <c r="R42" s="50">
        <v>-0.3904</v>
      </c>
      <c r="S42" s="50">
        <v>-0.3909</v>
      </c>
      <c r="T42" s="50"/>
      <c r="U42" s="50"/>
      <c r="V42" s="50"/>
      <c r="W42" s="50"/>
      <c r="X42" s="50"/>
      <c r="Y42" s="54"/>
      <c r="Z42" s="54"/>
      <c r="AA42" s="54"/>
      <c r="AB42" s="54"/>
      <c r="AC42" s="54"/>
      <c r="AD42" s="54"/>
      <c r="AE42" s="53"/>
      <c r="AF42" s="54"/>
      <c r="AG42" s="54"/>
      <c r="AH42" s="54"/>
      <c r="AI42" s="54"/>
      <c r="AJ42" s="54"/>
      <c r="AK42" s="54"/>
      <c r="AL42" s="54"/>
      <c r="AM42" s="54"/>
      <c r="AN42" s="54"/>
    </row>
    <row r="43" ht="15" customHeight="1" spans="1:40">
      <c r="A43" s="46"/>
      <c r="B43" s="52" t="s">
        <v>43</v>
      </c>
      <c r="C43" s="48"/>
      <c r="D43" s="48"/>
      <c r="E43" s="48"/>
      <c r="F43" s="49"/>
      <c r="G43" s="49"/>
      <c r="H43" s="48" t="s">
        <v>29</v>
      </c>
      <c r="I43" s="50">
        <v>-0.3944</v>
      </c>
      <c r="J43" s="50">
        <v>-0.3964</v>
      </c>
      <c r="K43" s="50">
        <v>-0.3898</v>
      </c>
      <c r="L43" s="50">
        <v>-0.3944</v>
      </c>
      <c r="M43" s="50">
        <v>-0.3882</v>
      </c>
      <c r="N43" s="50">
        <v>-0.3941</v>
      </c>
      <c r="O43" s="50">
        <v>-0.3873</v>
      </c>
      <c r="P43" s="50">
        <v>-0.3908</v>
      </c>
      <c r="Q43" s="50">
        <v>-0.3899</v>
      </c>
      <c r="R43" s="50">
        <v>-0.3894</v>
      </c>
      <c r="S43" s="50">
        <v>-0.3942</v>
      </c>
      <c r="T43" s="50"/>
      <c r="U43" s="50"/>
      <c r="V43" s="50"/>
      <c r="W43" s="50"/>
      <c r="X43" s="50"/>
      <c r="Y43" s="54"/>
      <c r="Z43" s="54"/>
      <c r="AA43" s="54"/>
      <c r="AB43" s="54"/>
      <c r="AC43" s="54"/>
      <c r="AD43" s="54"/>
      <c r="AE43" s="53"/>
      <c r="AF43" s="54"/>
      <c r="AG43" s="54"/>
      <c r="AH43" s="54"/>
      <c r="AI43" s="54"/>
      <c r="AJ43" s="54"/>
      <c r="AK43" s="54"/>
      <c r="AL43" s="54"/>
      <c r="AM43" s="54"/>
      <c r="AN43" s="54"/>
    </row>
    <row r="44" ht="15" customHeight="1" spans="1:40">
      <c r="A44" s="46"/>
      <c r="B44" s="52" t="s">
        <v>44</v>
      </c>
      <c r="C44" s="48"/>
      <c r="D44" s="48"/>
      <c r="E44" s="48"/>
      <c r="F44" s="49"/>
      <c r="G44" s="49"/>
      <c r="H44" s="48" t="s">
        <v>29</v>
      </c>
      <c r="I44" s="50">
        <v>-0.3951</v>
      </c>
      <c r="J44" s="50">
        <v>-0.3872</v>
      </c>
      <c r="K44" s="50">
        <v>-0.3882</v>
      </c>
      <c r="L44" s="50">
        <v>-0.3962</v>
      </c>
      <c r="M44" s="50">
        <v>-0.389</v>
      </c>
      <c r="N44" s="50">
        <v>-0.3832</v>
      </c>
      <c r="O44" s="50">
        <v>-0.3899</v>
      </c>
      <c r="P44" s="50">
        <v>-0.3871</v>
      </c>
      <c r="Q44" s="50">
        <v>-0.3873</v>
      </c>
      <c r="R44" s="50">
        <v>-0.3888</v>
      </c>
      <c r="S44" s="50">
        <v>-0.3949</v>
      </c>
      <c r="T44" s="50"/>
      <c r="U44" s="50"/>
      <c r="V44" s="50"/>
      <c r="W44" s="50"/>
      <c r="X44" s="50"/>
      <c r="Y44" s="54"/>
      <c r="Z44" s="54"/>
      <c r="AA44" s="54"/>
      <c r="AB44" s="54"/>
      <c r="AC44" s="54"/>
      <c r="AD44" s="54"/>
      <c r="AE44" s="53"/>
      <c r="AF44" s="54"/>
      <c r="AG44" s="54"/>
      <c r="AH44" s="54"/>
      <c r="AI44" s="54"/>
      <c r="AJ44" s="54"/>
      <c r="AK44" s="54"/>
      <c r="AL44" s="54"/>
      <c r="AM44" s="54"/>
      <c r="AN44" s="54"/>
    </row>
    <row r="45" ht="15" customHeight="1" spans="1:40">
      <c r="A45" s="46"/>
      <c r="B45" s="52" t="s">
        <v>45</v>
      </c>
      <c r="C45" s="48"/>
      <c r="D45" s="48"/>
      <c r="E45" s="48"/>
      <c r="F45" s="49"/>
      <c r="G45" s="49"/>
      <c r="H45" s="48" t="s">
        <v>29</v>
      </c>
      <c r="I45" s="50">
        <v>-0.3994</v>
      </c>
      <c r="J45" s="50">
        <v>-0.388</v>
      </c>
      <c r="K45" s="50">
        <v>-0.3879</v>
      </c>
      <c r="L45" s="50">
        <v>-0.4005</v>
      </c>
      <c r="M45" s="50">
        <v>-0.3856</v>
      </c>
      <c r="N45" s="50">
        <v>-0.382</v>
      </c>
      <c r="O45" s="50">
        <v>-0.3869</v>
      </c>
      <c r="P45" s="50">
        <v>-0.3887</v>
      </c>
      <c r="Q45" s="50">
        <v>-0.3887</v>
      </c>
      <c r="R45" s="50">
        <v>-0.39</v>
      </c>
      <c r="S45" s="50">
        <v>-0.3991</v>
      </c>
      <c r="T45" s="50"/>
      <c r="U45" s="50"/>
      <c r="V45" s="50"/>
      <c r="W45" s="50"/>
      <c r="X45" s="50"/>
      <c r="Y45" s="54"/>
      <c r="Z45" s="54"/>
      <c r="AA45" s="54"/>
      <c r="AB45" s="54"/>
      <c r="AC45" s="54"/>
      <c r="AD45" s="54"/>
      <c r="AE45" s="53"/>
      <c r="AF45" s="54"/>
      <c r="AG45" s="54"/>
      <c r="AH45" s="54"/>
      <c r="AI45" s="54"/>
      <c r="AJ45" s="54"/>
      <c r="AK45" s="54"/>
      <c r="AL45" s="54"/>
      <c r="AM45" s="54"/>
      <c r="AN45" s="54"/>
    </row>
    <row r="46" ht="15" customHeight="1" spans="1:40">
      <c r="A46" s="46"/>
      <c r="B46" s="52" t="s">
        <v>46</v>
      </c>
      <c r="C46" s="48"/>
      <c r="D46" s="48"/>
      <c r="E46" s="48"/>
      <c r="F46" s="49"/>
      <c r="G46" s="49"/>
      <c r="H46" s="48" t="s">
        <v>29</v>
      </c>
      <c r="I46" s="50">
        <v>-0.399</v>
      </c>
      <c r="J46" s="50">
        <v>-0.3847</v>
      </c>
      <c r="K46" s="50">
        <v>-0.3879</v>
      </c>
      <c r="L46" s="50">
        <v>-0.3955</v>
      </c>
      <c r="M46" s="50">
        <v>-0.3856</v>
      </c>
      <c r="N46" s="50">
        <v>-0.3798</v>
      </c>
      <c r="O46" s="50">
        <v>-0.3907</v>
      </c>
      <c r="P46" s="50">
        <v>-0.3871</v>
      </c>
      <c r="Q46" s="50">
        <v>-0.3872</v>
      </c>
      <c r="R46" s="50">
        <v>-0.3898</v>
      </c>
      <c r="S46" s="50">
        <v>-0.3988</v>
      </c>
      <c r="T46" s="50"/>
      <c r="U46" s="50"/>
      <c r="V46" s="50"/>
      <c r="W46" s="50"/>
      <c r="X46" s="50"/>
      <c r="Y46" s="54"/>
      <c r="Z46" s="54"/>
      <c r="AA46" s="54"/>
      <c r="AB46" s="54"/>
      <c r="AC46" s="54"/>
      <c r="AD46" s="54"/>
      <c r="AE46" s="53"/>
      <c r="AF46" s="54"/>
      <c r="AG46" s="54"/>
      <c r="AH46" s="54"/>
      <c r="AI46" s="54"/>
      <c r="AJ46" s="54"/>
      <c r="AK46" s="54"/>
      <c r="AL46" s="54"/>
      <c r="AM46" s="54"/>
      <c r="AN46" s="54"/>
    </row>
    <row r="47" ht="15" customHeight="1" spans="1:40">
      <c r="A47" s="46"/>
      <c r="B47" s="52" t="s">
        <v>47</v>
      </c>
      <c r="C47" s="48"/>
      <c r="D47" s="48"/>
      <c r="E47" s="48"/>
      <c r="F47" s="49"/>
      <c r="G47" s="49"/>
      <c r="H47" s="48" t="s">
        <v>29</v>
      </c>
      <c r="I47" s="50">
        <v>-0.369</v>
      </c>
      <c r="J47" s="50">
        <v>-0.3729</v>
      </c>
      <c r="K47" s="50">
        <v>-0.3764</v>
      </c>
      <c r="L47" s="50">
        <v>-0.3844</v>
      </c>
      <c r="M47" s="50">
        <v>-0.3737</v>
      </c>
      <c r="N47" s="50">
        <v>-0.3705</v>
      </c>
      <c r="O47" s="50">
        <v>-0.373</v>
      </c>
      <c r="P47" s="50">
        <v>-0.3721</v>
      </c>
      <c r="Q47" s="50">
        <v>-0.3771</v>
      </c>
      <c r="R47" s="50">
        <v>-0.3742</v>
      </c>
      <c r="S47" s="50">
        <v>-0.369</v>
      </c>
      <c r="T47" s="50"/>
      <c r="U47" s="50"/>
      <c r="V47" s="50"/>
      <c r="W47" s="50"/>
      <c r="X47" s="50"/>
      <c r="Y47" s="54"/>
      <c r="Z47" s="54"/>
      <c r="AA47" s="54"/>
      <c r="AB47" s="54"/>
      <c r="AC47" s="54"/>
      <c r="AD47" s="54"/>
      <c r="AE47" s="53"/>
      <c r="AF47" s="54"/>
      <c r="AG47" s="54"/>
      <c r="AH47" s="54"/>
      <c r="AI47" s="54"/>
      <c r="AJ47" s="54"/>
      <c r="AK47" s="54"/>
      <c r="AL47" s="54"/>
      <c r="AM47" s="54"/>
      <c r="AN47" s="54"/>
    </row>
    <row r="48" ht="15" customHeight="1" spans="1:40">
      <c r="A48" s="46"/>
      <c r="B48" s="52" t="s">
        <v>48</v>
      </c>
      <c r="C48" s="48"/>
      <c r="D48" s="48"/>
      <c r="E48" s="48"/>
      <c r="F48" s="49"/>
      <c r="G48" s="49"/>
      <c r="H48" s="48" t="s">
        <v>29</v>
      </c>
      <c r="I48" s="50">
        <v>-0.3841</v>
      </c>
      <c r="J48" s="50">
        <v>-0.3906</v>
      </c>
      <c r="K48" s="50">
        <v>-0.3884</v>
      </c>
      <c r="L48" s="50">
        <v>-0.3986</v>
      </c>
      <c r="M48" s="50">
        <v>-0.386</v>
      </c>
      <c r="N48" s="50">
        <v>-0.3811</v>
      </c>
      <c r="O48" s="50">
        <v>-0.3861</v>
      </c>
      <c r="P48" s="50">
        <v>-0.3882</v>
      </c>
      <c r="Q48" s="50">
        <v>-0.3914</v>
      </c>
      <c r="R48" s="50">
        <v>-0.3869</v>
      </c>
      <c r="S48" s="50">
        <v>-0.384</v>
      </c>
      <c r="T48" s="50"/>
      <c r="U48" s="50"/>
      <c r="V48" s="50"/>
      <c r="W48" s="50"/>
      <c r="X48" s="50"/>
      <c r="Y48" s="54"/>
      <c r="Z48" s="54"/>
      <c r="AA48" s="54"/>
      <c r="AB48" s="54"/>
      <c r="AC48" s="54"/>
      <c r="AD48" s="54"/>
      <c r="AE48" s="53"/>
      <c r="AF48" s="54"/>
      <c r="AG48" s="54"/>
      <c r="AH48" s="54"/>
      <c r="AI48" s="54"/>
      <c r="AJ48" s="54"/>
      <c r="AK48" s="54"/>
      <c r="AL48" s="54"/>
      <c r="AM48" s="54"/>
      <c r="AN48" s="54"/>
    </row>
    <row r="49" ht="15" customHeight="1" spans="1:40">
      <c r="A49" s="46"/>
      <c r="B49" s="52" t="s">
        <v>49</v>
      </c>
      <c r="C49" s="48"/>
      <c r="D49" s="48"/>
      <c r="E49" s="48"/>
      <c r="F49" s="49"/>
      <c r="G49" s="49"/>
      <c r="H49" s="48" t="s">
        <v>29</v>
      </c>
      <c r="I49" s="50">
        <v>-0.3922</v>
      </c>
      <c r="J49" s="50">
        <v>-0.3962</v>
      </c>
      <c r="K49" s="50">
        <v>-0.3919</v>
      </c>
      <c r="L49" s="50">
        <v>-0.4002</v>
      </c>
      <c r="M49" s="50">
        <v>-0.3919</v>
      </c>
      <c r="N49" s="50">
        <v>-0.3928</v>
      </c>
      <c r="O49" s="50">
        <v>-0.3916</v>
      </c>
      <c r="P49" s="50">
        <v>-0.3949</v>
      </c>
      <c r="Q49" s="50">
        <v>-0.3935</v>
      </c>
      <c r="R49" s="50">
        <v>-0.3917</v>
      </c>
      <c r="S49" s="50">
        <v>-0.3921</v>
      </c>
      <c r="T49" s="50"/>
      <c r="U49" s="50"/>
      <c r="V49" s="50"/>
      <c r="W49" s="50"/>
      <c r="X49" s="50"/>
      <c r="Y49" s="54"/>
      <c r="Z49" s="54"/>
      <c r="AA49" s="54"/>
      <c r="AB49" s="54"/>
      <c r="AC49" s="54"/>
      <c r="AD49" s="54"/>
      <c r="AE49" s="53"/>
      <c r="AF49" s="54"/>
      <c r="AG49" s="54"/>
      <c r="AH49" s="54"/>
      <c r="AI49" s="54"/>
      <c r="AJ49" s="54"/>
      <c r="AK49" s="54"/>
      <c r="AL49" s="54"/>
      <c r="AM49" s="54"/>
      <c r="AN49" s="54"/>
    </row>
    <row r="50" ht="15" customHeight="1" spans="1:40">
      <c r="A50" s="46"/>
      <c r="B50" s="52" t="s">
        <v>50</v>
      </c>
      <c r="C50" s="48"/>
      <c r="D50" s="48"/>
      <c r="E50" s="48"/>
      <c r="F50" s="49"/>
      <c r="G50" s="49"/>
      <c r="H50" s="48" t="s">
        <v>29</v>
      </c>
      <c r="I50" s="50">
        <v>-0.388</v>
      </c>
      <c r="J50" s="50">
        <v>-0.386</v>
      </c>
      <c r="K50" s="50">
        <v>-0.3887</v>
      </c>
      <c r="L50" s="50">
        <v>-0.3914</v>
      </c>
      <c r="M50" s="50">
        <v>-0.3881</v>
      </c>
      <c r="N50" s="50">
        <v>-0.3874</v>
      </c>
      <c r="O50" s="50">
        <v>-0.3901</v>
      </c>
      <c r="P50" s="50">
        <v>-0.3894</v>
      </c>
      <c r="Q50" s="50">
        <v>-0.3885</v>
      </c>
      <c r="R50" s="50">
        <v>-0.3883</v>
      </c>
      <c r="S50" s="50">
        <v>-0.3879</v>
      </c>
      <c r="T50" s="50"/>
      <c r="U50" s="50"/>
      <c r="V50" s="50"/>
      <c r="W50" s="50"/>
      <c r="X50" s="50"/>
      <c r="Y50" s="54"/>
      <c r="Z50" s="54"/>
      <c r="AA50" s="54"/>
      <c r="AB50" s="54"/>
      <c r="AC50" s="54"/>
      <c r="AD50" s="54"/>
      <c r="AE50" s="53"/>
      <c r="AF50" s="54"/>
      <c r="AG50" s="54"/>
      <c r="AH50" s="54"/>
      <c r="AI50" s="54"/>
      <c r="AJ50" s="54"/>
      <c r="AK50" s="54"/>
      <c r="AL50" s="54"/>
      <c r="AM50" s="54"/>
      <c r="AN50" s="54"/>
    </row>
    <row r="51" ht="15" customHeight="1" spans="1:40">
      <c r="A51" s="46"/>
      <c r="B51" s="52" t="s">
        <v>51</v>
      </c>
      <c r="C51" s="48"/>
      <c r="D51" s="48"/>
      <c r="E51" s="48"/>
      <c r="F51" s="49"/>
      <c r="G51" s="49"/>
      <c r="H51" s="48" t="s">
        <v>29</v>
      </c>
      <c r="I51" s="50">
        <v>-0.3918</v>
      </c>
      <c r="J51" s="50">
        <v>-0.3882</v>
      </c>
      <c r="K51" s="50">
        <v>-0.3899</v>
      </c>
      <c r="L51" s="50">
        <v>-0.394</v>
      </c>
      <c r="M51" s="50">
        <v>-0.3887</v>
      </c>
      <c r="N51" s="50">
        <v>-0.395</v>
      </c>
      <c r="O51" s="50">
        <v>-0.3897</v>
      </c>
      <c r="P51" s="50">
        <v>-0.3917</v>
      </c>
      <c r="Q51" s="50">
        <v>-0.3889</v>
      </c>
      <c r="R51" s="50">
        <v>-0.387</v>
      </c>
      <c r="S51" s="50">
        <v>-0.3916</v>
      </c>
      <c r="T51" s="50"/>
      <c r="U51" s="50"/>
      <c r="V51" s="50"/>
      <c r="W51" s="50"/>
      <c r="X51" s="50"/>
      <c r="Y51" s="54"/>
      <c r="Z51" s="54"/>
      <c r="AA51" s="54"/>
      <c r="AB51" s="54"/>
      <c r="AC51" s="54"/>
      <c r="AD51" s="54"/>
      <c r="AE51" s="53"/>
      <c r="AF51" s="54"/>
      <c r="AG51" s="54"/>
      <c r="AH51" s="54"/>
      <c r="AI51" s="54"/>
      <c r="AJ51" s="54"/>
      <c r="AK51" s="54"/>
      <c r="AL51" s="54"/>
      <c r="AM51" s="54"/>
      <c r="AN51" s="54"/>
    </row>
    <row r="52" ht="15" customHeight="1" spans="1:40">
      <c r="A52" s="46"/>
      <c r="B52" s="52" t="s">
        <v>52</v>
      </c>
      <c r="C52" s="48"/>
      <c r="D52" s="48"/>
      <c r="E52" s="48"/>
      <c r="F52" s="49"/>
      <c r="G52" s="49"/>
      <c r="H52" s="48" t="s">
        <v>29</v>
      </c>
      <c r="I52" s="50">
        <v>-0.3949</v>
      </c>
      <c r="J52" s="50">
        <v>-0.3936</v>
      </c>
      <c r="K52" s="50">
        <v>-0.3912</v>
      </c>
      <c r="L52" s="50">
        <v>-0.3944</v>
      </c>
      <c r="M52" s="50">
        <v>-0.3882</v>
      </c>
      <c r="N52" s="50">
        <v>-0.4037</v>
      </c>
      <c r="O52" s="50">
        <v>-0.388</v>
      </c>
      <c r="P52" s="50">
        <v>-0.3949</v>
      </c>
      <c r="Q52" s="50">
        <v>-0.391</v>
      </c>
      <c r="R52" s="50">
        <v>-0.3869</v>
      </c>
      <c r="S52" s="50">
        <v>-0.3949</v>
      </c>
      <c r="T52" s="50"/>
      <c r="U52" s="50"/>
      <c r="V52" s="50"/>
      <c r="W52" s="50"/>
      <c r="X52" s="50"/>
      <c r="Y52" s="54"/>
      <c r="Z52" s="54"/>
      <c r="AA52" s="54"/>
      <c r="AB52" s="54"/>
      <c r="AC52" s="54"/>
      <c r="AD52" s="54"/>
      <c r="AE52" s="53"/>
      <c r="AF52" s="54"/>
      <c r="AG52" s="54"/>
      <c r="AH52" s="54"/>
      <c r="AI52" s="54"/>
      <c r="AJ52" s="54"/>
      <c r="AK52" s="54"/>
      <c r="AL52" s="54"/>
      <c r="AM52" s="54"/>
      <c r="AN52" s="54"/>
    </row>
    <row r="53" ht="15" customHeight="1" spans="1:40">
      <c r="A53" s="46"/>
      <c r="B53" s="52" t="s">
        <v>53</v>
      </c>
      <c r="C53" s="48"/>
      <c r="D53" s="48"/>
      <c r="E53" s="48"/>
      <c r="F53" s="49"/>
      <c r="G53" s="49"/>
      <c r="H53" s="48" t="s">
        <v>29</v>
      </c>
      <c r="I53" s="50">
        <v>-0.3925</v>
      </c>
      <c r="J53" s="50">
        <v>-0.3859</v>
      </c>
      <c r="K53" s="50">
        <v>-0.3879</v>
      </c>
      <c r="L53" s="50">
        <v>-0.3907</v>
      </c>
      <c r="M53" s="50">
        <v>-0.3882</v>
      </c>
      <c r="N53" s="50">
        <v>-0.393</v>
      </c>
      <c r="O53" s="50">
        <v>-0.3888</v>
      </c>
      <c r="P53" s="50">
        <v>-0.3899</v>
      </c>
      <c r="Q53" s="50">
        <v>-0.3871</v>
      </c>
      <c r="R53" s="50">
        <v>-0.3877</v>
      </c>
      <c r="S53" s="50">
        <v>-0.3921</v>
      </c>
      <c r="T53" s="50"/>
      <c r="U53" s="50"/>
      <c r="V53" s="50"/>
      <c r="W53" s="50"/>
      <c r="X53" s="50"/>
      <c r="Y53" s="54"/>
      <c r="Z53" s="54"/>
      <c r="AA53" s="54"/>
      <c r="AB53" s="54"/>
      <c r="AC53" s="54"/>
      <c r="AD53" s="54"/>
      <c r="AE53" s="53"/>
      <c r="AF53" s="54"/>
      <c r="AG53" s="54"/>
      <c r="AH53" s="54"/>
      <c r="AI53" s="54"/>
      <c r="AJ53" s="54"/>
      <c r="AK53" s="54"/>
      <c r="AL53" s="54"/>
      <c r="AM53" s="54"/>
      <c r="AN53" s="54"/>
    </row>
    <row r="54" ht="15" customHeight="1" spans="1:40">
      <c r="A54" s="46"/>
      <c r="B54" s="52" t="s">
        <v>54</v>
      </c>
      <c r="C54" s="48"/>
      <c r="D54" s="48"/>
      <c r="E54" s="48"/>
      <c r="F54" s="49"/>
      <c r="G54" s="49"/>
      <c r="H54" s="48" t="s">
        <v>29</v>
      </c>
      <c r="I54" s="50">
        <v>-0.396</v>
      </c>
      <c r="J54" s="50">
        <v>-0.3915</v>
      </c>
      <c r="K54" s="50">
        <v>-0.3912</v>
      </c>
      <c r="L54" s="50">
        <v>-0.3936</v>
      </c>
      <c r="M54" s="50">
        <v>-0.3874</v>
      </c>
      <c r="N54" s="50">
        <v>-0.401</v>
      </c>
      <c r="O54" s="50">
        <v>-0.3886</v>
      </c>
      <c r="P54" s="50">
        <v>-0.3927</v>
      </c>
      <c r="Q54" s="50">
        <v>-0.3915</v>
      </c>
      <c r="R54" s="50">
        <v>-0.3883</v>
      </c>
      <c r="S54" s="50">
        <v>-0.3958</v>
      </c>
      <c r="T54" s="50"/>
      <c r="U54" s="50"/>
      <c r="V54" s="50"/>
      <c r="W54" s="50"/>
      <c r="X54" s="50"/>
      <c r="Y54" s="54"/>
      <c r="Z54" s="54"/>
      <c r="AA54" s="54"/>
      <c r="AB54" s="54"/>
      <c r="AC54" s="54"/>
      <c r="AD54" s="54"/>
      <c r="AE54" s="53"/>
      <c r="AF54" s="54"/>
      <c r="AG54" s="54"/>
      <c r="AH54" s="54"/>
      <c r="AI54" s="54"/>
      <c r="AJ54" s="54"/>
      <c r="AK54" s="54"/>
      <c r="AL54" s="54"/>
      <c r="AM54" s="54"/>
      <c r="AN54" s="54"/>
    </row>
    <row r="55" ht="15" customHeight="1" spans="1:40">
      <c r="A55" s="46"/>
      <c r="B55" s="52" t="s">
        <v>55</v>
      </c>
      <c r="C55" s="48"/>
      <c r="D55" s="48"/>
      <c r="E55" s="48"/>
      <c r="F55" s="49"/>
      <c r="G55" s="49"/>
      <c r="H55" s="48" t="s">
        <v>29</v>
      </c>
      <c r="I55" s="50">
        <v>-0.3984</v>
      </c>
      <c r="J55" s="50">
        <v>-0.3926</v>
      </c>
      <c r="K55" s="50">
        <v>-0.3904</v>
      </c>
      <c r="L55" s="50">
        <v>-0.3918</v>
      </c>
      <c r="M55" s="50">
        <v>-0.3856</v>
      </c>
      <c r="N55" s="50">
        <v>-0.4053</v>
      </c>
      <c r="O55" s="50">
        <v>-0.3859</v>
      </c>
      <c r="P55" s="50">
        <v>-0.3937</v>
      </c>
      <c r="Q55" s="50">
        <v>-0.3937</v>
      </c>
      <c r="R55" s="50">
        <v>-0.3882</v>
      </c>
      <c r="S55" s="50">
        <v>-0.3982</v>
      </c>
      <c r="T55" s="50"/>
      <c r="U55" s="50"/>
      <c r="V55" s="50"/>
      <c r="W55" s="50"/>
      <c r="X55" s="50"/>
      <c r="Y55" s="54"/>
      <c r="Z55" s="54"/>
      <c r="AA55" s="54"/>
      <c r="AB55" s="54"/>
      <c r="AC55" s="54"/>
      <c r="AD55" s="54"/>
      <c r="AE55" s="53"/>
      <c r="AF55" s="54"/>
      <c r="AG55" s="54"/>
      <c r="AH55" s="54"/>
      <c r="AI55" s="54"/>
      <c r="AJ55" s="54"/>
      <c r="AK55" s="54"/>
      <c r="AL55" s="54"/>
      <c r="AM55" s="54"/>
      <c r="AN55" s="54"/>
    </row>
    <row r="56" ht="15" customHeight="1" spans="1:40">
      <c r="A56" s="46"/>
      <c r="B56" s="52" t="s">
        <v>56</v>
      </c>
      <c r="C56" s="48"/>
      <c r="D56" s="48"/>
      <c r="E56" s="48"/>
      <c r="F56" s="49"/>
      <c r="G56" s="49"/>
      <c r="H56" s="48" t="s">
        <v>29</v>
      </c>
      <c r="I56" s="50">
        <v>-0.3997</v>
      </c>
      <c r="J56" s="50">
        <v>-0.3843</v>
      </c>
      <c r="K56" s="50">
        <v>-0.3892</v>
      </c>
      <c r="L56" s="50">
        <v>-0.3894</v>
      </c>
      <c r="M56" s="50">
        <v>-0.3875</v>
      </c>
      <c r="N56" s="50">
        <v>-0.3919</v>
      </c>
      <c r="O56" s="50">
        <v>-0.3891</v>
      </c>
      <c r="P56" s="50">
        <v>-0.3882</v>
      </c>
      <c r="Q56" s="50">
        <v>-0.3916</v>
      </c>
      <c r="R56" s="50">
        <v>-0.387</v>
      </c>
      <c r="S56" s="50">
        <v>-0.3994</v>
      </c>
      <c r="T56" s="50"/>
      <c r="U56" s="50"/>
      <c r="V56" s="50"/>
      <c r="W56" s="50"/>
      <c r="X56" s="50"/>
      <c r="Y56" s="54"/>
      <c r="Z56" s="54"/>
      <c r="AA56" s="54"/>
      <c r="AB56" s="54"/>
      <c r="AC56" s="54"/>
      <c r="AD56" s="54"/>
      <c r="AE56" s="53"/>
      <c r="AF56" s="54"/>
      <c r="AG56" s="54"/>
      <c r="AH56" s="54"/>
      <c r="AI56" s="54"/>
      <c r="AJ56" s="54"/>
      <c r="AK56" s="54"/>
      <c r="AL56" s="54"/>
      <c r="AM56" s="54"/>
      <c r="AN56" s="54"/>
    </row>
    <row r="57" ht="15" customHeight="1" spans="1:40">
      <c r="A57" s="46"/>
      <c r="B57" s="52" t="s">
        <v>57</v>
      </c>
      <c r="C57" s="48"/>
      <c r="D57" s="48"/>
      <c r="E57" s="48"/>
      <c r="F57" s="49"/>
      <c r="G57" s="49"/>
      <c r="H57" s="48" t="s">
        <v>29</v>
      </c>
      <c r="I57" s="50">
        <v>-0.4017</v>
      </c>
      <c r="J57" s="50">
        <v>-0.3798</v>
      </c>
      <c r="K57" s="50">
        <v>-0.3914</v>
      </c>
      <c r="L57" s="50">
        <v>-0.3867</v>
      </c>
      <c r="M57" s="50">
        <v>-0.3846</v>
      </c>
      <c r="N57" s="50">
        <v>-0.391</v>
      </c>
      <c r="O57" s="50">
        <v>-0.3863</v>
      </c>
      <c r="P57" s="50">
        <v>-0.3862</v>
      </c>
      <c r="Q57" s="50">
        <v>-0.3922</v>
      </c>
      <c r="R57" s="50">
        <v>-0.3892</v>
      </c>
      <c r="S57" s="50">
        <v>-0.4013</v>
      </c>
      <c r="T57" s="50"/>
      <c r="U57" s="50"/>
      <c r="V57" s="50"/>
      <c r="W57" s="50"/>
      <c r="X57" s="50"/>
      <c r="Y57" s="54"/>
      <c r="Z57" s="54"/>
      <c r="AA57" s="54"/>
      <c r="AB57" s="54"/>
      <c r="AC57" s="54"/>
      <c r="AD57" s="54"/>
      <c r="AE57" s="53"/>
      <c r="AF57" s="54"/>
      <c r="AG57" s="54"/>
      <c r="AH57" s="54"/>
      <c r="AI57" s="54"/>
      <c r="AJ57" s="54"/>
      <c r="AK57" s="54"/>
      <c r="AL57" s="54"/>
      <c r="AM57" s="54"/>
      <c r="AN57" s="54"/>
    </row>
    <row r="58" ht="15" customHeight="1" spans="1:40">
      <c r="A58" s="46"/>
      <c r="B58" s="52" t="s">
        <v>58</v>
      </c>
      <c r="C58" s="48"/>
      <c r="D58" s="48"/>
      <c r="E58" s="48"/>
      <c r="F58" s="49"/>
      <c r="G58" s="49"/>
      <c r="H58" s="48" t="s">
        <v>29</v>
      </c>
      <c r="I58" s="50">
        <v>-0.4032</v>
      </c>
      <c r="J58" s="50">
        <v>-0.3852</v>
      </c>
      <c r="K58" s="50">
        <v>-0.3903</v>
      </c>
      <c r="L58" s="50">
        <v>-0.3871</v>
      </c>
      <c r="M58" s="50">
        <v>-0.3858</v>
      </c>
      <c r="N58" s="50">
        <v>-0.3958</v>
      </c>
      <c r="O58" s="50">
        <v>-0.3864</v>
      </c>
      <c r="P58" s="50">
        <v>-0.3902</v>
      </c>
      <c r="Q58" s="50">
        <v>-0.3962</v>
      </c>
      <c r="R58" s="50">
        <v>-0.3886</v>
      </c>
      <c r="S58" s="50">
        <v>-0.4028</v>
      </c>
      <c r="T58" s="50"/>
      <c r="U58" s="50"/>
      <c r="V58" s="50"/>
      <c r="W58" s="50"/>
      <c r="X58" s="50"/>
      <c r="Y58" s="54"/>
      <c r="Z58" s="54"/>
      <c r="AA58" s="54"/>
      <c r="AB58" s="54"/>
      <c r="AC58" s="54"/>
      <c r="AD58" s="54"/>
      <c r="AE58" s="53"/>
      <c r="AF58" s="54"/>
      <c r="AG58" s="54"/>
      <c r="AH58" s="54"/>
      <c r="AI58" s="54"/>
      <c r="AJ58" s="54"/>
      <c r="AK58" s="54"/>
      <c r="AL58" s="54"/>
      <c r="AM58" s="54"/>
      <c r="AN58" s="54"/>
    </row>
    <row r="59" ht="15" customHeight="1" spans="1:40">
      <c r="A59" s="46"/>
      <c r="B59" s="55" t="s">
        <v>59</v>
      </c>
      <c r="C59" s="56">
        <v>0.4</v>
      </c>
      <c r="D59" s="56">
        <v>0.03</v>
      </c>
      <c r="E59" s="56">
        <v>-0.03</v>
      </c>
      <c r="F59" s="56">
        <f>C59+D59</f>
        <v>0.43</v>
      </c>
      <c r="G59" s="56">
        <f>C59+E59</f>
        <v>0.37</v>
      </c>
      <c r="H59" s="48" t="s">
        <v>29</v>
      </c>
      <c r="I59" s="50">
        <v>0.0128</v>
      </c>
      <c r="J59" s="50">
        <v>0.0134</v>
      </c>
      <c r="K59" s="50">
        <v>0.0097</v>
      </c>
      <c r="L59" s="50">
        <v>0.0077</v>
      </c>
      <c r="M59" s="50">
        <v>0.0135</v>
      </c>
      <c r="N59" s="50">
        <v>0.0122</v>
      </c>
      <c r="O59" s="50">
        <v>0.0129</v>
      </c>
      <c r="P59" s="50">
        <v>0.0123</v>
      </c>
      <c r="Q59" s="50">
        <v>0.0083</v>
      </c>
      <c r="R59" s="50">
        <v>0.0115</v>
      </c>
      <c r="S59" s="50">
        <v>0.0129</v>
      </c>
      <c r="T59" s="50" cm="1">
        <f t="array" ref="T59">(T34/2)+MAX(ABS(T35:T58))</f>
        <v>0</v>
      </c>
      <c r="U59" s="50" cm="1">
        <f t="array" ref="U59">(U34/2)+MAX(ABS(U35:U58))</f>
        <v>0</v>
      </c>
      <c r="V59" s="50" cm="1">
        <f t="array" ref="V59">(V34/2)+MAX(ABS(V35:V58))</f>
        <v>0</v>
      </c>
      <c r="W59" s="50" cm="1">
        <f t="array" ref="W59">(W34/2)+MAX(ABS(W35:W58))</f>
        <v>0</v>
      </c>
      <c r="X59" s="50" cm="1">
        <f t="array" ref="X59">(X34/2)+MAX(ABS(X35:X58))</f>
        <v>0</v>
      </c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</row>
    <row r="60" ht="15" customHeight="1" spans="1:40">
      <c r="A60" s="46"/>
      <c r="B60" s="52" t="s">
        <v>60</v>
      </c>
      <c r="C60" s="48">
        <v>0</v>
      </c>
      <c r="D60" s="48">
        <v>0.01</v>
      </c>
      <c r="E60" s="48">
        <v>0</v>
      </c>
      <c r="F60" s="49">
        <f>C60+D60</f>
        <v>0.01</v>
      </c>
      <c r="G60" s="49">
        <f>C60+E60</f>
        <v>0</v>
      </c>
      <c r="H60" s="48" t="s">
        <v>29</v>
      </c>
      <c r="I60" s="50">
        <v>0.0009</v>
      </c>
      <c r="J60" s="50">
        <v>0.0018</v>
      </c>
      <c r="K60" s="50">
        <v>-0.0003</v>
      </c>
      <c r="L60" s="50">
        <v>0.0026</v>
      </c>
      <c r="M60" s="50">
        <v>0.0017</v>
      </c>
      <c r="N60" s="50">
        <v>-0.0011</v>
      </c>
      <c r="O60" s="50">
        <v>0.0026</v>
      </c>
      <c r="P60" s="50">
        <v>0.0025</v>
      </c>
      <c r="Q60" s="50">
        <v>0.0035</v>
      </c>
      <c r="R60" s="50">
        <v>0.002</v>
      </c>
      <c r="S60" s="50">
        <v>0.0009</v>
      </c>
      <c r="T60" s="50"/>
      <c r="U60" s="50"/>
      <c r="V60" s="50"/>
      <c r="W60" s="50"/>
      <c r="X60" s="50"/>
      <c r="Y60" s="53" t="str">
        <f t="shared" ref="Y60:AN60" si="9">IF(I60="","",IF(I60&gt;($C60+$D60),(I60-$C60-$D60),IF(I60&lt;($C60+$E60),(I60-$C60-$E60),"√")))</f>
        <v>√</v>
      </c>
      <c r="Z60" s="53" t="str">
        <f t="shared" si="9"/>
        <v>√</v>
      </c>
      <c r="AA60" s="53">
        <f t="shared" si="9"/>
        <v>-0.0003</v>
      </c>
      <c r="AB60" s="53" t="str">
        <f t="shared" si="9"/>
        <v>√</v>
      </c>
      <c r="AC60" s="53" t="str">
        <f t="shared" si="9"/>
        <v>√</v>
      </c>
      <c r="AD60" s="53">
        <f t="shared" si="9"/>
        <v>-0.0011</v>
      </c>
      <c r="AE60" s="53" t="str">
        <f t="shared" si="9"/>
        <v>√</v>
      </c>
      <c r="AF60" s="53" t="str">
        <f t="shared" si="9"/>
        <v>√</v>
      </c>
      <c r="AG60" s="53" t="str">
        <f t="shared" si="9"/>
        <v>√</v>
      </c>
      <c r="AH60" s="53" t="str">
        <f t="shared" si="9"/>
        <v>√</v>
      </c>
      <c r="AI60" s="53" t="str">
        <f t="shared" si="9"/>
        <v>√</v>
      </c>
      <c r="AJ60" s="53" t="str">
        <f t="shared" si="9"/>
        <v/>
      </c>
      <c r="AK60" s="53" t="str">
        <f t="shared" si="9"/>
        <v/>
      </c>
      <c r="AL60" s="53" t="str">
        <f t="shared" si="9"/>
        <v/>
      </c>
      <c r="AM60" s="53" t="str">
        <f t="shared" si="9"/>
        <v/>
      </c>
      <c r="AN60" s="53" t="str">
        <f t="shared" si="9"/>
        <v/>
      </c>
    </row>
    <row r="61" ht="15" customHeight="1" spans="1:40">
      <c r="A61" s="46"/>
      <c r="B61" s="52">
        <v>1</v>
      </c>
      <c r="C61" s="48"/>
      <c r="D61" s="48"/>
      <c r="E61" s="48"/>
      <c r="F61" s="49"/>
      <c r="G61" s="49"/>
      <c r="H61" s="48" t="s">
        <v>29</v>
      </c>
      <c r="I61" s="50">
        <v>-0.0064</v>
      </c>
      <c r="J61" s="50">
        <v>-0.0067</v>
      </c>
      <c r="K61" s="50">
        <v>-0.0049</v>
      </c>
      <c r="L61" s="50">
        <v>-0.0039</v>
      </c>
      <c r="M61" s="50">
        <v>-0.0067</v>
      </c>
      <c r="N61" s="50">
        <v>-0.0061</v>
      </c>
      <c r="O61" s="50">
        <v>-0.0065</v>
      </c>
      <c r="P61" s="50">
        <v>-0.0061</v>
      </c>
      <c r="Q61" s="50">
        <v>-0.0041</v>
      </c>
      <c r="R61" s="50">
        <v>-0.0057</v>
      </c>
      <c r="S61" s="50">
        <v>-0.0064</v>
      </c>
      <c r="T61" s="50"/>
      <c r="U61" s="50"/>
      <c r="V61" s="50"/>
      <c r="W61" s="50"/>
      <c r="X61" s="50"/>
      <c r="Y61" s="54"/>
      <c r="Z61" s="54"/>
      <c r="AA61" s="54"/>
      <c r="AB61" s="54"/>
      <c r="AC61" s="54"/>
      <c r="AD61" s="54"/>
      <c r="AE61" s="53"/>
      <c r="AF61" s="54"/>
      <c r="AG61" s="54"/>
      <c r="AH61" s="54"/>
      <c r="AI61" s="54"/>
      <c r="AJ61" s="54"/>
      <c r="AK61" s="54"/>
      <c r="AL61" s="54"/>
      <c r="AM61" s="54"/>
      <c r="AN61" s="54"/>
    </row>
    <row r="62" ht="15" customHeight="1" spans="1:40">
      <c r="A62" s="46"/>
      <c r="B62" s="52">
        <v>2</v>
      </c>
      <c r="C62" s="48"/>
      <c r="D62" s="48"/>
      <c r="E62" s="48"/>
      <c r="F62" s="49"/>
      <c r="G62" s="49"/>
      <c r="H62" s="48" t="s">
        <v>29</v>
      </c>
      <c r="I62" s="50">
        <v>0.0064</v>
      </c>
      <c r="J62" s="50">
        <v>0.0067</v>
      </c>
      <c r="K62" s="50">
        <v>0.0049</v>
      </c>
      <c r="L62" s="50">
        <v>0.0039</v>
      </c>
      <c r="M62" s="50">
        <v>0.0067</v>
      </c>
      <c r="N62" s="50">
        <v>0.004</v>
      </c>
      <c r="O62" s="50">
        <v>0.0065</v>
      </c>
      <c r="P62" s="50">
        <v>0.0061</v>
      </c>
      <c r="Q62" s="50">
        <v>0.0041</v>
      </c>
      <c r="R62" s="50">
        <v>0.0057</v>
      </c>
      <c r="S62" s="50">
        <v>0.0064</v>
      </c>
      <c r="T62" s="50"/>
      <c r="U62" s="50"/>
      <c r="V62" s="50"/>
      <c r="W62" s="50"/>
      <c r="X62" s="50"/>
      <c r="Y62" s="54"/>
      <c r="Z62" s="54"/>
      <c r="AA62" s="54"/>
      <c r="AB62" s="54"/>
      <c r="AC62" s="54"/>
      <c r="AD62" s="54"/>
      <c r="AE62" s="53"/>
      <c r="AF62" s="54"/>
      <c r="AG62" s="54"/>
      <c r="AH62" s="54"/>
      <c r="AI62" s="54"/>
      <c r="AJ62" s="54"/>
      <c r="AK62" s="54"/>
      <c r="AL62" s="54"/>
      <c r="AM62" s="54"/>
      <c r="AN62" s="54"/>
    </row>
    <row r="63" ht="15" customHeight="1" spans="1:40">
      <c r="A63" s="46"/>
      <c r="B63" s="52">
        <v>3</v>
      </c>
      <c r="C63" s="48"/>
      <c r="D63" s="48"/>
      <c r="E63" s="48"/>
      <c r="F63" s="49"/>
      <c r="G63" s="49"/>
      <c r="H63" s="48" t="s">
        <v>29</v>
      </c>
      <c r="I63" s="50">
        <v>0.0064</v>
      </c>
      <c r="J63" s="50">
        <v>0.0067</v>
      </c>
      <c r="K63" s="50">
        <v>0.0049</v>
      </c>
      <c r="L63" s="50">
        <v>0.0039</v>
      </c>
      <c r="M63" s="50">
        <v>0.0067</v>
      </c>
      <c r="N63" s="50">
        <v>0.0061</v>
      </c>
      <c r="O63" s="50">
        <v>0.0065</v>
      </c>
      <c r="P63" s="50">
        <v>0.0061</v>
      </c>
      <c r="Q63" s="50">
        <v>0.004</v>
      </c>
      <c r="R63" s="50">
        <v>0.0057</v>
      </c>
      <c r="S63" s="50">
        <v>0.0064</v>
      </c>
      <c r="T63" s="50"/>
      <c r="U63" s="50"/>
      <c r="V63" s="50"/>
      <c r="W63" s="50"/>
      <c r="X63" s="50"/>
      <c r="Y63" s="54"/>
      <c r="Z63" s="54"/>
      <c r="AA63" s="54"/>
      <c r="AB63" s="54"/>
      <c r="AC63" s="54"/>
      <c r="AD63" s="54"/>
      <c r="AE63" s="53"/>
      <c r="AF63" s="54"/>
      <c r="AG63" s="54"/>
      <c r="AH63" s="54"/>
      <c r="AI63" s="54"/>
      <c r="AJ63" s="54"/>
      <c r="AK63" s="54"/>
      <c r="AL63" s="54"/>
      <c r="AM63" s="54"/>
      <c r="AN63" s="54"/>
    </row>
    <row r="64" ht="15" customHeight="1" spans="1:40">
      <c r="A64" s="46"/>
      <c r="B64" s="52">
        <v>4</v>
      </c>
      <c r="C64" s="48"/>
      <c r="D64" s="48"/>
      <c r="E64" s="48"/>
      <c r="F64" s="49"/>
      <c r="G64" s="49"/>
      <c r="H64" s="48" t="s">
        <v>29</v>
      </c>
      <c r="I64" s="50">
        <v>0.005</v>
      </c>
      <c r="J64" s="50">
        <v>0.0052</v>
      </c>
      <c r="K64" s="50">
        <v>0.0031</v>
      </c>
      <c r="L64" s="50">
        <v>0.0022</v>
      </c>
      <c r="M64" s="50">
        <v>0.0059</v>
      </c>
      <c r="N64" s="50">
        <v>0.0061</v>
      </c>
      <c r="O64" s="50">
        <v>0.0039</v>
      </c>
      <c r="P64" s="50">
        <v>0.0052</v>
      </c>
      <c r="Q64" s="50">
        <v>0.0036</v>
      </c>
      <c r="R64" s="50">
        <v>0.0032</v>
      </c>
      <c r="S64" s="50">
        <v>0.005</v>
      </c>
      <c r="T64" s="50"/>
      <c r="U64" s="50"/>
      <c r="V64" s="50"/>
      <c r="W64" s="50"/>
      <c r="X64" s="50"/>
      <c r="Y64" s="54"/>
      <c r="Z64" s="54"/>
      <c r="AA64" s="54"/>
      <c r="AB64" s="54"/>
      <c r="AC64" s="54"/>
      <c r="AD64" s="54"/>
      <c r="AE64" s="53"/>
      <c r="AF64" s="54"/>
      <c r="AG64" s="54"/>
      <c r="AH64" s="54"/>
      <c r="AI64" s="54"/>
      <c r="AJ64" s="54"/>
      <c r="AK64" s="54"/>
      <c r="AL64" s="54"/>
      <c r="AM64" s="54"/>
      <c r="AN64" s="54"/>
    </row>
    <row r="65" ht="15" customHeight="1" spans="1:40">
      <c r="A65" s="46"/>
      <c r="B65" s="52">
        <v>5</v>
      </c>
      <c r="C65" s="48"/>
      <c r="D65" s="48"/>
      <c r="E65" s="48"/>
      <c r="F65" s="49"/>
      <c r="G65" s="49"/>
      <c r="H65" s="48" t="s">
        <v>29</v>
      </c>
      <c r="I65" s="50">
        <v>-0.0004</v>
      </c>
      <c r="J65" s="50">
        <v>0.0053</v>
      </c>
      <c r="K65" s="50">
        <v>-0.0007</v>
      </c>
      <c r="L65" s="50">
        <v>-0.0026</v>
      </c>
      <c r="M65" s="50">
        <v>0.0024</v>
      </c>
      <c r="N65" s="50">
        <v>0.0047</v>
      </c>
      <c r="O65" s="50">
        <v>-0.0006</v>
      </c>
      <c r="P65" s="50">
        <v>0.001</v>
      </c>
      <c r="Q65" s="50">
        <v>-0.0008</v>
      </c>
      <c r="R65" s="50">
        <v>-0.0002</v>
      </c>
      <c r="S65" s="50">
        <v>-0.0004</v>
      </c>
      <c r="T65" s="50"/>
      <c r="U65" s="50"/>
      <c r="V65" s="50"/>
      <c r="W65" s="50"/>
      <c r="X65" s="50"/>
      <c r="Y65" s="54"/>
      <c r="Z65" s="54"/>
      <c r="AA65" s="54"/>
      <c r="AB65" s="54"/>
      <c r="AC65" s="54"/>
      <c r="AD65" s="54"/>
      <c r="AE65" s="53"/>
      <c r="AF65" s="54"/>
      <c r="AG65" s="54"/>
      <c r="AH65" s="54"/>
      <c r="AI65" s="54"/>
      <c r="AJ65" s="54"/>
      <c r="AK65" s="54"/>
      <c r="AL65" s="54"/>
      <c r="AM65" s="54"/>
      <c r="AN65" s="54"/>
    </row>
    <row r="66" ht="15" customHeight="1" spans="1:40">
      <c r="A66" s="46"/>
      <c r="B66" s="52">
        <v>6</v>
      </c>
      <c r="C66" s="48"/>
      <c r="D66" s="48"/>
      <c r="E66" s="48"/>
      <c r="F66" s="49"/>
      <c r="G66" s="49"/>
      <c r="H66" s="48" t="s">
        <v>29</v>
      </c>
      <c r="I66" s="50">
        <v>0.0025</v>
      </c>
      <c r="J66" s="50">
        <v>0.0041</v>
      </c>
      <c r="K66" s="50">
        <v>0.0025</v>
      </c>
      <c r="L66" s="50">
        <v>0.0006</v>
      </c>
      <c r="M66" s="50">
        <v>0.0036</v>
      </c>
      <c r="N66" s="50">
        <v>0.0039</v>
      </c>
      <c r="O66" s="50">
        <v>-0.0001</v>
      </c>
      <c r="P66" s="50">
        <v>0.0045</v>
      </c>
      <c r="Q66" s="50">
        <v>0.0028</v>
      </c>
      <c r="R66" s="50">
        <v>-0.0002</v>
      </c>
      <c r="S66" s="50">
        <v>0.0023</v>
      </c>
      <c r="T66" s="50"/>
      <c r="U66" s="50"/>
      <c r="V66" s="50"/>
      <c r="W66" s="50"/>
      <c r="X66" s="50"/>
      <c r="Y66" s="54"/>
      <c r="Z66" s="54"/>
      <c r="AA66" s="54"/>
      <c r="AB66" s="54"/>
      <c r="AC66" s="54"/>
      <c r="AD66" s="54"/>
      <c r="AE66" s="53"/>
      <c r="AF66" s="54"/>
      <c r="AG66" s="54"/>
      <c r="AH66" s="54"/>
      <c r="AI66" s="54"/>
      <c r="AJ66" s="54"/>
      <c r="AK66" s="54"/>
      <c r="AL66" s="54"/>
      <c r="AM66" s="54"/>
      <c r="AN66" s="54"/>
    </row>
    <row r="67" ht="15" customHeight="1" spans="1:40">
      <c r="A67" s="46"/>
      <c r="B67" s="52">
        <v>7</v>
      </c>
      <c r="C67" s="48"/>
      <c r="D67" s="48"/>
      <c r="E67" s="48"/>
      <c r="F67" s="49"/>
      <c r="G67" s="49"/>
      <c r="H67" s="48" t="s">
        <v>29</v>
      </c>
      <c r="I67" s="50">
        <v>-0.0019</v>
      </c>
      <c r="J67" s="50">
        <v>0.0038</v>
      </c>
      <c r="K67" s="50">
        <v>-0.0009</v>
      </c>
      <c r="L67" s="50">
        <v>-0.0011</v>
      </c>
      <c r="M67" s="50">
        <v>0.001</v>
      </c>
      <c r="N67" s="50">
        <v>0.0014</v>
      </c>
      <c r="O67" s="50">
        <v>-0.0018</v>
      </c>
      <c r="P67" s="50">
        <v>0.0004</v>
      </c>
      <c r="Q67" s="50">
        <v>-0.0018</v>
      </c>
      <c r="R67" s="50">
        <v>-0.0017</v>
      </c>
      <c r="S67" s="50">
        <v>-0.002</v>
      </c>
      <c r="T67" s="50"/>
      <c r="U67" s="50"/>
      <c r="V67" s="50"/>
      <c r="W67" s="50"/>
      <c r="X67" s="50"/>
      <c r="Y67" s="54"/>
      <c r="Z67" s="54"/>
      <c r="AA67" s="54"/>
      <c r="AB67" s="54"/>
      <c r="AC67" s="54"/>
      <c r="AD67" s="54"/>
      <c r="AE67" s="53"/>
      <c r="AF67" s="54"/>
      <c r="AG67" s="54"/>
      <c r="AH67" s="54"/>
      <c r="AI67" s="54"/>
      <c r="AJ67" s="54"/>
      <c r="AK67" s="54"/>
      <c r="AL67" s="54"/>
      <c r="AM67" s="54"/>
      <c r="AN67" s="54"/>
    </row>
    <row r="68" ht="15" customHeight="1" spans="1:40">
      <c r="A68" s="46"/>
      <c r="B68" s="52">
        <v>8</v>
      </c>
      <c r="C68" s="48"/>
      <c r="D68" s="48"/>
      <c r="E68" s="48"/>
      <c r="F68" s="49"/>
      <c r="G68" s="49"/>
      <c r="H68" s="48" t="s">
        <v>29</v>
      </c>
      <c r="I68" s="50">
        <v>-0.0046</v>
      </c>
      <c r="J68" s="50">
        <v>0.0011</v>
      </c>
      <c r="K68" s="50">
        <v>-0.0049</v>
      </c>
      <c r="L68" s="50">
        <v>-0.0039</v>
      </c>
      <c r="M68" s="50">
        <v>-0.0036</v>
      </c>
      <c r="N68" s="50">
        <v>-0.0027</v>
      </c>
      <c r="O68" s="50">
        <v>-0.0041</v>
      </c>
      <c r="P68" s="50">
        <v>-0.0052</v>
      </c>
      <c r="Q68" s="50">
        <v>-0.0041</v>
      </c>
      <c r="R68" s="50">
        <v>-0.0057</v>
      </c>
      <c r="S68" s="50">
        <v>-0.0046</v>
      </c>
      <c r="T68" s="50"/>
      <c r="U68" s="50"/>
      <c r="V68" s="50"/>
      <c r="W68" s="50"/>
      <c r="X68" s="50"/>
      <c r="Y68" s="54"/>
      <c r="Z68" s="54"/>
      <c r="AA68" s="54"/>
      <c r="AB68" s="54"/>
      <c r="AC68" s="54"/>
      <c r="AD68" s="54"/>
      <c r="AE68" s="53"/>
      <c r="AF68" s="54"/>
      <c r="AG68" s="54"/>
      <c r="AH68" s="54"/>
      <c r="AI68" s="54"/>
      <c r="AJ68" s="54"/>
      <c r="AK68" s="54"/>
      <c r="AL68" s="54"/>
      <c r="AM68" s="54"/>
      <c r="AN68" s="54"/>
    </row>
    <row r="69" ht="15" customHeight="1" spans="1:40">
      <c r="A69" s="46"/>
      <c r="B69" s="52">
        <v>9</v>
      </c>
      <c r="C69" s="48"/>
      <c r="D69" s="48"/>
      <c r="E69" s="48"/>
      <c r="F69" s="49"/>
      <c r="G69" s="49"/>
      <c r="H69" s="48" t="s">
        <v>29</v>
      </c>
      <c r="I69" s="50">
        <v>-0.0021</v>
      </c>
      <c r="J69" s="50">
        <v>0.0002</v>
      </c>
      <c r="K69" s="50">
        <v>0.0026</v>
      </c>
      <c r="L69" s="50">
        <v>0.0039</v>
      </c>
      <c r="M69" s="50">
        <v>0.0008</v>
      </c>
      <c r="N69" s="50">
        <v>0.0017</v>
      </c>
      <c r="O69" s="50">
        <v>-0.0006</v>
      </c>
      <c r="P69" s="50">
        <v>-0.0009</v>
      </c>
      <c r="Q69" s="50">
        <v>0.0041</v>
      </c>
      <c r="R69" s="50">
        <v>-0.0016</v>
      </c>
      <c r="S69" s="50">
        <v>-0.0021</v>
      </c>
      <c r="T69" s="50"/>
      <c r="U69" s="50"/>
      <c r="V69" s="50"/>
      <c r="W69" s="50"/>
      <c r="X69" s="50"/>
      <c r="Y69" s="54"/>
      <c r="Z69" s="54"/>
      <c r="AA69" s="54"/>
      <c r="AB69" s="54"/>
      <c r="AC69" s="54"/>
      <c r="AD69" s="54"/>
      <c r="AE69" s="53"/>
      <c r="AF69" s="54"/>
      <c r="AG69" s="54"/>
      <c r="AH69" s="54"/>
      <c r="AI69" s="54"/>
      <c r="AJ69" s="54"/>
      <c r="AK69" s="54"/>
      <c r="AL69" s="54"/>
      <c r="AM69" s="54"/>
      <c r="AN69" s="54"/>
    </row>
    <row r="70" ht="15" customHeight="1" spans="1:40">
      <c r="A70" s="46"/>
      <c r="B70" s="52">
        <v>10</v>
      </c>
      <c r="C70" s="48"/>
      <c r="D70" s="48"/>
      <c r="E70" s="48"/>
      <c r="F70" s="49"/>
      <c r="G70" s="49"/>
      <c r="H70" s="48" t="s">
        <v>29</v>
      </c>
      <c r="I70" s="50">
        <v>-0.0064</v>
      </c>
      <c r="J70" s="50">
        <v>-0.0067</v>
      </c>
      <c r="K70" s="50">
        <v>-0.0029</v>
      </c>
      <c r="L70" s="50">
        <v>0.002</v>
      </c>
      <c r="M70" s="50">
        <v>-0.0067</v>
      </c>
      <c r="N70" s="50">
        <v>-0.0061</v>
      </c>
      <c r="O70" s="50">
        <v>-0.0065</v>
      </c>
      <c r="P70" s="50">
        <v>-0.0061</v>
      </c>
      <c r="Q70" s="50">
        <v>-0.0006</v>
      </c>
      <c r="R70" s="50">
        <v>-0.0055</v>
      </c>
      <c r="S70" s="50">
        <v>-0.0064</v>
      </c>
      <c r="T70" s="50"/>
      <c r="U70" s="50"/>
      <c r="V70" s="50"/>
      <c r="W70" s="50"/>
      <c r="X70" s="50"/>
      <c r="Y70" s="54"/>
      <c r="Z70" s="54"/>
      <c r="AA70" s="54"/>
      <c r="AB70" s="54"/>
      <c r="AC70" s="54"/>
      <c r="AD70" s="54"/>
      <c r="AE70" s="53"/>
      <c r="AF70" s="54"/>
      <c r="AG70" s="54"/>
      <c r="AH70" s="54"/>
      <c r="AI70" s="54"/>
      <c r="AJ70" s="54"/>
      <c r="AK70" s="54"/>
      <c r="AL70" s="54"/>
      <c r="AM70" s="54"/>
      <c r="AN70" s="54"/>
    </row>
    <row r="71" ht="15" customHeight="1" spans="1:40">
      <c r="A71" s="46"/>
      <c r="B71" s="52">
        <v>11</v>
      </c>
      <c r="C71" s="48"/>
      <c r="D71" s="48"/>
      <c r="E71" s="48"/>
      <c r="F71" s="49"/>
      <c r="G71" s="49"/>
      <c r="H71" s="48" t="s">
        <v>29</v>
      </c>
      <c r="I71" s="50">
        <v>-0.0033</v>
      </c>
      <c r="J71" s="50">
        <v>-0.0045</v>
      </c>
      <c r="K71" s="50">
        <v>0.0021</v>
      </c>
      <c r="L71" s="50">
        <v>0.0012</v>
      </c>
      <c r="M71" s="50">
        <v>-0.004</v>
      </c>
      <c r="N71" s="50">
        <v>-0.0006</v>
      </c>
      <c r="O71" s="50">
        <v>-0.0015</v>
      </c>
      <c r="P71" s="50">
        <v>-0.0025</v>
      </c>
      <c r="Q71" s="50">
        <v>0.0039</v>
      </c>
      <c r="R71" s="50">
        <v>-0.0023</v>
      </c>
      <c r="S71" s="50">
        <v>-0.0033</v>
      </c>
      <c r="T71" s="50"/>
      <c r="U71" s="50"/>
      <c r="V71" s="50"/>
      <c r="W71" s="50"/>
      <c r="X71" s="50"/>
      <c r="Y71" s="54"/>
      <c r="Z71" s="54"/>
      <c r="AA71" s="54"/>
      <c r="AB71" s="54"/>
      <c r="AC71" s="54"/>
      <c r="AD71" s="54"/>
      <c r="AE71" s="53"/>
      <c r="AF71" s="54"/>
      <c r="AG71" s="54"/>
      <c r="AH71" s="54"/>
      <c r="AI71" s="54"/>
      <c r="AJ71" s="54"/>
      <c r="AK71" s="54"/>
      <c r="AL71" s="54"/>
      <c r="AM71" s="54"/>
      <c r="AN71" s="54"/>
    </row>
    <row r="72" ht="15" customHeight="1" spans="1:40">
      <c r="A72" s="46"/>
      <c r="B72" s="52">
        <v>12</v>
      </c>
      <c r="C72" s="48"/>
      <c r="D72" s="48"/>
      <c r="E72" s="48"/>
      <c r="F72" s="49"/>
      <c r="G72" s="49"/>
      <c r="H72" s="48" t="s">
        <v>29</v>
      </c>
      <c r="I72" s="50">
        <v>0.0111</v>
      </c>
      <c r="J72" s="50">
        <v>0.0116</v>
      </c>
      <c r="K72" s="50">
        <v>0.0092</v>
      </c>
      <c r="L72" s="50">
        <v>0.0087</v>
      </c>
      <c r="M72" s="50">
        <v>0.0119</v>
      </c>
      <c r="N72" s="50">
        <v>0.014</v>
      </c>
      <c r="O72" s="50">
        <v>0.0138</v>
      </c>
      <c r="P72" s="50">
        <v>0.0135</v>
      </c>
      <c r="Q72" s="50">
        <v>0.0078</v>
      </c>
      <c r="R72" s="50">
        <v>0.0109</v>
      </c>
      <c r="S72" s="50">
        <v>0.0111</v>
      </c>
      <c r="T72" s="50"/>
      <c r="U72" s="50"/>
      <c r="V72" s="50"/>
      <c r="W72" s="50"/>
      <c r="X72" s="50"/>
      <c r="Y72" s="54"/>
      <c r="Z72" s="54"/>
      <c r="AA72" s="54"/>
      <c r="AB72" s="54"/>
      <c r="AC72" s="54"/>
      <c r="AD72" s="54"/>
      <c r="AE72" s="53"/>
      <c r="AF72" s="54"/>
      <c r="AG72" s="54"/>
      <c r="AH72" s="54"/>
      <c r="AI72" s="54"/>
      <c r="AJ72" s="54"/>
      <c r="AK72" s="54"/>
      <c r="AL72" s="54"/>
      <c r="AM72" s="54"/>
      <c r="AN72" s="54"/>
    </row>
    <row r="73" ht="15" customHeight="1" spans="1:40">
      <c r="A73" s="46"/>
      <c r="B73" s="57" t="s">
        <v>61</v>
      </c>
      <c r="C73" s="48">
        <v>0</v>
      </c>
      <c r="D73" s="48">
        <v>0.01</v>
      </c>
      <c r="E73" s="48">
        <v>0</v>
      </c>
      <c r="F73" s="49">
        <f>C73+D73</f>
        <v>0.01</v>
      </c>
      <c r="G73" s="49">
        <f>C73+E73</f>
        <v>0</v>
      </c>
      <c r="H73" s="48" t="s">
        <v>29</v>
      </c>
      <c r="I73" s="50">
        <v>-0.0056</v>
      </c>
      <c r="J73" s="50">
        <v>-0.0058</v>
      </c>
      <c r="K73" s="50">
        <v>-0.0046</v>
      </c>
      <c r="L73" s="50">
        <v>-0.0043</v>
      </c>
      <c r="M73" s="50">
        <v>-0.006</v>
      </c>
      <c r="N73" s="50">
        <v>-0.007</v>
      </c>
      <c r="O73" s="50">
        <v>-0.0069</v>
      </c>
      <c r="P73" s="50">
        <v>-0.0068</v>
      </c>
      <c r="Q73" s="50">
        <v>-0.0039</v>
      </c>
      <c r="R73" s="50">
        <v>-0.0055</v>
      </c>
      <c r="S73" s="50">
        <v>-0.0055</v>
      </c>
      <c r="T73" s="50"/>
      <c r="U73" s="50"/>
      <c r="V73" s="50"/>
      <c r="W73" s="50"/>
      <c r="X73" s="50"/>
      <c r="Y73" s="53">
        <f t="shared" ref="Y73:AN73" si="10">IF(I73="","",IF(I73&gt;($C73+$D73),(I73-$C73-$D73),IF(I73&lt;($C73+$E73),(I73-$C73-$E73),"√")))</f>
        <v>-0.0056</v>
      </c>
      <c r="Z73" s="53">
        <f t="shared" si="10"/>
        <v>-0.0058</v>
      </c>
      <c r="AA73" s="53">
        <f t="shared" si="10"/>
        <v>-0.0046</v>
      </c>
      <c r="AB73" s="53">
        <f t="shared" si="10"/>
        <v>-0.0043</v>
      </c>
      <c r="AC73" s="53">
        <f t="shared" si="10"/>
        <v>-0.006</v>
      </c>
      <c r="AD73" s="53">
        <f t="shared" si="10"/>
        <v>-0.007</v>
      </c>
      <c r="AE73" s="53">
        <f t="shared" si="10"/>
        <v>-0.0069</v>
      </c>
      <c r="AF73" s="53">
        <f t="shared" si="10"/>
        <v>-0.0068</v>
      </c>
      <c r="AG73" s="53">
        <f t="shared" si="10"/>
        <v>-0.0039</v>
      </c>
      <c r="AH73" s="53">
        <f t="shared" si="10"/>
        <v>-0.0055</v>
      </c>
      <c r="AI73" s="53">
        <f t="shared" si="10"/>
        <v>-0.0055</v>
      </c>
      <c r="AJ73" s="53" t="str">
        <f t="shared" si="10"/>
        <v/>
      </c>
      <c r="AK73" s="53" t="str">
        <f t="shared" si="10"/>
        <v/>
      </c>
      <c r="AL73" s="53" t="str">
        <f t="shared" si="10"/>
        <v/>
      </c>
      <c r="AM73" s="53" t="str">
        <f t="shared" si="10"/>
        <v/>
      </c>
      <c r="AN73" s="53" t="str">
        <f t="shared" si="10"/>
        <v/>
      </c>
    </row>
    <row r="74" ht="15" customHeight="1" spans="1:40">
      <c r="A74" s="46"/>
      <c r="B74" s="52">
        <v>1</v>
      </c>
      <c r="C74" s="48"/>
      <c r="D74" s="48"/>
      <c r="E74" s="48"/>
      <c r="F74" s="49"/>
      <c r="G74" s="49"/>
      <c r="H74" s="48" t="s">
        <v>29</v>
      </c>
      <c r="I74" s="50">
        <v>0.0008</v>
      </c>
      <c r="J74" s="50">
        <v>0.0009</v>
      </c>
      <c r="K74" s="50">
        <v>0.0024</v>
      </c>
      <c r="L74" s="50">
        <v>0.0025</v>
      </c>
      <c r="M74" s="50">
        <v>0.0012</v>
      </c>
      <c r="N74" s="50">
        <v>-0.0065</v>
      </c>
      <c r="O74" s="50">
        <v>0.0027</v>
      </c>
      <c r="P74" s="50">
        <v>0.0017</v>
      </c>
      <c r="Q74" s="50">
        <v>0.0034</v>
      </c>
      <c r="R74" s="50">
        <v>0.0021</v>
      </c>
      <c r="S74" s="50">
        <v>0.0008</v>
      </c>
      <c r="T74" s="50"/>
      <c r="U74" s="50"/>
      <c r="V74" s="50"/>
      <c r="W74" s="50"/>
      <c r="X74" s="50"/>
      <c r="Y74" s="54"/>
      <c r="Z74" s="54"/>
      <c r="AA74" s="54"/>
      <c r="AB74" s="54"/>
      <c r="AC74" s="54"/>
      <c r="AD74" s="54"/>
      <c r="AE74" s="53"/>
      <c r="AF74" s="54"/>
      <c r="AG74" s="54"/>
      <c r="AH74" s="54"/>
      <c r="AI74" s="54"/>
      <c r="AJ74" s="54"/>
      <c r="AK74" s="54"/>
      <c r="AL74" s="54"/>
      <c r="AM74" s="54"/>
      <c r="AN74" s="54"/>
    </row>
    <row r="75" ht="15" customHeight="1" spans="1:40">
      <c r="A75" s="46"/>
      <c r="B75" s="52">
        <v>2</v>
      </c>
      <c r="C75" s="48"/>
      <c r="D75" s="48"/>
      <c r="E75" s="48"/>
      <c r="F75" s="49"/>
      <c r="G75" s="49"/>
      <c r="H75" s="48" t="s">
        <v>29</v>
      </c>
      <c r="I75" s="50">
        <v>0.0056</v>
      </c>
      <c r="J75" s="50">
        <v>0.0058</v>
      </c>
      <c r="K75" s="50">
        <v>0.0046</v>
      </c>
      <c r="L75" s="50">
        <v>0.0043</v>
      </c>
      <c r="M75" s="50">
        <v>0.006</v>
      </c>
      <c r="N75" s="50">
        <v>0.0029</v>
      </c>
      <c r="O75" s="50">
        <v>0.0069</v>
      </c>
      <c r="P75" s="50">
        <v>0.0068</v>
      </c>
      <c r="Q75" s="50">
        <v>0.0039</v>
      </c>
      <c r="R75" s="50">
        <v>0.0055</v>
      </c>
      <c r="S75" s="50">
        <v>0.0055</v>
      </c>
      <c r="T75" s="50"/>
      <c r="U75" s="50"/>
      <c r="V75" s="50"/>
      <c r="W75" s="50"/>
      <c r="X75" s="50"/>
      <c r="Y75" s="54"/>
      <c r="Z75" s="54"/>
      <c r="AA75" s="54"/>
      <c r="AB75" s="54"/>
      <c r="AC75" s="54"/>
      <c r="AD75" s="54"/>
      <c r="AE75" s="53"/>
      <c r="AF75" s="54"/>
      <c r="AG75" s="54"/>
      <c r="AH75" s="54"/>
      <c r="AI75" s="54"/>
      <c r="AJ75" s="54"/>
      <c r="AK75" s="54"/>
      <c r="AL75" s="54"/>
      <c r="AM75" s="54"/>
      <c r="AN75" s="54"/>
    </row>
    <row r="76" ht="15" customHeight="1" spans="1:40">
      <c r="A76" s="46"/>
      <c r="B76" s="52">
        <v>3</v>
      </c>
      <c r="C76" s="48"/>
      <c r="D76" s="48"/>
      <c r="E76" s="48"/>
      <c r="F76" s="49"/>
      <c r="G76" s="49"/>
      <c r="H76" s="48" t="s">
        <v>29</v>
      </c>
      <c r="I76" s="50">
        <v>0.0056</v>
      </c>
      <c r="J76" s="50">
        <v>0.0058</v>
      </c>
      <c r="K76" s="50">
        <v>0.0046</v>
      </c>
      <c r="L76" s="50">
        <v>0.0033</v>
      </c>
      <c r="M76" s="50">
        <v>0.006</v>
      </c>
      <c r="N76" s="50">
        <v>0.0044</v>
      </c>
      <c r="O76" s="50">
        <v>0.0069</v>
      </c>
      <c r="P76" s="50">
        <v>0.0068</v>
      </c>
      <c r="Q76" s="50">
        <v>0.0039</v>
      </c>
      <c r="R76" s="50">
        <v>0.0055</v>
      </c>
      <c r="S76" s="50">
        <v>0.0055</v>
      </c>
      <c r="T76" s="50"/>
      <c r="U76" s="50"/>
      <c r="V76" s="50"/>
      <c r="W76" s="50"/>
      <c r="X76" s="50"/>
      <c r="Y76" s="54"/>
      <c r="Z76" s="54"/>
      <c r="AA76" s="54"/>
      <c r="AB76" s="54"/>
      <c r="AC76" s="54"/>
      <c r="AD76" s="54"/>
      <c r="AE76" s="53"/>
      <c r="AF76" s="54"/>
      <c r="AG76" s="54"/>
      <c r="AH76" s="54"/>
      <c r="AI76" s="54"/>
      <c r="AJ76" s="54"/>
      <c r="AK76" s="54"/>
      <c r="AL76" s="54"/>
      <c r="AM76" s="54"/>
      <c r="AN76" s="54"/>
    </row>
    <row r="77" ht="15" customHeight="1" spans="1:40">
      <c r="A77" s="46"/>
      <c r="B77" s="52">
        <v>4</v>
      </c>
      <c r="C77" s="48"/>
      <c r="D77" s="48"/>
      <c r="E77" s="48"/>
      <c r="F77" s="49"/>
      <c r="G77" s="49"/>
      <c r="H77" s="48" t="s">
        <v>29</v>
      </c>
      <c r="I77" s="50">
        <v>0.0035</v>
      </c>
      <c r="J77" s="50">
        <v>0.0047</v>
      </c>
      <c r="K77" s="50">
        <v>0.0031</v>
      </c>
      <c r="L77" s="50">
        <v>0.0043</v>
      </c>
      <c r="M77" s="50">
        <v>0.0042</v>
      </c>
      <c r="N77" s="50">
        <v>0.007</v>
      </c>
      <c r="O77" s="50">
        <v>0.0042</v>
      </c>
      <c r="P77" s="50">
        <v>0.0055</v>
      </c>
      <c r="Q77" s="50">
        <v>0.001</v>
      </c>
      <c r="R77" s="50">
        <v>0.0014</v>
      </c>
      <c r="S77" s="50">
        <v>0.0035</v>
      </c>
      <c r="T77" s="50"/>
      <c r="U77" s="50"/>
      <c r="V77" s="50"/>
      <c r="W77" s="50"/>
      <c r="X77" s="50"/>
      <c r="Y77" s="54"/>
      <c r="Z77" s="54"/>
      <c r="AA77" s="54"/>
      <c r="AB77" s="54"/>
      <c r="AC77" s="54"/>
      <c r="AD77" s="54"/>
      <c r="AE77" s="53"/>
      <c r="AF77" s="54"/>
      <c r="AG77" s="54"/>
      <c r="AH77" s="54"/>
      <c r="AI77" s="54"/>
      <c r="AJ77" s="54"/>
      <c r="AK77" s="54"/>
      <c r="AL77" s="54"/>
      <c r="AM77" s="54"/>
      <c r="AN77" s="54"/>
    </row>
    <row r="78" ht="15" customHeight="1" spans="1:40">
      <c r="A78" s="46"/>
      <c r="B78" s="52">
        <v>5</v>
      </c>
      <c r="C78" s="48"/>
      <c r="D78" s="48"/>
      <c r="E78" s="48"/>
      <c r="F78" s="49"/>
      <c r="G78" s="49"/>
      <c r="H78" s="48" t="s">
        <v>29</v>
      </c>
      <c r="I78" s="50">
        <v>-0.0017</v>
      </c>
      <c r="J78" s="50">
        <v>0.0015</v>
      </c>
      <c r="K78" s="50">
        <v>0</v>
      </c>
      <c r="L78" s="50">
        <v>-0.0006</v>
      </c>
      <c r="M78" s="50">
        <v>-0.0008</v>
      </c>
      <c r="N78" s="50">
        <v>0.007</v>
      </c>
      <c r="O78" s="50">
        <v>-0.0008</v>
      </c>
      <c r="P78" s="50">
        <v>0.0021</v>
      </c>
      <c r="Q78" s="50">
        <v>-0.003</v>
      </c>
      <c r="R78" s="50">
        <v>-0.0032</v>
      </c>
      <c r="S78" s="50">
        <v>-0.0015</v>
      </c>
      <c r="T78" s="50"/>
      <c r="U78" s="50"/>
      <c r="V78" s="50"/>
      <c r="W78" s="50"/>
      <c r="X78" s="50"/>
      <c r="Y78" s="54"/>
      <c r="Z78" s="54"/>
      <c r="AA78" s="54"/>
      <c r="AB78" s="54"/>
      <c r="AC78" s="54"/>
      <c r="AD78" s="54"/>
      <c r="AE78" s="53"/>
      <c r="AF78" s="54"/>
      <c r="AG78" s="54"/>
      <c r="AH78" s="54"/>
      <c r="AI78" s="54"/>
      <c r="AJ78" s="54"/>
      <c r="AK78" s="54"/>
      <c r="AL78" s="54"/>
      <c r="AM78" s="54"/>
      <c r="AN78" s="54"/>
    </row>
    <row r="79" ht="15" customHeight="1" spans="1:40">
      <c r="A79" s="46"/>
      <c r="B79" s="52">
        <v>6</v>
      </c>
      <c r="C79" s="48"/>
      <c r="D79" s="48"/>
      <c r="E79" s="48"/>
      <c r="F79" s="49"/>
      <c r="G79" s="49"/>
      <c r="H79" s="48" t="s">
        <v>29</v>
      </c>
      <c r="I79" s="50">
        <v>0.0027</v>
      </c>
      <c r="J79" s="50">
        <v>0.0044</v>
      </c>
      <c r="K79" s="50">
        <v>0.0009</v>
      </c>
      <c r="L79" s="50">
        <v>0.0032</v>
      </c>
      <c r="M79" s="50">
        <v>0.0039</v>
      </c>
      <c r="N79" s="50">
        <v>0.005</v>
      </c>
      <c r="O79" s="50">
        <v>0.0025</v>
      </c>
      <c r="P79" s="50">
        <v>0.0038</v>
      </c>
      <c r="Q79" s="50">
        <v>-0.0008</v>
      </c>
      <c r="R79" s="50">
        <v>0.0019</v>
      </c>
      <c r="S79" s="50">
        <v>0.0024</v>
      </c>
      <c r="T79" s="50"/>
      <c r="U79" s="50"/>
      <c r="V79" s="50"/>
      <c r="W79" s="50"/>
      <c r="X79" s="50"/>
      <c r="Y79" s="54"/>
      <c r="Z79" s="54"/>
      <c r="AA79" s="54"/>
      <c r="AB79" s="54"/>
      <c r="AC79" s="54"/>
      <c r="AD79" s="54"/>
      <c r="AE79" s="53"/>
      <c r="AF79" s="54"/>
      <c r="AG79" s="54"/>
      <c r="AH79" s="54"/>
      <c r="AI79" s="54"/>
      <c r="AJ79" s="54"/>
      <c r="AK79" s="54"/>
      <c r="AL79" s="54"/>
      <c r="AM79" s="54"/>
      <c r="AN79" s="54"/>
    </row>
    <row r="80" ht="15" customHeight="1" spans="1:40">
      <c r="A80" s="46"/>
      <c r="B80" s="52">
        <v>7</v>
      </c>
      <c r="C80" s="48"/>
      <c r="D80" s="48"/>
      <c r="E80" s="48"/>
      <c r="F80" s="49"/>
      <c r="G80" s="49"/>
      <c r="H80" s="48" t="s">
        <v>29</v>
      </c>
      <c r="I80" s="50">
        <v>-0.0013</v>
      </c>
      <c r="J80" s="50">
        <v>0.0018</v>
      </c>
      <c r="K80" s="50">
        <v>0.0002</v>
      </c>
      <c r="L80" s="50">
        <v>0.0009</v>
      </c>
      <c r="M80" s="50">
        <v>-0.0012</v>
      </c>
      <c r="N80" s="50">
        <v>0.0049</v>
      </c>
      <c r="O80" s="50">
        <v>-0.0005</v>
      </c>
      <c r="P80" s="50">
        <v>0.0004</v>
      </c>
      <c r="Q80" s="50">
        <v>-0.002</v>
      </c>
      <c r="R80" s="50">
        <v>-0.0017</v>
      </c>
      <c r="S80" s="50">
        <v>-0.0013</v>
      </c>
      <c r="T80" s="50"/>
      <c r="U80" s="50"/>
      <c r="V80" s="50"/>
      <c r="W80" s="50"/>
      <c r="X80" s="50"/>
      <c r="Y80" s="54"/>
      <c r="Z80" s="54"/>
      <c r="AA80" s="54"/>
      <c r="AB80" s="54"/>
      <c r="AC80" s="54"/>
      <c r="AD80" s="54"/>
      <c r="AE80" s="53"/>
      <c r="AF80" s="54"/>
      <c r="AG80" s="54"/>
      <c r="AH80" s="54"/>
      <c r="AI80" s="54"/>
      <c r="AJ80" s="54"/>
      <c r="AK80" s="54"/>
      <c r="AL80" s="54"/>
      <c r="AM80" s="54"/>
      <c r="AN80" s="54"/>
    </row>
    <row r="81" ht="15" customHeight="1" spans="1:40">
      <c r="A81" s="46"/>
      <c r="B81" s="52">
        <v>8</v>
      </c>
      <c r="C81" s="48"/>
      <c r="D81" s="48"/>
      <c r="E81" s="48"/>
      <c r="F81" s="49"/>
      <c r="G81" s="49"/>
      <c r="H81" s="48" t="s">
        <v>29</v>
      </c>
      <c r="I81" s="50">
        <v>-0.0056</v>
      </c>
      <c r="J81" s="50">
        <v>-0.0018</v>
      </c>
      <c r="K81" s="50">
        <v>-0.0039</v>
      </c>
      <c r="L81" s="50">
        <v>-0.0033</v>
      </c>
      <c r="M81" s="50">
        <v>-0.006</v>
      </c>
      <c r="N81" s="50">
        <v>0.0031</v>
      </c>
      <c r="O81" s="50">
        <v>-0.006</v>
      </c>
      <c r="P81" s="50">
        <v>-0.0031</v>
      </c>
      <c r="Q81" s="50">
        <v>-0.0039</v>
      </c>
      <c r="R81" s="50">
        <v>-0.0051</v>
      </c>
      <c r="S81" s="50">
        <v>-0.0055</v>
      </c>
      <c r="T81" s="50"/>
      <c r="U81" s="50"/>
      <c r="V81" s="50"/>
      <c r="W81" s="50"/>
      <c r="X81" s="50"/>
      <c r="Y81" s="54"/>
      <c r="Z81" s="54"/>
      <c r="AA81" s="54"/>
      <c r="AB81" s="54"/>
      <c r="AC81" s="54"/>
      <c r="AD81" s="54"/>
      <c r="AE81" s="53"/>
      <c r="AF81" s="54"/>
      <c r="AG81" s="54"/>
      <c r="AH81" s="54"/>
      <c r="AI81" s="54"/>
      <c r="AJ81" s="54"/>
      <c r="AK81" s="54"/>
      <c r="AL81" s="54"/>
      <c r="AM81" s="54"/>
      <c r="AN81" s="54"/>
    </row>
    <row r="82" ht="15" customHeight="1" spans="1:40">
      <c r="A82" s="46"/>
      <c r="B82" s="52">
        <v>9</v>
      </c>
      <c r="C82" s="48"/>
      <c r="D82" s="48"/>
      <c r="E82" s="48"/>
      <c r="F82" s="49"/>
      <c r="G82" s="49"/>
      <c r="H82" s="48" t="s">
        <v>29</v>
      </c>
      <c r="I82" s="50">
        <v>0.0018</v>
      </c>
      <c r="J82" s="50">
        <v>0.0013</v>
      </c>
      <c r="K82" s="50">
        <v>-0.0009</v>
      </c>
      <c r="L82" s="50">
        <v>0.0026</v>
      </c>
      <c r="M82" s="50">
        <v>0.0006</v>
      </c>
      <c r="N82" s="50">
        <v>-0.0016</v>
      </c>
      <c r="O82" s="50">
        <v>-0.0005</v>
      </c>
      <c r="P82" s="50">
        <v>-0.0018</v>
      </c>
      <c r="Q82" s="50">
        <v>0</v>
      </c>
      <c r="R82" s="50">
        <v>-0.002</v>
      </c>
      <c r="S82" s="50">
        <v>0.0017</v>
      </c>
      <c r="T82" s="50"/>
      <c r="U82" s="50"/>
      <c r="V82" s="50"/>
      <c r="W82" s="50"/>
      <c r="X82" s="50"/>
      <c r="Y82" s="54"/>
      <c r="Z82" s="54"/>
      <c r="AA82" s="54"/>
      <c r="AB82" s="54"/>
      <c r="AC82" s="54"/>
      <c r="AD82" s="54"/>
      <c r="AE82" s="53"/>
      <c r="AF82" s="54"/>
      <c r="AG82" s="54"/>
      <c r="AH82" s="54"/>
      <c r="AI82" s="54"/>
      <c r="AJ82" s="54"/>
      <c r="AK82" s="54"/>
      <c r="AL82" s="54"/>
      <c r="AM82" s="54"/>
      <c r="AN82" s="54"/>
    </row>
    <row r="83" ht="15" customHeight="1" spans="1:40">
      <c r="A83" s="46"/>
      <c r="B83" s="52">
        <v>10</v>
      </c>
      <c r="C83" s="48"/>
      <c r="D83" s="48"/>
      <c r="E83" s="48"/>
      <c r="F83" s="49"/>
      <c r="G83" s="49"/>
      <c r="H83" s="48" t="s">
        <v>29</v>
      </c>
      <c r="I83" s="50">
        <v>-0.001</v>
      </c>
      <c r="J83" s="50">
        <v>-0.0049</v>
      </c>
      <c r="K83" s="50">
        <v>-0.0007</v>
      </c>
      <c r="L83" s="50">
        <v>-0.0005</v>
      </c>
      <c r="M83" s="50">
        <v>-0.004</v>
      </c>
      <c r="N83" s="50">
        <v>-0.0062</v>
      </c>
      <c r="O83" s="50">
        <v>-0.0052</v>
      </c>
      <c r="P83" s="50">
        <v>-0.0064</v>
      </c>
      <c r="Q83" s="50">
        <v>-0.0018</v>
      </c>
      <c r="R83" s="50">
        <v>-0.0019</v>
      </c>
      <c r="S83" s="50">
        <v>-0.0012</v>
      </c>
      <c r="T83" s="50"/>
      <c r="U83" s="50"/>
      <c r="V83" s="50"/>
      <c r="W83" s="50"/>
      <c r="X83" s="50"/>
      <c r="Y83" s="54"/>
      <c r="Z83" s="54"/>
      <c r="AA83" s="54"/>
      <c r="AB83" s="54"/>
      <c r="AC83" s="54"/>
      <c r="AD83" s="54"/>
      <c r="AE83" s="53"/>
      <c r="AF83" s="54"/>
      <c r="AG83" s="54"/>
      <c r="AH83" s="54"/>
      <c r="AI83" s="54"/>
      <c r="AJ83" s="54"/>
      <c r="AK83" s="54"/>
      <c r="AL83" s="54"/>
      <c r="AM83" s="54"/>
      <c r="AN83" s="54"/>
    </row>
    <row r="84" ht="15" customHeight="1" spans="1:40">
      <c r="A84" s="46"/>
      <c r="B84" s="52">
        <v>11</v>
      </c>
      <c r="C84" s="48"/>
      <c r="D84" s="48"/>
      <c r="E84" s="48"/>
      <c r="F84" s="49"/>
      <c r="G84" s="49"/>
      <c r="H84" s="48" t="s">
        <v>29</v>
      </c>
      <c r="I84" s="50">
        <v>-0.0042</v>
      </c>
      <c r="J84" s="50">
        <v>-0.0058</v>
      </c>
      <c r="K84" s="50">
        <v>-0.0046</v>
      </c>
      <c r="L84" s="50">
        <v>-0.0043</v>
      </c>
      <c r="M84" s="50">
        <v>-0.0057</v>
      </c>
      <c r="N84" s="50">
        <v>-0.007</v>
      </c>
      <c r="O84" s="50">
        <v>-0.0069</v>
      </c>
      <c r="P84" s="50">
        <v>-0.0068</v>
      </c>
      <c r="Q84" s="50">
        <v>-0.0018</v>
      </c>
      <c r="R84" s="50">
        <v>-0.0055</v>
      </c>
      <c r="S84" s="50">
        <v>-0.0044</v>
      </c>
      <c r="T84" s="50"/>
      <c r="U84" s="50"/>
      <c r="V84" s="50"/>
      <c r="W84" s="50"/>
      <c r="X84" s="50"/>
      <c r="Y84" s="54"/>
      <c r="Z84" s="54"/>
      <c r="AA84" s="54"/>
      <c r="AB84" s="54"/>
      <c r="AC84" s="54"/>
      <c r="AD84" s="54"/>
      <c r="AE84" s="53"/>
      <c r="AF84" s="54"/>
      <c r="AG84" s="54"/>
      <c r="AH84" s="54"/>
      <c r="AI84" s="54"/>
      <c r="AJ84" s="54"/>
      <c r="AK84" s="54"/>
      <c r="AL84" s="54"/>
      <c r="AM84" s="54"/>
      <c r="AN84" s="54"/>
    </row>
    <row r="85" ht="15" customHeight="1" spans="1:40">
      <c r="A85" s="46"/>
      <c r="B85" s="52">
        <v>12</v>
      </c>
      <c r="C85" s="48"/>
      <c r="D85" s="48"/>
      <c r="E85" s="48"/>
      <c r="F85" s="49"/>
      <c r="G85" s="49"/>
      <c r="H85" s="48" t="s">
        <v>29</v>
      </c>
      <c r="I85" s="50">
        <v>0.0207</v>
      </c>
      <c r="J85" s="50">
        <v>0.0254</v>
      </c>
      <c r="K85" s="50">
        <v>0.017</v>
      </c>
      <c r="L85" s="50">
        <v>0.0183</v>
      </c>
      <c r="M85" s="50">
        <v>0.018</v>
      </c>
      <c r="N85" s="50">
        <v>0.0305</v>
      </c>
      <c r="O85" s="50">
        <v>0.0166</v>
      </c>
      <c r="P85" s="50">
        <v>0.0214</v>
      </c>
      <c r="Q85" s="50">
        <v>0.0178</v>
      </c>
      <c r="R85" s="50">
        <v>0.017</v>
      </c>
      <c r="S85" s="50">
        <v>0.0207</v>
      </c>
      <c r="T85" s="50"/>
      <c r="U85" s="50"/>
      <c r="V85" s="50"/>
      <c r="W85" s="50"/>
      <c r="X85" s="50"/>
      <c r="Y85" s="54"/>
      <c r="Z85" s="54"/>
      <c r="AA85" s="54"/>
      <c r="AB85" s="54"/>
      <c r="AC85" s="54"/>
      <c r="AD85" s="54"/>
      <c r="AE85" s="53"/>
      <c r="AF85" s="54"/>
      <c r="AG85" s="54"/>
      <c r="AH85" s="54"/>
      <c r="AI85" s="54"/>
      <c r="AJ85" s="54"/>
      <c r="AK85" s="54"/>
      <c r="AL85" s="54"/>
      <c r="AM85" s="54"/>
      <c r="AN85" s="54"/>
    </row>
    <row r="86" ht="15" customHeight="1" spans="1:40">
      <c r="A86" s="46"/>
      <c r="B86" s="57" t="s">
        <v>62</v>
      </c>
      <c r="C86" s="48">
        <v>0</v>
      </c>
      <c r="D86" s="48">
        <v>0.01</v>
      </c>
      <c r="E86" s="48">
        <v>0</v>
      </c>
      <c r="F86" s="49">
        <f>C86+D86</f>
        <v>0.01</v>
      </c>
      <c r="G86" s="49">
        <f>C86+E86</f>
        <v>0</v>
      </c>
      <c r="H86" s="48" t="s">
        <v>29</v>
      </c>
      <c r="I86" s="50">
        <v>0.0046</v>
      </c>
      <c r="J86" s="50">
        <v>0.0067</v>
      </c>
      <c r="K86" s="50">
        <v>0.0041</v>
      </c>
      <c r="L86" s="50">
        <v>0.0061</v>
      </c>
      <c r="M86" s="50">
        <v>0.0043</v>
      </c>
      <c r="N86" s="50">
        <v>0.012</v>
      </c>
      <c r="O86" s="50">
        <v>0.0046</v>
      </c>
      <c r="P86" s="50">
        <v>0.0073</v>
      </c>
      <c r="Q86" s="50">
        <v>0.0089</v>
      </c>
      <c r="R86" s="50">
        <v>0.0052</v>
      </c>
      <c r="S86" s="50">
        <v>0.0046</v>
      </c>
      <c r="T86" s="50"/>
      <c r="U86" s="50"/>
      <c r="V86" s="50"/>
      <c r="W86" s="50"/>
      <c r="X86" s="50"/>
      <c r="Y86" s="53" t="str">
        <f t="shared" ref="Y86:AN86" si="11">IF(I86="","",IF(I86&gt;($C86+$D86),(I86-$C86-$D86),IF(I86&lt;($C86+$E86),(I86-$C86-$E86),"√")))</f>
        <v>√</v>
      </c>
      <c r="Z86" s="53" t="str">
        <f t="shared" si="11"/>
        <v>√</v>
      </c>
      <c r="AA86" s="53" t="str">
        <f t="shared" si="11"/>
        <v>√</v>
      </c>
      <c r="AB86" s="53" t="str">
        <f t="shared" si="11"/>
        <v>√</v>
      </c>
      <c r="AC86" s="53" t="str">
        <f t="shared" si="11"/>
        <v>√</v>
      </c>
      <c r="AD86" s="53">
        <f t="shared" si="11"/>
        <v>0.002</v>
      </c>
      <c r="AE86" s="53" t="str">
        <f t="shared" si="11"/>
        <v>√</v>
      </c>
      <c r="AF86" s="53" t="str">
        <f t="shared" si="11"/>
        <v>√</v>
      </c>
      <c r="AG86" s="53" t="str">
        <f t="shared" si="11"/>
        <v>√</v>
      </c>
      <c r="AH86" s="53" t="str">
        <f t="shared" si="11"/>
        <v>√</v>
      </c>
      <c r="AI86" s="53" t="str">
        <f t="shared" si="11"/>
        <v>√</v>
      </c>
      <c r="AJ86" s="53" t="str">
        <f t="shared" si="11"/>
        <v/>
      </c>
      <c r="AK86" s="53" t="str">
        <f t="shared" si="11"/>
        <v/>
      </c>
      <c r="AL86" s="53" t="str">
        <f t="shared" si="11"/>
        <v/>
      </c>
      <c r="AM86" s="53" t="str">
        <f t="shared" si="11"/>
        <v/>
      </c>
      <c r="AN86" s="53" t="str">
        <f t="shared" si="11"/>
        <v/>
      </c>
    </row>
    <row r="87" ht="15" customHeight="1" spans="1:40">
      <c r="A87" s="46"/>
      <c r="B87" s="52">
        <v>1</v>
      </c>
      <c r="C87" s="48"/>
      <c r="D87" s="48"/>
      <c r="E87" s="48"/>
      <c r="F87" s="49"/>
      <c r="G87" s="49"/>
      <c r="H87" s="48" t="s">
        <v>29</v>
      </c>
      <c r="I87" s="50">
        <v>-0.0103</v>
      </c>
      <c r="J87" s="50">
        <v>-0.0127</v>
      </c>
      <c r="K87" s="50">
        <v>-0.0085</v>
      </c>
      <c r="L87" s="50">
        <v>-0.0091</v>
      </c>
      <c r="M87" s="50">
        <v>-0.009</v>
      </c>
      <c r="N87" s="50">
        <v>-0.0061</v>
      </c>
      <c r="O87" s="50">
        <v>-0.0069</v>
      </c>
      <c r="P87" s="50">
        <v>-0.0107</v>
      </c>
      <c r="Q87" s="50">
        <v>-0.0089</v>
      </c>
      <c r="R87" s="50">
        <v>-0.0085</v>
      </c>
      <c r="S87" s="50">
        <v>-0.0104</v>
      </c>
      <c r="T87" s="50"/>
      <c r="U87" s="50"/>
      <c r="V87" s="50"/>
      <c r="W87" s="50"/>
      <c r="X87" s="50"/>
      <c r="Y87" s="54"/>
      <c r="Z87" s="54"/>
      <c r="AA87" s="54"/>
      <c r="AB87" s="54"/>
      <c r="AC87" s="54"/>
      <c r="AD87" s="54"/>
      <c r="AE87" s="53"/>
      <c r="AF87" s="54"/>
      <c r="AG87" s="54"/>
      <c r="AH87" s="54"/>
      <c r="AI87" s="54"/>
      <c r="AJ87" s="54"/>
      <c r="AK87" s="54"/>
      <c r="AL87" s="54"/>
      <c r="AM87" s="54"/>
      <c r="AN87" s="54"/>
    </row>
    <row r="88" ht="15" customHeight="1" spans="1:40">
      <c r="A88" s="46"/>
      <c r="B88" s="52">
        <v>2</v>
      </c>
      <c r="C88" s="48"/>
      <c r="D88" s="48"/>
      <c r="E88" s="48"/>
      <c r="F88" s="49"/>
      <c r="G88" s="49"/>
      <c r="H88" s="48" t="s">
        <v>29</v>
      </c>
      <c r="I88" s="50">
        <v>0.0103</v>
      </c>
      <c r="J88" s="50">
        <v>0.0122</v>
      </c>
      <c r="K88" s="50">
        <v>0.0085</v>
      </c>
      <c r="L88" s="50">
        <v>0.0082</v>
      </c>
      <c r="M88" s="50">
        <v>0.009</v>
      </c>
      <c r="N88" s="50">
        <v>0.0152</v>
      </c>
      <c r="O88" s="50">
        <v>0.0083</v>
      </c>
      <c r="P88" s="50">
        <v>0.0107</v>
      </c>
      <c r="Q88" s="50">
        <v>0.0085</v>
      </c>
      <c r="R88" s="50">
        <v>0.0085</v>
      </c>
      <c r="S88" s="50">
        <v>0.0104</v>
      </c>
      <c r="T88" s="50"/>
      <c r="U88" s="50"/>
      <c r="V88" s="50"/>
      <c r="W88" s="50"/>
      <c r="X88" s="50"/>
      <c r="Y88" s="54"/>
      <c r="Z88" s="54"/>
      <c r="AA88" s="54"/>
      <c r="AB88" s="54"/>
      <c r="AC88" s="54"/>
      <c r="AD88" s="54"/>
      <c r="AE88" s="53"/>
      <c r="AF88" s="54"/>
      <c r="AG88" s="54"/>
      <c r="AH88" s="54"/>
      <c r="AI88" s="54"/>
      <c r="AJ88" s="54"/>
      <c r="AK88" s="54"/>
      <c r="AL88" s="54"/>
      <c r="AM88" s="54"/>
      <c r="AN88" s="54"/>
    </row>
    <row r="89" ht="15" customHeight="1" spans="1:40">
      <c r="A89" s="46"/>
      <c r="B89" s="52">
        <v>3</v>
      </c>
      <c r="C89" s="48"/>
      <c r="D89" s="48"/>
      <c r="E89" s="48"/>
      <c r="F89" s="49"/>
      <c r="G89" s="49"/>
      <c r="H89" s="48" t="s">
        <v>29</v>
      </c>
      <c r="I89" s="50">
        <v>0.003</v>
      </c>
      <c r="J89" s="50">
        <v>0.0023</v>
      </c>
      <c r="K89" s="50">
        <v>-0.0008</v>
      </c>
      <c r="L89" s="50">
        <v>0.0011</v>
      </c>
      <c r="M89" s="50">
        <v>0.0039</v>
      </c>
      <c r="N89" s="50">
        <v>0.0014</v>
      </c>
      <c r="O89" s="50">
        <v>0.0057</v>
      </c>
      <c r="P89" s="50">
        <v>0.0008</v>
      </c>
      <c r="Q89" s="50">
        <v>-0.0034</v>
      </c>
      <c r="R89" s="50">
        <v>0.0019</v>
      </c>
      <c r="S89" s="50">
        <v>0.003</v>
      </c>
      <c r="T89" s="50"/>
      <c r="U89" s="50"/>
      <c r="V89" s="50"/>
      <c r="W89" s="50"/>
      <c r="X89" s="50"/>
      <c r="Y89" s="54"/>
      <c r="Z89" s="54"/>
      <c r="AA89" s="54"/>
      <c r="AB89" s="54"/>
      <c r="AC89" s="54"/>
      <c r="AD89" s="54"/>
      <c r="AE89" s="53"/>
      <c r="AF89" s="54"/>
      <c r="AG89" s="54"/>
      <c r="AH89" s="54"/>
      <c r="AI89" s="54"/>
      <c r="AJ89" s="54"/>
      <c r="AK89" s="54"/>
      <c r="AL89" s="54"/>
      <c r="AM89" s="54"/>
      <c r="AN89" s="54"/>
    </row>
    <row r="90" ht="15" customHeight="1" spans="1:40">
      <c r="A90" s="46"/>
      <c r="B90" s="52">
        <v>4</v>
      </c>
      <c r="C90" s="48"/>
      <c r="D90" s="48"/>
      <c r="E90" s="48"/>
      <c r="F90" s="49"/>
      <c r="G90" s="49"/>
      <c r="H90" s="48" t="s">
        <v>29</v>
      </c>
      <c r="I90" s="50">
        <v>0.0046</v>
      </c>
      <c r="J90" s="50">
        <v>0.0052</v>
      </c>
      <c r="K90" s="50">
        <v>-0.0003</v>
      </c>
      <c r="L90" s="50">
        <v>0.0033</v>
      </c>
      <c r="M90" s="50">
        <v>0.0046</v>
      </c>
      <c r="N90" s="50">
        <v>0.0048</v>
      </c>
      <c r="O90" s="50">
        <v>0.0039</v>
      </c>
      <c r="P90" s="50">
        <v>0.0031</v>
      </c>
      <c r="Q90" s="50">
        <v>-0.0008</v>
      </c>
      <c r="R90" s="50">
        <v>0.0012</v>
      </c>
      <c r="S90" s="50">
        <v>0.0046</v>
      </c>
      <c r="T90" s="50"/>
      <c r="U90" s="50"/>
      <c r="V90" s="50"/>
      <c r="W90" s="50"/>
      <c r="X90" s="50"/>
      <c r="Y90" s="54"/>
      <c r="Z90" s="54"/>
      <c r="AA90" s="54"/>
      <c r="AB90" s="54"/>
      <c r="AC90" s="54"/>
      <c r="AD90" s="54"/>
      <c r="AE90" s="53"/>
      <c r="AF90" s="54"/>
      <c r="AG90" s="54"/>
      <c r="AH90" s="54"/>
      <c r="AI90" s="54"/>
      <c r="AJ90" s="54"/>
      <c r="AK90" s="54"/>
      <c r="AL90" s="54"/>
      <c r="AM90" s="54"/>
      <c r="AN90" s="54"/>
    </row>
    <row r="91" ht="15" customHeight="1" spans="1:40">
      <c r="A91" s="46"/>
      <c r="B91" s="52">
        <v>5</v>
      </c>
      <c r="C91" s="48"/>
      <c r="D91" s="48"/>
      <c r="E91" s="48"/>
      <c r="F91" s="49"/>
      <c r="G91" s="49"/>
      <c r="H91" s="48" t="s">
        <v>29</v>
      </c>
      <c r="I91" s="50">
        <v>0.0042</v>
      </c>
      <c r="J91" s="50">
        <v>0.0127</v>
      </c>
      <c r="K91" s="50">
        <v>0.0005</v>
      </c>
      <c r="L91" s="50">
        <v>0.0047</v>
      </c>
      <c r="M91" s="50">
        <v>0.0039</v>
      </c>
      <c r="N91" s="50">
        <v>0.0106</v>
      </c>
      <c r="O91" s="50">
        <v>0.0009</v>
      </c>
      <c r="P91" s="50">
        <v>0.0047</v>
      </c>
      <c r="Q91" s="50">
        <v>0.0007</v>
      </c>
      <c r="R91" s="50">
        <v>0.0012</v>
      </c>
      <c r="S91" s="50">
        <v>0.0041</v>
      </c>
      <c r="T91" s="50"/>
      <c r="U91" s="50"/>
      <c r="V91" s="50"/>
      <c r="W91" s="50"/>
      <c r="X91" s="50"/>
      <c r="Y91" s="54"/>
      <c r="Z91" s="54"/>
      <c r="AA91" s="54"/>
      <c r="AB91" s="54"/>
      <c r="AC91" s="54"/>
      <c r="AD91" s="54"/>
      <c r="AE91" s="53"/>
      <c r="AF91" s="54"/>
      <c r="AG91" s="54"/>
      <c r="AH91" s="54"/>
      <c r="AI91" s="54"/>
      <c r="AJ91" s="54"/>
      <c r="AK91" s="54"/>
      <c r="AL91" s="54"/>
      <c r="AM91" s="54"/>
      <c r="AN91" s="54"/>
    </row>
    <row r="92" ht="15" customHeight="1" spans="1:40">
      <c r="A92" s="46"/>
      <c r="B92" s="52">
        <v>6</v>
      </c>
      <c r="C92" s="48"/>
      <c r="D92" s="48"/>
      <c r="E92" s="48"/>
      <c r="F92" s="49"/>
      <c r="G92" s="49"/>
      <c r="H92" s="48" t="s">
        <v>29</v>
      </c>
      <c r="I92" s="50">
        <v>-0.0005</v>
      </c>
      <c r="J92" s="50">
        <v>0.001</v>
      </c>
      <c r="K92" s="50">
        <v>-0.0048</v>
      </c>
      <c r="L92" s="50">
        <v>-0.0002</v>
      </c>
      <c r="M92" s="50">
        <v>0.0002</v>
      </c>
      <c r="N92" s="50">
        <v>-0.0045</v>
      </c>
      <c r="O92" s="50">
        <v>-0.0011</v>
      </c>
      <c r="P92" s="50">
        <v>-0.0015</v>
      </c>
      <c r="Q92" s="50">
        <v>-0.0067</v>
      </c>
      <c r="R92" s="50">
        <v>-0.005</v>
      </c>
      <c r="S92" s="50">
        <v>-0.0007</v>
      </c>
      <c r="T92" s="50"/>
      <c r="U92" s="50"/>
      <c r="V92" s="50"/>
      <c r="W92" s="50"/>
      <c r="X92" s="50"/>
      <c r="Y92" s="54"/>
      <c r="Z92" s="54"/>
      <c r="AA92" s="54"/>
      <c r="AB92" s="54"/>
      <c r="AC92" s="54"/>
      <c r="AD92" s="54"/>
      <c r="AE92" s="53"/>
      <c r="AF92" s="54"/>
      <c r="AG92" s="54"/>
      <c r="AH92" s="54"/>
      <c r="AI92" s="54"/>
      <c r="AJ92" s="54"/>
      <c r="AK92" s="54"/>
      <c r="AL92" s="54"/>
      <c r="AM92" s="54"/>
      <c r="AN92" s="54"/>
    </row>
    <row r="93" ht="15" customHeight="1" spans="1:40">
      <c r="A93" s="46"/>
      <c r="B93" s="52">
        <v>7</v>
      </c>
      <c r="C93" s="48"/>
      <c r="D93" s="48"/>
      <c r="E93" s="48"/>
      <c r="F93" s="49"/>
      <c r="G93" s="49"/>
      <c r="H93" s="48" t="s">
        <v>29</v>
      </c>
      <c r="I93" s="50">
        <v>0.0006</v>
      </c>
      <c r="J93" s="50">
        <v>0.0088</v>
      </c>
      <c r="K93" s="50">
        <v>-0.0026</v>
      </c>
      <c r="L93" s="50">
        <v>0.0046</v>
      </c>
      <c r="M93" s="50">
        <v>0.0011</v>
      </c>
      <c r="N93" s="50">
        <v>0.0021</v>
      </c>
      <c r="O93" s="50">
        <v>-0.0011</v>
      </c>
      <c r="P93" s="50">
        <v>0.0013</v>
      </c>
      <c r="Q93" s="50">
        <v>-0.004</v>
      </c>
      <c r="R93" s="50">
        <v>-0.0022</v>
      </c>
      <c r="S93" s="50">
        <v>0.0006</v>
      </c>
      <c r="T93" s="50"/>
      <c r="U93" s="50"/>
      <c r="V93" s="50"/>
      <c r="W93" s="50"/>
      <c r="X93" s="50"/>
      <c r="Y93" s="54"/>
      <c r="Z93" s="54"/>
      <c r="AA93" s="54"/>
      <c r="AB93" s="54"/>
      <c r="AC93" s="54"/>
      <c r="AD93" s="54"/>
      <c r="AE93" s="53"/>
      <c r="AF93" s="54"/>
      <c r="AG93" s="54"/>
      <c r="AH93" s="54"/>
      <c r="AI93" s="54"/>
      <c r="AJ93" s="54"/>
      <c r="AK93" s="54"/>
      <c r="AL93" s="54"/>
      <c r="AM93" s="54"/>
      <c r="AN93" s="54"/>
    </row>
    <row r="94" ht="15" customHeight="1" spans="1:40">
      <c r="A94" s="46"/>
      <c r="B94" s="52">
        <v>8</v>
      </c>
      <c r="C94" s="48"/>
      <c r="D94" s="48"/>
      <c r="E94" s="48"/>
      <c r="F94" s="49"/>
      <c r="G94" s="49"/>
      <c r="H94" s="48" t="s">
        <v>29</v>
      </c>
      <c r="I94" s="50">
        <v>0.0003</v>
      </c>
      <c r="J94" s="50">
        <v>0.0096</v>
      </c>
      <c r="K94" s="50">
        <v>-0.005</v>
      </c>
      <c r="L94" s="50">
        <v>0.005</v>
      </c>
      <c r="M94" s="50">
        <v>-0.0024</v>
      </c>
      <c r="N94" s="50">
        <v>0.0002</v>
      </c>
      <c r="O94" s="50">
        <v>-0.0028</v>
      </c>
      <c r="P94" s="50">
        <v>-0.002</v>
      </c>
      <c r="Q94" s="50">
        <v>-0.0043</v>
      </c>
      <c r="R94" s="50">
        <v>-0.005</v>
      </c>
      <c r="S94" s="50">
        <v>0.0003</v>
      </c>
      <c r="T94" s="50"/>
      <c r="U94" s="50"/>
      <c r="V94" s="50"/>
      <c r="W94" s="50"/>
      <c r="X94" s="50"/>
      <c r="Y94" s="54"/>
      <c r="Z94" s="54"/>
      <c r="AA94" s="54"/>
      <c r="AB94" s="54"/>
      <c r="AC94" s="54"/>
      <c r="AD94" s="54"/>
      <c r="AE94" s="53"/>
      <c r="AF94" s="54"/>
      <c r="AG94" s="54"/>
      <c r="AH94" s="54"/>
      <c r="AI94" s="54"/>
      <c r="AJ94" s="54"/>
      <c r="AK94" s="54"/>
      <c r="AL94" s="54"/>
      <c r="AM94" s="54"/>
      <c r="AN94" s="54"/>
    </row>
    <row r="95" ht="15" customHeight="1" spans="1:40">
      <c r="A95" s="46"/>
      <c r="B95" s="52">
        <v>9</v>
      </c>
      <c r="C95" s="48"/>
      <c r="D95" s="48"/>
      <c r="E95" s="48"/>
      <c r="F95" s="49"/>
      <c r="G95" s="49"/>
      <c r="H95" s="48" t="s">
        <v>29</v>
      </c>
      <c r="I95" s="50">
        <v>-0.0046</v>
      </c>
      <c r="J95" s="50">
        <v>-0.0014</v>
      </c>
      <c r="K95" s="50">
        <v>-0.0067</v>
      </c>
      <c r="L95" s="50">
        <v>0.0054</v>
      </c>
      <c r="M95" s="50">
        <v>-0.0031</v>
      </c>
      <c r="N95" s="50">
        <v>-0.011</v>
      </c>
      <c r="O95" s="50">
        <v>-0.002</v>
      </c>
      <c r="P95" s="50">
        <v>-0.0075</v>
      </c>
      <c r="Q95" s="50">
        <v>-0.0076</v>
      </c>
      <c r="R95" s="50">
        <v>-0.0073</v>
      </c>
      <c r="S95" s="50">
        <v>-0.0045</v>
      </c>
      <c r="T95" s="50"/>
      <c r="U95" s="50"/>
      <c r="V95" s="50"/>
      <c r="W95" s="50"/>
      <c r="X95" s="50"/>
      <c r="Y95" s="54"/>
      <c r="Z95" s="54"/>
      <c r="AA95" s="54"/>
      <c r="AB95" s="54"/>
      <c r="AC95" s="54"/>
      <c r="AD95" s="54"/>
      <c r="AE95" s="53"/>
      <c r="AF95" s="54"/>
      <c r="AG95" s="54"/>
      <c r="AH95" s="54"/>
      <c r="AI95" s="54"/>
      <c r="AJ95" s="54"/>
      <c r="AK95" s="54"/>
      <c r="AL95" s="54"/>
      <c r="AM95" s="54"/>
      <c r="AN95" s="54"/>
    </row>
    <row r="96" ht="15" customHeight="1" spans="1:40">
      <c r="A96" s="46"/>
      <c r="B96" s="52">
        <v>10</v>
      </c>
      <c r="C96" s="48"/>
      <c r="D96" s="48"/>
      <c r="E96" s="48"/>
      <c r="F96" s="49"/>
      <c r="G96" s="49"/>
      <c r="H96" s="48" t="s">
        <v>29</v>
      </c>
      <c r="I96" s="50">
        <v>-0.0045</v>
      </c>
      <c r="J96" s="50">
        <v>-0.0018</v>
      </c>
      <c r="K96" s="50">
        <v>-0.0085</v>
      </c>
      <c r="L96" s="50">
        <v>0.0091</v>
      </c>
      <c r="M96" s="50">
        <v>-0.0082</v>
      </c>
      <c r="N96" s="50">
        <v>-0.0133</v>
      </c>
      <c r="O96" s="50">
        <v>-0.0066</v>
      </c>
      <c r="P96" s="50">
        <v>-0.0078</v>
      </c>
      <c r="Q96" s="50">
        <v>-0.0077</v>
      </c>
      <c r="R96" s="50">
        <v>-0.0084</v>
      </c>
      <c r="S96" s="50">
        <v>-0.0045</v>
      </c>
      <c r="T96" s="50"/>
      <c r="U96" s="50"/>
      <c r="V96" s="50"/>
      <c r="W96" s="50"/>
      <c r="X96" s="50"/>
      <c r="Y96" s="54"/>
      <c r="Z96" s="54"/>
      <c r="AA96" s="54"/>
      <c r="AB96" s="54"/>
      <c r="AC96" s="54"/>
      <c r="AD96" s="54"/>
      <c r="AE96" s="53"/>
      <c r="AF96" s="54"/>
      <c r="AG96" s="54"/>
      <c r="AH96" s="54"/>
      <c r="AI96" s="54"/>
      <c r="AJ96" s="54"/>
      <c r="AK96" s="54"/>
      <c r="AL96" s="54"/>
      <c r="AM96" s="54"/>
      <c r="AN96" s="54"/>
    </row>
    <row r="97" ht="15" customHeight="1" spans="1:40">
      <c r="A97" s="46"/>
      <c r="B97" s="52">
        <v>11</v>
      </c>
      <c r="C97" s="48"/>
      <c r="D97" s="48"/>
      <c r="E97" s="48"/>
      <c r="F97" s="49"/>
      <c r="G97" s="49"/>
      <c r="H97" s="48" t="s">
        <v>29</v>
      </c>
      <c r="I97" s="50">
        <v>-0.0056</v>
      </c>
      <c r="J97" s="50">
        <v>-0.0053</v>
      </c>
      <c r="K97" s="50">
        <v>-0.008</v>
      </c>
      <c r="L97" s="50">
        <v>0.0038</v>
      </c>
      <c r="M97" s="50">
        <v>-0.0081</v>
      </c>
      <c r="N97" s="50">
        <v>-0.0152</v>
      </c>
      <c r="O97" s="50">
        <v>-0.0029</v>
      </c>
      <c r="P97" s="50">
        <v>-0.0094</v>
      </c>
      <c r="Q97" s="50">
        <v>-0.0089</v>
      </c>
      <c r="R97" s="50">
        <v>-0.0085</v>
      </c>
      <c r="S97" s="50">
        <v>-0.0055</v>
      </c>
      <c r="T97" s="50"/>
      <c r="U97" s="50"/>
      <c r="V97" s="50"/>
      <c r="W97" s="50"/>
      <c r="X97" s="50"/>
      <c r="Y97" s="54"/>
      <c r="Z97" s="54"/>
      <c r="AA97" s="54"/>
      <c r="AB97" s="54"/>
      <c r="AC97" s="54"/>
      <c r="AD97" s="54"/>
      <c r="AE97" s="53"/>
      <c r="AF97" s="54"/>
      <c r="AG97" s="54"/>
      <c r="AH97" s="54"/>
      <c r="AI97" s="54"/>
      <c r="AJ97" s="54"/>
      <c r="AK97" s="54"/>
      <c r="AL97" s="54"/>
      <c r="AM97" s="54"/>
      <c r="AN97" s="54"/>
    </row>
    <row r="98" ht="15" customHeight="1" spans="1:40">
      <c r="A98" s="46"/>
      <c r="B98" s="52">
        <v>12</v>
      </c>
      <c r="C98" s="48"/>
      <c r="D98" s="48"/>
      <c r="E98" s="48"/>
      <c r="F98" s="49"/>
      <c r="G98" s="49"/>
      <c r="H98" s="48" t="s">
        <v>29</v>
      </c>
      <c r="I98" s="50">
        <v>-0.0066</v>
      </c>
      <c r="J98" s="50">
        <v>-0.0086</v>
      </c>
      <c r="K98" s="50">
        <v>-0.0068</v>
      </c>
      <c r="L98" s="50">
        <v>-0.005</v>
      </c>
      <c r="M98" s="50">
        <v>-0.0075</v>
      </c>
      <c r="N98" s="50">
        <v>-0.0152</v>
      </c>
      <c r="O98" s="50">
        <v>-0.0083</v>
      </c>
      <c r="P98" s="50">
        <v>-0.01</v>
      </c>
      <c r="Q98" s="50">
        <v>-0.0067</v>
      </c>
      <c r="R98" s="50">
        <v>-0.007</v>
      </c>
      <c r="S98" s="50">
        <v>-0.0065</v>
      </c>
      <c r="T98" s="50"/>
      <c r="U98" s="50"/>
      <c r="V98" s="50"/>
      <c r="W98" s="50"/>
      <c r="X98" s="50"/>
      <c r="Y98" s="54"/>
      <c r="Z98" s="54"/>
      <c r="AA98" s="54"/>
      <c r="AB98" s="54"/>
      <c r="AC98" s="54"/>
      <c r="AD98" s="54"/>
      <c r="AE98" s="53"/>
      <c r="AF98" s="54"/>
      <c r="AG98" s="54"/>
      <c r="AH98" s="54"/>
      <c r="AI98" s="54"/>
      <c r="AJ98" s="54"/>
      <c r="AK98" s="54"/>
      <c r="AL98" s="54"/>
      <c r="AM98" s="54"/>
      <c r="AN98" s="54"/>
    </row>
    <row r="99" ht="15" customHeight="1" spans="1:40">
      <c r="A99" s="46"/>
      <c r="B99" s="52">
        <v>13</v>
      </c>
      <c r="C99" s="48"/>
      <c r="D99" s="48"/>
      <c r="E99" s="48"/>
      <c r="F99" s="49"/>
      <c r="G99" s="49"/>
      <c r="H99" s="48" t="s">
        <v>29</v>
      </c>
      <c r="I99" s="50">
        <v>0.0067</v>
      </c>
      <c r="J99" s="50">
        <v>0.0085</v>
      </c>
      <c r="K99" s="50">
        <v>0.0059</v>
      </c>
      <c r="L99" s="50">
        <v>0.0083</v>
      </c>
      <c r="M99" s="50">
        <v>0.0047</v>
      </c>
      <c r="N99" s="50">
        <v>-0.0043</v>
      </c>
      <c r="O99" s="50">
        <v>0.0043</v>
      </c>
      <c r="P99" s="50">
        <v>0.0058</v>
      </c>
      <c r="Q99" s="50">
        <v>0.008</v>
      </c>
      <c r="R99" s="50">
        <v>0.0057</v>
      </c>
      <c r="S99" s="50">
        <v>0.0067</v>
      </c>
      <c r="T99" s="50"/>
      <c r="U99" s="50"/>
      <c r="V99" s="50"/>
      <c r="W99" s="50"/>
      <c r="X99" s="50"/>
      <c r="Y99" s="54"/>
      <c r="Z99" s="54"/>
      <c r="AA99" s="54"/>
      <c r="AB99" s="54"/>
      <c r="AC99" s="54"/>
      <c r="AD99" s="54"/>
      <c r="AE99" s="53"/>
      <c r="AF99" s="54"/>
      <c r="AG99" s="54"/>
      <c r="AH99" s="54"/>
      <c r="AI99" s="54"/>
      <c r="AJ99" s="54"/>
      <c r="AK99" s="54"/>
      <c r="AL99" s="54"/>
      <c r="AM99" s="54"/>
      <c r="AN99" s="54"/>
    </row>
    <row r="100" ht="15" customHeight="1" spans="1:40">
      <c r="A100" s="46"/>
      <c r="B100" s="52">
        <v>14</v>
      </c>
      <c r="C100" s="48"/>
      <c r="D100" s="48"/>
      <c r="E100" s="48"/>
      <c r="F100" s="49"/>
      <c r="G100" s="49"/>
      <c r="H100" s="48" t="s">
        <v>29</v>
      </c>
      <c r="I100" s="50">
        <v>0.0103</v>
      </c>
      <c r="J100" s="50">
        <v>0.0127</v>
      </c>
      <c r="K100" s="50">
        <v>0.0085</v>
      </c>
      <c r="L100" s="50">
        <v>0.0091</v>
      </c>
      <c r="M100" s="50">
        <v>0.009</v>
      </c>
      <c r="N100" s="50">
        <v>0.0066</v>
      </c>
      <c r="O100" s="50">
        <v>0.0083</v>
      </c>
      <c r="P100" s="50">
        <v>0.0107</v>
      </c>
      <c r="Q100" s="50">
        <v>0.0089</v>
      </c>
      <c r="R100" s="50">
        <v>0.0085</v>
      </c>
      <c r="S100" s="50">
        <v>0.0104</v>
      </c>
      <c r="T100" s="50"/>
      <c r="U100" s="50"/>
      <c r="V100" s="50"/>
      <c r="W100" s="50"/>
      <c r="X100" s="50"/>
      <c r="Y100" s="54"/>
      <c r="Z100" s="54"/>
      <c r="AA100" s="54"/>
      <c r="AB100" s="54"/>
      <c r="AC100" s="54"/>
      <c r="AD100" s="54"/>
      <c r="AE100" s="53"/>
      <c r="AF100" s="54"/>
      <c r="AG100" s="54"/>
      <c r="AH100" s="54"/>
      <c r="AI100" s="54"/>
      <c r="AJ100" s="54"/>
      <c r="AK100" s="54"/>
      <c r="AL100" s="54"/>
      <c r="AM100" s="54"/>
      <c r="AN100" s="54"/>
    </row>
    <row r="101" ht="15" customHeight="1" spans="1:40">
      <c r="A101" s="46"/>
      <c r="B101" s="52">
        <v>15</v>
      </c>
      <c r="C101" s="48"/>
      <c r="D101" s="48"/>
      <c r="E101" s="48"/>
      <c r="F101" s="49"/>
      <c r="G101" s="49"/>
      <c r="H101" s="48" t="s">
        <v>29</v>
      </c>
      <c r="I101" s="50">
        <v>0.002</v>
      </c>
      <c r="J101" s="50">
        <v>0.0013</v>
      </c>
      <c r="K101" s="50">
        <v>0.0033</v>
      </c>
      <c r="L101" s="50">
        <v>0.0001</v>
      </c>
      <c r="M101" s="50">
        <v>0.0033</v>
      </c>
      <c r="N101" s="50">
        <v>-0.0002</v>
      </c>
      <c r="O101" s="50">
        <v>0.005</v>
      </c>
      <c r="P101" s="50">
        <v>0.003</v>
      </c>
      <c r="Q101" s="50">
        <v>0.002</v>
      </c>
      <c r="R101" s="50">
        <v>0.0025</v>
      </c>
      <c r="S101" s="50">
        <v>0.002</v>
      </c>
      <c r="T101" s="50"/>
      <c r="U101" s="50"/>
      <c r="V101" s="50"/>
      <c r="W101" s="50"/>
      <c r="X101" s="50"/>
      <c r="Y101" s="54"/>
      <c r="Z101" s="54"/>
      <c r="AA101" s="54"/>
      <c r="AB101" s="54"/>
      <c r="AC101" s="54"/>
      <c r="AD101" s="54"/>
      <c r="AE101" s="53"/>
      <c r="AF101" s="54"/>
      <c r="AG101" s="54"/>
      <c r="AH101" s="54"/>
      <c r="AI101" s="54"/>
      <c r="AJ101" s="54"/>
      <c r="AK101" s="54"/>
      <c r="AL101" s="54"/>
      <c r="AM101" s="54"/>
      <c r="AN101" s="54"/>
    </row>
    <row r="102" ht="15" customHeight="1" spans="1:40">
      <c r="A102" s="46"/>
      <c r="B102" s="52">
        <v>16</v>
      </c>
      <c r="C102" s="48"/>
      <c r="D102" s="48"/>
      <c r="E102" s="48"/>
      <c r="F102" s="49"/>
      <c r="G102" s="49"/>
      <c r="H102" s="48" t="s">
        <v>29</v>
      </c>
      <c r="I102" s="50">
        <v>0.0005</v>
      </c>
      <c r="J102" s="50">
        <v>0.002</v>
      </c>
      <c r="K102" s="50">
        <v>0.0036</v>
      </c>
      <c r="L102" s="50">
        <v>0.0017</v>
      </c>
      <c r="M102" s="50">
        <v>0.0023</v>
      </c>
      <c r="N102" s="50">
        <v>0.0066</v>
      </c>
      <c r="O102" s="50">
        <v>0.0027</v>
      </c>
      <c r="P102" s="50">
        <v>0.0034</v>
      </c>
      <c r="Q102" s="50">
        <v>0.0013</v>
      </c>
      <c r="R102" s="50">
        <v>-0.0009</v>
      </c>
      <c r="S102" s="50">
        <v>0.0006</v>
      </c>
      <c r="T102" s="50"/>
      <c r="U102" s="50"/>
      <c r="V102" s="50"/>
      <c r="W102" s="50"/>
      <c r="X102" s="50"/>
      <c r="Y102" s="54"/>
      <c r="Z102" s="54"/>
      <c r="AA102" s="54"/>
      <c r="AB102" s="54"/>
      <c r="AC102" s="54"/>
      <c r="AD102" s="54"/>
      <c r="AE102" s="53"/>
      <c r="AF102" s="54"/>
      <c r="AG102" s="54"/>
      <c r="AH102" s="54"/>
      <c r="AI102" s="54"/>
      <c r="AJ102" s="54"/>
      <c r="AK102" s="54"/>
      <c r="AL102" s="54"/>
      <c r="AM102" s="54"/>
      <c r="AN102" s="54"/>
    </row>
    <row r="103" ht="15" customHeight="1" spans="1:40">
      <c r="A103" s="46"/>
      <c r="B103" s="52">
        <v>17</v>
      </c>
      <c r="C103" s="48"/>
      <c r="D103" s="48"/>
      <c r="E103" s="48"/>
      <c r="F103" s="49"/>
      <c r="G103" s="49"/>
      <c r="H103" s="48" t="s">
        <v>29</v>
      </c>
      <c r="I103" s="50">
        <v>-0.0001</v>
      </c>
      <c r="J103" s="50">
        <v>0.0062</v>
      </c>
      <c r="K103" s="50">
        <v>0.005</v>
      </c>
      <c r="L103" s="50">
        <v>0.0011</v>
      </c>
      <c r="M103" s="50">
        <v>0.0008</v>
      </c>
      <c r="N103" s="50">
        <v>0.0152</v>
      </c>
      <c r="O103" s="50">
        <v>-0.0001</v>
      </c>
      <c r="P103" s="50">
        <v>0.0054</v>
      </c>
      <c r="Q103" s="50">
        <v>0.003</v>
      </c>
      <c r="R103" s="50">
        <v>-0.0021</v>
      </c>
      <c r="S103" s="50">
        <v>0.0001</v>
      </c>
      <c r="T103" s="50"/>
      <c r="U103" s="50"/>
      <c r="V103" s="50"/>
      <c r="W103" s="50"/>
      <c r="X103" s="50"/>
      <c r="Y103" s="54"/>
      <c r="Z103" s="54"/>
      <c r="AA103" s="54"/>
      <c r="AB103" s="54"/>
      <c r="AC103" s="54"/>
      <c r="AD103" s="54"/>
      <c r="AE103" s="53"/>
      <c r="AF103" s="54"/>
      <c r="AG103" s="54"/>
      <c r="AH103" s="54"/>
      <c r="AI103" s="54"/>
      <c r="AJ103" s="54"/>
      <c r="AK103" s="54"/>
      <c r="AL103" s="54"/>
      <c r="AM103" s="54"/>
      <c r="AN103" s="54"/>
    </row>
    <row r="104" ht="15" customHeight="1" spans="1:40">
      <c r="A104" s="46"/>
      <c r="B104" s="52">
        <v>18</v>
      </c>
      <c r="C104" s="48"/>
      <c r="D104" s="48"/>
      <c r="E104" s="48"/>
      <c r="F104" s="49"/>
      <c r="G104" s="49"/>
      <c r="H104" s="48" t="s">
        <v>29</v>
      </c>
      <c r="I104" s="50">
        <v>-0.0033</v>
      </c>
      <c r="J104" s="50">
        <v>-0.0017</v>
      </c>
      <c r="K104" s="50">
        <v>0.0004</v>
      </c>
      <c r="L104" s="50">
        <v>-0.0023</v>
      </c>
      <c r="M104" s="50">
        <v>0.0001</v>
      </c>
      <c r="N104" s="50">
        <v>0.0037</v>
      </c>
      <c r="O104" s="50">
        <v>0</v>
      </c>
      <c r="P104" s="50">
        <v>-0.0004</v>
      </c>
      <c r="Q104" s="50">
        <v>-0.0019</v>
      </c>
      <c r="R104" s="50">
        <v>-0.0024</v>
      </c>
      <c r="S104" s="50">
        <v>-0.0035</v>
      </c>
      <c r="T104" s="50"/>
      <c r="U104" s="50"/>
      <c r="V104" s="50"/>
      <c r="W104" s="50"/>
      <c r="X104" s="50"/>
      <c r="Y104" s="54"/>
      <c r="Z104" s="54"/>
      <c r="AA104" s="54"/>
      <c r="AB104" s="54"/>
      <c r="AC104" s="54"/>
      <c r="AD104" s="54"/>
      <c r="AE104" s="53"/>
      <c r="AF104" s="54"/>
      <c r="AG104" s="54"/>
      <c r="AH104" s="54"/>
      <c r="AI104" s="54"/>
      <c r="AJ104" s="54"/>
      <c r="AK104" s="54"/>
      <c r="AL104" s="54"/>
      <c r="AM104" s="54"/>
      <c r="AN104" s="54"/>
    </row>
    <row r="105" ht="15" customHeight="1" spans="1:40">
      <c r="A105" s="46"/>
      <c r="B105" s="52">
        <v>19</v>
      </c>
      <c r="C105" s="48"/>
      <c r="D105" s="48"/>
      <c r="E105" s="48"/>
      <c r="F105" s="49"/>
      <c r="G105" s="49"/>
      <c r="H105" s="48" t="s">
        <v>29</v>
      </c>
      <c r="I105" s="50">
        <v>-0.0026</v>
      </c>
      <c r="J105" s="50">
        <v>0.003</v>
      </c>
      <c r="K105" s="50">
        <v>0.0039</v>
      </c>
      <c r="L105" s="50">
        <v>-0.0002</v>
      </c>
      <c r="M105" s="50">
        <v>-0.0014</v>
      </c>
      <c r="N105" s="50">
        <v>0.0116</v>
      </c>
      <c r="O105" s="50">
        <v>-0.0009</v>
      </c>
      <c r="P105" s="50">
        <v>0.0015</v>
      </c>
      <c r="Q105" s="50">
        <v>0.0024</v>
      </c>
      <c r="R105" s="50">
        <v>-0.0025</v>
      </c>
      <c r="S105" s="50">
        <v>-0.0026</v>
      </c>
      <c r="T105" s="50"/>
      <c r="U105" s="50"/>
      <c r="V105" s="50"/>
      <c r="W105" s="50"/>
      <c r="X105" s="50"/>
      <c r="Y105" s="54"/>
      <c r="Z105" s="54"/>
      <c r="AA105" s="54"/>
      <c r="AB105" s="54"/>
      <c r="AC105" s="54"/>
      <c r="AD105" s="54"/>
      <c r="AE105" s="53"/>
      <c r="AF105" s="54"/>
      <c r="AG105" s="54"/>
      <c r="AH105" s="54"/>
      <c r="AI105" s="54"/>
      <c r="AJ105" s="54"/>
      <c r="AK105" s="54"/>
      <c r="AL105" s="54"/>
      <c r="AM105" s="54"/>
      <c r="AN105" s="54"/>
    </row>
    <row r="106" ht="15" customHeight="1" spans="1:40">
      <c r="A106" s="46"/>
      <c r="B106" s="52">
        <v>20</v>
      </c>
      <c r="C106" s="48"/>
      <c r="D106" s="48"/>
      <c r="E106" s="48"/>
      <c r="F106" s="49"/>
      <c r="G106" s="49"/>
      <c r="H106" s="48" t="s">
        <v>29</v>
      </c>
      <c r="I106" s="50">
        <v>-0.0055</v>
      </c>
      <c r="J106" s="50">
        <v>0.0024</v>
      </c>
      <c r="K106" s="50">
        <v>0.0023</v>
      </c>
      <c r="L106" s="50">
        <v>-0.0031</v>
      </c>
      <c r="M106" s="50">
        <v>-0.0048</v>
      </c>
      <c r="N106" s="50">
        <v>0.0152</v>
      </c>
      <c r="O106" s="50">
        <v>-0.0055</v>
      </c>
      <c r="P106" s="50">
        <v>0.0005</v>
      </c>
      <c r="Q106" s="50">
        <v>0.0035</v>
      </c>
      <c r="R106" s="50">
        <v>-0.0047</v>
      </c>
      <c r="S106" s="50">
        <v>-0.0055</v>
      </c>
      <c r="T106" s="50"/>
      <c r="U106" s="50"/>
      <c r="V106" s="50"/>
      <c r="W106" s="50"/>
      <c r="X106" s="50"/>
      <c r="Y106" s="54"/>
      <c r="Z106" s="54"/>
      <c r="AA106" s="54"/>
      <c r="AB106" s="54"/>
      <c r="AC106" s="54"/>
      <c r="AD106" s="54"/>
      <c r="AE106" s="53"/>
      <c r="AF106" s="54"/>
      <c r="AG106" s="54"/>
      <c r="AH106" s="54"/>
      <c r="AI106" s="54"/>
      <c r="AJ106" s="54"/>
      <c r="AK106" s="54"/>
      <c r="AL106" s="54"/>
      <c r="AM106" s="54"/>
      <c r="AN106" s="54"/>
    </row>
    <row r="107" ht="15" customHeight="1" spans="1:40">
      <c r="A107" s="46"/>
      <c r="B107" s="52">
        <v>21</v>
      </c>
      <c r="C107" s="48"/>
      <c r="D107" s="48"/>
      <c r="E107" s="48"/>
      <c r="F107" s="49"/>
      <c r="G107" s="49"/>
      <c r="H107" s="48" t="s">
        <v>29</v>
      </c>
      <c r="I107" s="50">
        <v>-0.0069</v>
      </c>
      <c r="J107" s="50">
        <v>-0.0065</v>
      </c>
      <c r="K107" s="50">
        <v>-0.0006</v>
      </c>
      <c r="L107" s="50">
        <v>-0.0055</v>
      </c>
      <c r="M107" s="50">
        <v>-0.0043</v>
      </c>
      <c r="N107" s="50">
        <v>0.0007</v>
      </c>
      <c r="O107" s="50">
        <v>-0.0035</v>
      </c>
      <c r="P107" s="50">
        <v>-0.0065</v>
      </c>
      <c r="Q107" s="50">
        <v>-0.0002</v>
      </c>
      <c r="R107" s="50">
        <v>-0.0078</v>
      </c>
      <c r="S107" s="50">
        <v>-0.0068</v>
      </c>
      <c r="T107" s="50"/>
      <c r="U107" s="50"/>
      <c r="V107" s="50"/>
      <c r="W107" s="50"/>
      <c r="X107" s="50"/>
      <c r="Y107" s="54"/>
      <c r="Z107" s="54"/>
      <c r="AA107" s="54"/>
      <c r="AB107" s="54"/>
      <c r="AC107" s="54"/>
      <c r="AD107" s="54"/>
      <c r="AE107" s="53"/>
      <c r="AF107" s="54"/>
      <c r="AG107" s="54"/>
      <c r="AH107" s="54"/>
      <c r="AI107" s="54"/>
      <c r="AJ107" s="54"/>
      <c r="AK107" s="54"/>
      <c r="AL107" s="54"/>
      <c r="AM107" s="54"/>
      <c r="AN107" s="54"/>
    </row>
    <row r="108" ht="15" customHeight="1" spans="1:40">
      <c r="A108" s="46"/>
      <c r="B108" s="52">
        <v>22</v>
      </c>
      <c r="C108" s="48"/>
      <c r="D108" s="48"/>
      <c r="E108" s="48"/>
      <c r="F108" s="49"/>
      <c r="G108" s="49"/>
      <c r="H108" s="48" t="s">
        <v>29</v>
      </c>
      <c r="I108" s="50">
        <v>-0.0103</v>
      </c>
      <c r="J108" s="50">
        <v>-0.0127</v>
      </c>
      <c r="K108" s="50">
        <v>0.0005</v>
      </c>
      <c r="L108" s="50">
        <v>-0.0091</v>
      </c>
      <c r="M108" s="50">
        <v>-0.009</v>
      </c>
      <c r="N108" s="50">
        <v>-0.0012</v>
      </c>
      <c r="O108" s="50">
        <v>-0.0083</v>
      </c>
      <c r="P108" s="50">
        <v>-0.0107</v>
      </c>
      <c r="Q108" s="50">
        <v>-0.0009</v>
      </c>
      <c r="R108" s="50">
        <v>-0.008</v>
      </c>
      <c r="S108" s="50">
        <v>-0.0104</v>
      </c>
      <c r="T108" s="50"/>
      <c r="U108" s="50"/>
      <c r="V108" s="50"/>
      <c r="W108" s="50"/>
      <c r="X108" s="50"/>
      <c r="Y108" s="54"/>
      <c r="Z108" s="54"/>
      <c r="AA108" s="54"/>
      <c r="AB108" s="54"/>
      <c r="AC108" s="54"/>
      <c r="AD108" s="54"/>
      <c r="AE108" s="53"/>
      <c r="AF108" s="54"/>
      <c r="AG108" s="54"/>
      <c r="AH108" s="54"/>
      <c r="AI108" s="54"/>
      <c r="AJ108" s="54"/>
      <c r="AK108" s="54"/>
      <c r="AL108" s="54"/>
      <c r="AM108" s="54"/>
      <c r="AN108" s="54"/>
    </row>
    <row r="109" ht="15" customHeight="1" spans="1:40">
      <c r="A109" s="46"/>
      <c r="B109" s="52">
        <v>23</v>
      </c>
      <c r="C109" s="48"/>
      <c r="D109" s="48"/>
      <c r="E109" s="48"/>
      <c r="F109" s="49"/>
      <c r="G109" s="49"/>
      <c r="H109" s="48" t="s">
        <v>29</v>
      </c>
      <c r="I109" s="50">
        <v>-0.0094</v>
      </c>
      <c r="J109" s="50">
        <v>-0.0075</v>
      </c>
      <c r="K109" s="50">
        <v>-0.0001</v>
      </c>
      <c r="L109" s="50">
        <v>-0.0091</v>
      </c>
      <c r="M109" s="50">
        <v>-0.0078</v>
      </c>
      <c r="N109" s="50">
        <v>0.004</v>
      </c>
      <c r="O109" s="50">
        <v>-0.0082</v>
      </c>
      <c r="P109" s="50">
        <v>-0.0067</v>
      </c>
      <c r="Q109" s="50">
        <v>0.0034</v>
      </c>
      <c r="R109" s="50">
        <v>-0.0085</v>
      </c>
      <c r="S109" s="50">
        <v>-0.0095</v>
      </c>
      <c r="T109" s="50"/>
      <c r="U109" s="50"/>
      <c r="V109" s="50"/>
      <c r="W109" s="50"/>
      <c r="X109" s="50"/>
      <c r="Y109" s="54"/>
      <c r="Z109" s="54"/>
      <c r="AA109" s="54"/>
      <c r="AB109" s="54"/>
      <c r="AC109" s="54"/>
      <c r="AD109" s="54"/>
      <c r="AE109" s="53"/>
      <c r="AF109" s="54"/>
      <c r="AG109" s="54"/>
      <c r="AH109" s="54"/>
      <c r="AI109" s="54"/>
      <c r="AJ109" s="54"/>
      <c r="AK109" s="54"/>
      <c r="AL109" s="54"/>
      <c r="AM109" s="54"/>
      <c r="AN109" s="54"/>
    </row>
    <row r="110" ht="15" customHeight="1" spans="1:40">
      <c r="A110" s="46"/>
      <c r="B110" s="52">
        <v>24</v>
      </c>
      <c r="C110" s="48"/>
      <c r="D110" s="48"/>
      <c r="E110" s="48"/>
      <c r="F110" s="49"/>
      <c r="G110" s="49"/>
      <c r="H110" s="48" t="s">
        <v>29</v>
      </c>
      <c r="I110" s="50">
        <v>0.0064</v>
      </c>
      <c r="J110" s="50">
        <v>0.0067</v>
      </c>
      <c r="K110" s="50">
        <v>0.0049</v>
      </c>
      <c r="L110" s="50">
        <v>0.0039</v>
      </c>
      <c r="M110" s="50">
        <v>0.0067</v>
      </c>
      <c r="N110" s="50">
        <v>0.0061</v>
      </c>
      <c r="O110" s="50">
        <v>0.0065</v>
      </c>
      <c r="P110" s="50">
        <v>0.0061</v>
      </c>
      <c r="Q110" s="50">
        <v>0.0041</v>
      </c>
      <c r="R110" s="50">
        <v>0.0057</v>
      </c>
      <c r="S110" s="50">
        <v>0.0064</v>
      </c>
      <c r="T110" s="50"/>
      <c r="U110" s="50"/>
      <c r="V110" s="50"/>
      <c r="W110" s="50"/>
      <c r="X110" s="50"/>
      <c r="Y110" s="54"/>
      <c r="Z110" s="54"/>
      <c r="AA110" s="54"/>
      <c r="AB110" s="54"/>
      <c r="AC110" s="54"/>
      <c r="AD110" s="54"/>
      <c r="AE110" s="53"/>
      <c r="AF110" s="54"/>
      <c r="AG110" s="54"/>
      <c r="AH110" s="54"/>
      <c r="AI110" s="54"/>
      <c r="AJ110" s="54"/>
      <c r="AK110" s="54"/>
      <c r="AL110" s="54"/>
      <c r="AM110" s="54"/>
      <c r="AN110" s="54"/>
    </row>
    <row r="111" ht="15" customHeight="1" spans="1:40">
      <c r="A111" s="46"/>
      <c r="B111" s="52" t="s">
        <v>60</v>
      </c>
      <c r="C111" s="48">
        <v>0</v>
      </c>
      <c r="D111" s="48">
        <v>0.01</v>
      </c>
      <c r="E111" s="48">
        <v>0</v>
      </c>
      <c r="F111" s="49">
        <f t="shared" ref="F111:F116" si="12">C111+D111</f>
        <v>0.01</v>
      </c>
      <c r="G111" s="49">
        <f t="shared" ref="G111:G116" si="13">C111+E111</f>
        <v>0</v>
      </c>
      <c r="H111" s="48" t="s">
        <v>29</v>
      </c>
      <c r="I111" s="50">
        <v>0.0057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3" t="str">
        <f t="shared" ref="Y111:AN111" si="14">IF(I111="","",IF(I111&gt;($C111+$D111),(I111-$C111-$D111),IF(I111&lt;($C111+$E111),(I111-$C111-$E111),"√")))</f>
        <v>√</v>
      </c>
      <c r="Z111" s="53" t="str">
        <f t="shared" si="14"/>
        <v/>
      </c>
      <c r="AA111" s="53" t="str">
        <f t="shared" si="14"/>
        <v/>
      </c>
      <c r="AB111" s="53" t="str">
        <f t="shared" si="14"/>
        <v/>
      </c>
      <c r="AC111" s="53" t="str">
        <f t="shared" si="14"/>
        <v/>
      </c>
      <c r="AD111" s="53" t="str">
        <f t="shared" si="14"/>
        <v/>
      </c>
      <c r="AE111" s="53" t="str">
        <f t="shared" si="14"/>
        <v/>
      </c>
      <c r="AF111" s="53" t="str">
        <f t="shared" si="14"/>
        <v/>
      </c>
      <c r="AG111" s="53" t="str">
        <f t="shared" si="14"/>
        <v/>
      </c>
      <c r="AH111" s="53" t="str">
        <f t="shared" si="14"/>
        <v/>
      </c>
      <c r="AI111" s="53" t="str">
        <f t="shared" si="14"/>
        <v/>
      </c>
      <c r="AJ111" s="53" t="str">
        <f t="shared" si="14"/>
        <v/>
      </c>
      <c r="AK111" s="53" t="str">
        <f t="shared" si="14"/>
        <v/>
      </c>
      <c r="AL111" s="53" t="str">
        <f t="shared" si="14"/>
        <v/>
      </c>
      <c r="AM111" s="53" t="str">
        <f t="shared" si="14"/>
        <v/>
      </c>
      <c r="AN111" s="53" t="str">
        <f t="shared" si="14"/>
        <v/>
      </c>
    </row>
    <row r="112" ht="15" customHeight="1" spans="1:40">
      <c r="A112" s="46"/>
      <c r="B112" s="57" t="s">
        <v>61</v>
      </c>
      <c r="C112" s="48">
        <v>0</v>
      </c>
      <c r="D112" s="48">
        <v>0.01</v>
      </c>
      <c r="E112" s="48">
        <v>0</v>
      </c>
      <c r="F112" s="49">
        <f t="shared" si="12"/>
        <v>0.01</v>
      </c>
      <c r="G112" s="49">
        <f t="shared" si="13"/>
        <v>0</v>
      </c>
      <c r="H112" s="48" t="s">
        <v>29</v>
      </c>
      <c r="I112" s="50">
        <v>0.0102</v>
      </c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3">
        <f t="shared" ref="Y112:AN112" si="15">IF(I112="","",IF(I112&gt;($C112+$D112),(I112-$C112-$D112),IF(I112&lt;($C112+$E112),(I112-$C112-$E112),"√")))</f>
        <v>0.000200000000000001</v>
      </c>
      <c r="Z112" s="53" t="str">
        <f t="shared" si="15"/>
        <v/>
      </c>
      <c r="AA112" s="53" t="str">
        <f t="shared" si="15"/>
        <v/>
      </c>
      <c r="AB112" s="53" t="str">
        <f t="shared" si="15"/>
        <v/>
      </c>
      <c r="AC112" s="53" t="str">
        <f t="shared" si="15"/>
        <v/>
      </c>
      <c r="AD112" s="53" t="str">
        <f t="shared" si="15"/>
        <v/>
      </c>
      <c r="AE112" s="53" t="str">
        <f t="shared" si="15"/>
        <v/>
      </c>
      <c r="AF112" s="53" t="str">
        <f t="shared" si="15"/>
        <v/>
      </c>
      <c r="AG112" s="53" t="str">
        <f t="shared" si="15"/>
        <v/>
      </c>
      <c r="AH112" s="53" t="str">
        <f t="shared" si="15"/>
        <v/>
      </c>
      <c r="AI112" s="53" t="str">
        <f t="shared" si="15"/>
        <v/>
      </c>
      <c r="AJ112" s="53" t="str">
        <f t="shared" si="15"/>
        <v/>
      </c>
      <c r="AK112" s="53" t="str">
        <f t="shared" si="15"/>
        <v/>
      </c>
      <c r="AL112" s="53" t="str">
        <f t="shared" si="15"/>
        <v/>
      </c>
      <c r="AM112" s="53" t="str">
        <f t="shared" si="15"/>
        <v/>
      </c>
      <c r="AN112" s="53" t="str">
        <f t="shared" si="15"/>
        <v/>
      </c>
    </row>
    <row r="113" ht="15" customHeight="1" spans="1:40">
      <c r="A113" s="46"/>
      <c r="B113" s="57" t="s">
        <v>62</v>
      </c>
      <c r="C113" s="48">
        <v>0</v>
      </c>
      <c r="D113" s="48">
        <v>0.01</v>
      </c>
      <c r="E113" s="48">
        <v>0</v>
      </c>
      <c r="F113" s="49">
        <f t="shared" si="12"/>
        <v>0.01</v>
      </c>
      <c r="G113" s="49">
        <f t="shared" si="13"/>
        <v>0</v>
      </c>
      <c r="H113" s="48" t="s">
        <v>29</v>
      </c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3" t="str">
        <f t="shared" ref="Y113:AN113" si="16">IF(I113="","",IF(I113&gt;($C113+$D113),(I113-$C113-$D113),IF(I113&lt;($C113+$E113),(I113-$C113-$E113),"√")))</f>
        <v/>
      </c>
      <c r="Z113" s="53" t="str">
        <f t="shared" si="16"/>
        <v/>
      </c>
      <c r="AA113" s="53" t="str">
        <f t="shared" si="16"/>
        <v/>
      </c>
      <c r="AB113" s="53" t="str">
        <f t="shared" si="16"/>
        <v/>
      </c>
      <c r="AC113" s="53" t="str">
        <f t="shared" si="16"/>
        <v/>
      </c>
      <c r="AD113" s="53" t="str">
        <f t="shared" si="16"/>
        <v/>
      </c>
      <c r="AE113" s="53" t="str">
        <f t="shared" si="16"/>
        <v/>
      </c>
      <c r="AF113" s="53" t="str">
        <f t="shared" si="16"/>
        <v/>
      </c>
      <c r="AG113" s="53" t="str">
        <f t="shared" si="16"/>
        <v/>
      </c>
      <c r="AH113" s="53" t="str">
        <f t="shared" si="16"/>
        <v/>
      </c>
      <c r="AI113" s="53" t="str">
        <f t="shared" si="16"/>
        <v/>
      </c>
      <c r="AJ113" s="53" t="str">
        <f t="shared" si="16"/>
        <v/>
      </c>
      <c r="AK113" s="53" t="str">
        <f t="shared" si="16"/>
        <v/>
      </c>
      <c r="AL113" s="53" t="str">
        <f t="shared" si="16"/>
        <v/>
      </c>
      <c r="AM113" s="53" t="str">
        <f t="shared" si="16"/>
        <v/>
      </c>
      <c r="AN113" s="53" t="str">
        <f t="shared" si="16"/>
        <v/>
      </c>
    </row>
    <row r="114" ht="15" customHeight="1" spans="1:40">
      <c r="A114" s="46"/>
      <c r="B114" s="55" t="s">
        <v>63</v>
      </c>
      <c r="C114" s="48">
        <v>0.4</v>
      </c>
      <c r="D114" s="48">
        <v>0.03</v>
      </c>
      <c r="E114" s="48">
        <v>-0.03</v>
      </c>
      <c r="F114" s="49">
        <f t="shared" si="12"/>
        <v>0.43</v>
      </c>
      <c r="G114" s="49">
        <f t="shared" si="13"/>
        <v>0.37</v>
      </c>
      <c r="H114" s="48" t="s">
        <v>29</v>
      </c>
      <c r="I114" s="50"/>
      <c r="J114" s="50"/>
      <c r="K114" s="50"/>
      <c r="L114" s="50"/>
      <c r="M114" s="50"/>
      <c r="N114" s="50"/>
      <c r="O114" s="50"/>
      <c r="P114" s="50"/>
      <c r="Q114" s="50" cm="1">
        <f t="array" ref="Q114">Q111+MAX(ABS(Q35:Q58))</f>
        <v>0.3975</v>
      </c>
      <c r="R114" s="50" cm="1">
        <f t="array" ref="R114">R111+MAX(ABS(R35:R58))</f>
        <v>0.3938</v>
      </c>
      <c r="S114" s="50" cm="1">
        <f t="array" ref="S114">S111+MAX(ABS(S35:S58))</f>
        <v>0.4028</v>
      </c>
      <c r="T114" s="50" cm="1">
        <f t="array" ref="T114">T111+MAX(ABS(T35:T58))</f>
        <v>0</v>
      </c>
      <c r="U114" s="50" cm="1">
        <f t="array" ref="U114">U111+MAX(ABS(U35:U58))</f>
        <v>0</v>
      </c>
      <c r="V114" s="50" cm="1">
        <f t="array" ref="V114">V111+MAX(ABS(V35:V58))</f>
        <v>0</v>
      </c>
      <c r="W114" s="50" cm="1">
        <f t="array" ref="W114">W111+MAX(ABS(W35:W58))</f>
        <v>0</v>
      </c>
      <c r="X114" s="50" cm="1">
        <f t="array" ref="X114">X111+MAX(ABS(X35:X58))</f>
        <v>0</v>
      </c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</row>
    <row r="115" ht="15" customHeight="1" spans="1:40">
      <c r="A115" s="46"/>
      <c r="B115" s="55" t="s">
        <v>64</v>
      </c>
      <c r="C115" s="48">
        <v>0.4</v>
      </c>
      <c r="D115" s="48">
        <v>0.03</v>
      </c>
      <c r="E115" s="48">
        <v>-0.03</v>
      </c>
      <c r="F115" s="49">
        <f t="shared" si="12"/>
        <v>0.43</v>
      </c>
      <c r="G115" s="49">
        <f t="shared" si="13"/>
        <v>0.37</v>
      </c>
      <c r="H115" s="48" t="s">
        <v>29</v>
      </c>
      <c r="I115" s="50"/>
      <c r="J115" s="50"/>
      <c r="K115" s="50"/>
      <c r="L115" s="50"/>
      <c r="M115" s="50"/>
      <c r="N115" s="50"/>
      <c r="O115" s="50"/>
      <c r="P115" s="50"/>
      <c r="Q115" s="50" cm="1">
        <f t="array" ref="Q115">Q112+MAX(ABS(Q35:Q58))</f>
        <v>0.3975</v>
      </c>
      <c r="R115" s="50" cm="1">
        <f t="array" ref="R115">R112+MAX(ABS(R35:R58))</f>
        <v>0.3938</v>
      </c>
      <c r="S115" s="50" cm="1">
        <f t="array" ref="S115">S112+MAX(ABS(S35:S58))</f>
        <v>0.4028</v>
      </c>
      <c r="T115" s="50" cm="1">
        <f t="array" ref="T115">T112+MAX(ABS(T35:T58))</f>
        <v>0</v>
      </c>
      <c r="U115" s="50" cm="1">
        <f t="array" ref="U115">U112+MAX(ABS(U35:U58))</f>
        <v>0</v>
      </c>
      <c r="V115" s="50" cm="1">
        <f t="array" ref="V115">V112+MAX(ABS(V35:V58))</f>
        <v>0</v>
      </c>
      <c r="W115" s="50" cm="1">
        <f t="array" ref="W115">W112+MAX(ABS(W35:W58))</f>
        <v>0</v>
      </c>
      <c r="X115" s="50" cm="1">
        <f t="array" ref="X115">X112+MAX(ABS(X35:X58))</f>
        <v>0</v>
      </c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</row>
    <row r="116" ht="15" customHeight="1" spans="1:40">
      <c r="A116" s="46"/>
      <c r="B116" s="58" t="s">
        <v>65</v>
      </c>
      <c r="C116" s="48">
        <v>0.4</v>
      </c>
      <c r="D116" s="48">
        <v>0.03</v>
      </c>
      <c r="E116" s="48">
        <v>-0.03</v>
      </c>
      <c r="F116" s="49">
        <f t="shared" si="12"/>
        <v>0.43</v>
      </c>
      <c r="G116" s="49">
        <f t="shared" si="13"/>
        <v>0.37</v>
      </c>
      <c r="H116" s="48" t="s">
        <v>29</v>
      </c>
      <c r="I116" s="50"/>
      <c r="J116" s="50"/>
      <c r="K116" s="50"/>
      <c r="L116" s="50"/>
      <c r="M116" s="50"/>
      <c r="N116" s="50"/>
      <c r="O116" s="50"/>
      <c r="P116" s="50"/>
      <c r="Q116" s="50" cm="1">
        <f t="array" ref="Q116">Q113+MAX(ABS(Q35:Q58))</f>
        <v>0.3975</v>
      </c>
      <c r="R116" s="50" cm="1">
        <f t="array" ref="R116">R113+MAX(ABS(R35:R58))</f>
        <v>0.3938</v>
      </c>
      <c r="S116" s="50" cm="1">
        <f t="array" ref="S116">S113+MAX(ABS(S35:S58))</f>
        <v>0.4028</v>
      </c>
      <c r="T116" s="50" cm="1">
        <f t="array" ref="T116">T113+MAX(ABS(T35:T58))</f>
        <v>0</v>
      </c>
      <c r="U116" s="50" cm="1">
        <f t="array" ref="U116">U113+MAX(ABS(U35:U58))</f>
        <v>0</v>
      </c>
      <c r="V116" s="50" cm="1">
        <f t="array" ref="V116">V113+MAX(ABS(V35:V58))</f>
        <v>0</v>
      </c>
      <c r="W116" s="50" cm="1">
        <f t="array" ref="W116">W113+MAX(ABS(W35:W58))</f>
        <v>0</v>
      </c>
      <c r="X116" s="50" cm="1">
        <f t="array" ref="X116">X113+MAX(ABS(X35:X58))</f>
        <v>0</v>
      </c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</row>
    <row r="117" spans="1:40">
      <c r="A117" s="59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1"/>
      <c r="AK117" s="62"/>
      <c r="AL117" s="63"/>
      <c r="AM117" s="64"/>
      <c r="AN117" s="65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17:AJ117"/>
    <mergeCell ref="AK117:AL117"/>
    <mergeCell ref="AM117:AN117"/>
    <mergeCell ref="A2:A3"/>
    <mergeCell ref="A4:A6"/>
    <mergeCell ref="A7:A116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7">
    <cfRule type="cellIs" dxfId="0" priority="37" operator="notBetween">
      <formula>$F7</formula>
      <formula>$G7</formula>
    </cfRule>
  </conditionalFormatting>
  <conditionalFormatting sqref="J7:X7">
    <cfRule type="cellIs" dxfId="0" priority="36" operator="notBetween">
      <formula>$F7</formula>
      <formula>$G7</formula>
    </cfRule>
  </conditionalFormatting>
  <conditionalFormatting sqref="I8">
    <cfRule type="cellIs" dxfId="0" priority="7" operator="notBetween">
      <formula>$F8</formula>
      <formula>$G8</formula>
    </cfRule>
  </conditionalFormatting>
  <conditionalFormatting sqref="J8:X8">
    <cfRule type="cellIs" dxfId="0" priority="40" operator="notBetween">
      <formula>$F8</formula>
      <formula>$G8</formula>
    </cfRule>
  </conditionalFormatting>
  <conditionalFormatting sqref="I9">
    <cfRule type="cellIs" dxfId="0" priority="8" operator="notBetween">
      <formula>$F9</formula>
      <formula>$G9</formula>
    </cfRule>
  </conditionalFormatting>
  <conditionalFormatting sqref="J9:X9">
    <cfRule type="cellIs" dxfId="0" priority="41" operator="notBetween">
      <formula>$F9</formula>
      <formula>$G9</formula>
    </cfRule>
  </conditionalFormatting>
  <conditionalFormatting sqref="I10">
    <cfRule type="cellIs" dxfId="0" priority="9" operator="notBetween">
      <formula>$F10</formula>
      <formula>$G10</formula>
    </cfRule>
  </conditionalFormatting>
  <conditionalFormatting sqref="J10:X10">
    <cfRule type="cellIs" dxfId="0" priority="43" operator="notBetween">
      <formula>$F10</formula>
      <formula>$G10</formula>
    </cfRule>
  </conditionalFormatting>
  <conditionalFormatting sqref="I15">
    <cfRule type="cellIs" dxfId="0" priority="6" operator="notBetween">
      <formula>$F15</formula>
      <formula>$G15</formula>
    </cfRule>
  </conditionalFormatting>
  <conditionalFormatting sqref="J15:X15">
    <cfRule type="cellIs" dxfId="0" priority="38" operator="notBetween">
      <formula>$F15</formula>
      <formula>$G15</formula>
    </cfRule>
  </conditionalFormatting>
  <conditionalFormatting sqref="I20">
    <cfRule type="cellIs" dxfId="0" priority="5" operator="notBetween">
      <formula>$F20</formula>
      <formula>$G20</formula>
    </cfRule>
  </conditionalFormatting>
  <conditionalFormatting sqref="S20">
    <cfRule type="cellIs" dxfId="0" priority="32" operator="notBetween">
      <formula>$F20</formula>
      <formula>$G20</formula>
    </cfRule>
  </conditionalFormatting>
  <conditionalFormatting sqref="I59">
    <cfRule type="cellIs" dxfId="0" priority="4" operator="notBetween">
      <formula>$F59</formula>
      <formula>$G59</formula>
    </cfRule>
  </conditionalFormatting>
  <conditionalFormatting sqref="J59:X59">
    <cfRule type="cellIs" dxfId="0" priority="31" operator="notBetween">
      <formula>$F59</formula>
      <formula>$G59</formula>
    </cfRule>
  </conditionalFormatting>
  <conditionalFormatting sqref="I60">
    <cfRule type="cellIs" dxfId="0" priority="3" operator="notBetween">
      <formula>$F60</formula>
      <formula>$G60</formula>
    </cfRule>
  </conditionalFormatting>
  <conditionalFormatting sqref="S60">
    <cfRule type="cellIs" dxfId="0" priority="29" operator="notBetween">
      <formula>$F60</formula>
      <formula>$G60</formula>
    </cfRule>
  </conditionalFormatting>
  <conditionalFormatting sqref="I73">
    <cfRule type="cellIs" dxfId="0" priority="2" operator="notBetween">
      <formula>$F73</formula>
      <formula>$G73</formula>
    </cfRule>
  </conditionalFormatting>
  <conditionalFormatting sqref="S73">
    <cfRule type="cellIs" dxfId="0" priority="27" operator="notBetween">
      <formula>$F73</formula>
      <formula>$G73</formula>
    </cfRule>
  </conditionalFormatting>
  <conditionalFormatting sqref="I86">
    <cfRule type="cellIs" dxfId="0" priority="1" operator="notBetween">
      <formula>$F86</formula>
      <formula>$G86</formula>
    </cfRule>
  </conditionalFormatting>
  <conditionalFormatting sqref="S86">
    <cfRule type="cellIs" dxfId="0" priority="25" operator="notBetween">
      <formula>$F86</formula>
      <formula>$G86</formula>
    </cfRule>
  </conditionalFormatting>
  <conditionalFormatting sqref="S111">
    <cfRule type="cellIs" dxfId="0" priority="23" operator="notBetween">
      <formula>$F111</formula>
      <formula>$G111</formula>
    </cfRule>
  </conditionalFormatting>
  <conditionalFormatting sqref="S112">
    <cfRule type="cellIs" dxfId="0" priority="21" operator="notBetween">
      <formula>$F112</formula>
      <formula>$G112</formula>
    </cfRule>
  </conditionalFormatting>
  <conditionalFormatting sqref="S113">
    <cfRule type="cellIs" dxfId="0" priority="19" operator="notBetween">
      <formula>$F113</formula>
      <formula>$G113</formula>
    </cfRule>
  </conditionalFormatting>
  <conditionalFormatting sqref="I114:X114">
    <cfRule type="cellIs" dxfId="0" priority="34" operator="notBetween">
      <formula>$F114</formula>
      <formula>$G114</formula>
    </cfRule>
  </conditionalFormatting>
  <conditionalFormatting sqref="J20:R20 T20:X20">
    <cfRule type="cellIs" dxfId="0" priority="35" operator="notBetween">
      <formula>$F20</formula>
      <formula>$G20</formula>
    </cfRule>
  </conditionalFormatting>
  <conditionalFormatting sqref="J60:R60 T60:X60">
    <cfRule type="cellIs" dxfId="0" priority="30" operator="notBetween">
      <formula>$F60</formula>
      <formula>$G60</formula>
    </cfRule>
  </conditionalFormatting>
  <conditionalFormatting sqref="J73:R73 T73:X73">
    <cfRule type="cellIs" dxfId="0" priority="28" operator="notBetween">
      <formula>$F73</formula>
      <formula>$G73</formula>
    </cfRule>
  </conditionalFormatting>
  <conditionalFormatting sqref="J86:R86 T86:X86">
    <cfRule type="cellIs" dxfId="0" priority="26" operator="notBetween">
      <formula>$F86</formula>
      <formula>$G86</formula>
    </cfRule>
  </conditionalFormatting>
  <conditionalFormatting sqref="I111:R111 T111:X111">
    <cfRule type="cellIs" dxfId="0" priority="24" operator="notBetween">
      <formula>$F111</formula>
      <formula>$G111</formula>
    </cfRule>
  </conditionalFormatting>
  <conditionalFormatting sqref="I112:R112 T112:X112">
    <cfRule type="cellIs" dxfId="0" priority="22" operator="notBetween">
      <formula>$F112</formula>
      <formula>$G112</formula>
    </cfRule>
  </conditionalFormatting>
  <conditionalFormatting sqref="I113:R113 T113:X113">
    <cfRule type="cellIs" dxfId="0" priority="20" operator="notBetween">
      <formula>$F113</formula>
      <formula>$G113</formula>
    </cfRule>
  </conditionalFormatting>
  <conditionalFormatting sqref="I115:X116">
    <cfRule type="cellIs" dxfId="0" priority="33" operator="notBetween">
      <formula>$F115</formula>
      <formula>$G115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1-10</vt:lpstr>
      <vt:lpstr>11-20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