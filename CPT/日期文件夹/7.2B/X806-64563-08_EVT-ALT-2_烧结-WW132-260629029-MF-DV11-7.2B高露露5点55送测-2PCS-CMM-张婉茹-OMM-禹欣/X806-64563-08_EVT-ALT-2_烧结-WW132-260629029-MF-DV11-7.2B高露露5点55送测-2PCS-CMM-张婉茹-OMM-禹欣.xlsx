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3" sheetId="1" r:id="rId1"/>
  </sheets>
  <definedNames>
    <definedName name="_xlnm.Print_Area" localSheetId="0">'X806-64563'!#REF!</definedName>
    <definedName name="_xlnm.Print_Titles" localSheetId="0">'X806-64563'!#REF!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<sst xmlns="http://schemas.openxmlformats.org/spreadsheetml/2006/main" count="162" uniqueCount="68">
  <si>
    <t>安徽中耀智能科技有限公司首件尺寸报告</t>
  </si>
  <si>
    <t>料号</t>
  </si>
  <si>
    <t>X806-64563</t>
  </si>
  <si>
    <t>工单号</t>
  </si>
  <si>
    <t>WW132-260629029</t>
  </si>
  <si>
    <t>工站</t>
  </si>
  <si>
    <t>炉号</t>
  </si>
  <si>
    <t>测量机台</t>
  </si>
  <si>
    <t>测量人员</t>
  </si>
  <si>
    <t>审核</t>
  </si>
  <si>
    <t>烧结</t>
  </si>
  <si>
    <t>DV11</t>
  </si>
  <si>
    <t>CMM2#/OMM5#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</si>
  <si>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</si>
  <si>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</si>
  <si>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</si>
  <si>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</si>
  <si>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</si>
  <si>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</si>
  <si>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</si>
  <si>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</si>
  <si>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</si>
  <si>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</si>
  <si>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</si>
  <si>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</si>
  <si>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</si>
  <si>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</si>
  <si>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</si>
  <si>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FAI11_1</t>
  </si>
  <si>
    <t>OMM</t>
  </si>
  <si>
    <t>FAI11_2</t>
  </si>
  <si>
    <t>FAI13_1</t>
  </si>
  <si>
    <t>AD</t>
  </si>
  <si>
    <t>FAI13_2</t>
  </si>
  <si>
    <t>FAI43_1</t>
  </si>
  <si>
    <t>FAI43_2</t>
  </si>
  <si>
    <t>FAI52</t>
  </si>
  <si>
    <t>FAI53</t>
  </si>
  <si>
    <t>FAI2_1</t>
  </si>
  <si>
    <t>CMM</t>
  </si>
  <si>
    <t>FAI2_2</t>
  </si>
  <si>
    <t>FAI5_1</t>
  </si>
  <si>
    <t>FAI5_2</t>
  </si>
  <si>
    <t>FAI14</t>
  </si>
  <si>
    <t>N</t>
  </si>
  <si>
    <t>FAI15</t>
  </si>
  <si>
    <t>O</t>
  </si>
  <si>
    <t>FAI17</t>
  </si>
  <si>
    <t>Q</t>
  </si>
  <si>
    <t>FAI49</t>
  </si>
  <si>
    <t>FAI51_1</t>
  </si>
  <si>
    <t>FAI51_2</t>
  </si>
  <si>
    <t>FAI18</t>
  </si>
  <si>
    <t>R</t>
  </si>
  <si>
    <t>FAI19</t>
  </si>
  <si>
    <t>S</t>
  </si>
  <si>
    <t>FAI33_1X</t>
  </si>
  <si>
    <t>FAI33_1Z</t>
  </si>
  <si>
    <t>FAI33_1</t>
  </si>
  <si>
    <t>U</t>
  </si>
  <si>
    <t>FAI33_2X</t>
  </si>
  <si>
    <t>FAI33_2Z</t>
  </si>
  <si>
    <t>FAI33_2</t>
  </si>
  <si>
    <t>FAI34_1</t>
  </si>
  <si>
    <t>V</t>
  </si>
  <si>
    <t>FAI34_2</t>
  </si>
  <si>
    <t>FAI42</t>
  </si>
  <si>
    <t>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</si>
</sst>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3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</cellStyleXfs>
  <cellXfs count="5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2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4" borderId="5" xfId="60" applyFont="1" applyFill="1" applyBorder="1" applyAlignment="1">
      <alignment horizontal="center" vertical="center"/>
    </xf>
    <xf numFmtId="0" fontId="5" fillId="4" borderId="6" xfId="60" applyFont="1" applyFill="1" applyBorder="1" applyAlignment="1">
      <alignment horizontal="center" vertical="center"/>
    </xf>
    <xf numFmtId="0" fontId="5" fillId="4" borderId="7" xfId="60" applyFont="1" applyFill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49" fontId="6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4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6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1"/>
  <sheetViews>
    <sheetView tabSelected="1" topLeftCell="Q1" workbookViewId="0">
      <selection activeCell="AE3" sqref="AE3:AI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9"/>
      <c r="K2" s="10"/>
      <c r="L2" s="11" t="s">
        <v>4</v>
      </c>
      <c r="M2" s="11"/>
      <c r="N2" s="11"/>
      <c r="O2" s="11"/>
      <c r="P2" s="11"/>
      <c r="Q2" s="11"/>
      <c r="R2" s="11"/>
      <c r="S2" s="12" t="s">
        <v>5</v>
      </c>
      <c r="T2" s="13"/>
      <c r="U2" s="13"/>
      <c r="V2" s="13"/>
      <c r="W2" s="13"/>
      <c r="X2" s="14"/>
      <c r="Y2" s="15" t="s">
        <v>6</v>
      </c>
      <c r="Z2" s="16"/>
      <c r="AA2" s="16"/>
      <c r="AB2" s="16"/>
      <c r="AC2" s="16"/>
      <c r="AD2" s="17"/>
      <c r="AE2" s="15" t="s">
        <v>7</v>
      </c>
      <c r="AF2" s="16"/>
      <c r="AG2" s="16"/>
      <c r="AH2" s="16"/>
      <c r="AI2" s="17"/>
      <c r="AJ2" s="18" t="s">
        <v>8</v>
      </c>
      <c r="AK2" s="19"/>
      <c r="AL2" s="19"/>
      <c r="AM2" s="20"/>
      <c r="AN2" s="18" t="s">
        <v>9</v>
      </c>
      <c r="AO2" s="20"/>
    </row>
    <row r="3" ht="15" customHeight="1" spans="1:41">
      <c r="A3" s="4"/>
      <c r="B3" s="21"/>
      <c r="C3" s="22"/>
      <c r="D3" s="22"/>
      <c r="E3" s="22"/>
      <c r="F3" s="22"/>
      <c r="G3" s="23"/>
      <c r="H3" s="24"/>
      <c r="I3" s="25"/>
      <c r="J3" s="25"/>
      <c r="K3" s="26"/>
      <c r="L3" s="11"/>
      <c r="M3" s="11"/>
      <c r="N3" s="11"/>
      <c r="O3" s="11"/>
      <c r="P3" s="11"/>
      <c r="Q3" s="11"/>
      <c r="R3" s="11"/>
      <c r="S3" s="27" t="s">
        <v>10</v>
      </c>
      <c r="T3" s="28"/>
      <c r="U3" s="28"/>
      <c r="V3" s="28"/>
      <c r="W3" s="28"/>
      <c r="X3" s="29"/>
      <c r="Y3" s="27" t="s">
        <v>11</v>
      </c>
      <c r="Z3" s="28"/>
      <c r="AA3" s="28"/>
      <c r="AB3" s="28"/>
      <c r="AC3" s="28"/>
      <c r="AD3" s="29"/>
      <c r="AE3" s="30" t="s">
        <v>12</v>
      </c>
      <c r="AF3" s="31"/>
      <c r="AG3" s="31"/>
      <c r="AH3" s="31"/>
      <c r="AI3" s="32"/>
      <c r="AJ3" s="30" t="s">
        <v>13</v>
      </c>
      <c r="AK3" s="31"/>
      <c r="AL3" s="31"/>
      <c r="AM3" s="32"/>
      <c r="AN3" s="30" t="s">
        <v>14</v>
      </c>
      <c r="AO3" s="32"/>
    </row>
    <row r="4" customHeight="1" spans="1:41">
      <c r="A4" s="33" t="s">
        <v>15</v>
      </c>
      <c r="B4" s="33" t="s">
        <v>16</v>
      </c>
      <c r="C4" s="34" t="s">
        <v>17</v>
      </c>
      <c r="D4" s="33" t="s">
        <v>18</v>
      </c>
      <c r="E4" s="33" t="s">
        <v>19</v>
      </c>
      <c r="F4" s="33" t="s">
        <v>20</v>
      </c>
      <c r="G4" s="33" t="s">
        <v>21</v>
      </c>
      <c r="H4" s="33" t="s">
        <v>22</v>
      </c>
      <c r="I4" s="33" t="s">
        <v>23</v>
      </c>
      <c r="J4" s="35" t="s">
        <v>24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6" t="s">
        <v>25</v>
      </c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8"/>
    </row>
    <row r="5" ht="13.5" customHeight="1" spans="1:41">
      <c r="A5" s="39"/>
      <c r="B5" s="40"/>
      <c r="C5" s="41"/>
      <c r="D5" s="40"/>
      <c r="E5" s="40"/>
      <c r="F5" s="40"/>
      <c r="G5" s="40"/>
      <c r="H5" s="40"/>
      <c r="I5" s="40"/>
      <c r="J5" s="35" t="s">
        <v>26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42" t="s">
        <v>27</v>
      </c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</row>
    <row r="6" customHeight="1" spans="1:41">
      <c r="A6" s="39"/>
      <c r="B6" s="40"/>
      <c r="C6" s="43"/>
      <c r="D6" s="40"/>
      <c r="E6" s="40"/>
      <c r="F6" s="40"/>
      <c r="G6" s="40"/>
      <c r="H6" s="40"/>
      <c r="I6" s="40"/>
      <c r="J6" s="44">
        <v>1</v>
      </c>
      <c r="K6" s="44">
        <v>2</v>
      </c>
      <c r="L6" s="44">
        <v>3</v>
      </c>
      <c r="M6" s="44">
        <v>4</v>
      </c>
      <c r="N6" s="44">
        <v>5</v>
      </c>
      <c r="O6" s="44">
        <v>6</v>
      </c>
      <c r="P6" s="44">
        <v>7</v>
      </c>
      <c r="Q6" s="44">
        <v>8</v>
      </c>
      <c r="R6" s="44">
        <v>9</v>
      </c>
      <c r="S6" s="44">
        <v>10</v>
      </c>
      <c r="T6" s="44">
        <v>11</v>
      </c>
      <c r="U6" s="44">
        <v>12</v>
      </c>
      <c r="V6" s="44">
        <v>13</v>
      </c>
      <c r="W6" s="44">
        <v>14</v>
      </c>
      <c r="X6" s="44">
        <v>15</v>
      </c>
      <c r="Y6" s="44">
        <v>16</v>
      </c>
      <c r="Z6" s="45">
        <f t="shared" ref="Z6:AO6" si="0">J6</f>
        <v>1</v>
      </c>
      <c r="AA6" s="45">
        <f t="shared" si="0"/>
        <v>2</v>
      </c>
      <c r="AB6" s="45">
        <f t="shared" si="0"/>
        <v>3</v>
      </c>
      <c r="AC6" s="45">
        <f t="shared" si="0"/>
        <v>4</v>
      </c>
      <c r="AD6" s="45">
        <f t="shared" si="0"/>
        <v>5</v>
      </c>
      <c r="AE6" s="45">
        <f t="shared" si="0"/>
        <v>6</v>
      </c>
      <c r="AF6" s="45">
        <f t="shared" si="0"/>
        <v>7</v>
      </c>
      <c r="AG6" s="45">
        <f t="shared" si="0"/>
        <v>8</v>
      </c>
      <c r="AH6" s="45">
        <f t="shared" si="0"/>
        <v>9</v>
      </c>
      <c r="AI6" s="45">
        <f t="shared" si="0"/>
        <v>10</v>
      </c>
      <c r="AJ6" s="45">
        <f t="shared" si="0"/>
        <v>11</v>
      </c>
      <c r="AK6" s="45">
        <f t="shared" si="0"/>
        <v>12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spans="1:41">
      <c r="A7" s="46">
        <v>46205</v>
      </c>
      <c r="B7" s="47" t="s">
        <v>28</v>
      </c>
      <c r="C7" s="47"/>
      <c r="D7" s="48">
        <v>0.8</v>
      </c>
      <c r="E7" s="48">
        <v>0.04</v>
      </c>
      <c r="F7" s="48">
        <v>-0.04</v>
      </c>
      <c r="G7" s="48">
        <f t="shared" ref="G7:G18" si="1">D7+E7</f>
        <v>0.84</v>
      </c>
      <c r="H7" s="48">
        <f t="shared" ref="H7:H18" si="2">D7+F7</f>
        <v>0.76</v>
      </c>
      <c r="I7" s="48" t="s">
        <v>29</v>
      </c>
      <c r="J7" s="49">
        <v>0.8025</v>
      </c>
      <c r="K7" s="49">
        <v>0.8012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50" t="str">
        <f t="shared" ref="Z7:AO7" si="3">IF(J7="","",IF(J7&gt;($D7+$E7),(J7-$D7-$E7),IF(J7&lt;($D7+$F7),(J7-$D7-$F7),"√")))</f>
        <v>√</v>
      </c>
      <c r="AA7" s="50" t="str">
        <f t="shared" si="3"/>
        <v>√</v>
      </c>
      <c r="AB7" s="50" t="str">
        <f t="shared" si="3"/>
        <v/>
      </c>
      <c r="AC7" s="50" t="str">
        <f t="shared" si="3"/>
        <v/>
      </c>
      <c r="AD7" s="50" t="str">
        <f t="shared" si="3"/>
        <v/>
      </c>
      <c r="AE7" s="50" t="str">
        <f t="shared" si="3"/>
        <v/>
      </c>
      <c r="AF7" s="50" t="str">
        <f t="shared" si="3"/>
        <v/>
      </c>
      <c r="AG7" s="50" t="str">
        <f t="shared" si="3"/>
        <v/>
      </c>
      <c r="AH7" s="50" t="str">
        <f t="shared" si="3"/>
        <v/>
      </c>
      <c r="AI7" s="50" t="str">
        <f t="shared" si="3"/>
        <v/>
      </c>
      <c r="AJ7" s="50" t="str">
        <f t="shared" si="3"/>
        <v/>
      </c>
      <c r="AK7" s="50" t="str">
        <f t="shared" si="3"/>
        <v/>
      </c>
      <c r="AL7" s="50" t="str">
        <f t="shared" si="3"/>
        <v/>
      </c>
      <c r="AM7" s="50" t="str">
        <f t="shared" si="3"/>
        <v/>
      </c>
      <c r="AN7" s="50" t="str">
        <f t="shared" si="3"/>
        <v/>
      </c>
      <c r="AO7" s="50" t="str">
        <f t="shared" si="3"/>
        <v/>
      </c>
    </row>
    <row r="8" spans="1:41">
      <c r="A8" s="51"/>
      <c r="B8" s="52" t="s">
        <v>30</v>
      </c>
      <c r="C8" s="52"/>
      <c r="D8" s="48">
        <v>0.8</v>
      </c>
      <c r="E8" s="48">
        <v>0.04</v>
      </c>
      <c r="F8" s="48">
        <v>-0.04</v>
      </c>
      <c r="G8" s="48">
        <f t="shared" si="1"/>
        <v>0.84</v>
      </c>
      <c r="H8" s="48">
        <f t="shared" si="2"/>
        <v>0.76</v>
      </c>
      <c r="I8" s="48" t="s">
        <v>29</v>
      </c>
      <c r="J8" s="49">
        <v>0.8009</v>
      </c>
      <c r="K8" s="49">
        <v>0.8053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50" t="str">
        <f t="shared" ref="Z8:AO8" si="4">IF(J8="","",IF(J8&gt;($D8+$E8),(J8-$D8-$E8),IF(J8&lt;($D8+$F8),(J8-$D8-$F8),"√")))</f>
        <v>√</v>
      </c>
      <c r="AA8" s="50" t="str">
        <f t="shared" si="4"/>
        <v>√</v>
      </c>
      <c r="AB8" s="50" t="str">
        <f t="shared" si="4"/>
        <v/>
      </c>
      <c r="AC8" s="50" t="str">
        <f t="shared" si="4"/>
        <v/>
      </c>
      <c r="AD8" s="50" t="str">
        <f t="shared" si="4"/>
        <v/>
      </c>
      <c r="AE8" s="50" t="str">
        <f t="shared" si="4"/>
        <v/>
      </c>
      <c r="AF8" s="50" t="str">
        <f t="shared" si="4"/>
        <v/>
      </c>
      <c r="AG8" s="50" t="str">
        <f t="shared" si="4"/>
        <v/>
      </c>
      <c r="AH8" s="50" t="str">
        <f t="shared" si="4"/>
        <v/>
      </c>
      <c r="AI8" s="50" t="str">
        <f t="shared" si="4"/>
        <v/>
      </c>
      <c r="AJ8" s="50" t="str">
        <f t="shared" si="4"/>
        <v/>
      </c>
      <c r="AK8" s="50" t="str">
        <f t="shared" si="4"/>
        <v/>
      </c>
      <c r="AL8" s="50" t="str">
        <f t="shared" si="4"/>
        <v/>
      </c>
      <c r="AM8" s="50" t="str">
        <f t="shared" si="4"/>
        <v/>
      </c>
      <c r="AN8" s="50" t="str">
        <f t="shared" si="4"/>
        <v/>
      </c>
      <c r="AO8" s="50" t="str">
        <f t="shared" si="4"/>
        <v/>
      </c>
    </row>
    <row r="9" spans="1:41">
      <c r="A9" s="51"/>
      <c r="B9" s="52" t="s">
        <v>31</v>
      </c>
      <c r="C9" s="52" t="s">
        <v>32</v>
      </c>
      <c r="D9" s="48">
        <v>2.1</v>
      </c>
      <c r="E9" s="48">
        <v>0.03</v>
      </c>
      <c r="F9" s="48">
        <v>-0.03</v>
      </c>
      <c r="G9" s="48">
        <f t="shared" si="1"/>
        <v>2.13</v>
      </c>
      <c r="H9" s="48">
        <f t="shared" si="2"/>
        <v>2.07</v>
      </c>
      <c r="I9" s="48" t="s">
        <v>29</v>
      </c>
      <c r="J9" s="49">
        <v>2.1046</v>
      </c>
      <c r="K9" s="49">
        <v>2.1019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50" t="str">
        <f t="shared" ref="Z9:AO9" si="5">IF(J9="","",IF(J9&gt;($D9+$E9),(J9-$D9-$E9),IF(J9&lt;($D9+$F9),(J9-$D9-$F9),"√")))</f>
        <v>√</v>
      </c>
      <c r="AA9" s="50" t="str">
        <f t="shared" si="5"/>
        <v>√</v>
      </c>
      <c r="AB9" s="50" t="str">
        <f t="shared" si="5"/>
        <v/>
      </c>
      <c r="AC9" s="50" t="str">
        <f t="shared" si="5"/>
        <v/>
      </c>
      <c r="AD9" s="50" t="str">
        <f t="shared" si="5"/>
        <v/>
      </c>
      <c r="AE9" s="50" t="str">
        <f t="shared" si="5"/>
        <v/>
      </c>
      <c r="AF9" s="50" t="str">
        <f t="shared" si="5"/>
        <v/>
      </c>
      <c r="AG9" s="50" t="str">
        <f t="shared" si="5"/>
        <v/>
      </c>
      <c r="AH9" s="50" t="str">
        <f t="shared" si="5"/>
        <v/>
      </c>
      <c r="AI9" s="50" t="str">
        <f t="shared" si="5"/>
        <v/>
      </c>
      <c r="AJ9" s="50" t="str">
        <f t="shared" si="5"/>
        <v/>
      </c>
      <c r="AK9" s="50" t="str">
        <f t="shared" si="5"/>
        <v/>
      </c>
      <c r="AL9" s="50" t="str">
        <f t="shared" si="5"/>
        <v/>
      </c>
      <c r="AM9" s="50" t="str">
        <f t="shared" si="5"/>
        <v/>
      </c>
      <c r="AN9" s="50" t="str">
        <f t="shared" si="5"/>
        <v/>
      </c>
      <c r="AO9" s="50" t="str">
        <f t="shared" si="5"/>
        <v/>
      </c>
    </row>
    <row r="10" spans="1:41">
      <c r="A10" s="51"/>
      <c r="B10" s="52" t="s">
        <v>33</v>
      </c>
      <c r="C10" s="52" t="s">
        <v>32</v>
      </c>
      <c r="D10" s="48">
        <v>2.1</v>
      </c>
      <c r="E10" s="48">
        <v>0.03</v>
      </c>
      <c r="F10" s="48">
        <v>-0.03</v>
      </c>
      <c r="G10" s="48">
        <f t="shared" si="1"/>
        <v>2.13</v>
      </c>
      <c r="H10" s="48">
        <f t="shared" si="2"/>
        <v>2.07</v>
      </c>
      <c r="I10" s="48" t="s">
        <v>29</v>
      </c>
      <c r="J10" s="49">
        <v>2.1031</v>
      </c>
      <c r="K10" s="49">
        <v>2.1045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50" t="str">
        <f t="shared" ref="Z10:AO10" si="6">IF(J10="","",IF(J10&gt;($D10+$E10),(J10-$D10-$E10),IF(J10&lt;($D10+$F10),(J10-$D10-$F10),"√")))</f>
        <v>√</v>
      </c>
      <c r="AA10" s="50" t="str">
        <f t="shared" si="6"/>
        <v>√</v>
      </c>
      <c r="AB10" s="50" t="str">
        <f t="shared" si="6"/>
        <v/>
      </c>
      <c r="AC10" s="50" t="str">
        <f t="shared" si="6"/>
        <v/>
      </c>
      <c r="AD10" s="50" t="str">
        <f t="shared" si="6"/>
        <v/>
      </c>
      <c r="AE10" s="50" t="str">
        <f t="shared" si="6"/>
        <v/>
      </c>
      <c r="AF10" s="50" t="str">
        <f t="shared" si="6"/>
        <v/>
      </c>
      <c r="AG10" s="50" t="str">
        <f t="shared" si="6"/>
        <v/>
      </c>
      <c r="AH10" s="50" t="str">
        <f t="shared" si="6"/>
        <v/>
      </c>
      <c r="AI10" s="50" t="str">
        <f t="shared" si="6"/>
        <v/>
      </c>
      <c r="AJ10" s="50" t="str">
        <f t="shared" si="6"/>
        <v/>
      </c>
      <c r="AK10" s="50" t="str">
        <f t="shared" si="6"/>
        <v/>
      </c>
      <c r="AL10" s="50" t="str">
        <f t="shared" si="6"/>
        <v/>
      </c>
      <c r="AM10" s="50" t="str">
        <f t="shared" si="6"/>
        <v/>
      </c>
      <c r="AN10" s="50" t="str">
        <f t="shared" si="6"/>
        <v/>
      </c>
      <c r="AO10" s="50" t="str">
        <f t="shared" si="6"/>
        <v/>
      </c>
    </row>
    <row r="11" spans="1:41">
      <c r="A11" s="51"/>
      <c r="B11" s="52" t="s">
        <v>34</v>
      </c>
      <c r="C11" s="52"/>
      <c r="D11" s="48">
        <v>1.05</v>
      </c>
      <c r="E11" s="48">
        <v>0.05</v>
      </c>
      <c r="F11" s="48">
        <v>-0.05</v>
      </c>
      <c r="G11" s="48">
        <f t="shared" si="1"/>
        <v>1.1</v>
      </c>
      <c r="H11" s="48">
        <f t="shared" si="2"/>
        <v>1</v>
      </c>
      <c r="I11" s="48" t="s">
        <v>29</v>
      </c>
      <c r="J11" s="49">
        <v>1.0362</v>
      </c>
      <c r="K11" s="49">
        <v>1.0442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50" t="str">
        <f t="shared" ref="Z11:AO11" si="7">IF(J11="","",IF(J11&gt;($D11+$E11),(J11-$D11-$E11),IF(J11&lt;($D11+$F11),(J11-$D11-$F11),"√")))</f>
        <v>√</v>
      </c>
      <c r="AA11" s="50" t="str">
        <f t="shared" si="7"/>
        <v>√</v>
      </c>
      <c r="AB11" s="50" t="str">
        <f t="shared" si="7"/>
        <v/>
      </c>
      <c r="AC11" s="50" t="str">
        <f t="shared" si="7"/>
        <v/>
      </c>
      <c r="AD11" s="50" t="str">
        <f t="shared" si="7"/>
        <v/>
      </c>
      <c r="AE11" s="50" t="str">
        <f t="shared" si="7"/>
        <v/>
      </c>
      <c r="AF11" s="50" t="str">
        <f t="shared" si="7"/>
        <v/>
      </c>
      <c r="AG11" s="50" t="str">
        <f t="shared" si="7"/>
        <v/>
      </c>
      <c r="AH11" s="50" t="str">
        <f t="shared" si="7"/>
        <v/>
      </c>
      <c r="AI11" s="50" t="str">
        <f t="shared" si="7"/>
        <v/>
      </c>
      <c r="AJ11" s="50" t="str">
        <f t="shared" si="7"/>
        <v/>
      </c>
      <c r="AK11" s="50" t="str">
        <f t="shared" si="7"/>
        <v/>
      </c>
      <c r="AL11" s="50" t="str">
        <f t="shared" si="7"/>
        <v/>
      </c>
      <c r="AM11" s="50" t="str">
        <f t="shared" si="7"/>
        <v/>
      </c>
      <c r="AN11" s="50" t="str">
        <f t="shared" si="7"/>
        <v/>
      </c>
      <c r="AO11" s="50" t="str">
        <f t="shared" si="7"/>
        <v/>
      </c>
    </row>
    <row r="12" spans="1:41">
      <c r="A12" s="51"/>
      <c r="B12" s="52" t="s">
        <v>35</v>
      </c>
      <c r="C12" s="52"/>
      <c r="D12" s="48">
        <v>1.05</v>
      </c>
      <c r="E12" s="48">
        <v>0.05</v>
      </c>
      <c r="F12" s="48">
        <v>-0.05</v>
      </c>
      <c r="G12" s="48">
        <f t="shared" si="1"/>
        <v>1.1</v>
      </c>
      <c r="H12" s="48">
        <f t="shared" si="2"/>
        <v>1</v>
      </c>
      <c r="I12" s="48" t="s">
        <v>29</v>
      </c>
      <c r="J12" s="49">
        <v>1.0385</v>
      </c>
      <c r="K12" s="49">
        <v>1.0428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50" t="str">
        <f t="shared" ref="Z12:AO12" si="8">IF(J12="","",IF(J12&gt;($D12+$E12),(J12-$D12-$E12),IF(J12&lt;($D12+$F12),(J12-$D12-$F12),"√")))</f>
        <v>√</v>
      </c>
      <c r="AA12" s="50" t="str">
        <f t="shared" si="8"/>
        <v>√</v>
      </c>
      <c r="AB12" s="50" t="str">
        <f t="shared" si="8"/>
        <v/>
      </c>
      <c r="AC12" s="50" t="str">
        <f t="shared" si="8"/>
        <v/>
      </c>
      <c r="AD12" s="50" t="str">
        <f t="shared" si="8"/>
        <v/>
      </c>
      <c r="AE12" s="50" t="str">
        <f t="shared" si="8"/>
        <v/>
      </c>
      <c r="AF12" s="50" t="str">
        <f t="shared" si="8"/>
        <v/>
      </c>
      <c r="AG12" s="50" t="str">
        <f t="shared" si="8"/>
        <v/>
      </c>
      <c r="AH12" s="50" t="str">
        <f t="shared" si="8"/>
        <v/>
      </c>
      <c r="AI12" s="50" t="str">
        <f t="shared" si="8"/>
        <v/>
      </c>
      <c r="AJ12" s="50" t="str">
        <f t="shared" si="8"/>
        <v/>
      </c>
      <c r="AK12" s="50" t="str">
        <f t="shared" si="8"/>
        <v/>
      </c>
      <c r="AL12" s="50" t="str">
        <f t="shared" si="8"/>
        <v/>
      </c>
      <c r="AM12" s="50" t="str">
        <f t="shared" si="8"/>
        <v/>
      </c>
      <c r="AN12" s="50" t="str">
        <f t="shared" si="8"/>
        <v/>
      </c>
      <c r="AO12" s="50" t="str">
        <f t="shared" si="8"/>
        <v/>
      </c>
    </row>
    <row r="13" spans="1:41">
      <c r="A13" s="51"/>
      <c r="B13" s="52" t="s">
        <v>36</v>
      </c>
      <c r="C13" s="52"/>
      <c r="D13" s="48">
        <v>0</v>
      </c>
      <c r="E13" s="48">
        <v>0.05</v>
      </c>
      <c r="F13" s="48">
        <v>0</v>
      </c>
      <c r="G13" s="48">
        <f t="shared" si="1"/>
        <v>0.05</v>
      </c>
      <c r="H13" s="48">
        <f t="shared" si="2"/>
        <v>0</v>
      </c>
      <c r="I13" s="48" t="s">
        <v>29</v>
      </c>
      <c r="J13" s="49">
        <v>0.0468</v>
      </c>
      <c r="K13" s="49">
        <v>0.0469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0" t="str">
        <f t="shared" ref="Z13:AO13" si="9">IF(J13="","",IF(J13&gt;($D13+$E13),(J13-$D13-$E13),IF(J13&lt;($D13+$F13),(J13-$D13-$F13),"√")))</f>
        <v>√</v>
      </c>
      <c r="AA13" s="50" t="str">
        <f t="shared" si="9"/>
        <v>√</v>
      </c>
      <c r="AB13" s="50" t="str">
        <f t="shared" si="9"/>
        <v/>
      </c>
      <c r="AC13" s="50" t="str">
        <f t="shared" si="9"/>
        <v/>
      </c>
      <c r="AD13" s="50" t="str">
        <f t="shared" si="9"/>
        <v/>
      </c>
      <c r="AE13" s="50" t="str">
        <f t="shared" si="9"/>
        <v/>
      </c>
      <c r="AF13" s="50" t="str">
        <f t="shared" si="9"/>
        <v/>
      </c>
      <c r="AG13" s="50" t="str">
        <f t="shared" si="9"/>
        <v/>
      </c>
      <c r="AH13" s="50" t="str">
        <f t="shared" si="9"/>
        <v/>
      </c>
      <c r="AI13" s="50" t="str">
        <f t="shared" si="9"/>
        <v/>
      </c>
      <c r="AJ13" s="50" t="str">
        <f t="shared" si="9"/>
        <v/>
      </c>
      <c r="AK13" s="50" t="str">
        <f t="shared" si="9"/>
        <v/>
      </c>
      <c r="AL13" s="50" t="str">
        <f t="shared" si="9"/>
        <v/>
      </c>
      <c r="AM13" s="50" t="str">
        <f t="shared" si="9"/>
        <v/>
      </c>
      <c r="AN13" s="50" t="str">
        <f t="shared" si="9"/>
        <v/>
      </c>
      <c r="AO13" s="50" t="str">
        <f t="shared" si="9"/>
        <v/>
      </c>
    </row>
    <row r="14" spans="1:41">
      <c r="A14" s="51"/>
      <c r="B14" s="52" t="s">
        <v>37</v>
      </c>
      <c r="C14" s="52"/>
      <c r="D14" s="48">
        <v>0</v>
      </c>
      <c r="E14" s="48">
        <v>0.05</v>
      </c>
      <c r="F14" s="48">
        <v>0</v>
      </c>
      <c r="G14" s="48">
        <f t="shared" si="1"/>
        <v>0.05</v>
      </c>
      <c r="H14" s="48">
        <f t="shared" si="2"/>
        <v>0</v>
      </c>
      <c r="I14" s="48" t="s">
        <v>29</v>
      </c>
      <c r="J14" s="49">
        <v>0.0387</v>
      </c>
      <c r="K14" s="49">
        <v>0.0375</v>
      </c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50" t="str">
        <f t="shared" ref="Z14:AO14" si="10">IF(J14="","",IF(J14&gt;($D14+$E14),(J14-$D14-$E14),IF(J14&lt;($D14+$F14),(J14-$D14-$F14),"√")))</f>
        <v>√</v>
      </c>
      <c r="AA14" s="50" t="str">
        <f t="shared" si="10"/>
        <v>√</v>
      </c>
      <c r="AB14" s="50" t="str">
        <f t="shared" si="10"/>
        <v/>
      </c>
      <c r="AC14" s="50" t="str">
        <f t="shared" si="10"/>
        <v/>
      </c>
      <c r="AD14" s="50" t="str">
        <f t="shared" si="10"/>
        <v/>
      </c>
      <c r="AE14" s="50" t="str">
        <f t="shared" si="10"/>
        <v/>
      </c>
      <c r="AF14" s="50" t="str">
        <f t="shared" si="10"/>
        <v/>
      </c>
      <c r="AG14" s="50" t="str">
        <f t="shared" si="10"/>
        <v/>
      </c>
      <c r="AH14" s="50" t="str">
        <f t="shared" si="10"/>
        <v/>
      </c>
      <c r="AI14" s="50" t="str">
        <f t="shared" si="10"/>
        <v/>
      </c>
      <c r="AJ14" s="50" t="str">
        <f t="shared" si="10"/>
        <v/>
      </c>
      <c r="AK14" s="50" t="str">
        <f t="shared" si="10"/>
        <v/>
      </c>
      <c r="AL14" s="50" t="str">
        <f t="shared" si="10"/>
        <v/>
      </c>
      <c r="AM14" s="50" t="str">
        <f t="shared" si="10"/>
        <v/>
      </c>
      <c r="AN14" s="50" t="str">
        <f t="shared" si="10"/>
        <v/>
      </c>
      <c r="AO14" s="50" t="str">
        <f t="shared" si="10"/>
        <v/>
      </c>
    </row>
    <row r="15" spans="1:41">
      <c r="A15" s="51"/>
      <c r="B15" s="52" t="s">
        <v>38</v>
      </c>
      <c r="C15" s="52"/>
      <c r="D15" s="48">
        <v>0.7</v>
      </c>
      <c r="E15" s="48">
        <v>0.03</v>
      </c>
      <c r="F15" s="48">
        <v>-0.03</v>
      </c>
      <c r="G15" s="48">
        <f t="shared" si="1"/>
        <v>0.73</v>
      </c>
      <c r="H15" s="48">
        <f t="shared" si="2"/>
        <v>0.67</v>
      </c>
      <c r="I15" s="48" t="s">
        <v>39</v>
      </c>
      <c r="J15" s="49">
        <v>0.70125</v>
      </c>
      <c r="K15" s="49">
        <v>0.70023</v>
      </c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50" t="str">
        <f t="shared" ref="Z15:AO15" si="11">IF(J15="","",IF(J15&gt;($D15+$E15),(J15-$D15-$E15),IF(J15&lt;($D15+$F15),(J15-$D15-$F15),"√")))</f>
        <v>√</v>
      </c>
      <c r="AA15" s="50" t="str">
        <f t="shared" si="11"/>
        <v>√</v>
      </c>
      <c r="AB15" s="50" t="str">
        <f t="shared" si="11"/>
        <v/>
      </c>
      <c r="AC15" s="50" t="str">
        <f t="shared" si="11"/>
        <v/>
      </c>
      <c r="AD15" s="50" t="str">
        <f t="shared" si="11"/>
        <v/>
      </c>
      <c r="AE15" s="50" t="str">
        <f t="shared" si="11"/>
        <v/>
      </c>
      <c r="AF15" s="50" t="str">
        <f t="shared" si="11"/>
        <v/>
      </c>
      <c r="AG15" s="50" t="str">
        <f t="shared" si="11"/>
        <v/>
      </c>
      <c r="AH15" s="50" t="str">
        <f t="shared" si="11"/>
        <v/>
      </c>
      <c r="AI15" s="50" t="str">
        <f t="shared" si="11"/>
        <v/>
      </c>
      <c r="AJ15" s="50" t="str">
        <f t="shared" si="11"/>
        <v/>
      </c>
      <c r="AK15" s="50" t="str">
        <f t="shared" si="11"/>
        <v/>
      </c>
      <c r="AL15" s="50" t="str">
        <f t="shared" si="11"/>
        <v/>
      </c>
      <c r="AM15" s="50" t="str">
        <f t="shared" si="11"/>
        <v/>
      </c>
      <c r="AN15" s="50" t="str">
        <f t="shared" si="11"/>
        <v/>
      </c>
      <c r="AO15" s="50" t="str">
        <f t="shared" si="11"/>
        <v/>
      </c>
    </row>
    <row r="16" spans="1:41">
      <c r="A16" s="51"/>
      <c r="B16" s="52" t="s">
        <v>40</v>
      </c>
      <c r="C16" s="52"/>
      <c r="D16" s="48">
        <v>0.7</v>
      </c>
      <c r="E16" s="48">
        <v>0.03</v>
      </c>
      <c r="F16" s="48">
        <v>-0.03</v>
      </c>
      <c r="G16" s="48">
        <f t="shared" si="1"/>
        <v>0.73</v>
      </c>
      <c r="H16" s="48">
        <f t="shared" si="2"/>
        <v>0.67</v>
      </c>
      <c r="I16" s="48" t="s">
        <v>39</v>
      </c>
      <c r="J16" s="49">
        <v>0.69995</v>
      </c>
      <c r="K16" s="49">
        <v>0.69905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0" t="str">
        <f t="shared" ref="Z16:AO16" si="12">IF(J16="","",IF(J16&gt;($D16+$E16),(J16-$D16-$E16),IF(J16&lt;($D16+$F16),(J16-$D16-$F16),"√")))</f>
        <v>√</v>
      </c>
      <c r="AA16" s="50" t="str">
        <f t="shared" si="12"/>
        <v>√</v>
      </c>
      <c r="AB16" s="50" t="str">
        <f t="shared" si="12"/>
        <v/>
      </c>
      <c r="AC16" s="50" t="str">
        <f t="shared" si="12"/>
        <v/>
      </c>
      <c r="AD16" s="50" t="str">
        <f t="shared" si="12"/>
        <v/>
      </c>
      <c r="AE16" s="50" t="str">
        <f t="shared" si="12"/>
        <v/>
      </c>
      <c r="AF16" s="50" t="str">
        <f t="shared" si="12"/>
        <v/>
      </c>
      <c r="AG16" s="50" t="str">
        <f t="shared" si="12"/>
        <v/>
      </c>
      <c r="AH16" s="50" t="str">
        <f t="shared" si="12"/>
        <v/>
      </c>
      <c r="AI16" s="50" t="str">
        <f t="shared" si="12"/>
        <v/>
      </c>
      <c r="AJ16" s="50" t="str">
        <f t="shared" si="12"/>
        <v/>
      </c>
      <c r="AK16" s="50" t="str">
        <f t="shared" si="12"/>
        <v/>
      </c>
      <c r="AL16" s="50" t="str">
        <f t="shared" si="12"/>
        <v/>
      </c>
      <c r="AM16" s="50" t="str">
        <f t="shared" si="12"/>
        <v/>
      </c>
      <c r="AN16" s="50" t="str">
        <f t="shared" si="12"/>
        <v/>
      </c>
      <c r="AO16" s="50" t="str">
        <f t="shared" si="12"/>
        <v/>
      </c>
    </row>
    <row r="17" spans="1:41">
      <c r="A17" s="51"/>
      <c r="B17" s="52" t="s">
        <v>41</v>
      </c>
      <c r="C17" s="52"/>
      <c r="D17" s="48">
        <v>1.75</v>
      </c>
      <c r="E17" s="48">
        <v>0.05</v>
      </c>
      <c r="F17" s="48">
        <v>-0.05</v>
      </c>
      <c r="G17" s="48">
        <f t="shared" si="1"/>
        <v>1.8</v>
      </c>
      <c r="H17" s="48">
        <f t="shared" si="2"/>
        <v>1.7</v>
      </c>
      <c r="I17" s="48" t="s">
        <v>39</v>
      </c>
      <c r="J17" s="49">
        <v>1.76104</v>
      </c>
      <c r="K17" s="49">
        <v>1.76408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50" t="str">
        <f t="shared" ref="Z17:AO17" si="13">IF(J17="","",IF(J17&gt;($D17+$E17),(J17-$D17-$E17),IF(J17&lt;($D17+$F17),(J17-$D17-$F17),"√")))</f>
        <v>√</v>
      </c>
      <c r="AA17" s="50" t="str">
        <f t="shared" si="13"/>
        <v>√</v>
      </c>
      <c r="AB17" s="50" t="str">
        <f t="shared" si="13"/>
        <v/>
      </c>
      <c r="AC17" s="50" t="str">
        <f t="shared" si="13"/>
        <v/>
      </c>
      <c r="AD17" s="50" t="str">
        <f t="shared" si="13"/>
        <v/>
      </c>
      <c r="AE17" s="50" t="str">
        <f t="shared" si="13"/>
        <v/>
      </c>
      <c r="AF17" s="50" t="str">
        <f t="shared" si="13"/>
        <v/>
      </c>
      <c r="AG17" s="50" t="str">
        <f t="shared" si="13"/>
        <v/>
      </c>
      <c r="AH17" s="50" t="str">
        <f t="shared" si="13"/>
        <v/>
      </c>
      <c r="AI17" s="50" t="str">
        <f t="shared" si="13"/>
        <v/>
      </c>
      <c r="AJ17" s="50" t="str">
        <f t="shared" si="13"/>
        <v/>
      </c>
      <c r="AK17" s="50" t="str">
        <f t="shared" si="13"/>
        <v/>
      </c>
      <c r="AL17" s="50" t="str">
        <f t="shared" si="13"/>
        <v/>
      </c>
      <c r="AM17" s="50" t="str">
        <f t="shared" si="13"/>
        <v/>
      </c>
      <c r="AN17" s="50" t="str">
        <f t="shared" si="13"/>
        <v/>
      </c>
      <c r="AO17" s="50" t="str">
        <f t="shared" si="13"/>
        <v/>
      </c>
    </row>
    <row r="18" spans="1:41">
      <c r="A18" s="51"/>
      <c r="B18" s="52" t="s">
        <v>42</v>
      </c>
      <c r="C18" s="52"/>
      <c r="D18" s="48">
        <v>1.75</v>
      </c>
      <c r="E18" s="48">
        <v>0.05</v>
      </c>
      <c r="F18" s="48">
        <v>-0.05</v>
      </c>
      <c r="G18" s="48">
        <f t="shared" si="1"/>
        <v>1.8</v>
      </c>
      <c r="H18" s="48">
        <f t="shared" si="2"/>
        <v>1.7</v>
      </c>
      <c r="I18" s="48" t="s">
        <v>39</v>
      </c>
      <c r="J18" s="49">
        <v>1.75866</v>
      </c>
      <c r="K18" s="49">
        <v>1.76802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50" t="str">
        <f t="shared" ref="Z18:AO18" si="14">IF(J18="","",IF(J18&gt;($D18+$E18),(J18-$D18-$E18),IF(J18&lt;($D18+$F18),(J18-$D18-$F18),"√")))</f>
        <v>√</v>
      </c>
      <c r="AA18" s="50" t="str">
        <f t="shared" si="14"/>
        <v>√</v>
      </c>
      <c r="AB18" s="50" t="str">
        <f t="shared" si="14"/>
        <v/>
      </c>
      <c r="AC18" s="50" t="str">
        <f t="shared" si="14"/>
        <v/>
      </c>
      <c r="AD18" s="50" t="str">
        <f t="shared" si="14"/>
        <v/>
      </c>
      <c r="AE18" s="50" t="str">
        <f t="shared" si="14"/>
        <v/>
      </c>
      <c r="AF18" s="50" t="str">
        <f t="shared" si="14"/>
        <v/>
      </c>
      <c r="AG18" s="50" t="str">
        <f t="shared" si="14"/>
        <v/>
      </c>
      <c r="AH18" s="50" t="str">
        <f t="shared" si="14"/>
        <v/>
      </c>
      <c r="AI18" s="50" t="str">
        <f t="shared" si="14"/>
        <v/>
      </c>
      <c r="AJ18" s="50" t="str">
        <f t="shared" si="14"/>
        <v/>
      </c>
      <c r="AK18" s="50" t="str">
        <f t="shared" si="14"/>
        <v/>
      </c>
      <c r="AL18" s="50" t="str">
        <f t="shared" si="14"/>
        <v/>
      </c>
      <c r="AM18" s="50" t="str">
        <f t="shared" si="14"/>
        <v/>
      </c>
      <c r="AN18" s="50" t="str">
        <f t="shared" si="14"/>
        <v/>
      </c>
      <c r="AO18" s="50" t="str">
        <f t="shared" si="14"/>
        <v/>
      </c>
    </row>
    <row r="19" spans="1:41">
      <c r="A19" s="51"/>
      <c r="B19" s="52" t="s">
        <v>43</v>
      </c>
      <c r="C19" s="52" t="s">
        <v>44</v>
      </c>
      <c r="D19" s="48">
        <v>0.945</v>
      </c>
      <c r="E19" s="48">
        <v>0.014</v>
      </c>
      <c r="F19" s="48">
        <v>-0.006</v>
      </c>
      <c r="G19" s="48">
        <f t="shared" ref="G19:G25" si="15">D19+E19</f>
        <v>0.959</v>
      </c>
      <c r="H19" s="48">
        <f t="shared" ref="H19:H25" si="16">D19+F19</f>
        <v>0.939</v>
      </c>
      <c r="I19" s="48" t="s">
        <v>39</v>
      </c>
      <c r="J19" s="49">
        <v>0.94991</v>
      </c>
      <c r="K19" s="49">
        <v>0.94363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50" t="str">
        <f t="shared" ref="Z19:AO19" si="17">IF(J19="","",IF(J19&gt;($D19+$E19),(J19-$D19-$E19),IF(J19&lt;($D19+$F19),(J19-$D19-$F19),"√")))</f>
        <v>√</v>
      </c>
      <c r="AA19" s="50" t="str">
        <f t="shared" si="17"/>
        <v>√</v>
      </c>
      <c r="AB19" s="50" t="str">
        <f t="shared" si="17"/>
        <v/>
      </c>
      <c r="AC19" s="50" t="str">
        <f t="shared" si="17"/>
        <v/>
      </c>
      <c r="AD19" s="50" t="str">
        <f t="shared" si="17"/>
        <v/>
      </c>
      <c r="AE19" s="50" t="str">
        <f t="shared" si="17"/>
        <v/>
      </c>
      <c r="AF19" s="50" t="str">
        <f t="shared" si="17"/>
        <v/>
      </c>
      <c r="AG19" s="50" t="str">
        <f t="shared" si="17"/>
        <v/>
      </c>
      <c r="AH19" s="50" t="str">
        <f t="shared" si="17"/>
        <v/>
      </c>
      <c r="AI19" s="50" t="str">
        <f t="shared" si="17"/>
        <v/>
      </c>
      <c r="AJ19" s="50" t="str">
        <f t="shared" si="17"/>
        <v/>
      </c>
      <c r="AK19" s="50" t="str">
        <f t="shared" si="17"/>
        <v/>
      </c>
      <c r="AL19" s="50" t="str">
        <f t="shared" si="17"/>
        <v/>
      </c>
      <c r="AM19" s="50" t="str">
        <f t="shared" si="17"/>
        <v/>
      </c>
      <c r="AN19" s="50" t="str">
        <f t="shared" si="17"/>
        <v/>
      </c>
      <c r="AO19" s="50" t="str">
        <f t="shared" si="17"/>
        <v/>
      </c>
    </row>
    <row r="20" spans="1:41">
      <c r="A20" s="51"/>
      <c r="B20" s="52" t="s">
        <v>45</v>
      </c>
      <c r="C20" s="52" t="s">
        <v>46</v>
      </c>
      <c r="D20" s="48">
        <v>5.39</v>
      </c>
      <c r="E20" s="48">
        <v>0.025</v>
      </c>
      <c r="F20" s="48">
        <v>-0.025</v>
      </c>
      <c r="G20" s="48">
        <f t="shared" si="15"/>
        <v>5.415</v>
      </c>
      <c r="H20" s="48">
        <f t="shared" si="16"/>
        <v>5.365</v>
      </c>
      <c r="I20" s="48" t="s">
        <v>39</v>
      </c>
      <c r="J20" s="49">
        <v>5.38144</v>
      </c>
      <c r="K20" s="49">
        <v>5.37418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50" t="str">
        <f t="shared" ref="Z20:AO20" si="18">IF(J20="","",IF(J20&gt;($D20+$E20),(J20-$D20-$E20),IF(J20&lt;($D20+$F20),(J20-$D20-$F20),"√")))</f>
        <v>√</v>
      </c>
      <c r="AA20" s="50" t="str">
        <f t="shared" si="18"/>
        <v>√</v>
      </c>
      <c r="AB20" s="50" t="str">
        <f t="shared" si="18"/>
        <v/>
      </c>
      <c r="AC20" s="50" t="str">
        <f t="shared" si="18"/>
        <v/>
      </c>
      <c r="AD20" s="50" t="str">
        <f t="shared" si="18"/>
        <v/>
      </c>
      <c r="AE20" s="50" t="str">
        <f t="shared" si="18"/>
        <v/>
      </c>
      <c r="AF20" s="50" t="str">
        <f t="shared" si="18"/>
        <v/>
      </c>
      <c r="AG20" s="50" t="str">
        <f t="shared" si="18"/>
        <v/>
      </c>
      <c r="AH20" s="50" t="str">
        <f t="shared" si="18"/>
        <v/>
      </c>
      <c r="AI20" s="50" t="str">
        <f t="shared" si="18"/>
        <v/>
      </c>
      <c r="AJ20" s="50" t="str">
        <f t="shared" si="18"/>
        <v/>
      </c>
      <c r="AK20" s="50" t="str">
        <f t="shared" si="18"/>
        <v/>
      </c>
      <c r="AL20" s="50" t="str">
        <f t="shared" si="18"/>
        <v/>
      </c>
      <c r="AM20" s="50" t="str">
        <f t="shared" si="18"/>
        <v/>
      </c>
      <c r="AN20" s="50" t="str">
        <f t="shared" si="18"/>
        <v/>
      </c>
      <c r="AO20" s="50" t="str">
        <f t="shared" si="18"/>
        <v/>
      </c>
    </row>
    <row r="21" spans="1:41">
      <c r="A21" s="51"/>
      <c r="B21" s="52" t="s">
        <v>47</v>
      </c>
      <c r="C21" s="52" t="s">
        <v>48</v>
      </c>
      <c r="D21" s="48">
        <v>0.945</v>
      </c>
      <c r="E21" s="48">
        <v>0.014</v>
      </c>
      <c r="F21" s="48">
        <v>-0.006</v>
      </c>
      <c r="G21" s="48">
        <f t="shared" si="15"/>
        <v>0.959</v>
      </c>
      <c r="H21" s="48">
        <f t="shared" si="16"/>
        <v>0.939</v>
      </c>
      <c r="I21" s="48" t="s">
        <v>39</v>
      </c>
      <c r="J21" s="49">
        <v>0.95175</v>
      </c>
      <c r="K21" s="49">
        <v>0.94756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 t="str">
        <f t="shared" ref="Z21:AO21" si="19">IF(J21="","",IF(J21&gt;($D21+$E21),(J21-$D21-$E21),IF(J21&lt;($D21+$F21),(J21-$D21-$F21),"√")))</f>
        <v>√</v>
      </c>
      <c r="AA21" s="50" t="str">
        <f t="shared" si="19"/>
        <v>√</v>
      </c>
      <c r="AB21" s="50" t="str">
        <f t="shared" si="19"/>
        <v/>
      </c>
      <c r="AC21" s="50" t="str">
        <f t="shared" si="19"/>
        <v/>
      </c>
      <c r="AD21" s="50" t="str">
        <f t="shared" si="19"/>
        <v/>
      </c>
      <c r="AE21" s="50" t="str">
        <f t="shared" si="19"/>
        <v/>
      </c>
      <c r="AF21" s="50" t="str">
        <f t="shared" si="19"/>
        <v/>
      </c>
      <c r="AG21" s="50" t="str">
        <f t="shared" si="19"/>
        <v/>
      </c>
      <c r="AH21" s="50" t="str">
        <f t="shared" si="19"/>
        <v/>
      </c>
      <c r="AI21" s="50" t="str">
        <f t="shared" si="19"/>
        <v/>
      </c>
      <c r="AJ21" s="50" t="str">
        <f t="shared" si="19"/>
        <v/>
      </c>
      <c r="AK21" s="50" t="str">
        <f t="shared" si="19"/>
        <v/>
      </c>
      <c r="AL21" s="50" t="str">
        <f t="shared" si="19"/>
        <v/>
      </c>
      <c r="AM21" s="50" t="str">
        <f t="shared" si="19"/>
        <v/>
      </c>
      <c r="AN21" s="50" t="str">
        <f t="shared" si="19"/>
        <v/>
      </c>
      <c r="AO21" s="50" t="str">
        <f t="shared" si="19"/>
        <v/>
      </c>
    </row>
    <row r="22" spans="1:41">
      <c r="A22" s="51"/>
      <c r="B22" s="52" t="s">
        <v>49</v>
      </c>
      <c r="C22" s="52"/>
      <c r="D22" s="48">
        <v>1.05</v>
      </c>
      <c r="E22" s="48">
        <v>0.05</v>
      </c>
      <c r="F22" s="48">
        <v>-0.05</v>
      </c>
      <c r="G22" s="48">
        <f t="shared" si="15"/>
        <v>1.1</v>
      </c>
      <c r="H22" s="48">
        <f t="shared" si="16"/>
        <v>1</v>
      </c>
      <c r="I22" s="48" t="s">
        <v>39</v>
      </c>
      <c r="J22" s="49">
        <v>1.0368</v>
      </c>
      <c r="K22" s="49">
        <v>1.05512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50" t="str">
        <f t="shared" ref="Z22:AO24" si="20">IF(J22="","",IF(J22&gt;($D22+$E22),(J22-$D22-$E22),IF(J22&lt;($D22+$F22),(J22-$D22-$F22),"√")))</f>
        <v>√</v>
      </c>
      <c r="AA22" s="50" t="str">
        <f t="shared" si="20"/>
        <v>√</v>
      </c>
      <c r="AB22" s="50" t="str">
        <f t="shared" si="20"/>
        <v/>
      </c>
      <c r="AC22" s="50" t="str">
        <f t="shared" si="20"/>
        <v/>
      </c>
      <c r="AD22" s="50" t="str">
        <f t="shared" si="20"/>
        <v/>
      </c>
      <c r="AE22" s="50" t="str">
        <f t="shared" si="20"/>
        <v/>
      </c>
      <c r="AF22" s="50" t="str">
        <f t="shared" si="20"/>
        <v/>
      </c>
      <c r="AG22" s="50" t="str">
        <f t="shared" si="20"/>
        <v/>
      </c>
      <c r="AH22" s="50" t="str">
        <f t="shared" si="20"/>
        <v/>
      </c>
      <c r="AI22" s="50" t="str">
        <f t="shared" si="20"/>
        <v/>
      </c>
      <c r="AJ22" s="50" t="str">
        <f t="shared" si="20"/>
        <v/>
      </c>
      <c r="AK22" s="50" t="str">
        <f t="shared" si="20"/>
        <v/>
      </c>
      <c r="AL22" s="50" t="str">
        <f t="shared" si="20"/>
        <v/>
      </c>
      <c r="AM22" s="50" t="str">
        <f t="shared" si="20"/>
        <v/>
      </c>
      <c r="AN22" s="50" t="str">
        <f t="shared" si="20"/>
        <v/>
      </c>
      <c r="AO22" s="50" t="str">
        <f t="shared" si="20"/>
        <v/>
      </c>
    </row>
    <row r="23" spans="1:41">
      <c r="A23" s="51"/>
      <c r="B23" s="52" t="s">
        <v>50</v>
      </c>
      <c r="C23" s="52"/>
      <c r="D23" s="48">
        <v>0.965</v>
      </c>
      <c r="E23" s="48">
        <v>0.015</v>
      </c>
      <c r="F23" s="48">
        <v>-0.015</v>
      </c>
      <c r="G23" s="48">
        <f t="shared" si="15"/>
        <v>0.98</v>
      </c>
      <c r="H23" s="48">
        <f t="shared" si="16"/>
        <v>0.95</v>
      </c>
      <c r="I23" s="48" t="s">
        <v>39</v>
      </c>
      <c r="J23" s="49">
        <v>0.95762</v>
      </c>
      <c r="K23" s="49">
        <v>0.95756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50" t="str">
        <f t="shared" si="20"/>
        <v>√</v>
      </c>
      <c r="AA23" s="50" t="str">
        <f t="shared" si="20"/>
        <v>√</v>
      </c>
      <c r="AB23" s="50" t="str">
        <f t="shared" si="20"/>
        <v/>
      </c>
      <c r="AC23" s="50" t="str">
        <f t="shared" si="20"/>
        <v/>
      </c>
      <c r="AD23" s="50" t="str">
        <f t="shared" si="20"/>
        <v/>
      </c>
      <c r="AE23" s="50" t="str">
        <f t="shared" si="20"/>
        <v/>
      </c>
      <c r="AF23" s="50" t="str">
        <f t="shared" si="20"/>
        <v/>
      </c>
      <c r="AG23" s="50" t="str">
        <f t="shared" si="20"/>
        <v/>
      </c>
      <c r="AH23" s="50" t="str">
        <f t="shared" si="20"/>
        <v/>
      </c>
      <c r="AI23" s="50" t="str">
        <f t="shared" si="20"/>
        <v/>
      </c>
      <c r="AJ23" s="50" t="str">
        <f t="shared" si="20"/>
        <v/>
      </c>
      <c r="AK23" s="50" t="str">
        <f t="shared" si="20"/>
        <v/>
      </c>
      <c r="AL23" s="50" t="str">
        <f t="shared" si="20"/>
        <v/>
      </c>
      <c r="AM23" s="50" t="str">
        <f t="shared" si="20"/>
        <v/>
      </c>
      <c r="AN23" s="50" t="str">
        <f t="shared" si="20"/>
        <v/>
      </c>
      <c r="AO23" s="50" t="str">
        <f t="shared" si="20"/>
        <v/>
      </c>
    </row>
    <row r="24" spans="1:41">
      <c r="A24" s="51"/>
      <c r="B24" s="52" t="s">
        <v>51</v>
      </c>
      <c r="C24" s="52"/>
      <c r="D24" s="48">
        <v>0.965</v>
      </c>
      <c r="E24" s="48">
        <v>0.015</v>
      </c>
      <c r="F24" s="48">
        <v>-0.015</v>
      </c>
      <c r="G24" s="48">
        <f t="shared" si="15"/>
        <v>0.98</v>
      </c>
      <c r="H24" s="48">
        <f t="shared" si="16"/>
        <v>0.95</v>
      </c>
      <c r="I24" s="48" t="s">
        <v>39</v>
      </c>
      <c r="J24" s="49">
        <v>0.95072</v>
      </c>
      <c r="K24" s="49">
        <v>0.95386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50" t="str">
        <f t="shared" si="20"/>
        <v>√</v>
      </c>
      <c r="AA24" s="50" t="str">
        <f t="shared" si="20"/>
        <v>√</v>
      </c>
      <c r="AB24" s="50" t="str">
        <f t="shared" si="20"/>
        <v/>
      </c>
      <c r="AC24" s="50" t="str">
        <f t="shared" si="20"/>
        <v/>
      </c>
      <c r="AD24" s="50" t="str">
        <f t="shared" si="20"/>
        <v/>
      </c>
      <c r="AE24" s="50" t="str">
        <f t="shared" si="20"/>
        <v/>
      </c>
      <c r="AF24" s="50" t="str">
        <f t="shared" si="20"/>
        <v/>
      </c>
      <c r="AG24" s="50" t="str">
        <f t="shared" si="20"/>
        <v/>
      </c>
      <c r="AH24" s="50" t="str">
        <f t="shared" si="20"/>
        <v/>
      </c>
      <c r="AI24" s="50" t="str">
        <f t="shared" si="20"/>
        <v/>
      </c>
      <c r="AJ24" s="50" t="str">
        <f t="shared" si="20"/>
        <v/>
      </c>
      <c r="AK24" s="50" t="str">
        <f t="shared" si="20"/>
        <v/>
      </c>
      <c r="AL24" s="50" t="str">
        <f t="shared" si="20"/>
        <v/>
      </c>
      <c r="AM24" s="50" t="str">
        <f t="shared" si="20"/>
        <v/>
      </c>
      <c r="AN24" s="50" t="str">
        <f t="shared" si="20"/>
        <v/>
      </c>
      <c r="AO24" s="50" t="str">
        <f t="shared" si="20"/>
        <v/>
      </c>
    </row>
    <row r="25" spans="1:41">
      <c r="A25" s="51"/>
      <c r="B25" s="52" t="s">
        <v>52</v>
      </c>
      <c r="C25" s="52" t="s">
        <v>53</v>
      </c>
      <c r="D25" s="48">
        <v>0</v>
      </c>
      <c r="E25" s="48">
        <v>0.06</v>
      </c>
      <c r="F25" s="48">
        <v>0</v>
      </c>
      <c r="G25" s="48">
        <f t="shared" si="15"/>
        <v>0.06</v>
      </c>
      <c r="H25" s="48">
        <f t="shared" si="16"/>
        <v>0</v>
      </c>
      <c r="I25" s="48" t="s">
        <v>39</v>
      </c>
      <c r="J25" s="49">
        <v>0.02885</v>
      </c>
      <c r="K25" s="49">
        <v>0.04167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50" t="str">
        <f t="shared" ref="Z25:AO25" si="21">IF(J25="","",IF(J25&gt;($D25+$E25),(J25-$D25-$E25),IF(J25&lt;($D25+$F25),(J25-$D25-$F25),"√")))</f>
        <v>√</v>
      </c>
      <c r="AA25" s="50" t="str">
        <f t="shared" si="21"/>
        <v>√</v>
      </c>
      <c r="AB25" s="50" t="str">
        <f t="shared" si="21"/>
        <v/>
      </c>
      <c r="AC25" s="50" t="str">
        <f t="shared" si="21"/>
        <v/>
      </c>
      <c r="AD25" s="50" t="str">
        <f t="shared" si="21"/>
        <v/>
      </c>
      <c r="AE25" s="50" t="str">
        <f t="shared" si="21"/>
        <v/>
      </c>
      <c r="AF25" s="50" t="str">
        <f t="shared" si="21"/>
        <v/>
      </c>
      <c r="AG25" s="50" t="str">
        <f t="shared" si="21"/>
        <v/>
      </c>
      <c r="AH25" s="50" t="str">
        <f t="shared" si="21"/>
        <v/>
      </c>
      <c r="AI25" s="50" t="str">
        <f t="shared" si="21"/>
        <v/>
      </c>
      <c r="AJ25" s="50" t="str">
        <f t="shared" si="21"/>
        <v/>
      </c>
      <c r="AK25" s="50" t="str">
        <f t="shared" si="21"/>
        <v/>
      </c>
      <c r="AL25" s="50" t="str">
        <f t="shared" si="21"/>
        <v/>
      </c>
      <c r="AM25" s="50" t="str">
        <f t="shared" si="21"/>
        <v/>
      </c>
      <c r="AN25" s="50" t="str">
        <f t="shared" si="21"/>
        <v/>
      </c>
      <c r="AO25" s="50" t="str">
        <f t="shared" si="21"/>
        <v/>
      </c>
    </row>
    <row r="26" spans="1:41">
      <c r="A26" s="51"/>
      <c r="B26" s="52">
        <v>1</v>
      </c>
      <c r="C26" s="52"/>
      <c r="D26" s="48"/>
      <c r="E26" s="48"/>
      <c r="F26" s="48"/>
      <c r="G26" s="48"/>
      <c r="H26" s="48"/>
      <c r="I26" s="48" t="s">
        <v>39</v>
      </c>
      <c r="J26" s="49">
        <v>-0.00778</v>
      </c>
      <c r="K26" s="49">
        <v>-0.00853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>
      <c r="A27" s="51"/>
      <c r="B27" s="52">
        <v>2</v>
      </c>
      <c r="C27" s="52"/>
      <c r="D27" s="48"/>
      <c r="E27" s="48"/>
      <c r="F27" s="48"/>
      <c r="G27" s="48"/>
      <c r="H27" s="48"/>
      <c r="I27" s="48" t="s">
        <v>39</v>
      </c>
      <c r="J27" s="49">
        <v>0.0044</v>
      </c>
      <c r="K27" s="49">
        <v>0.00243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>
      <c r="A28" s="51"/>
      <c r="B28" s="52">
        <v>3</v>
      </c>
      <c r="C28" s="52"/>
      <c r="D28" s="48"/>
      <c r="E28" s="48"/>
      <c r="F28" s="48"/>
      <c r="G28" s="48"/>
      <c r="H28" s="48"/>
      <c r="I28" s="48" t="s">
        <v>39</v>
      </c>
      <c r="J28" s="49">
        <v>0.01031</v>
      </c>
      <c r="K28" s="49">
        <v>0.00625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>
      <c r="A29" s="51"/>
      <c r="B29" s="52">
        <v>4</v>
      </c>
      <c r="C29" s="52"/>
      <c r="D29" s="48"/>
      <c r="E29" s="48"/>
      <c r="F29" s="48"/>
      <c r="G29" s="48"/>
      <c r="H29" s="48"/>
      <c r="I29" s="48" t="s">
        <v>39</v>
      </c>
      <c r="J29" s="49">
        <v>0.01076</v>
      </c>
      <c r="K29" s="49">
        <v>0.0065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>
      <c r="A30" s="51"/>
      <c r="B30" s="52">
        <v>5</v>
      </c>
      <c r="C30" s="52"/>
      <c r="D30" s="48"/>
      <c r="E30" s="48"/>
      <c r="F30" s="48"/>
      <c r="G30" s="48"/>
      <c r="H30" s="48"/>
      <c r="I30" s="48" t="s">
        <v>39</v>
      </c>
      <c r="J30" s="49">
        <v>0.01248</v>
      </c>
      <c r="K30" s="49">
        <v>0.00996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>
      <c r="A31" s="51"/>
      <c r="B31" s="52">
        <v>6</v>
      </c>
      <c r="C31" s="52"/>
      <c r="D31" s="48"/>
      <c r="E31" s="48"/>
      <c r="F31" s="48"/>
      <c r="G31" s="48"/>
      <c r="H31" s="48"/>
      <c r="I31" s="48" t="s">
        <v>39</v>
      </c>
      <c r="J31" s="49">
        <v>0.01246</v>
      </c>
      <c r="K31" s="49">
        <v>0.00816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>
      <c r="A32" s="51"/>
      <c r="B32" s="52">
        <v>7</v>
      </c>
      <c r="C32" s="52"/>
      <c r="D32" s="48"/>
      <c r="E32" s="48"/>
      <c r="F32" s="48"/>
      <c r="G32" s="48"/>
      <c r="H32" s="48"/>
      <c r="I32" s="48" t="s">
        <v>39</v>
      </c>
      <c r="J32" s="49">
        <v>0.01274</v>
      </c>
      <c r="K32" s="49">
        <v>0.02084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>
      <c r="A33" s="51"/>
      <c r="B33" s="52">
        <v>8</v>
      </c>
      <c r="C33" s="52"/>
      <c r="D33" s="48"/>
      <c r="E33" s="48"/>
      <c r="F33" s="48"/>
      <c r="G33" s="48"/>
      <c r="H33" s="48"/>
      <c r="I33" s="48" t="s">
        <v>39</v>
      </c>
      <c r="J33" s="49">
        <v>0.01114</v>
      </c>
      <c r="K33" s="49">
        <v>0.01742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>
      <c r="A34" s="51"/>
      <c r="B34" s="52">
        <v>9</v>
      </c>
      <c r="C34" s="52"/>
      <c r="D34" s="48"/>
      <c r="E34" s="48"/>
      <c r="F34" s="48"/>
      <c r="G34" s="48"/>
      <c r="H34" s="48"/>
      <c r="I34" s="48" t="s">
        <v>39</v>
      </c>
      <c r="J34" s="49">
        <v>0.00992</v>
      </c>
      <c r="K34" s="49">
        <v>0.01707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>
      <c r="A35" s="51"/>
      <c r="B35" s="52">
        <v>10</v>
      </c>
      <c r="C35" s="52"/>
      <c r="D35" s="48"/>
      <c r="E35" s="48"/>
      <c r="F35" s="48"/>
      <c r="G35" s="48"/>
      <c r="H35" s="48"/>
      <c r="I35" s="48" t="s">
        <v>39</v>
      </c>
      <c r="J35" s="49">
        <v>0.00775</v>
      </c>
      <c r="K35" s="49">
        <v>0.01551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>
      <c r="A36" s="51"/>
      <c r="B36" s="52">
        <v>11</v>
      </c>
      <c r="C36" s="52"/>
      <c r="D36" s="48"/>
      <c r="E36" s="48"/>
      <c r="F36" s="48"/>
      <c r="G36" s="48"/>
      <c r="H36" s="48"/>
      <c r="I36" s="48" t="s">
        <v>39</v>
      </c>
      <c r="J36" s="49">
        <v>0.00626</v>
      </c>
      <c r="K36" s="49">
        <v>0.01077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>
      <c r="A37" s="51"/>
      <c r="B37" s="52">
        <v>12</v>
      </c>
      <c r="C37" s="52"/>
      <c r="D37" s="48"/>
      <c r="E37" s="48"/>
      <c r="F37" s="48"/>
      <c r="G37" s="48"/>
      <c r="H37" s="48"/>
      <c r="I37" s="48" t="s">
        <v>39</v>
      </c>
      <c r="J37" s="49">
        <v>-0.00161</v>
      </c>
      <c r="K37" s="49">
        <v>0.00072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</row>
    <row r="38" spans="1:41">
      <c r="A38" s="51"/>
      <c r="B38" s="52">
        <v>13</v>
      </c>
      <c r="C38" s="52"/>
      <c r="D38" s="48"/>
      <c r="E38" s="48"/>
      <c r="F38" s="48"/>
      <c r="G38" s="48"/>
      <c r="H38" s="48"/>
      <c r="I38" s="48" t="s">
        <v>39</v>
      </c>
      <c r="J38" s="49">
        <v>-0.00669</v>
      </c>
      <c r="K38" s="49">
        <v>-0.00367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</row>
    <row r="39" spans="1:41">
      <c r="A39" s="51"/>
      <c r="B39" s="52">
        <v>14</v>
      </c>
      <c r="C39" s="52"/>
      <c r="D39" s="48"/>
      <c r="E39" s="48"/>
      <c r="F39" s="48"/>
      <c r="G39" s="48"/>
      <c r="H39" s="48"/>
      <c r="I39" s="48" t="s">
        <v>39</v>
      </c>
      <c r="J39" s="49">
        <v>-0.00566</v>
      </c>
      <c r="K39" s="49">
        <v>-0.00313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</row>
    <row r="40" spans="1:41">
      <c r="A40" s="51"/>
      <c r="B40" s="52">
        <v>15</v>
      </c>
      <c r="C40" s="52"/>
      <c r="D40" s="48"/>
      <c r="E40" s="48"/>
      <c r="F40" s="48"/>
      <c r="G40" s="48"/>
      <c r="H40" s="48"/>
      <c r="I40" s="48" t="s">
        <v>39</v>
      </c>
      <c r="J40" s="49">
        <v>-0.00363</v>
      </c>
      <c r="K40" s="49">
        <v>-0.00305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</row>
    <row r="41" spans="1:41">
      <c r="A41" s="51"/>
      <c r="B41" s="52">
        <v>16</v>
      </c>
      <c r="C41" s="52"/>
      <c r="D41" s="48"/>
      <c r="E41" s="48"/>
      <c r="F41" s="48"/>
      <c r="G41" s="48"/>
      <c r="H41" s="48"/>
      <c r="I41" s="48" t="s">
        <v>39</v>
      </c>
      <c r="J41" s="49">
        <v>0.00207</v>
      </c>
      <c r="K41" s="49">
        <v>0.00093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</row>
    <row r="42" spans="1:41">
      <c r="A42" s="51"/>
      <c r="B42" s="52">
        <v>17</v>
      </c>
      <c r="C42" s="52"/>
      <c r="D42" s="48"/>
      <c r="E42" s="48"/>
      <c r="F42" s="48"/>
      <c r="G42" s="48"/>
      <c r="H42" s="48"/>
      <c r="I42" s="48" t="s">
        <v>39</v>
      </c>
      <c r="J42" s="49">
        <v>0.00232</v>
      </c>
      <c r="K42" s="49">
        <v>0.0027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</row>
    <row r="43" spans="1:41">
      <c r="A43" s="51"/>
      <c r="B43" s="52">
        <v>18</v>
      </c>
      <c r="C43" s="52"/>
      <c r="D43" s="48"/>
      <c r="E43" s="48"/>
      <c r="F43" s="48"/>
      <c r="G43" s="48"/>
      <c r="H43" s="48"/>
      <c r="I43" s="48" t="s">
        <v>39</v>
      </c>
      <c r="J43" s="49">
        <v>0.0082</v>
      </c>
      <c r="K43" s="49">
        <v>0.0078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</row>
    <row r="44" spans="1:41">
      <c r="A44" s="51"/>
      <c r="B44" s="52">
        <v>19</v>
      </c>
      <c r="C44" s="52"/>
      <c r="D44" s="48"/>
      <c r="E44" s="48"/>
      <c r="F44" s="48"/>
      <c r="G44" s="48"/>
      <c r="H44" s="48"/>
      <c r="I44" s="48" t="s">
        <v>39</v>
      </c>
      <c r="J44" s="49">
        <v>0.01442</v>
      </c>
      <c r="K44" s="49">
        <v>0.00517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</row>
    <row r="45" spans="1:41">
      <c r="A45" s="51"/>
      <c r="B45" s="52">
        <v>20</v>
      </c>
      <c r="C45" s="52"/>
      <c r="D45" s="48"/>
      <c r="E45" s="48"/>
      <c r="F45" s="48"/>
      <c r="G45" s="48"/>
      <c r="H45" s="48"/>
      <c r="I45" s="48" t="s">
        <v>39</v>
      </c>
      <c r="J45" s="49">
        <v>0.00952</v>
      </c>
      <c r="K45" s="49">
        <v>0.01594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</row>
    <row r="46" spans="1:41">
      <c r="A46" s="51"/>
      <c r="B46" s="52">
        <v>21</v>
      </c>
      <c r="C46" s="52"/>
      <c r="D46" s="48"/>
      <c r="E46" s="48"/>
      <c r="F46" s="48"/>
      <c r="G46" s="48"/>
      <c r="H46" s="48"/>
      <c r="I46" s="48" t="s">
        <v>39</v>
      </c>
      <c r="J46" s="49">
        <v>0.00962</v>
      </c>
      <c r="K46" s="49">
        <v>0.01347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</row>
    <row r="47" spans="1:41">
      <c r="A47" s="51"/>
      <c r="B47" s="52">
        <v>22</v>
      </c>
      <c r="C47" s="52"/>
      <c r="D47" s="48"/>
      <c r="E47" s="48"/>
      <c r="F47" s="48"/>
      <c r="G47" s="48"/>
      <c r="H47" s="48"/>
      <c r="I47" s="48" t="s">
        <v>39</v>
      </c>
      <c r="J47" s="49">
        <v>0.00656</v>
      </c>
      <c r="K47" s="49">
        <v>0.007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</row>
    <row r="48" spans="1:41">
      <c r="A48" s="51"/>
      <c r="B48" s="52">
        <v>23</v>
      </c>
      <c r="C48" s="52"/>
      <c r="D48" s="48"/>
      <c r="E48" s="48"/>
      <c r="F48" s="48"/>
      <c r="G48" s="48"/>
      <c r="H48" s="48"/>
      <c r="I48" s="48" t="s">
        <v>39</v>
      </c>
      <c r="J48" s="49">
        <v>0.00016</v>
      </c>
      <c r="K48" s="49">
        <v>0.00117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</row>
    <row r="49" spans="1:41">
      <c r="A49" s="51"/>
      <c r="B49" s="52">
        <v>24</v>
      </c>
      <c r="C49" s="52"/>
      <c r="D49" s="48"/>
      <c r="E49" s="48"/>
      <c r="F49" s="48"/>
      <c r="G49" s="48"/>
      <c r="H49" s="48"/>
      <c r="I49" s="48" t="s">
        <v>39</v>
      </c>
      <c r="J49" s="49">
        <v>-0.0013</v>
      </c>
      <c r="K49" s="49">
        <v>-0.00166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</row>
    <row r="50" spans="1:41">
      <c r="A50" s="51"/>
      <c r="B50" s="52" t="s">
        <v>54</v>
      </c>
      <c r="C50" s="52" t="s">
        <v>55</v>
      </c>
      <c r="D50" s="48">
        <v>0</v>
      </c>
      <c r="E50" s="48">
        <v>0.06</v>
      </c>
      <c r="F50" s="48">
        <v>0</v>
      </c>
      <c r="G50" s="48">
        <f>D50+E50</f>
        <v>0.06</v>
      </c>
      <c r="H50" s="48">
        <f>D50+F50</f>
        <v>0</v>
      </c>
      <c r="I50" s="48" t="s">
        <v>39</v>
      </c>
      <c r="J50" s="49">
        <v>0.02321</v>
      </c>
      <c r="K50" s="49">
        <v>0.03938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50" t="str">
        <f t="shared" ref="Z50:AO50" si="22">IF(J50="","",IF(J50&gt;($D50+$E50),(J50-$D50-$E50),IF(J50&lt;($D50+$F50),(J50-$D50-$F50),"√")))</f>
        <v>√</v>
      </c>
      <c r="AA50" s="50" t="str">
        <f t="shared" si="22"/>
        <v>√</v>
      </c>
      <c r="AB50" s="50" t="str">
        <f t="shared" si="22"/>
        <v/>
      </c>
      <c r="AC50" s="50" t="str">
        <f t="shared" si="22"/>
        <v/>
      </c>
      <c r="AD50" s="50" t="str">
        <f t="shared" si="22"/>
        <v/>
      </c>
      <c r="AE50" s="50" t="str">
        <f t="shared" si="22"/>
        <v/>
      </c>
      <c r="AF50" s="50" t="str">
        <f t="shared" si="22"/>
        <v/>
      </c>
      <c r="AG50" s="50" t="str">
        <f t="shared" si="22"/>
        <v/>
      </c>
      <c r="AH50" s="50" t="str">
        <f t="shared" si="22"/>
        <v/>
      </c>
      <c r="AI50" s="50" t="str">
        <f t="shared" si="22"/>
        <v/>
      </c>
      <c r="AJ50" s="50" t="str">
        <f t="shared" si="22"/>
        <v/>
      </c>
      <c r="AK50" s="50" t="str">
        <f t="shared" si="22"/>
        <v/>
      </c>
      <c r="AL50" s="50" t="str">
        <f t="shared" si="22"/>
        <v/>
      </c>
      <c r="AM50" s="50" t="str">
        <f t="shared" si="22"/>
        <v/>
      </c>
      <c r="AN50" s="50" t="str">
        <f t="shared" si="22"/>
        <v/>
      </c>
      <c r="AO50" s="50" t="str">
        <f t="shared" si="22"/>
        <v/>
      </c>
    </row>
    <row r="51" spans="1:41">
      <c r="A51" s="51"/>
      <c r="B51" s="52">
        <v>1</v>
      </c>
      <c r="C51" s="52"/>
      <c r="D51" s="48"/>
      <c r="E51" s="48"/>
      <c r="F51" s="48"/>
      <c r="G51" s="48"/>
      <c r="H51" s="48"/>
      <c r="I51" s="48" t="s">
        <v>39</v>
      </c>
      <c r="J51" s="49">
        <v>0.00843</v>
      </c>
      <c r="K51" s="49">
        <v>0.009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</row>
    <row r="52" spans="1:41">
      <c r="A52" s="51"/>
      <c r="B52" s="52">
        <v>2</v>
      </c>
      <c r="C52" s="52"/>
      <c r="D52" s="48"/>
      <c r="E52" s="48"/>
      <c r="F52" s="48"/>
      <c r="G52" s="48"/>
      <c r="H52" s="48"/>
      <c r="I52" s="48" t="s">
        <v>39</v>
      </c>
      <c r="J52" s="49">
        <v>0.00534</v>
      </c>
      <c r="K52" s="49">
        <v>0.01024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</row>
    <row r="53" spans="1:41">
      <c r="A53" s="51"/>
      <c r="B53" s="52">
        <v>3</v>
      </c>
      <c r="C53" s="52"/>
      <c r="D53" s="48"/>
      <c r="E53" s="48"/>
      <c r="F53" s="48"/>
      <c r="G53" s="48"/>
      <c r="H53" s="48"/>
      <c r="I53" s="48" t="s">
        <v>39</v>
      </c>
      <c r="J53" s="49">
        <v>0.01158</v>
      </c>
      <c r="K53" s="49">
        <v>0.01969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</row>
    <row r="54" spans="1:41">
      <c r="A54" s="51"/>
      <c r="B54" s="52">
        <v>4</v>
      </c>
      <c r="C54" s="52"/>
      <c r="D54" s="48"/>
      <c r="E54" s="48"/>
      <c r="F54" s="48"/>
      <c r="G54" s="48"/>
      <c r="H54" s="48"/>
      <c r="I54" s="48" t="s">
        <v>39</v>
      </c>
      <c r="J54" s="49">
        <v>0.01112</v>
      </c>
      <c r="K54" s="49">
        <v>0.01885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>
      <c r="A55" s="51"/>
      <c r="B55" s="52">
        <v>5</v>
      </c>
      <c r="C55" s="52"/>
      <c r="D55" s="48"/>
      <c r="E55" s="48"/>
      <c r="F55" s="48"/>
      <c r="G55" s="48"/>
      <c r="H55" s="48"/>
      <c r="I55" s="48" t="s">
        <v>39</v>
      </c>
      <c r="J55" s="49">
        <v>0.00813</v>
      </c>
      <c r="K55" s="49">
        <v>0.01693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>
      <c r="A56" s="51"/>
      <c r="B56" s="52">
        <v>6</v>
      </c>
      <c r="C56" s="52"/>
      <c r="D56" s="48"/>
      <c r="E56" s="48"/>
      <c r="F56" s="48"/>
      <c r="G56" s="48"/>
      <c r="H56" s="48"/>
      <c r="I56" s="48" t="s">
        <v>39</v>
      </c>
      <c r="J56" s="49">
        <v>0.00944</v>
      </c>
      <c r="K56" s="49">
        <v>0.01607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>
      <c r="A57" s="51"/>
      <c r="B57" s="52">
        <v>7</v>
      </c>
      <c r="C57" s="52"/>
      <c r="D57" s="48"/>
      <c r="E57" s="48"/>
      <c r="F57" s="48"/>
      <c r="G57" s="48"/>
      <c r="H57" s="48"/>
      <c r="I57" s="48" t="s">
        <v>39</v>
      </c>
      <c r="J57" s="49">
        <v>-0.00618</v>
      </c>
      <c r="K57" s="49">
        <v>-0.0036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>
      <c r="A58" s="51"/>
      <c r="B58" s="52">
        <v>8</v>
      </c>
      <c r="C58" s="52"/>
      <c r="D58" s="48"/>
      <c r="E58" s="48"/>
      <c r="F58" s="48"/>
      <c r="G58" s="48"/>
      <c r="H58" s="48"/>
      <c r="I58" s="48" t="s">
        <v>39</v>
      </c>
      <c r="J58" s="49">
        <v>-0.00444</v>
      </c>
      <c r="K58" s="49">
        <v>-0.00202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>
      <c r="A59" s="51"/>
      <c r="B59" s="52">
        <v>9</v>
      </c>
      <c r="C59" s="52"/>
      <c r="D59" s="48"/>
      <c r="E59" s="48"/>
      <c r="F59" s="48"/>
      <c r="G59" s="48"/>
      <c r="H59" s="48"/>
      <c r="I59" s="48" t="s">
        <v>39</v>
      </c>
      <c r="J59" s="49">
        <v>-0.00689</v>
      </c>
      <c r="K59" s="49">
        <v>-0.00563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>
      <c r="A60" s="51"/>
      <c r="B60" s="52">
        <v>10</v>
      </c>
      <c r="C60" s="52"/>
      <c r="D60" s="48"/>
      <c r="E60" s="48"/>
      <c r="F60" s="48"/>
      <c r="G60" s="48"/>
      <c r="H60" s="48"/>
      <c r="I60" s="48" t="s">
        <v>39</v>
      </c>
      <c r="J60" s="49">
        <v>-0.00891</v>
      </c>
      <c r="K60" s="49">
        <v>-0.00474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>
      <c r="A61" s="51"/>
      <c r="B61" s="52">
        <v>11</v>
      </c>
      <c r="C61" s="52"/>
      <c r="D61" s="48"/>
      <c r="E61" s="48"/>
      <c r="F61" s="48"/>
      <c r="G61" s="48"/>
      <c r="H61" s="48"/>
      <c r="I61" s="48" t="s">
        <v>39</v>
      </c>
      <c r="J61" s="49">
        <v>-0.01161</v>
      </c>
      <c r="K61" s="49">
        <v>-0.0072</v>
      </c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>
      <c r="A62" s="51"/>
      <c r="B62" s="52">
        <v>12</v>
      </c>
      <c r="C62" s="52"/>
      <c r="D62" s="48"/>
      <c r="E62" s="48"/>
      <c r="F62" s="48"/>
      <c r="G62" s="48"/>
      <c r="H62" s="48"/>
      <c r="I62" s="48" t="s">
        <v>39</v>
      </c>
      <c r="J62" s="49">
        <v>0.00723</v>
      </c>
      <c r="K62" s="49">
        <v>0.00852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>
      <c r="A63" s="51"/>
      <c r="B63" s="52">
        <v>13</v>
      </c>
      <c r="C63" s="52"/>
      <c r="D63" s="48"/>
      <c r="E63" s="48"/>
      <c r="F63" s="48"/>
      <c r="G63" s="48"/>
      <c r="H63" s="48"/>
      <c r="I63" s="48" t="s">
        <v>39</v>
      </c>
      <c r="J63" s="49">
        <v>-0.00118</v>
      </c>
      <c r="K63" s="49">
        <v>-0.00114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</row>
    <row r="64" spans="1:41">
      <c r="A64" s="51"/>
      <c r="B64" s="52">
        <v>14</v>
      </c>
      <c r="C64" s="52"/>
      <c r="D64" s="48"/>
      <c r="E64" s="48"/>
      <c r="F64" s="48"/>
      <c r="G64" s="48"/>
      <c r="H64" s="48"/>
      <c r="I64" s="48" t="s">
        <v>39</v>
      </c>
      <c r="J64" s="49">
        <v>0.00074</v>
      </c>
      <c r="K64" s="49">
        <v>0.00456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</row>
    <row r="65" spans="1:41">
      <c r="A65" s="51"/>
      <c r="B65" s="52">
        <v>15</v>
      </c>
      <c r="C65" s="52"/>
      <c r="D65" s="48"/>
      <c r="E65" s="48"/>
      <c r="F65" s="48"/>
      <c r="G65" s="48"/>
      <c r="H65" s="48"/>
      <c r="I65" s="48" t="s">
        <v>39</v>
      </c>
      <c r="J65" s="49">
        <v>0.00229</v>
      </c>
      <c r="K65" s="49">
        <v>0.00589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</row>
    <row r="66" spans="1:41">
      <c r="A66" s="51"/>
      <c r="B66" s="52">
        <v>16</v>
      </c>
      <c r="C66" s="52"/>
      <c r="D66" s="48"/>
      <c r="E66" s="48"/>
      <c r="F66" s="48"/>
      <c r="G66" s="48"/>
      <c r="H66" s="48"/>
      <c r="I66" s="48" t="s">
        <v>39</v>
      </c>
      <c r="J66" s="49">
        <v>0.00256</v>
      </c>
      <c r="K66" s="49">
        <v>0.00523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</row>
    <row r="67" spans="1:41">
      <c r="A67" s="51"/>
      <c r="B67" s="52">
        <v>17</v>
      </c>
      <c r="C67" s="52"/>
      <c r="D67" s="48"/>
      <c r="E67" s="48"/>
      <c r="F67" s="48"/>
      <c r="G67" s="48"/>
      <c r="H67" s="48"/>
      <c r="I67" s="48" t="s">
        <v>39</v>
      </c>
      <c r="J67" s="49">
        <v>0.001</v>
      </c>
      <c r="K67" s="49">
        <v>0.01002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</row>
    <row r="68" spans="1:41">
      <c r="A68" s="51"/>
      <c r="B68" s="52">
        <v>18</v>
      </c>
      <c r="C68" s="52"/>
      <c r="D68" s="48"/>
      <c r="E68" s="48"/>
      <c r="F68" s="48"/>
      <c r="G68" s="48"/>
      <c r="H68" s="48"/>
      <c r="I68" s="48" t="s">
        <v>39</v>
      </c>
      <c r="J68" s="49">
        <v>0.00946</v>
      </c>
      <c r="K68" s="49">
        <v>0.01648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</row>
    <row r="69" spans="1:41">
      <c r="A69" s="51"/>
      <c r="B69" s="52">
        <v>19</v>
      </c>
      <c r="C69" s="52"/>
      <c r="D69" s="48"/>
      <c r="E69" s="48"/>
      <c r="F69" s="48"/>
      <c r="G69" s="48"/>
      <c r="H69" s="48"/>
      <c r="I69" s="48" t="s">
        <v>39</v>
      </c>
      <c r="J69" s="49">
        <v>0.00998</v>
      </c>
      <c r="K69" s="49">
        <v>0.01697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</row>
    <row r="70" spans="1:41">
      <c r="A70" s="51"/>
      <c r="B70" s="52">
        <v>20</v>
      </c>
      <c r="C70" s="52"/>
      <c r="D70" s="48"/>
      <c r="E70" s="48"/>
      <c r="F70" s="48"/>
      <c r="G70" s="48"/>
      <c r="H70" s="48"/>
      <c r="I70" s="48" t="s">
        <v>39</v>
      </c>
      <c r="J70" s="49">
        <v>-0.00482</v>
      </c>
      <c r="K70" s="49">
        <v>-0.0036</v>
      </c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</row>
    <row r="71" spans="1:41">
      <c r="A71" s="51"/>
      <c r="B71" s="52">
        <v>21</v>
      </c>
      <c r="C71" s="52"/>
      <c r="D71" s="48"/>
      <c r="E71" s="48"/>
      <c r="F71" s="48"/>
      <c r="G71" s="48"/>
      <c r="H71" s="48"/>
      <c r="I71" s="48" t="s">
        <v>39</v>
      </c>
      <c r="J71" s="49">
        <v>-0.00585</v>
      </c>
      <c r="K71" s="49">
        <v>-0.00134</v>
      </c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</row>
    <row r="72" spans="1:41">
      <c r="A72" s="51"/>
      <c r="B72" s="52">
        <v>22</v>
      </c>
      <c r="C72" s="52"/>
      <c r="D72" s="48"/>
      <c r="E72" s="48"/>
      <c r="F72" s="48"/>
      <c r="G72" s="48"/>
      <c r="H72" s="48"/>
      <c r="I72" s="48" t="s">
        <v>39</v>
      </c>
      <c r="J72" s="49">
        <v>-0.01061</v>
      </c>
      <c r="K72" s="49">
        <v>-0.00705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</row>
    <row r="73" spans="1:41">
      <c r="A73" s="51"/>
      <c r="B73" s="52">
        <v>23</v>
      </c>
      <c r="C73" s="52"/>
      <c r="D73" s="48"/>
      <c r="E73" s="48"/>
      <c r="F73" s="48"/>
      <c r="G73" s="48"/>
      <c r="H73" s="48"/>
      <c r="I73" s="48" t="s">
        <v>39</v>
      </c>
      <c r="J73" s="49">
        <v>0.01031</v>
      </c>
      <c r="K73" s="49">
        <v>0.0146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1:41">
      <c r="A74" s="51"/>
      <c r="B74" s="52">
        <v>24</v>
      </c>
      <c r="C74" s="52"/>
      <c r="D74" s="48"/>
      <c r="E74" s="48"/>
      <c r="F74" s="48"/>
      <c r="G74" s="48"/>
      <c r="H74" s="48"/>
      <c r="I74" s="48" t="s">
        <v>39</v>
      </c>
      <c r="J74" s="49">
        <v>-0.00178</v>
      </c>
      <c r="K74" s="49">
        <v>0.00154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</row>
    <row r="75" spans="1:41">
      <c r="A75" s="51"/>
      <c r="B75" s="52" t="s">
        <v>56</v>
      </c>
      <c r="C75" s="52"/>
      <c r="D75" s="48"/>
      <c r="E75" s="48"/>
      <c r="F75" s="48"/>
      <c r="G75" s="48"/>
      <c r="H75" s="48"/>
      <c r="I75" s="48" t="s">
        <v>39</v>
      </c>
      <c r="J75" s="49">
        <v>-0.00809</v>
      </c>
      <c r="K75" s="49">
        <v>-0.01412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</row>
    <row r="76" spans="1:41">
      <c r="A76" s="51"/>
      <c r="B76" s="52" t="s">
        <v>57</v>
      </c>
      <c r="C76" s="52"/>
      <c r="D76" s="48"/>
      <c r="E76" s="48"/>
      <c r="F76" s="48"/>
      <c r="G76" s="48"/>
      <c r="H76" s="48"/>
      <c r="I76" s="48" t="s">
        <v>39</v>
      </c>
      <c r="J76" s="49">
        <v>-0.00079</v>
      </c>
      <c r="K76" s="49">
        <v>-0.00208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</row>
    <row r="77" spans="1:41">
      <c r="A77" s="51"/>
      <c r="B77" s="52" t="s">
        <v>58</v>
      </c>
      <c r="C77" s="52" t="s">
        <v>59</v>
      </c>
      <c r="D77" s="48">
        <v>0</v>
      </c>
      <c r="E77" s="48">
        <v>0.1</v>
      </c>
      <c r="F77" s="48">
        <v>0</v>
      </c>
      <c r="G77" s="48">
        <f t="shared" ref="G77:G81" si="23">D77+E77</f>
        <v>0.1</v>
      </c>
      <c r="H77" s="48">
        <f t="shared" ref="H77:H81" si="24">D77+F77</f>
        <v>0</v>
      </c>
      <c r="I77" s="48" t="s">
        <v>39</v>
      </c>
      <c r="J77" s="49">
        <v>0.01626</v>
      </c>
      <c r="K77" s="49">
        <v>0.02854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50" t="str">
        <f t="shared" ref="Z77:AO77" si="25">IF(J77="","",IF(J77&gt;($D77+$E77),(J77-$D77-$E77),IF(J77&lt;($D77+$F77),(J77-$D77-$F77),"√")))</f>
        <v>√</v>
      </c>
      <c r="AA77" s="50" t="str">
        <f t="shared" si="25"/>
        <v>√</v>
      </c>
      <c r="AB77" s="50" t="str">
        <f t="shared" si="25"/>
        <v/>
      </c>
      <c r="AC77" s="50" t="str">
        <f t="shared" si="25"/>
        <v/>
      </c>
      <c r="AD77" s="50" t="str">
        <f t="shared" si="25"/>
        <v/>
      </c>
      <c r="AE77" s="50" t="str">
        <f t="shared" si="25"/>
        <v/>
      </c>
      <c r="AF77" s="50" t="str">
        <f t="shared" si="25"/>
        <v/>
      </c>
      <c r="AG77" s="50" t="str">
        <f t="shared" si="25"/>
        <v/>
      </c>
      <c r="AH77" s="50" t="str">
        <f t="shared" si="25"/>
        <v/>
      </c>
      <c r="AI77" s="50" t="str">
        <f t="shared" si="25"/>
        <v/>
      </c>
      <c r="AJ77" s="50" t="str">
        <f t="shared" si="25"/>
        <v/>
      </c>
      <c r="AK77" s="50" t="str">
        <f t="shared" si="25"/>
        <v/>
      </c>
      <c r="AL77" s="50" t="str">
        <f t="shared" si="25"/>
        <v/>
      </c>
      <c r="AM77" s="50" t="str">
        <f t="shared" si="25"/>
        <v/>
      </c>
      <c r="AN77" s="50" t="str">
        <f t="shared" si="25"/>
        <v/>
      </c>
      <c r="AO77" s="50" t="str">
        <f t="shared" si="25"/>
        <v/>
      </c>
    </row>
    <row r="78" spans="1:41">
      <c r="A78" s="51"/>
      <c r="B78" s="52" t="s">
        <v>60</v>
      </c>
      <c r="C78" s="52"/>
      <c r="D78" s="48"/>
      <c r="E78" s="48"/>
      <c r="F78" s="48"/>
      <c r="G78" s="48"/>
      <c r="H78" s="48"/>
      <c r="I78" s="48" t="s">
        <v>39</v>
      </c>
      <c r="J78" s="49">
        <v>-0.00813</v>
      </c>
      <c r="K78" s="49">
        <v>-0.02034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</row>
    <row r="79" spans="1:41">
      <c r="A79" s="51"/>
      <c r="B79" s="52" t="s">
        <v>61</v>
      </c>
      <c r="C79" s="52"/>
      <c r="D79" s="48"/>
      <c r="E79" s="48"/>
      <c r="F79" s="48"/>
      <c r="G79" s="48"/>
      <c r="H79" s="48"/>
      <c r="I79" s="48" t="s">
        <v>39</v>
      </c>
      <c r="J79" s="49">
        <v>0.00216</v>
      </c>
      <c r="K79" s="49">
        <v>8e-5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</row>
    <row r="80" spans="1:41">
      <c r="A80" s="51"/>
      <c r="B80" s="52" t="s">
        <v>62</v>
      </c>
      <c r="C80" s="52" t="s">
        <v>59</v>
      </c>
      <c r="D80" s="48">
        <v>0</v>
      </c>
      <c r="E80" s="48">
        <v>0.1</v>
      </c>
      <c r="F80" s="48">
        <v>0</v>
      </c>
      <c r="G80" s="48">
        <f t="shared" si="23"/>
        <v>0.1</v>
      </c>
      <c r="H80" s="48">
        <f t="shared" si="24"/>
        <v>0</v>
      </c>
      <c r="I80" s="48" t="s">
        <v>39</v>
      </c>
      <c r="J80" s="49">
        <v>0.01682</v>
      </c>
      <c r="K80" s="49">
        <v>0.04067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50" t="str">
        <f t="shared" ref="Z80:AO80" si="26">IF(J80="","",IF(J80&gt;($D80+$E80),(J80-$D80-$E80),IF(J80&lt;($D80+$F80),(J80-$D80-$F80),"√")))</f>
        <v>√</v>
      </c>
      <c r="AA80" s="50" t="str">
        <f t="shared" si="26"/>
        <v>√</v>
      </c>
      <c r="AB80" s="50" t="str">
        <f t="shared" si="26"/>
        <v/>
      </c>
      <c r="AC80" s="50" t="str">
        <f t="shared" si="26"/>
        <v/>
      </c>
      <c r="AD80" s="50" t="str">
        <f t="shared" si="26"/>
        <v/>
      </c>
      <c r="AE80" s="50" t="str">
        <f t="shared" si="26"/>
        <v/>
      </c>
      <c r="AF80" s="50" t="str">
        <f t="shared" si="26"/>
        <v/>
      </c>
      <c r="AG80" s="50" t="str">
        <f t="shared" si="26"/>
        <v/>
      </c>
      <c r="AH80" s="50" t="str">
        <f t="shared" si="26"/>
        <v/>
      </c>
      <c r="AI80" s="50" t="str">
        <f t="shared" si="26"/>
        <v/>
      </c>
      <c r="AJ80" s="50" t="str">
        <f t="shared" si="26"/>
        <v/>
      </c>
      <c r="AK80" s="50" t="str">
        <f t="shared" si="26"/>
        <v/>
      </c>
      <c r="AL80" s="50" t="str">
        <f t="shared" si="26"/>
        <v/>
      </c>
      <c r="AM80" s="50" t="str">
        <f t="shared" si="26"/>
        <v/>
      </c>
      <c r="AN80" s="50" t="str">
        <f t="shared" si="26"/>
        <v/>
      </c>
      <c r="AO80" s="50" t="str">
        <f t="shared" si="26"/>
        <v/>
      </c>
    </row>
    <row r="81" spans="1:41">
      <c r="A81" s="51"/>
      <c r="B81" s="52" t="s">
        <v>63</v>
      </c>
      <c r="C81" s="52" t="s">
        <v>64</v>
      </c>
      <c r="D81" s="48">
        <v>0</v>
      </c>
      <c r="E81" s="48">
        <v>0.1</v>
      </c>
      <c r="F81" s="48">
        <v>0</v>
      </c>
      <c r="G81" s="48">
        <f t="shared" si="23"/>
        <v>0.1</v>
      </c>
      <c r="H81" s="48">
        <f t="shared" si="24"/>
        <v>0</v>
      </c>
      <c r="I81" s="48" t="s">
        <v>39</v>
      </c>
      <c r="J81" s="49">
        <v>0.01914</v>
      </c>
      <c r="K81" s="49">
        <v>0.01751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50" t="str">
        <f t="shared" ref="Z81:AO81" si="27">IF(J81="","",IF(J81&gt;($D81+$E81),(J81-$D81-$E81),IF(J81&lt;($D81+$F81),(J81-$D81-$F81),"√")))</f>
        <v>√</v>
      </c>
      <c r="AA81" s="50" t="str">
        <f t="shared" si="27"/>
        <v>√</v>
      </c>
      <c r="AB81" s="50" t="str">
        <f t="shared" si="27"/>
        <v/>
      </c>
      <c r="AC81" s="50" t="str">
        <f t="shared" si="27"/>
        <v/>
      </c>
      <c r="AD81" s="50" t="str">
        <f t="shared" si="27"/>
        <v/>
      </c>
      <c r="AE81" s="50" t="str">
        <f t="shared" si="27"/>
        <v/>
      </c>
      <c r="AF81" s="50" t="str">
        <f t="shared" si="27"/>
        <v/>
      </c>
      <c r="AG81" s="50" t="str">
        <f t="shared" si="27"/>
        <v/>
      </c>
      <c r="AH81" s="50" t="str">
        <f t="shared" si="27"/>
        <v/>
      </c>
      <c r="AI81" s="50" t="str">
        <f t="shared" si="27"/>
        <v/>
      </c>
      <c r="AJ81" s="50" t="str">
        <f t="shared" si="27"/>
        <v/>
      </c>
      <c r="AK81" s="50" t="str">
        <f t="shared" si="27"/>
        <v/>
      </c>
      <c r="AL81" s="50" t="str">
        <f t="shared" si="27"/>
        <v/>
      </c>
      <c r="AM81" s="50" t="str">
        <f t="shared" si="27"/>
        <v/>
      </c>
      <c r="AN81" s="50" t="str">
        <f t="shared" si="27"/>
        <v/>
      </c>
      <c r="AO81" s="50" t="str">
        <f t="shared" si="27"/>
        <v/>
      </c>
    </row>
    <row r="82" spans="1:41">
      <c r="A82" s="51"/>
      <c r="B82" s="52">
        <v>1</v>
      </c>
      <c r="C82" s="52"/>
      <c r="D82" s="48"/>
      <c r="E82" s="48"/>
      <c r="F82" s="48"/>
      <c r="G82" s="48"/>
      <c r="H82" s="48"/>
      <c r="I82" s="48" t="s">
        <v>39</v>
      </c>
      <c r="J82" s="49">
        <v>0.00957</v>
      </c>
      <c r="K82" s="49">
        <v>0.00876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>
      <c r="A83" s="51"/>
      <c r="B83" s="52">
        <v>2</v>
      </c>
      <c r="C83" s="52"/>
      <c r="D83" s="48"/>
      <c r="E83" s="48"/>
      <c r="F83" s="48"/>
      <c r="G83" s="48"/>
      <c r="H83" s="48"/>
      <c r="I83" s="48" t="s">
        <v>39</v>
      </c>
      <c r="J83" s="49">
        <v>-0.00957</v>
      </c>
      <c r="K83" s="49">
        <v>-0.00876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>
      <c r="A84" s="51"/>
      <c r="B84" s="52" t="s">
        <v>65</v>
      </c>
      <c r="C84" s="52" t="s">
        <v>64</v>
      </c>
      <c r="D84" s="48">
        <v>0</v>
      </c>
      <c r="E84" s="48">
        <v>0.1</v>
      </c>
      <c r="F84" s="48">
        <v>0</v>
      </c>
      <c r="G84" s="48">
        <f>D84+E84</f>
        <v>0.1</v>
      </c>
      <c r="H84" s="48">
        <f>D84+F84</f>
        <v>0</v>
      </c>
      <c r="I84" s="48" t="s">
        <v>39</v>
      </c>
      <c r="J84" s="49">
        <v>0.02424</v>
      </c>
      <c r="K84" s="49">
        <v>0.02172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50" t="str">
        <f t="shared" ref="Z84:AO84" si="28">IF(J84="","",IF(J84&gt;($D84+$E84),(J84-$D84-$E84),IF(J84&lt;($D84+$F84),(J84-$D84-$F84),"√")))</f>
        <v>√</v>
      </c>
      <c r="AA84" s="50" t="str">
        <f t="shared" si="28"/>
        <v>√</v>
      </c>
      <c r="AB84" s="50" t="str">
        <f t="shared" si="28"/>
        <v/>
      </c>
      <c r="AC84" s="50" t="str">
        <f t="shared" si="28"/>
        <v/>
      </c>
      <c r="AD84" s="50" t="str">
        <f t="shared" si="28"/>
        <v/>
      </c>
      <c r="AE84" s="50" t="str">
        <f t="shared" si="28"/>
        <v/>
      </c>
      <c r="AF84" s="50" t="str">
        <f t="shared" si="28"/>
        <v/>
      </c>
      <c r="AG84" s="50" t="str">
        <f t="shared" si="28"/>
        <v/>
      </c>
      <c r="AH84" s="50" t="str">
        <f t="shared" si="28"/>
        <v/>
      </c>
      <c r="AI84" s="50" t="str">
        <f t="shared" si="28"/>
        <v/>
      </c>
      <c r="AJ84" s="50" t="str">
        <f t="shared" si="28"/>
        <v/>
      </c>
      <c r="AK84" s="50" t="str">
        <f t="shared" si="28"/>
        <v/>
      </c>
      <c r="AL84" s="50" t="str">
        <f t="shared" si="28"/>
        <v/>
      </c>
      <c r="AM84" s="50" t="str">
        <f t="shared" si="28"/>
        <v/>
      </c>
      <c r="AN84" s="50" t="str">
        <f t="shared" si="28"/>
        <v/>
      </c>
      <c r="AO84" s="50" t="str">
        <f t="shared" si="28"/>
        <v/>
      </c>
    </row>
    <row r="85" spans="1:41">
      <c r="A85" s="51"/>
      <c r="B85" s="52">
        <v>1</v>
      </c>
      <c r="C85" s="52"/>
      <c r="D85" s="48"/>
      <c r="E85" s="48"/>
      <c r="F85" s="48"/>
      <c r="G85" s="48"/>
      <c r="H85" s="48"/>
      <c r="I85" s="48" t="s">
        <v>39</v>
      </c>
      <c r="J85" s="49">
        <v>0.01212</v>
      </c>
      <c r="K85" s="49">
        <v>0.01086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>
      <c r="A86" s="51"/>
      <c r="B86" s="52">
        <v>2</v>
      </c>
      <c r="C86" s="52"/>
      <c r="D86" s="48"/>
      <c r="E86" s="48"/>
      <c r="F86" s="48"/>
      <c r="G86" s="48"/>
      <c r="H86" s="48"/>
      <c r="I86" s="48" t="s">
        <v>39</v>
      </c>
      <c r="J86" s="49">
        <v>-0.01212</v>
      </c>
      <c r="K86" s="49">
        <v>-0.01086</v>
      </c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>
      <c r="A87" s="51"/>
      <c r="B87" s="52" t="s">
        <v>66</v>
      </c>
      <c r="C87" s="52" t="s">
        <v>67</v>
      </c>
      <c r="D87" s="48">
        <v>0</v>
      </c>
      <c r="E87" s="48">
        <v>0.03</v>
      </c>
      <c r="F87" s="48">
        <v>0</v>
      </c>
      <c r="G87" s="48">
        <f>D87+E87</f>
        <v>0.03</v>
      </c>
      <c r="H87" s="48">
        <f>D87+F87</f>
        <v>0</v>
      </c>
      <c r="I87" s="48" t="s">
        <v>39</v>
      </c>
      <c r="J87" s="49">
        <v>0.03</v>
      </c>
      <c r="K87" s="49">
        <v>0.02377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50" t="str">
        <f t="shared" ref="Z87:AO87" si="29">IF(J87="","",IF(J87&gt;($D87+$E87),(J87-$D87-$E87),IF(J87&lt;($D87+$F87),(J87-$D87-$F87),"√")))</f>
        <v>√</v>
      </c>
      <c r="AA87" s="50" t="str">
        <f t="shared" si="29"/>
        <v>√</v>
      </c>
      <c r="AB87" s="50" t="str">
        <f t="shared" si="29"/>
        <v/>
      </c>
      <c r="AC87" s="50" t="str">
        <f t="shared" si="29"/>
        <v/>
      </c>
      <c r="AD87" s="50" t="str">
        <f t="shared" si="29"/>
        <v/>
      </c>
      <c r="AE87" s="50" t="str">
        <f t="shared" si="29"/>
        <v/>
      </c>
      <c r="AF87" s="50" t="str">
        <f t="shared" si="29"/>
        <v/>
      </c>
      <c r="AG87" s="50" t="str">
        <f t="shared" si="29"/>
        <v/>
      </c>
      <c r="AH87" s="50" t="str">
        <f t="shared" si="29"/>
        <v/>
      </c>
      <c r="AI87" s="50" t="str">
        <f t="shared" si="29"/>
        <v/>
      </c>
      <c r="AJ87" s="50" t="str">
        <f t="shared" si="29"/>
        <v/>
      </c>
      <c r="AK87" s="50" t="str">
        <f t="shared" si="29"/>
        <v/>
      </c>
      <c r="AL87" s="50" t="str">
        <f t="shared" si="29"/>
        <v/>
      </c>
      <c r="AM87" s="50" t="str">
        <f t="shared" si="29"/>
        <v/>
      </c>
      <c r="AN87" s="50" t="str">
        <f t="shared" si="29"/>
        <v/>
      </c>
      <c r="AO87" s="50" t="str">
        <f t="shared" si="29"/>
        <v/>
      </c>
    </row>
    <row r="88" spans="1:41">
      <c r="A88" s="51"/>
      <c r="B88" s="52">
        <v>1</v>
      </c>
      <c r="C88" s="52"/>
      <c r="D88" s="48"/>
      <c r="E88" s="48"/>
      <c r="F88" s="48"/>
      <c r="G88" s="48"/>
      <c r="H88" s="48"/>
      <c r="I88" s="48" t="s">
        <v>39</v>
      </c>
      <c r="J88" s="49">
        <v>-0.01513</v>
      </c>
      <c r="K88" s="49">
        <v>-0.01189</v>
      </c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>
      <c r="A89" s="51"/>
      <c r="B89" s="52">
        <v>2</v>
      </c>
      <c r="C89" s="52"/>
      <c r="D89" s="48"/>
      <c r="E89" s="48"/>
      <c r="F89" s="48"/>
      <c r="G89" s="48"/>
      <c r="H89" s="48"/>
      <c r="I89" s="48" t="s">
        <v>39</v>
      </c>
      <c r="J89" s="49">
        <v>-0.00981</v>
      </c>
      <c r="K89" s="49">
        <v>-0.00669</v>
      </c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</row>
    <row r="90" spans="1:41">
      <c r="A90" s="51"/>
      <c r="B90" s="52">
        <v>3</v>
      </c>
      <c r="C90" s="52"/>
      <c r="D90" s="48"/>
      <c r="E90" s="48"/>
      <c r="F90" s="48"/>
      <c r="G90" s="48"/>
      <c r="H90" s="48"/>
      <c r="I90" s="48" t="s">
        <v>39</v>
      </c>
      <c r="J90" s="49">
        <v>-0.00287</v>
      </c>
      <c r="K90" s="49">
        <v>0.00505</v>
      </c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</row>
    <row r="91" spans="1:41">
      <c r="A91" s="51"/>
      <c r="B91" s="52">
        <v>4</v>
      </c>
      <c r="C91" s="52"/>
      <c r="D91" s="48"/>
      <c r="E91" s="48"/>
      <c r="F91" s="48"/>
      <c r="G91" s="48"/>
      <c r="H91" s="48"/>
      <c r="I91" s="48" t="s">
        <v>39</v>
      </c>
      <c r="J91" s="49">
        <v>0.00281</v>
      </c>
      <c r="K91" s="49">
        <v>0.00506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</row>
    <row r="92" spans="1:41">
      <c r="A92" s="51"/>
      <c r="B92" s="52">
        <v>5</v>
      </c>
      <c r="C92" s="52"/>
      <c r="D92" s="48"/>
      <c r="E92" s="48"/>
      <c r="F92" s="48"/>
      <c r="G92" s="48"/>
      <c r="H92" s="48"/>
      <c r="I92" s="48" t="s">
        <v>39</v>
      </c>
      <c r="J92" s="49">
        <v>-0.00186</v>
      </c>
      <c r="K92" s="49">
        <v>0.00267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</row>
    <row r="93" spans="1:41">
      <c r="A93" s="51"/>
      <c r="B93" s="52">
        <v>6</v>
      </c>
      <c r="C93" s="52"/>
      <c r="D93" s="48"/>
      <c r="E93" s="48"/>
      <c r="F93" s="48"/>
      <c r="G93" s="48"/>
      <c r="H93" s="48"/>
      <c r="I93" s="48" t="s">
        <v>39</v>
      </c>
      <c r="J93" s="49">
        <v>0.00557</v>
      </c>
      <c r="K93" s="49">
        <v>0.01189</v>
      </c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</row>
    <row r="94" spans="1:41">
      <c r="A94" s="51"/>
      <c r="B94" s="52">
        <v>7</v>
      </c>
      <c r="C94" s="52"/>
      <c r="D94" s="48"/>
      <c r="E94" s="48"/>
      <c r="F94" s="48"/>
      <c r="G94" s="48"/>
      <c r="H94" s="48"/>
      <c r="I94" s="48" t="s">
        <v>39</v>
      </c>
      <c r="J94" s="49">
        <v>0.00761</v>
      </c>
      <c r="K94" s="49">
        <v>0.00854</v>
      </c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</row>
    <row r="95" spans="1:41">
      <c r="A95" s="51"/>
      <c r="B95" s="52">
        <v>8</v>
      </c>
      <c r="C95" s="52"/>
      <c r="D95" s="48"/>
      <c r="E95" s="48"/>
      <c r="F95" s="48"/>
      <c r="G95" s="48"/>
      <c r="H95" s="48"/>
      <c r="I95" s="48" t="s">
        <v>39</v>
      </c>
      <c r="J95" s="49">
        <v>0.01513</v>
      </c>
      <c r="K95" s="49">
        <v>0.01189</v>
      </c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</row>
    <row r="96" spans="1:41">
      <c r="A96" s="51"/>
      <c r="B96" s="52">
        <v>9</v>
      </c>
      <c r="C96" s="52"/>
      <c r="D96" s="48"/>
      <c r="E96" s="48"/>
      <c r="F96" s="48"/>
      <c r="G96" s="48"/>
      <c r="H96" s="48"/>
      <c r="I96" s="48" t="s">
        <v>39</v>
      </c>
      <c r="J96" s="49">
        <v>0.00933</v>
      </c>
      <c r="K96" s="49">
        <v>0.00384</v>
      </c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</row>
    <row r="97" spans="1:41">
      <c r="A97" s="51"/>
      <c r="B97" s="52">
        <v>10</v>
      </c>
      <c r="C97" s="52"/>
      <c r="D97" s="48"/>
      <c r="E97" s="48"/>
      <c r="F97" s="48"/>
      <c r="G97" s="48"/>
      <c r="H97" s="48"/>
      <c r="I97" s="48" t="s">
        <v>39</v>
      </c>
      <c r="J97" s="49">
        <v>-0.01513</v>
      </c>
      <c r="K97" s="49">
        <v>-0.0026</v>
      </c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</row>
    <row r="98" spans="1:41">
      <c r="A98" s="51"/>
      <c r="B98" s="52">
        <v>11</v>
      </c>
      <c r="C98" s="52"/>
      <c r="D98" s="48"/>
      <c r="E98" s="48"/>
      <c r="F98" s="48"/>
      <c r="G98" s="48"/>
      <c r="H98" s="48"/>
      <c r="I98" s="48" t="s">
        <v>39</v>
      </c>
      <c r="J98" s="49">
        <v>-0.00714</v>
      </c>
      <c r="K98" s="49">
        <v>-0.00438</v>
      </c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</row>
    <row r="99" spans="1:41">
      <c r="A99" s="51"/>
      <c r="B99" s="52">
        <v>12</v>
      </c>
      <c r="C99" s="52"/>
      <c r="D99" s="48"/>
      <c r="E99" s="48"/>
      <c r="F99" s="48"/>
      <c r="G99" s="48"/>
      <c r="H99" s="48"/>
      <c r="I99" s="48" t="s">
        <v>39</v>
      </c>
      <c r="J99" s="49">
        <v>-0.01513</v>
      </c>
      <c r="K99" s="49">
        <v>-0.01189</v>
      </c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</row>
    <row r="100" spans="1:41">
      <c r="D100"/>
      <c r="E100"/>
      <c r="F100"/>
      <c r="G100"/>
      <c r="H100"/>
      <c r="I100"/>
    </row>
    <row r="101" spans="1:41">
      <c r="D101"/>
      <c r="E101"/>
      <c r="F101"/>
      <c r="G101"/>
      <c r="H101"/>
      <c r="I101"/>
    </row>
    <row r="102" spans="1:41">
      <c r="D102"/>
      <c r="E102"/>
      <c r="F102"/>
      <c r="G102"/>
      <c r="H102"/>
      <c r="I102"/>
    </row>
    <row r="103" spans="1:41">
      <c r="D103"/>
      <c r="E103"/>
      <c r="F103"/>
      <c r="G103"/>
      <c r="H103"/>
      <c r="I103"/>
    </row>
    <row r="104" spans="1:41">
      <c r="D104"/>
      <c r="E104"/>
      <c r="F104"/>
      <c r="G104"/>
      <c r="H104"/>
      <c r="I104"/>
    </row>
    <row r="105" spans="1:41">
      <c r="D105"/>
      <c r="E105"/>
      <c r="F105"/>
      <c r="G105"/>
      <c r="H105"/>
      <c r="I105"/>
    </row>
    <row r="106" spans="1:41">
      <c r="D106"/>
      <c r="E106"/>
      <c r="F106"/>
      <c r="G106"/>
      <c r="H106"/>
      <c r="I106"/>
    </row>
    <row r="107" spans="1:41">
      <c r="D107"/>
      <c r="E107"/>
      <c r="F107"/>
      <c r="G107"/>
      <c r="H107"/>
      <c r="I107"/>
    </row>
    <row r="108" spans="1:41">
      <c r="D108"/>
      <c r="E108"/>
      <c r="F108"/>
      <c r="G108"/>
      <c r="H108"/>
      <c r="I108"/>
    </row>
    <row r="109" spans="1:41">
      <c r="D109"/>
      <c r="E109"/>
      <c r="F109"/>
      <c r="G109"/>
      <c r="H109"/>
      <c r="I109"/>
    </row>
    <row r="110" spans="1:41">
      <c r="D110"/>
      <c r="E110"/>
      <c r="F110"/>
      <c r="G110"/>
      <c r="H110"/>
      <c r="I110"/>
    </row>
    <row r="111" spans="1:41">
      <c r="D111"/>
      <c r="E111"/>
      <c r="F111"/>
      <c r="G111"/>
      <c r="H111"/>
      <c r="I111"/>
    </row>
    <row r="112" spans="1:41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9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L2:R3"/>
    <mergeCell ref="H2:K3"/>
  </mergeCells>
  <conditionalFormatting sqref="J22:Y22">
    <cfRule type="cellIs" dxfId="0" priority="4" stopIfTrue="1" operator="notBetween">
      <formula>$G22</formula>
      <formula>$H22</formula>
    </cfRule>
  </conditionalFormatting>
  <conditionalFormatting sqref="J77:Y77">
    <cfRule type="cellIs" dxfId="0" priority="10" stopIfTrue="1" operator="notBetween">
      <formula>$G77</formula>
      <formula>$H77</formula>
    </cfRule>
  </conditionalFormatting>
  <conditionalFormatting sqref="J80:Y80">
    <cfRule type="cellIs" dxfId="0" priority="6" stopIfTrue="1" operator="notBetween">
      <formula>$G80</formula>
      <formula>$H80</formula>
    </cfRule>
  </conditionalFormatting>
  <conditionalFormatting sqref="J7:Y14">
    <cfRule type="cellIs" dxfId="0" priority="8" stopIfTrue="1" operator="notBetween">
      <formula>$G7</formula>
      <formula>$H7</formula>
    </cfRule>
  </conditionalFormatting>
  <conditionalFormatting sqref="J15:Y16">
    <cfRule type="cellIs" dxfId="0" priority="11" stopIfTrue="1" operator="notBetween">
      <formula>$G15</formula>
      <formula>$H15</formula>
    </cfRule>
  </conditionalFormatting>
  <conditionalFormatting sqref="J17:Y18">
    <cfRule type="cellIs" dxfId="0" priority="9" stopIfTrue="1" operator="notBetween">
      <formula>$G17</formula>
      <formula>$H17</formula>
    </cfRule>
  </conditionalFormatting>
  <conditionalFormatting sqref="J19:Y21">
    <cfRule type="cellIs" dxfId="0" priority="2" stopIfTrue="1" operator="notBetween">
      <formula>$G19</formula>
      <formula>$H19</formula>
    </cfRule>
  </conditionalFormatting>
  <conditionalFormatting sqref="J23:Y24">
    <cfRule type="cellIs" dxfId="0" priority="3" stopIfTrue="1" operator="notBetween">
      <formula>$G23</formula>
      <formula>$H23</formula>
    </cfRule>
  </conditionalFormatting>
  <conditionalFormatting sqref="J25:Y25 J50:Y50 J87:Y87">
    <cfRule type="cellIs" dxfId="0" priority="12" stopIfTrue="1" operator="notBetween">
      <formula>$G25</formula>
      <formula>$H25</formula>
    </cfRule>
  </conditionalFormatting>
  <conditionalFormatting sqref="J81:Y81 J84:Y84">
    <cfRule type="cellIs" dxfId="0" priority="5" stopIfTrue="1" operator="notBetween">
      <formula>$G81</formula>
      <formula>$H81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2026-07-02T23:24:56Z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