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5" sheetId="8" r:id="rId1"/>
  </sheets>
  <definedNames>
    <definedName name="_xlnm.Print_Area" localSheetId="0">'806-65035'!$B$1:$AE$6</definedName>
    <definedName name="_xlnm.Print_Titles" localSheetId="0">'806-65035'!$1:$6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<sst xmlns="http://schemas.openxmlformats.org/spreadsheetml/2006/main" count="214" uniqueCount="101">
  <si>
    <t>安徽中耀智能科技有限公司首件尺寸报告</t>
  </si>
  <si>
    <t>料号</t>
  </si>
  <si>
    <t>806-65035</t>
  </si>
  <si>
    <t>工单号</t>
  </si>
  <si>
    <t>工站</t>
  </si>
  <si>
    <t>炉号</t>
  </si>
  <si>
    <t>测量机台号</t>
  </si>
  <si>
    <t>测量人员</t>
  </si>
  <si>
    <t>审核</t>
  </si>
  <si>
    <t xml:space="preserve"> 开发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</si>
  <si>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</si>
  <si>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</si>
  <si>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</si>
  <si>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</si>
  <si>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</si>
  <si>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</si>
  <si>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</si>
  <si>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</si>
  <si>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</si>
  <si>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</si>
  <si>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</si>
  <si>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</si>
  <si>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</si>
  <si>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</si>
  <si>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</si>
  <si>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</si>
  <si>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rPr>
        <b/>
        <sz val="11"/>
        <rFont val="宋体"/>
        <charset val="134"/>
      </rPr>
      <t>复测</t>
    </r>
    <r>
      <rPr>
        <b/>
        <sz val="11"/>
        <rFont val="Arial"/>
        <charset val="134"/>
      </rPr>
      <t>6</t>
    </r>
  </si>
  <si>
    <t>FAI53</t>
  </si>
  <si>
    <t>OMM</t>
  </si>
  <si>
    <t>FAI54_1</t>
  </si>
  <si>
    <t>FAI54_2</t>
  </si>
  <si>
    <t>FAI54_3</t>
  </si>
  <si>
    <t>FAI54_4</t>
  </si>
  <si>
    <t>FAI54_5</t>
  </si>
  <si>
    <t>FAI54_6</t>
  </si>
  <si>
    <t>FAI54_7</t>
  </si>
  <si>
    <t>FAI14</t>
  </si>
  <si>
    <t>N</t>
  </si>
  <si>
    <t>FAI36</t>
  </si>
  <si>
    <t>AJ</t>
  </si>
  <si>
    <t>FAI37</t>
  </si>
  <si>
    <t>FAI6</t>
  </si>
  <si>
    <t>CMM</t>
  </si>
  <si>
    <t>FAI12</t>
  </si>
  <si>
    <t>L</t>
  </si>
  <si>
    <t>参考</t>
  </si>
  <si>
    <t>FAI15</t>
  </si>
  <si>
    <t>FAI17</t>
  </si>
  <si>
    <t>FAI18</t>
  </si>
  <si>
    <t>FAI19</t>
  </si>
  <si>
    <t>FAI20</t>
  </si>
  <si>
    <t>FAI21</t>
  </si>
  <si>
    <t>FAI22</t>
  </si>
  <si>
    <t>FAI23</t>
  </si>
  <si>
    <t>W</t>
  </si>
  <si>
    <t>FAI24</t>
  </si>
  <si>
    <t>FAI25</t>
  </si>
  <si>
    <t>FAI38</t>
  </si>
  <si>
    <t>AL</t>
  </si>
  <si>
    <t>FAI39</t>
  </si>
  <si>
    <t>FAI45</t>
  </si>
  <si>
    <t>FAI49_1</t>
  </si>
  <si>
    <t>FAI49_2</t>
  </si>
  <si>
    <t>FAI51</t>
  </si>
  <si>
    <t>FAI52</t>
  </si>
  <si>
    <t>FAI4</t>
  </si>
  <si>
    <t>D</t>
  </si>
  <si>
    <t>FAI7</t>
  </si>
  <si>
    <t>G</t>
  </si>
  <si>
    <t>FAI8</t>
  </si>
  <si>
    <t>H</t>
  </si>
  <si>
    <t>FAI11</t>
  </si>
  <si>
    <t>K</t>
  </si>
  <si>
    <t>FAI13</t>
  </si>
  <si>
    <t>FAI30_Y</t>
  </si>
  <si>
    <t>FAI30_Z</t>
  </si>
  <si>
    <t>FAI30</t>
  </si>
  <si>
    <t>AD</t>
  </si>
  <si>
    <t>FAI32</t>
  </si>
  <si>
    <t>AF</t>
  </si>
  <si>
    <t>FAI33</t>
  </si>
  <si>
    <t>AG</t>
  </si>
  <si>
    <t>FAI34</t>
  </si>
  <si>
    <t>FAI35</t>
  </si>
  <si>
    <t>AI</t>
  </si>
  <si>
    <t>FAI40</t>
  </si>
  <si>
    <t>FAI40_Y</t>
  </si>
  <si>
    <t>FAI40_Z</t>
  </si>
  <si>
    <t>FAI41</t>
  </si>
  <si>
    <t>FAI42</t>
  </si>
  <si>
    <t>FAI50</t>
  </si>
  <si>
    <t>AQ</t>
  </si>
  <si>
    <t>FAI5</t>
  </si>
  <si>
    <t>E</t>
  </si>
  <si>
    <t>PIN</t>
  </si>
  <si>
    <t>FAI47</t>
  </si>
  <si>
    <t>MIC</t>
  </si>
  <si>
    <t>FAI10_1</t>
  </si>
  <si>
    <t>I</t>
  </si>
  <si>
    <t>FAI10_2</t>
  </si>
  <si>
    <t>FAI9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</si>
</sst>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10" fillId="4" borderId="7" xfId="53" applyFont="1" applyFill="1" applyBorder="1" applyAlignment="1">
      <alignment horizontal="center" vertical="center"/>
    </xf>
    <xf numFmtId="0" fontId="13" fillId="4" borderId="7" xfId="53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246380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608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20"/>
  <sheetViews>
    <sheetView tabSelected="1" zoomScale="85" zoomScaleNormal="85" workbookViewId="0">
      <selection activeCell="U15" sqref="U15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37" t="s">
        <v>26</v>
      </c>
      <c r="T6" s="46">
        <v>11</v>
      </c>
      <c r="U6" s="46">
        <v>12</v>
      </c>
      <c r="V6" s="46">
        <v>13</v>
      </c>
      <c r="W6" s="37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 t="str">
        <f t="shared" si="0"/>
        <v>复测6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46205</v>
      </c>
      <c r="B7" s="49" t="s">
        <v>27</v>
      </c>
      <c r="C7" s="50"/>
      <c r="D7" s="51">
        <v>0.05</v>
      </c>
      <c r="E7" s="51">
        <v>0.02</v>
      </c>
      <c r="F7" s="51">
        <v>-0.02</v>
      </c>
      <c r="G7" s="51">
        <f>D7+E7</f>
        <v>0.07</v>
      </c>
      <c r="H7" s="51">
        <f>D7+F7</f>
        <v>0.03</v>
      </c>
      <c r="I7" s="51" t="s">
        <v>28</v>
      </c>
      <c r="J7" s="52">
        <v>0.0651</v>
      </c>
      <c r="K7" s="52">
        <v>0.0449</v>
      </c>
      <c r="L7" s="52">
        <v>0.0527</v>
      </c>
      <c r="M7" s="52">
        <v>0.0531</v>
      </c>
      <c r="N7" s="52">
        <v>0.0469</v>
      </c>
      <c r="O7" s="52">
        <v>0.0657</v>
      </c>
      <c r="P7" s="52">
        <v>0.0652</v>
      </c>
      <c r="Q7" s="52">
        <v>0.0543</v>
      </c>
      <c r="R7" s="52">
        <v>0.046</v>
      </c>
      <c r="S7" s="52">
        <v>0.0631</v>
      </c>
      <c r="T7" s="52"/>
      <c r="U7" s="52"/>
      <c r="V7" s="52"/>
      <c r="W7" s="52"/>
      <c r="X7" s="52"/>
      <c r="Y7" s="52"/>
      <c r="Z7" s="53" t="str">
        <f t="shared" ref="Z7:AO7" si="1">IF(J7="","",IF(J7&gt;($D7+$E7),(J7-$D7-$E7),IF(J7&lt;($D7+$F7),(J7-$D7-$F7),"√")))</f>
        <v>√</v>
      </c>
      <c r="AA7" s="53" t="str">
        <f t="shared" si="1"/>
        <v>√</v>
      </c>
      <c r="AB7" s="53" t="str">
        <f t="shared" si="1"/>
        <v>√</v>
      </c>
      <c r="AC7" s="53" t="str">
        <f t="shared" si="1"/>
        <v>√</v>
      </c>
      <c r="AD7" s="53" t="str">
        <f t="shared" si="1"/>
        <v>√</v>
      </c>
      <c r="AE7" s="53" t="str">
        <f t="shared" si="1"/>
        <v>√</v>
      </c>
      <c r="AF7" s="53" t="str">
        <f t="shared" si="1"/>
        <v>√</v>
      </c>
      <c r="AG7" s="53" t="str">
        <f t="shared" si="1"/>
        <v>√</v>
      </c>
      <c r="AH7" s="53" t="str">
        <f t="shared" si="1"/>
        <v>√</v>
      </c>
      <c r="AI7" s="53" t="str">
        <f t="shared" si="1"/>
        <v>√</v>
      </c>
      <c r="AJ7" s="53" t="str">
        <f t="shared" si="1"/>
        <v/>
      </c>
      <c r="AK7" s="53" t="str">
        <f t="shared" si="1"/>
        <v/>
      </c>
      <c r="AL7" s="53" t="str">
        <f t="shared" si="1"/>
        <v/>
      </c>
      <c r="AM7" s="53" t="str">
        <f t="shared" si="1"/>
        <v/>
      </c>
      <c r="AN7" s="53" t="str">
        <f t="shared" si="1"/>
        <v/>
      </c>
      <c r="AO7" s="53" t="str">
        <f t="shared" si="1"/>
        <v/>
      </c>
    </row>
    <row r="8" ht="15" customHeight="1" spans="1:41">
      <c r="A8" s="48"/>
      <c r="B8" s="49" t="s">
        <v>29</v>
      </c>
      <c r="C8" s="50"/>
      <c r="D8" s="51">
        <v>0.025</v>
      </c>
      <c r="E8" s="51">
        <v>0.01</v>
      </c>
      <c r="F8" s="51">
        <v>-0.01</v>
      </c>
      <c r="G8" s="51">
        <f t="shared" ref="G8:G14" si="2">D8+E8</f>
        <v>0.035</v>
      </c>
      <c r="H8" s="51">
        <f t="shared" ref="H8:H14" si="3">D8+F8</f>
        <v>0.015</v>
      </c>
      <c r="I8" s="51" t="s">
        <v>28</v>
      </c>
      <c r="J8" s="52">
        <v>0.043</v>
      </c>
      <c r="K8" s="52">
        <v>0.0401</v>
      </c>
      <c r="L8" s="52">
        <v>0.0327</v>
      </c>
      <c r="M8" s="52">
        <v>0.0361</v>
      </c>
      <c r="N8" s="52">
        <v>0.0421</v>
      </c>
      <c r="O8" s="52">
        <v>0.046</v>
      </c>
      <c r="P8" s="52">
        <v>0.0437</v>
      </c>
      <c r="Q8" s="52">
        <v>0.0425</v>
      </c>
      <c r="R8" s="52">
        <v>0.0385</v>
      </c>
      <c r="S8" s="52">
        <v>0.0462</v>
      </c>
      <c r="T8" s="52"/>
      <c r="U8" s="52"/>
      <c r="V8" s="52"/>
      <c r="W8" s="52"/>
      <c r="X8" s="52"/>
      <c r="Y8" s="52"/>
      <c r="Z8" s="53">
        <f t="shared" ref="Z8:Z18" si="4">IF(J8="","",IF(J8&gt;($D8+$E8),(J8-$D8-$E8),IF(J8&lt;($D8+$F8),(J8-$D8-$F8),"√")))</f>
        <v>0.00799999999999999</v>
      </c>
      <c r="AA8" s="53">
        <f t="shared" ref="AA8:AA17" si="5">IF(K8="","",IF(K8&gt;($D8+$E8),(K8-$D8-$E8),IF(K8&lt;($D8+$F8),(K8-$D8-$F8),"√")))</f>
        <v>0.0051</v>
      </c>
      <c r="AB8" s="53" t="str">
        <f t="shared" ref="AB8:AB17" si="6">IF(L8="","",IF(L8&gt;($D8+$E8),(L8-$D8-$E8),IF(L8&lt;($D8+$F8),(L8-$D8-$F8),"√")))</f>
        <v>√</v>
      </c>
      <c r="AC8" s="53">
        <f t="shared" ref="AC8:AC17" si="7">IF(M8="","",IF(M8&gt;($D8+$E8),(M8-$D8-$E8),IF(M8&lt;($D8+$F8),(M8-$D8-$F8),"√")))</f>
        <v>0.0011</v>
      </c>
      <c r="AD8" s="53">
        <f t="shared" ref="AD8:AD17" si="8">IF(N8="","",IF(N8&gt;($D8+$E8),(N8-$D8-$E8),IF(N8&lt;($D8+$F8),(N8-$D8-$F8),"√")))</f>
        <v>0.0071</v>
      </c>
      <c r="AE8" s="53">
        <f t="shared" ref="AE8:AE17" si="9">IF(O8="","",IF(O8&gt;($D8+$E8),(O8-$D8-$E8),IF(O8&lt;($D8+$F8),(O8-$D8-$F8),"√")))</f>
        <v>0.011</v>
      </c>
      <c r="AF8" s="53">
        <f t="shared" ref="AF8:AF17" si="10">IF(P8="","",IF(P8&gt;($D8+$E8),(P8-$D8-$E8),IF(P8&lt;($D8+$F8),(P8-$D8-$F8),"√")))</f>
        <v>0.0087</v>
      </c>
      <c r="AG8" s="53">
        <f t="shared" ref="AG8:AG17" si="11">IF(Q8="","",IF(Q8&gt;($D8+$E8),(Q8-$D8-$E8),IF(Q8&lt;($D8+$F8),(Q8-$D8-$F8),"√")))</f>
        <v>0.0075</v>
      </c>
      <c r="AH8" s="53">
        <f t="shared" ref="AH8:AH17" si="12">IF(R8="","",IF(R8&gt;($D8+$E8),(R8-$D8-$E8),IF(R8&lt;($D8+$F8),(R8-$D8-$F8),"√")))</f>
        <v>0.0035</v>
      </c>
      <c r="AI8" s="53">
        <f t="shared" ref="AI8:AI17" si="13">IF(S8="","",IF(S8&gt;($D8+$E8),(S8-$D8-$E8),IF(S8&lt;($D8+$F8),(S8-$D8-$F8),"√")))</f>
        <v>0.0112</v>
      </c>
      <c r="AJ8" s="53" t="str">
        <f t="shared" ref="AJ8:AJ17" si="14">IF(T8="","",IF(T8&gt;($D8+$E8),(T8-$D8-$E8),IF(T8&lt;($D8+$F8),(T8-$D8-$F8),"√")))</f>
        <v/>
      </c>
      <c r="AK8" s="53" t="str">
        <f t="shared" ref="AK8:AK17" si="15">IF(U8="","",IF(U8&gt;($D8+$E8),(U8-$D8-$E8),IF(U8&lt;($D8+$F8),(U8-$D8-$F8),"√")))</f>
        <v/>
      </c>
      <c r="AL8" s="53" t="str">
        <f t="shared" ref="AL8:AL17" si="16">IF(V8="","",IF(V8&gt;($D8+$E8),(V8-$D8-$E8),IF(V8&lt;($D8+$F8),(V8-$D8-$F8),"√")))</f>
        <v/>
      </c>
      <c r="AM8" s="53" t="str">
        <f t="shared" ref="AM8:AM17" si="17">IF(W8="","",IF(W8&gt;($D8+$E8),(W8-$D8-$E8),IF(W8&lt;($D8+$F8),(W8-$D8-$F8),"√")))</f>
        <v/>
      </c>
      <c r="AN8" s="53" t="str">
        <f t="shared" ref="AN8:AN17" si="18">IF(X8="","",IF(X8&gt;($D8+$E8),(X8-$D8-$E8),IF(X8&lt;($D8+$F8),(X8-$D8-$F8),"√")))</f>
        <v/>
      </c>
      <c r="AO8" s="53" t="str">
        <f t="shared" ref="AO8:AO17" si="19">IF(Y8="","",IF(Y8&gt;($D8+$E8),(Y8-$D8-$E8),IF(Y8&lt;($D8+$F8),(Y8-$D8-$F8),"√")))</f>
        <v/>
      </c>
    </row>
    <row r="9" ht="15" customHeight="1" spans="1:41">
      <c r="A9" s="48"/>
      <c r="B9" s="49" t="s">
        <v>30</v>
      </c>
      <c r="C9" s="50"/>
      <c r="D9" s="51">
        <v>0.025</v>
      </c>
      <c r="E9" s="51">
        <v>0.01</v>
      </c>
      <c r="F9" s="51">
        <v>-0.01</v>
      </c>
      <c r="G9" s="51">
        <f t="shared" si="2"/>
        <v>0.035</v>
      </c>
      <c r="H9" s="51">
        <f t="shared" si="3"/>
        <v>0.015</v>
      </c>
      <c r="I9" s="51" t="s">
        <v>28</v>
      </c>
      <c r="J9" s="52">
        <v>0.0277</v>
      </c>
      <c r="K9" s="52">
        <v>0.0267</v>
      </c>
      <c r="L9" s="52">
        <v>0.027</v>
      </c>
      <c r="M9" s="52">
        <v>0.0286</v>
      </c>
      <c r="N9" s="52">
        <v>0.0254</v>
      </c>
      <c r="O9" s="52">
        <v>0.0276</v>
      </c>
      <c r="P9" s="52">
        <v>0.0274</v>
      </c>
      <c r="Q9" s="52">
        <v>0.0323</v>
      </c>
      <c r="R9" s="52">
        <v>0.035</v>
      </c>
      <c r="S9" s="52">
        <v>0.0259</v>
      </c>
      <c r="T9" s="52"/>
      <c r="U9" s="52"/>
      <c r="V9" s="52"/>
      <c r="W9" s="52"/>
      <c r="X9" s="52"/>
      <c r="Y9" s="52"/>
      <c r="Z9" s="53" t="str">
        <f t="shared" si="4"/>
        <v>√</v>
      </c>
      <c r="AA9" s="53" t="str">
        <f t="shared" si="5"/>
        <v>√</v>
      </c>
      <c r="AB9" s="53" t="str">
        <f t="shared" si="6"/>
        <v>√</v>
      </c>
      <c r="AC9" s="53" t="str">
        <f t="shared" si="7"/>
        <v>√</v>
      </c>
      <c r="AD9" s="53" t="str">
        <f t="shared" si="8"/>
        <v>√</v>
      </c>
      <c r="AE9" s="53" t="str">
        <f t="shared" si="9"/>
        <v>√</v>
      </c>
      <c r="AF9" s="53" t="str">
        <f t="shared" si="10"/>
        <v>√</v>
      </c>
      <c r="AG9" s="53" t="str">
        <f t="shared" si="11"/>
        <v>√</v>
      </c>
      <c r="AH9" s="53" t="str">
        <f t="shared" si="12"/>
        <v>√</v>
      </c>
      <c r="AI9" s="53" t="str">
        <f t="shared" si="13"/>
        <v>√</v>
      </c>
      <c r="AJ9" s="53" t="str">
        <f t="shared" si="14"/>
        <v/>
      </c>
      <c r="AK9" s="53" t="str">
        <f t="shared" si="15"/>
        <v/>
      </c>
      <c r="AL9" s="53" t="str">
        <f t="shared" si="16"/>
        <v/>
      </c>
      <c r="AM9" s="53" t="str">
        <f t="shared" si="17"/>
        <v/>
      </c>
      <c r="AN9" s="53" t="str">
        <f t="shared" si="18"/>
        <v/>
      </c>
      <c r="AO9" s="53" t="str">
        <f t="shared" si="19"/>
        <v/>
      </c>
    </row>
    <row r="10" ht="15" customHeight="1" spans="1:41">
      <c r="A10" s="48"/>
      <c r="B10" s="49" t="s">
        <v>31</v>
      </c>
      <c r="C10" s="50"/>
      <c r="D10" s="51">
        <v>0.025</v>
      </c>
      <c r="E10" s="51">
        <v>0.01</v>
      </c>
      <c r="F10" s="51">
        <v>-0.01</v>
      </c>
      <c r="G10" s="51">
        <f t="shared" si="2"/>
        <v>0.035</v>
      </c>
      <c r="H10" s="51">
        <f t="shared" si="3"/>
        <v>0.015</v>
      </c>
      <c r="I10" s="51" t="s">
        <v>28</v>
      </c>
      <c r="J10" s="52">
        <v>0.0251</v>
      </c>
      <c r="K10" s="52">
        <v>0.0302</v>
      </c>
      <c r="L10" s="52">
        <v>0.0341</v>
      </c>
      <c r="M10" s="52">
        <v>0.0256</v>
      </c>
      <c r="N10" s="52">
        <v>0.0334</v>
      </c>
      <c r="O10" s="52">
        <v>0.0345</v>
      </c>
      <c r="P10" s="52">
        <v>0.035</v>
      </c>
      <c r="Q10" s="52">
        <v>0.0322</v>
      </c>
      <c r="R10" s="52">
        <v>0.0273</v>
      </c>
      <c r="S10" s="52"/>
      <c r="T10" s="52"/>
      <c r="U10" s="52"/>
      <c r="V10" s="52"/>
      <c r="W10" s="52"/>
      <c r="X10" s="52"/>
      <c r="Y10" s="52"/>
      <c r="Z10" s="53" t="str">
        <f t="shared" si="4"/>
        <v>√</v>
      </c>
      <c r="AA10" s="53" t="str">
        <f t="shared" si="5"/>
        <v>√</v>
      </c>
      <c r="AB10" s="53" t="str">
        <f t="shared" si="6"/>
        <v>√</v>
      </c>
      <c r="AC10" s="53" t="str">
        <f t="shared" si="7"/>
        <v>√</v>
      </c>
      <c r="AD10" s="53" t="str">
        <f t="shared" si="8"/>
        <v>√</v>
      </c>
      <c r="AE10" s="53" t="str">
        <f t="shared" si="9"/>
        <v>√</v>
      </c>
      <c r="AF10" s="53" t="str">
        <f t="shared" si="10"/>
        <v>√</v>
      </c>
      <c r="AG10" s="53" t="str">
        <f t="shared" si="11"/>
        <v>√</v>
      </c>
      <c r="AH10" s="53" t="str">
        <f t="shared" si="12"/>
        <v>√</v>
      </c>
      <c r="AI10" s="53" t="str">
        <f t="shared" si="13"/>
        <v/>
      </c>
      <c r="AJ10" s="53" t="str">
        <f t="shared" si="14"/>
        <v/>
      </c>
      <c r="AK10" s="53" t="str">
        <f t="shared" si="15"/>
        <v/>
      </c>
      <c r="AL10" s="53" t="str">
        <f t="shared" si="16"/>
        <v/>
      </c>
      <c r="AM10" s="53" t="str">
        <f t="shared" si="17"/>
        <v/>
      </c>
      <c r="AN10" s="53" t="str">
        <f t="shared" si="18"/>
        <v/>
      </c>
      <c r="AO10" s="53" t="str">
        <f t="shared" si="19"/>
        <v/>
      </c>
    </row>
    <row r="11" ht="15" customHeight="1" spans="1:41">
      <c r="A11" s="48"/>
      <c r="B11" s="49" t="s">
        <v>32</v>
      </c>
      <c r="C11" s="50"/>
      <c r="D11" s="51">
        <v>0.025</v>
      </c>
      <c r="E11" s="51">
        <v>0.01</v>
      </c>
      <c r="F11" s="51">
        <v>-0.01</v>
      </c>
      <c r="G11" s="51">
        <f t="shared" si="2"/>
        <v>0.035</v>
      </c>
      <c r="H11" s="51">
        <f t="shared" si="3"/>
        <v>0.015</v>
      </c>
      <c r="I11" s="51" t="s">
        <v>28</v>
      </c>
      <c r="J11" s="52">
        <v>0.019</v>
      </c>
      <c r="K11" s="52">
        <v>0.0274</v>
      </c>
      <c r="L11" s="52">
        <v>0.0265</v>
      </c>
      <c r="M11" s="52">
        <v>0.0191</v>
      </c>
      <c r="N11" s="52">
        <v>0.0228</v>
      </c>
      <c r="O11" s="52">
        <v>0.0247</v>
      </c>
      <c r="P11" s="52">
        <v>0.0225</v>
      </c>
      <c r="Q11" s="52">
        <v>0.0214</v>
      </c>
      <c r="R11" s="52">
        <v>0.0242</v>
      </c>
      <c r="S11" s="52"/>
      <c r="T11" s="52"/>
      <c r="U11" s="52"/>
      <c r="V11" s="52"/>
      <c r="W11" s="52"/>
      <c r="X11" s="52"/>
      <c r="Y11" s="52"/>
      <c r="Z11" s="53" t="str">
        <f t="shared" si="4"/>
        <v>√</v>
      </c>
      <c r="AA11" s="53" t="str">
        <f t="shared" si="5"/>
        <v>√</v>
      </c>
      <c r="AB11" s="53" t="str">
        <f t="shared" si="6"/>
        <v>√</v>
      </c>
      <c r="AC11" s="53" t="str">
        <f t="shared" si="7"/>
        <v>√</v>
      </c>
      <c r="AD11" s="53" t="str">
        <f t="shared" si="8"/>
        <v>√</v>
      </c>
      <c r="AE11" s="53" t="str">
        <f t="shared" si="9"/>
        <v>√</v>
      </c>
      <c r="AF11" s="53" t="str">
        <f t="shared" si="10"/>
        <v>√</v>
      </c>
      <c r="AG11" s="53" t="str">
        <f t="shared" si="11"/>
        <v>√</v>
      </c>
      <c r="AH11" s="53" t="str">
        <f t="shared" si="12"/>
        <v>√</v>
      </c>
      <c r="AI11" s="53" t="str">
        <f t="shared" si="13"/>
        <v/>
      </c>
      <c r="AJ11" s="53" t="str">
        <f t="shared" si="14"/>
        <v/>
      </c>
      <c r="AK11" s="53" t="str">
        <f t="shared" si="15"/>
        <v/>
      </c>
      <c r="AL11" s="53" t="str">
        <f t="shared" si="16"/>
        <v/>
      </c>
      <c r="AM11" s="53" t="str">
        <f t="shared" si="17"/>
        <v/>
      </c>
      <c r="AN11" s="53" t="str">
        <f t="shared" si="18"/>
        <v/>
      </c>
      <c r="AO11" s="53" t="str">
        <f t="shared" si="19"/>
        <v/>
      </c>
    </row>
    <row r="12" ht="15" customHeight="1" spans="1:41">
      <c r="A12" s="48"/>
      <c r="B12" s="49" t="s">
        <v>33</v>
      </c>
      <c r="C12" s="50"/>
      <c r="D12" s="51">
        <v>0.025</v>
      </c>
      <c r="E12" s="51">
        <v>0.01</v>
      </c>
      <c r="F12" s="51">
        <v>-0.01</v>
      </c>
      <c r="G12" s="51">
        <f t="shared" si="2"/>
        <v>0.035</v>
      </c>
      <c r="H12" s="51">
        <f t="shared" si="3"/>
        <v>0.015</v>
      </c>
      <c r="I12" s="51" t="s">
        <v>28</v>
      </c>
      <c r="J12" s="52">
        <v>0.0208</v>
      </c>
      <c r="K12" s="52">
        <v>0.0199</v>
      </c>
      <c r="L12" s="52">
        <v>0.0261</v>
      </c>
      <c r="M12" s="52">
        <v>0.0159</v>
      </c>
      <c r="N12" s="52">
        <v>0.0186</v>
      </c>
      <c r="O12" s="52">
        <v>0.0217</v>
      </c>
      <c r="P12" s="52">
        <v>0.0231</v>
      </c>
      <c r="Q12" s="52">
        <v>0.0184</v>
      </c>
      <c r="R12" s="52">
        <v>0.0211</v>
      </c>
      <c r="S12" s="52"/>
      <c r="T12" s="52"/>
      <c r="U12" s="52"/>
      <c r="V12" s="52"/>
      <c r="W12" s="52"/>
      <c r="X12" s="52"/>
      <c r="Y12" s="52"/>
      <c r="Z12" s="53" t="str">
        <f t="shared" si="4"/>
        <v>√</v>
      </c>
      <c r="AA12" s="53" t="str">
        <f t="shared" si="5"/>
        <v>√</v>
      </c>
      <c r="AB12" s="53" t="str">
        <f t="shared" si="6"/>
        <v>√</v>
      </c>
      <c r="AC12" s="53" t="str">
        <f t="shared" si="7"/>
        <v>√</v>
      </c>
      <c r="AD12" s="53" t="str">
        <f t="shared" si="8"/>
        <v>√</v>
      </c>
      <c r="AE12" s="53" t="str">
        <f t="shared" si="9"/>
        <v>√</v>
      </c>
      <c r="AF12" s="53" t="str">
        <f t="shared" si="10"/>
        <v>√</v>
      </c>
      <c r="AG12" s="53" t="str">
        <f t="shared" si="11"/>
        <v>√</v>
      </c>
      <c r="AH12" s="53" t="str">
        <f t="shared" si="12"/>
        <v>√</v>
      </c>
      <c r="AI12" s="53" t="str">
        <f t="shared" si="13"/>
        <v/>
      </c>
      <c r="AJ12" s="53" t="str">
        <f t="shared" si="14"/>
        <v/>
      </c>
      <c r="AK12" s="53" t="str">
        <f t="shared" si="15"/>
        <v/>
      </c>
      <c r="AL12" s="53" t="str">
        <f t="shared" si="16"/>
        <v/>
      </c>
      <c r="AM12" s="53" t="str">
        <f t="shared" si="17"/>
        <v/>
      </c>
      <c r="AN12" s="53" t="str">
        <f t="shared" si="18"/>
        <v/>
      </c>
      <c r="AO12" s="53" t="str">
        <f t="shared" si="19"/>
        <v/>
      </c>
    </row>
    <row r="13" ht="15" customHeight="1" spans="1:41">
      <c r="A13" s="48"/>
      <c r="B13" s="49" t="s">
        <v>34</v>
      </c>
      <c r="C13" s="50"/>
      <c r="D13" s="51">
        <v>0.025</v>
      </c>
      <c r="E13" s="51">
        <v>0.01</v>
      </c>
      <c r="F13" s="51">
        <v>-0.01</v>
      </c>
      <c r="G13" s="51">
        <f t="shared" si="2"/>
        <v>0.035</v>
      </c>
      <c r="H13" s="51">
        <f t="shared" si="3"/>
        <v>0.015</v>
      </c>
      <c r="I13" s="51" t="s">
        <v>28</v>
      </c>
      <c r="J13" s="52">
        <v>0.0248</v>
      </c>
      <c r="K13" s="52">
        <v>0.02</v>
      </c>
      <c r="L13" s="52">
        <v>0.0223</v>
      </c>
      <c r="M13" s="52">
        <v>0.0152</v>
      </c>
      <c r="N13" s="52">
        <v>0.0249</v>
      </c>
      <c r="O13" s="52">
        <v>0.0226</v>
      </c>
      <c r="P13" s="52">
        <v>0.0221</v>
      </c>
      <c r="Q13" s="52">
        <v>0.0275</v>
      </c>
      <c r="R13" s="52">
        <v>0.0281</v>
      </c>
      <c r="S13" s="52"/>
      <c r="T13" s="52"/>
      <c r="U13" s="52"/>
      <c r="V13" s="52"/>
      <c r="W13" s="52"/>
      <c r="X13" s="52"/>
      <c r="Y13" s="52"/>
      <c r="Z13" s="53" t="str">
        <f t="shared" si="4"/>
        <v>√</v>
      </c>
      <c r="AA13" s="53" t="str">
        <f t="shared" si="5"/>
        <v>√</v>
      </c>
      <c r="AB13" s="53" t="str">
        <f t="shared" si="6"/>
        <v>√</v>
      </c>
      <c r="AC13" s="53" t="str">
        <f t="shared" si="7"/>
        <v>√</v>
      </c>
      <c r="AD13" s="53" t="str">
        <f t="shared" si="8"/>
        <v>√</v>
      </c>
      <c r="AE13" s="53" t="str">
        <f t="shared" si="9"/>
        <v>√</v>
      </c>
      <c r="AF13" s="53" t="str">
        <f t="shared" si="10"/>
        <v>√</v>
      </c>
      <c r="AG13" s="53" t="str">
        <f t="shared" si="11"/>
        <v>√</v>
      </c>
      <c r="AH13" s="53" t="str">
        <f t="shared" si="12"/>
        <v>√</v>
      </c>
      <c r="AI13" s="53" t="str">
        <f t="shared" si="13"/>
        <v/>
      </c>
      <c r="AJ13" s="53" t="str">
        <f t="shared" si="14"/>
        <v/>
      </c>
      <c r="AK13" s="53" t="str">
        <f t="shared" si="15"/>
        <v/>
      </c>
      <c r="AL13" s="53" t="str">
        <f t="shared" si="16"/>
        <v/>
      </c>
      <c r="AM13" s="53" t="str">
        <f t="shared" si="17"/>
        <v/>
      </c>
      <c r="AN13" s="53" t="str">
        <f t="shared" si="18"/>
        <v/>
      </c>
      <c r="AO13" s="53" t="str">
        <f t="shared" si="19"/>
        <v/>
      </c>
    </row>
    <row r="14" ht="15" customHeight="1" spans="1:41">
      <c r="A14" s="48"/>
      <c r="B14" s="49" t="s">
        <v>35</v>
      </c>
      <c r="C14" s="50"/>
      <c r="D14" s="51">
        <v>0.025</v>
      </c>
      <c r="E14" s="51">
        <v>0.01</v>
      </c>
      <c r="F14" s="51">
        <v>-0.01</v>
      </c>
      <c r="G14" s="51">
        <f t="shared" si="2"/>
        <v>0.035</v>
      </c>
      <c r="H14" s="51">
        <f t="shared" si="3"/>
        <v>0.015</v>
      </c>
      <c r="I14" s="51" t="s">
        <v>28</v>
      </c>
      <c r="J14" s="52">
        <v>0.0247</v>
      </c>
      <c r="K14" s="52">
        <v>0.0316</v>
      </c>
      <c r="L14" s="52">
        <v>0.023</v>
      </c>
      <c r="M14" s="52">
        <v>0.0232</v>
      </c>
      <c r="N14" s="52">
        <v>0.0243</v>
      </c>
      <c r="O14" s="52">
        <v>0.0216</v>
      </c>
      <c r="P14" s="52">
        <v>0.0207</v>
      </c>
      <c r="Q14" s="52">
        <v>0.024</v>
      </c>
      <c r="R14" s="52">
        <v>0.0307</v>
      </c>
      <c r="S14" s="52"/>
      <c r="T14" s="52"/>
      <c r="U14" s="52"/>
      <c r="V14" s="52"/>
      <c r="W14" s="52"/>
      <c r="X14" s="52"/>
      <c r="Y14" s="52"/>
      <c r="Z14" s="53" t="str">
        <f t="shared" si="4"/>
        <v>√</v>
      </c>
      <c r="AA14" s="53" t="str">
        <f t="shared" si="5"/>
        <v>√</v>
      </c>
      <c r="AB14" s="53" t="str">
        <f t="shared" si="6"/>
        <v>√</v>
      </c>
      <c r="AC14" s="53" t="str">
        <f t="shared" si="7"/>
        <v>√</v>
      </c>
      <c r="AD14" s="53" t="str">
        <f t="shared" si="8"/>
        <v>√</v>
      </c>
      <c r="AE14" s="53" t="str">
        <f t="shared" si="9"/>
        <v>√</v>
      </c>
      <c r="AF14" s="53" t="str">
        <f t="shared" si="10"/>
        <v>√</v>
      </c>
      <c r="AG14" s="53" t="str">
        <f t="shared" si="11"/>
        <v>√</v>
      </c>
      <c r="AH14" s="53" t="str">
        <f t="shared" si="12"/>
        <v>√</v>
      </c>
      <c r="AI14" s="53" t="str">
        <f t="shared" si="13"/>
        <v/>
      </c>
      <c r="AJ14" s="53" t="str">
        <f t="shared" si="14"/>
        <v/>
      </c>
      <c r="AK14" s="53" t="str">
        <f t="shared" si="15"/>
        <v/>
      </c>
      <c r="AL14" s="53" t="str">
        <f t="shared" si="16"/>
        <v/>
      </c>
      <c r="AM14" s="53" t="str">
        <f t="shared" si="17"/>
        <v/>
      </c>
      <c r="AN14" s="53" t="str">
        <f t="shared" si="18"/>
        <v/>
      </c>
      <c r="AO14" s="53" t="str">
        <f t="shared" si="19"/>
        <v/>
      </c>
    </row>
    <row r="15" ht="15" customHeight="1" spans="1:41">
      <c r="A15" s="48"/>
      <c r="B15" s="54" t="s">
        <v>36</v>
      </c>
      <c r="C15" s="54" t="s">
        <v>37</v>
      </c>
      <c r="D15" s="51">
        <v>0.5</v>
      </c>
      <c r="E15" s="51">
        <v>0.03</v>
      </c>
      <c r="F15" s="51">
        <v>-0.03</v>
      </c>
      <c r="G15" s="51">
        <f t="shared" ref="G15:G23" si="20">D15+E15</f>
        <v>0.53</v>
      </c>
      <c r="H15" s="51">
        <f t="shared" ref="H15:H23" si="21">D15+F15</f>
        <v>0.47</v>
      </c>
      <c r="I15" s="51" t="s">
        <v>28</v>
      </c>
      <c r="J15" s="52">
        <v>0.5262</v>
      </c>
      <c r="K15" s="52">
        <v>0.497</v>
      </c>
      <c r="L15" s="52">
        <v>0.5233</v>
      </c>
      <c r="M15" s="52">
        <v>0.4897</v>
      </c>
      <c r="N15" s="52">
        <v>0.5084</v>
      </c>
      <c r="O15" s="52">
        <v>0.5054</v>
      </c>
      <c r="P15" s="52">
        <v>0.4873</v>
      </c>
      <c r="Q15" s="52">
        <v>0.495</v>
      </c>
      <c r="R15" s="52">
        <v>0.5039</v>
      </c>
      <c r="S15" s="52"/>
      <c r="T15" s="52"/>
      <c r="U15" s="52"/>
      <c r="V15" s="52"/>
      <c r="W15" s="52"/>
      <c r="X15" s="52"/>
      <c r="Y15" s="52"/>
      <c r="Z15" s="53" t="str">
        <f t="shared" si="4"/>
        <v>√</v>
      </c>
      <c r="AA15" s="53" t="str">
        <f t="shared" si="5"/>
        <v>√</v>
      </c>
      <c r="AB15" s="53" t="str">
        <f t="shared" si="6"/>
        <v>√</v>
      </c>
      <c r="AC15" s="53" t="str">
        <f t="shared" si="7"/>
        <v>√</v>
      </c>
      <c r="AD15" s="53" t="str">
        <f t="shared" si="8"/>
        <v>√</v>
      </c>
      <c r="AE15" s="53" t="str">
        <f t="shared" si="9"/>
        <v>√</v>
      </c>
      <c r="AF15" s="53" t="str">
        <f t="shared" si="10"/>
        <v>√</v>
      </c>
      <c r="AG15" s="53" t="str">
        <f t="shared" si="11"/>
        <v>√</v>
      </c>
      <c r="AH15" s="53" t="str">
        <f t="shared" si="12"/>
        <v>√</v>
      </c>
      <c r="AI15" s="53" t="str">
        <f t="shared" si="13"/>
        <v/>
      </c>
      <c r="AJ15" s="53" t="str">
        <f t="shared" si="14"/>
        <v/>
      </c>
      <c r="AK15" s="53" t="str">
        <f t="shared" si="15"/>
        <v/>
      </c>
      <c r="AL15" s="53" t="str">
        <f t="shared" si="16"/>
        <v/>
      </c>
      <c r="AM15" s="53" t="str">
        <f t="shared" si="17"/>
        <v/>
      </c>
      <c r="AN15" s="53" t="str">
        <f t="shared" si="18"/>
        <v/>
      </c>
      <c r="AO15" s="53" t="str">
        <f t="shared" si="19"/>
        <v/>
      </c>
    </row>
    <row r="16" ht="15" customHeight="1" spans="1:41">
      <c r="A16" s="48"/>
      <c r="B16" s="49" t="s">
        <v>38</v>
      </c>
      <c r="C16" s="50" t="s">
        <v>39</v>
      </c>
      <c r="D16" s="51">
        <v>0.59</v>
      </c>
      <c r="E16" s="51">
        <v>0.03</v>
      </c>
      <c r="F16" s="51">
        <v>-0.03</v>
      </c>
      <c r="G16" s="51">
        <f t="shared" si="20"/>
        <v>0.62</v>
      </c>
      <c r="H16" s="51">
        <f t="shared" si="21"/>
        <v>0.56</v>
      </c>
      <c r="I16" s="51" t="s">
        <v>28</v>
      </c>
      <c r="J16" s="52">
        <v>0.5929</v>
      </c>
      <c r="K16" s="52">
        <v>0.5946</v>
      </c>
      <c r="L16" s="52">
        <v>0.5936</v>
      </c>
      <c r="M16" s="52">
        <v>0.5939</v>
      </c>
      <c r="N16" s="52">
        <v>0.583</v>
      </c>
      <c r="O16" s="52">
        <v>0.5935</v>
      </c>
      <c r="P16" s="52">
        <v>0.5945</v>
      </c>
      <c r="Q16" s="52">
        <v>0.5885</v>
      </c>
      <c r="R16" s="52">
        <v>0.587</v>
      </c>
      <c r="S16" s="52"/>
      <c r="T16" s="52"/>
      <c r="U16" s="52"/>
      <c r="V16" s="52"/>
      <c r="W16" s="52"/>
      <c r="X16" s="52"/>
      <c r="Y16" s="52"/>
      <c r="Z16" s="53" t="str">
        <f t="shared" si="4"/>
        <v>√</v>
      </c>
      <c r="AA16" s="53" t="str">
        <f t="shared" si="5"/>
        <v>√</v>
      </c>
      <c r="AB16" s="53" t="str">
        <f t="shared" si="6"/>
        <v>√</v>
      </c>
      <c r="AC16" s="53" t="str">
        <f t="shared" si="7"/>
        <v>√</v>
      </c>
      <c r="AD16" s="53" t="str">
        <f t="shared" si="8"/>
        <v>√</v>
      </c>
      <c r="AE16" s="53" t="str">
        <f t="shared" si="9"/>
        <v>√</v>
      </c>
      <c r="AF16" s="53" t="str">
        <f t="shared" si="10"/>
        <v>√</v>
      </c>
      <c r="AG16" s="53" t="str">
        <f t="shared" si="11"/>
        <v>√</v>
      </c>
      <c r="AH16" s="53" t="str">
        <f t="shared" si="12"/>
        <v>√</v>
      </c>
      <c r="AI16" s="53" t="str">
        <f t="shared" si="13"/>
        <v/>
      </c>
      <c r="AJ16" s="53" t="str">
        <f t="shared" si="14"/>
        <v/>
      </c>
      <c r="AK16" s="53" t="str">
        <f t="shared" si="15"/>
        <v/>
      </c>
      <c r="AL16" s="53" t="str">
        <f t="shared" si="16"/>
        <v/>
      </c>
      <c r="AM16" s="53" t="str">
        <f t="shared" si="17"/>
        <v/>
      </c>
      <c r="AN16" s="53" t="str">
        <f t="shared" si="18"/>
        <v/>
      </c>
      <c r="AO16" s="53" t="str">
        <f t="shared" si="19"/>
        <v/>
      </c>
    </row>
    <row r="17" ht="15" customHeight="1" spans="1:41">
      <c r="A17" s="48"/>
      <c r="B17" s="49" t="s">
        <v>40</v>
      </c>
      <c r="C17" s="50"/>
      <c r="D17" s="51">
        <v>1.17</v>
      </c>
      <c r="E17" s="51">
        <v>0.03</v>
      </c>
      <c r="F17" s="51">
        <v>-0.03</v>
      </c>
      <c r="G17" s="51">
        <f t="shared" si="20"/>
        <v>1.2</v>
      </c>
      <c r="H17" s="51">
        <f t="shared" si="21"/>
        <v>1.14</v>
      </c>
      <c r="I17" s="51" t="s">
        <v>28</v>
      </c>
      <c r="J17" s="52">
        <v>1.173</v>
      </c>
      <c r="K17" s="52">
        <v>1.1741</v>
      </c>
      <c r="L17" s="52">
        <v>1.177</v>
      </c>
      <c r="M17" s="52">
        <v>1.1727</v>
      </c>
      <c r="N17" s="52">
        <v>1.1647</v>
      </c>
      <c r="O17" s="52">
        <v>1.1768</v>
      </c>
      <c r="P17" s="52">
        <v>1.1696</v>
      </c>
      <c r="Q17" s="52">
        <v>1.1655</v>
      </c>
      <c r="R17" s="52">
        <v>1.1666</v>
      </c>
      <c r="S17" s="52"/>
      <c r="T17" s="52"/>
      <c r="U17" s="52"/>
      <c r="V17" s="52"/>
      <c r="W17" s="52"/>
      <c r="X17" s="52"/>
      <c r="Y17" s="52"/>
      <c r="Z17" s="53" t="str">
        <f t="shared" si="4"/>
        <v>√</v>
      </c>
      <c r="AA17" s="53" t="str">
        <f t="shared" si="5"/>
        <v>√</v>
      </c>
      <c r="AB17" s="53" t="str">
        <f t="shared" si="6"/>
        <v>√</v>
      </c>
      <c r="AC17" s="53" t="str">
        <f t="shared" si="7"/>
        <v>√</v>
      </c>
      <c r="AD17" s="53" t="str">
        <f t="shared" si="8"/>
        <v>√</v>
      </c>
      <c r="AE17" s="53" t="str">
        <f t="shared" si="9"/>
        <v>√</v>
      </c>
      <c r="AF17" s="53" t="str">
        <f t="shared" si="10"/>
        <v>√</v>
      </c>
      <c r="AG17" s="53" t="str">
        <f t="shared" si="11"/>
        <v>√</v>
      </c>
      <c r="AH17" s="53" t="str">
        <f t="shared" si="12"/>
        <v>√</v>
      </c>
      <c r="AI17" s="53" t="str">
        <f t="shared" si="13"/>
        <v/>
      </c>
      <c r="AJ17" s="53" t="str">
        <f t="shared" si="14"/>
        <v/>
      </c>
      <c r="AK17" s="53" t="str">
        <f t="shared" si="15"/>
        <v/>
      </c>
      <c r="AL17" s="53" t="str">
        <f t="shared" si="16"/>
        <v/>
      </c>
      <c r="AM17" s="53" t="str">
        <f t="shared" si="17"/>
        <v/>
      </c>
      <c r="AN17" s="53" t="str">
        <f t="shared" si="18"/>
        <v/>
      </c>
      <c r="AO17" s="53" t="str">
        <f t="shared" si="19"/>
        <v/>
      </c>
    </row>
    <row r="18" ht="15" customHeight="1" spans="1:41">
      <c r="A18" s="48"/>
      <c r="B18" s="49" t="s">
        <v>41</v>
      </c>
      <c r="C18" s="50"/>
      <c r="D18" s="51">
        <v>1.3</v>
      </c>
      <c r="E18" s="51">
        <v>0.03</v>
      </c>
      <c r="F18" s="51">
        <v>-0.03</v>
      </c>
      <c r="G18" s="51">
        <f t="shared" si="20"/>
        <v>1.33</v>
      </c>
      <c r="H18" s="51">
        <f t="shared" si="21"/>
        <v>1.27</v>
      </c>
      <c r="I18" s="51" t="s">
        <v>42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3" t="str">
        <f t="shared" si="4"/>
        <v/>
      </c>
      <c r="AA18" s="53" t="str">
        <f t="shared" ref="AA18:AO18" si="22">IF(K18="","",IF(K18&gt;($D18+$E18),(K18-$D18-$E18),IF(K18&lt;($D18+$F18),(K18-$D18-$F18),"√")))</f>
        <v/>
      </c>
      <c r="AB18" s="53" t="str">
        <f t="shared" si="22"/>
        <v/>
      </c>
      <c r="AC18" s="53" t="str">
        <f t="shared" si="22"/>
        <v/>
      </c>
      <c r="AD18" s="53" t="str">
        <f t="shared" si="22"/>
        <v/>
      </c>
      <c r="AE18" s="53" t="str">
        <f t="shared" si="22"/>
        <v/>
      </c>
      <c r="AF18" s="53" t="str">
        <f t="shared" si="22"/>
        <v/>
      </c>
      <c r="AG18" s="53" t="str">
        <f t="shared" si="22"/>
        <v/>
      </c>
      <c r="AH18" s="53" t="str">
        <f t="shared" si="22"/>
        <v/>
      </c>
      <c r="AI18" s="53" t="str">
        <f t="shared" si="22"/>
        <v/>
      </c>
      <c r="AJ18" s="53" t="str">
        <f t="shared" si="22"/>
        <v/>
      </c>
      <c r="AK18" s="53" t="str">
        <f t="shared" si="22"/>
        <v/>
      </c>
      <c r="AL18" s="53" t="str">
        <f t="shared" si="22"/>
        <v/>
      </c>
      <c r="AM18" s="53" t="str">
        <f t="shared" si="22"/>
        <v/>
      </c>
      <c r="AN18" s="53" t="str">
        <f t="shared" si="22"/>
        <v/>
      </c>
      <c r="AO18" s="53" t="str">
        <f t="shared" si="22"/>
        <v/>
      </c>
    </row>
    <row r="19" ht="15" customHeight="1" spans="1:41">
      <c r="A19" s="48"/>
      <c r="B19" s="49" t="s">
        <v>43</v>
      </c>
      <c r="C19" s="50" t="s">
        <v>44</v>
      </c>
      <c r="D19" s="51">
        <v>186.04</v>
      </c>
      <c r="E19" s="51">
        <v>1</v>
      </c>
      <c r="F19" s="51">
        <v>-1</v>
      </c>
      <c r="G19" s="51">
        <f t="shared" si="20"/>
        <v>187.04</v>
      </c>
      <c r="H19" s="51">
        <f t="shared" si="21"/>
        <v>185.04</v>
      </c>
      <c r="I19" s="51" t="s">
        <v>42</v>
      </c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3" t="str">
        <f t="shared" ref="Z19:Z45" si="23">IF(J19="","",IF(J19&gt;($D19+$E19),(J19-$D19-$E19),IF(J19&lt;($D19+$F19),(J19-$D19-$F19),"√")))</f>
        <v/>
      </c>
      <c r="AA19" s="53" t="str">
        <f t="shared" ref="AA19:AA45" si="24">IF(K19="","",IF(K19&gt;($D19+$E19),(K19-$D19-$E19),IF(K19&lt;($D19+$F19),(K19-$D19-$F19),"√")))</f>
        <v/>
      </c>
      <c r="AB19" s="53" t="str">
        <f t="shared" ref="AB19:AB45" si="25">IF(L19="","",IF(L19&gt;($D19+$E19),(L19-$D19-$E19),IF(L19&lt;($D19+$F19),(L19-$D19-$F19),"√")))</f>
        <v/>
      </c>
      <c r="AC19" s="53" t="str">
        <f t="shared" ref="AC19:AC45" si="26">IF(M19="","",IF(M19&gt;($D19+$E19),(M19-$D19-$E19),IF(M19&lt;($D19+$F19),(M19-$D19-$F19),"√")))</f>
        <v/>
      </c>
      <c r="AD19" s="53" t="str">
        <f t="shared" ref="AD19:AD45" si="27">IF(N19="","",IF(N19&gt;($D19+$E19),(N19-$D19-$E19),IF(N19&lt;($D19+$F19),(N19-$D19-$F19),"√")))</f>
        <v/>
      </c>
      <c r="AE19" s="53" t="str">
        <f t="shared" ref="AE19:AE45" si="28">IF(O19="","",IF(O19&gt;($D19+$E19),(O19-$D19-$E19),IF(O19&lt;($D19+$F19),(O19-$D19-$F19),"√")))</f>
        <v/>
      </c>
      <c r="AF19" s="53" t="str">
        <f t="shared" ref="AF19:AF45" si="29">IF(P19="","",IF(P19&gt;($D19+$E19),(P19-$D19-$E19),IF(P19&lt;($D19+$F19),(P19-$D19-$F19),"√")))</f>
        <v/>
      </c>
      <c r="AG19" s="53" t="str">
        <f t="shared" ref="AG19:AG45" si="30">IF(Q19="","",IF(Q19&gt;($D19+$E19),(Q19-$D19-$E19),IF(Q19&lt;($D19+$F19),(Q19-$D19-$F19),"√")))</f>
        <v/>
      </c>
      <c r="AH19" s="53" t="str">
        <f t="shared" ref="AH19:AH45" si="31">IF(R19="","",IF(R19&gt;($D19+$E19),(R19-$D19-$E19),IF(R19&lt;($D19+$F19),(R19-$D19-$F19),"√")))</f>
        <v/>
      </c>
      <c r="AI19" s="53" t="str">
        <f t="shared" ref="AI19:AI45" si="32">IF(S19="","",IF(S19&gt;($D19+$E19),(S19-$D19-$E19),IF(S19&lt;($D19+$F19),(S19-$D19-$F19),"√")))</f>
        <v/>
      </c>
      <c r="AJ19" s="53" t="str">
        <f t="shared" ref="AJ19:AJ45" si="33">IF(T19="","",IF(T19&gt;($D19+$E19),(T19-$D19-$E19),IF(T19&lt;($D19+$F19),(T19-$D19-$F19),"√")))</f>
        <v/>
      </c>
      <c r="AK19" s="53" t="str">
        <f t="shared" ref="AK19:AK45" si="34">IF(U19="","",IF(U19&gt;($D19+$E19),(U19-$D19-$E19),IF(U19&lt;($D19+$F19),(U19-$D19-$F19),"√")))</f>
        <v/>
      </c>
      <c r="AL19" s="53" t="str">
        <f t="shared" ref="AL19:AL45" si="35">IF(V19="","",IF(V19&gt;($D19+$E19),(V19-$D19-$E19),IF(V19&lt;($D19+$F19),(V19-$D19-$F19),"√")))</f>
        <v/>
      </c>
      <c r="AM19" s="53" t="str">
        <f t="shared" ref="AM19:AM45" si="36">IF(W19="","",IF(W19&gt;($D19+$E19),(W19-$D19-$E19),IF(W19&lt;($D19+$F19),(W19-$D19-$F19),"√")))</f>
        <v/>
      </c>
      <c r="AN19" s="53" t="str">
        <f t="shared" ref="AN19:AN45" si="37">IF(X19="","",IF(X19&gt;($D19+$E19),(X19-$D19-$E19),IF(X19&lt;($D19+$F19),(X19-$D19-$F19),"√")))</f>
        <v/>
      </c>
      <c r="AO19" s="53" t="str">
        <f t="shared" ref="AO19:AO45" si="38">IF(Y19="","",IF(Y19&gt;($D19+$E19),(Y19-$D19-$E19),IF(Y19&lt;($D19+$F19),(Y19-$D19-$F19),"√")))</f>
        <v/>
      </c>
    </row>
    <row r="20" ht="15" customHeight="1" spans="1:41">
      <c r="A20" s="48"/>
      <c r="B20" s="54" t="s">
        <v>36</v>
      </c>
      <c r="C20" s="55" t="s">
        <v>45</v>
      </c>
      <c r="D20" s="51">
        <v>0.5</v>
      </c>
      <c r="E20" s="51">
        <v>0.03</v>
      </c>
      <c r="F20" s="51">
        <v>-0.03</v>
      </c>
      <c r="G20" s="51">
        <f t="shared" si="20"/>
        <v>0.53</v>
      </c>
      <c r="H20" s="51">
        <f t="shared" si="21"/>
        <v>0.47</v>
      </c>
      <c r="I20" s="51" t="s">
        <v>42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3" t="str">
        <f t="shared" si="23"/>
        <v/>
      </c>
      <c r="AA20" s="53" t="str">
        <f t="shared" si="24"/>
        <v/>
      </c>
      <c r="AB20" s="53" t="str">
        <f t="shared" si="25"/>
        <v/>
      </c>
      <c r="AC20" s="53" t="str">
        <f t="shared" si="26"/>
        <v/>
      </c>
      <c r="AD20" s="53" t="str">
        <f t="shared" si="27"/>
        <v/>
      </c>
      <c r="AE20" s="53" t="str">
        <f t="shared" si="28"/>
        <v/>
      </c>
      <c r="AF20" s="53" t="str">
        <f t="shared" si="29"/>
        <v/>
      </c>
      <c r="AG20" s="53" t="str">
        <f t="shared" si="30"/>
        <v/>
      </c>
      <c r="AH20" s="53" t="str">
        <f t="shared" si="31"/>
        <v/>
      </c>
      <c r="AI20" s="53" t="str">
        <f t="shared" si="32"/>
        <v/>
      </c>
      <c r="AJ20" s="53" t="str">
        <f t="shared" si="33"/>
        <v/>
      </c>
      <c r="AK20" s="53" t="str">
        <f t="shared" si="34"/>
        <v/>
      </c>
      <c r="AL20" s="53" t="str">
        <f t="shared" si="35"/>
        <v/>
      </c>
      <c r="AM20" s="53" t="str">
        <f t="shared" si="36"/>
        <v/>
      </c>
      <c r="AN20" s="53" t="str">
        <f t="shared" si="37"/>
        <v/>
      </c>
      <c r="AO20" s="53" t="str">
        <f t="shared" si="38"/>
        <v/>
      </c>
    </row>
    <row r="21" ht="15" customHeight="1" spans="1:41">
      <c r="A21" s="48"/>
      <c r="B21" s="49" t="s">
        <v>46</v>
      </c>
      <c r="C21" s="50"/>
      <c r="D21" s="51">
        <v>1.02</v>
      </c>
      <c r="E21" s="51">
        <v>0.03</v>
      </c>
      <c r="F21" s="51">
        <v>-0.03</v>
      </c>
      <c r="G21" s="51">
        <f t="shared" si="20"/>
        <v>1.05</v>
      </c>
      <c r="H21" s="51">
        <f t="shared" si="21"/>
        <v>0.99</v>
      </c>
      <c r="I21" s="51" t="s">
        <v>42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 t="str">
        <f t="shared" si="23"/>
        <v/>
      </c>
      <c r="AA21" s="53" t="str">
        <f t="shared" si="24"/>
        <v/>
      </c>
      <c r="AB21" s="53" t="str">
        <f t="shared" si="25"/>
        <v/>
      </c>
      <c r="AC21" s="53" t="str">
        <f t="shared" si="26"/>
        <v/>
      </c>
      <c r="AD21" s="53" t="str">
        <f t="shared" si="27"/>
        <v/>
      </c>
      <c r="AE21" s="53" t="str">
        <f t="shared" si="28"/>
        <v/>
      </c>
      <c r="AF21" s="53" t="str">
        <f t="shared" si="29"/>
        <v/>
      </c>
      <c r="AG21" s="53" t="str">
        <f t="shared" si="30"/>
        <v/>
      </c>
      <c r="AH21" s="53" t="str">
        <f t="shared" si="31"/>
        <v/>
      </c>
      <c r="AI21" s="53" t="str">
        <f t="shared" si="32"/>
        <v/>
      </c>
      <c r="AJ21" s="53" t="str">
        <f t="shared" si="33"/>
        <v/>
      </c>
      <c r="AK21" s="53" t="str">
        <f t="shared" si="34"/>
        <v/>
      </c>
      <c r="AL21" s="53" t="str">
        <f t="shared" si="35"/>
        <v/>
      </c>
      <c r="AM21" s="53" t="str">
        <f t="shared" si="36"/>
        <v/>
      </c>
      <c r="AN21" s="53" t="str">
        <f t="shared" si="37"/>
        <v/>
      </c>
      <c r="AO21" s="53" t="str">
        <f t="shared" si="38"/>
        <v/>
      </c>
    </row>
    <row r="22" ht="15" customHeight="1" spans="1:41">
      <c r="A22" s="48"/>
      <c r="B22" s="49" t="s">
        <v>47</v>
      </c>
      <c r="C22" s="50"/>
      <c r="D22" s="51">
        <v>4.18</v>
      </c>
      <c r="E22" s="51">
        <v>0.05</v>
      </c>
      <c r="F22" s="51">
        <v>-0.05</v>
      </c>
      <c r="G22" s="51">
        <f t="shared" si="20"/>
        <v>4.23</v>
      </c>
      <c r="H22" s="51">
        <f t="shared" si="21"/>
        <v>4.13</v>
      </c>
      <c r="I22" s="51" t="s">
        <v>42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 t="str">
        <f t="shared" si="23"/>
        <v/>
      </c>
      <c r="AA22" s="53" t="str">
        <f t="shared" si="24"/>
        <v/>
      </c>
      <c r="AB22" s="53" t="str">
        <f t="shared" si="25"/>
        <v/>
      </c>
      <c r="AC22" s="53" t="str">
        <f t="shared" si="26"/>
        <v/>
      </c>
      <c r="AD22" s="53" t="str">
        <f t="shared" si="27"/>
        <v/>
      </c>
      <c r="AE22" s="53" t="str">
        <f t="shared" si="28"/>
        <v/>
      </c>
      <c r="AF22" s="53" t="str">
        <f t="shared" si="29"/>
        <v/>
      </c>
      <c r="AG22" s="53" t="str">
        <f t="shared" si="30"/>
        <v/>
      </c>
      <c r="AH22" s="53" t="str">
        <f t="shared" si="31"/>
        <v/>
      </c>
      <c r="AI22" s="53" t="str">
        <f t="shared" si="32"/>
        <v/>
      </c>
      <c r="AJ22" s="53" t="str">
        <f t="shared" si="33"/>
        <v/>
      </c>
      <c r="AK22" s="53" t="str">
        <f t="shared" si="34"/>
        <v/>
      </c>
      <c r="AL22" s="53" t="str">
        <f t="shared" si="35"/>
        <v/>
      </c>
      <c r="AM22" s="53" t="str">
        <f t="shared" si="36"/>
        <v/>
      </c>
      <c r="AN22" s="53" t="str">
        <f t="shared" si="37"/>
        <v/>
      </c>
      <c r="AO22" s="53" t="str">
        <f t="shared" si="38"/>
        <v/>
      </c>
    </row>
    <row r="23" ht="15" customHeight="1" spans="1:41">
      <c r="A23" s="48"/>
      <c r="B23" s="49" t="s">
        <v>48</v>
      </c>
      <c r="C23" s="50"/>
      <c r="D23" s="51">
        <v>3.8</v>
      </c>
      <c r="E23" s="51">
        <v>0.03</v>
      </c>
      <c r="F23" s="51">
        <v>-0.03</v>
      </c>
      <c r="G23" s="51">
        <f t="shared" si="20"/>
        <v>3.83</v>
      </c>
      <c r="H23" s="51">
        <f t="shared" si="21"/>
        <v>3.77</v>
      </c>
      <c r="I23" s="51" t="s">
        <v>42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 t="str">
        <f t="shared" si="23"/>
        <v/>
      </c>
      <c r="AA23" s="53" t="str">
        <f t="shared" si="24"/>
        <v/>
      </c>
      <c r="AB23" s="53" t="str">
        <f t="shared" si="25"/>
        <v/>
      </c>
      <c r="AC23" s="53" t="str">
        <f t="shared" si="26"/>
        <v/>
      </c>
      <c r="AD23" s="53" t="str">
        <f t="shared" si="27"/>
        <v/>
      </c>
      <c r="AE23" s="53" t="str">
        <f t="shared" si="28"/>
        <v/>
      </c>
      <c r="AF23" s="53" t="str">
        <f t="shared" si="29"/>
        <v/>
      </c>
      <c r="AG23" s="53" t="str">
        <f t="shared" si="30"/>
        <v/>
      </c>
      <c r="AH23" s="53" t="str">
        <f t="shared" si="31"/>
        <v/>
      </c>
      <c r="AI23" s="53" t="str">
        <f t="shared" si="32"/>
        <v/>
      </c>
      <c r="AJ23" s="53" t="str">
        <f t="shared" si="33"/>
        <v/>
      </c>
      <c r="AK23" s="53" t="str">
        <f t="shared" si="34"/>
        <v/>
      </c>
      <c r="AL23" s="53" t="str">
        <f t="shared" si="35"/>
        <v/>
      </c>
      <c r="AM23" s="53" t="str">
        <f t="shared" si="36"/>
        <v/>
      </c>
      <c r="AN23" s="53" t="str">
        <f t="shared" si="37"/>
        <v/>
      </c>
      <c r="AO23" s="53" t="str">
        <f t="shared" si="38"/>
        <v/>
      </c>
    </row>
    <row r="24" ht="15" customHeight="1" spans="1:41">
      <c r="A24" s="48"/>
      <c r="B24" s="49" t="s">
        <v>49</v>
      </c>
      <c r="C24" s="50"/>
      <c r="D24" s="51">
        <v>4.48</v>
      </c>
      <c r="E24" s="51">
        <v>0.05</v>
      </c>
      <c r="F24" s="51">
        <v>-0.05</v>
      </c>
      <c r="G24" s="51">
        <f t="shared" ref="G24:G31" si="39">D24+E24</f>
        <v>4.53</v>
      </c>
      <c r="H24" s="51">
        <f t="shared" ref="H24:H31" si="40">D24+F24</f>
        <v>4.43</v>
      </c>
      <c r="I24" s="51" t="s">
        <v>42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3" t="str">
        <f t="shared" si="23"/>
        <v/>
      </c>
      <c r="AA24" s="53" t="str">
        <f t="shared" si="24"/>
        <v/>
      </c>
      <c r="AB24" s="53" t="str">
        <f t="shared" si="25"/>
        <v/>
      </c>
      <c r="AC24" s="53" t="str">
        <f t="shared" si="26"/>
        <v/>
      </c>
      <c r="AD24" s="53" t="str">
        <f t="shared" si="27"/>
        <v/>
      </c>
      <c r="AE24" s="53" t="str">
        <f t="shared" si="28"/>
        <v/>
      </c>
      <c r="AF24" s="53" t="str">
        <f t="shared" si="29"/>
        <v/>
      </c>
      <c r="AG24" s="53" t="str">
        <f t="shared" si="30"/>
        <v/>
      </c>
      <c r="AH24" s="53" t="str">
        <f t="shared" si="31"/>
        <v/>
      </c>
      <c r="AI24" s="53" t="str">
        <f t="shared" si="32"/>
        <v/>
      </c>
      <c r="AJ24" s="53" t="str">
        <f t="shared" si="33"/>
        <v/>
      </c>
      <c r="AK24" s="53" t="str">
        <f t="shared" si="34"/>
        <v/>
      </c>
      <c r="AL24" s="53" t="str">
        <f t="shared" si="35"/>
        <v/>
      </c>
      <c r="AM24" s="53" t="str">
        <f t="shared" si="36"/>
        <v/>
      </c>
      <c r="AN24" s="53" t="str">
        <f t="shared" si="37"/>
        <v/>
      </c>
      <c r="AO24" s="53" t="str">
        <f t="shared" si="38"/>
        <v/>
      </c>
    </row>
    <row r="25" ht="15" customHeight="1" spans="1:41">
      <c r="A25" s="48"/>
      <c r="B25" s="49" t="s">
        <v>50</v>
      </c>
      <c r="C25" s="50"/>
      <c r="D25" s="51">
        <v>1.57</v>
      </c>
      <c r="E25" s="51">
        <v>0.05</v>
      </c>
      <c r="F25" s="51">
        <v>-0.05</v>
      </c>
      <c r="G25" s="51">
        <f t="shared" si="39"/>
        <v>1.62</v>
      </c>
      <c r="H25" s="51">
        <f t="shared" si="40"/>
        <v>1.52</v>
      </c>
      <c r="I25" s="51" t="s">
        <v>42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3" t="str">
        <f t="shared" si="23"/>
        <v/>
      </c>
      <c r="AA25" s="53" t="str">
        <f t="shared" si="24"/>
        <v/>
      </c>
      <c r="AB25" s="53" t="str">
        <f t="shared" si="25"/>
        <v/>
      </c>
      <c r="AC25" s="53" t="str">
        <f t="shared" si="26"/>
        <v/>
      </c>
      <c r="AD25" s="53" t="str">
        <f t="shared" si="27"/>
        <v/>
      </c>
      <c r="AE25" s="53" t="str">
        <f t="shared" si="28"/>
        <v/>
      </c>
      <c r="AF25" s="53" t="str">
        <f t="shared" si="29"/>
        <v/>
      </c>
      <c r="AG25" s="53" t="str">
        <f t="shared" si="30"/>
        <v/>
      </c>
      <c r="AH25" s="53" t="str">
        <f t="shared" si="31"/>
        <v/>
      </c>
      <c r="AI25" s="53" t="str">
        <f t="shared" si="32"/>
        <v/>
      </c>
      <c r="AJ25" s="53" t="str">
        <f t="shared" si="33"/>
        <v/>
      </c>
      <c r="AK25" s="53" t="str">
        <f t="shared" si="34"/>
        <v/>
      </c>
      <c r="AL25" s="53" t="str">
        <f t="shared" si="35"/>
        <v/>
      </c>
      <c r="AM25" s="53" t="str">
        <f t="shared" si="36"/>
        <v/>
      </c>
      <c r="AN25" s="53" t="str">
        <f t="shared" si="37"/>
        <v/>
      </c>
      <c r="AO25" s="53" t="str">
        <f t="shared" si="38"/>
        <v/>
      </c>
    </row>
    <row r="26" ht="15" customHeight="1" spans="1:41">
      <c r="A26" s="48"/>
      <c r="B26" s="49" t="s">
        <v>51</v>
      </c>
      <c r="C26" s="50"/>
      <c r="D26" s="51">
        <v>1.15</v>
      </c>
      <c r="E26" s="51">
        <v>0.03</v>
      </c>
      <c r="F26" s="51">
        <v>-0.03</v>
      </c>
      <c r="G26" s="51">
        <f t="shared" si="39"/>
        <v>1.18</v>
      </c>
      <c r="H26" s="51">
        <f t="shared" si="40"/>
        <v>1.12</v>
      </c>
      <c r="I26" s="51" t="s">
        <v>42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3" t="str">
        <f t="shared" si="23"/>
        <v/>
      </c>
      <c r="AA26" s="53" t="str">
        <f t="shared" si="24"/>
        <v/>
      </c>
      <c r="AB26" s="53" t="str">
        <f t="shared" si="25"/>
        <v/>
      </c>
      <c r="AC26" s="53" t="str">
        <f t="shared" si="26"/>
        <v/>
      </c>
      <c r="AD26" s="53" t="str">
        <f t="shared" si="27"/>
        <v/>
      </c>
      <c r="AE26" s="53" t="str">
        <f t="shared" si="28"/>
        <v/>
      </c>
      <c r="AF26" s="53" t="str">
        <f t="shared" si="29"/>
        <v/>
      </c>
      <c r="AG26" s="53" t="str">
        <f t="shared" si="30"/>
        <v/>
      </c>
      <c r="AH26" s="53" t="str">
        <f t="shared" si="31"/>
        <v/>
      </c>
      <c r="AI26" s="53" t="str">
        <f t="shared" si="32"/>
        <v/>
      </c>
      <c r="AJ26" s="53" t="str">
        <f t="shared" si="33"/>
        <v/>
      </c>
      <c r="AK26" s="53" t="str">
        <f t="shared" si="34"/>
        <v/>
      </c>
      <c r="AL26" s="53" t="str">
        <f t="shared" si="35"/>
        <v/>
      </c>
      <c r="AM26" s="53" t="str">
        <f t="shared" si="36"/>
        <v/>
      </c>
      <c r="AN26" s="53" t="str">
        <f t="shared" si="37"/>
        <v/>
      </c>
      <c r="AO26" s="53" t="str">
        <f t="shared" si="38"/>
        <v/>
      </c>
    </row>
    <row r="27" ht="15" customHeight="1" spans="1:41">
      <c r="A27" s="48"/>
      <c r="B27" s="49" t="s">
        <v>52</v>
      </c>
      <c r="C27" s="50"/>
      <c r="D27" s="51">
        <v>0.428</v>
      </c>
      <c r="E27" s="51">
        <v>0.03</v>
      </c>
      <c r="F27" s="51">
        <v>-0.03</v>
      </c>
      <c r="G27" s="51">
        <f t="shared" si="39"/>
        <v>0.458</v>
      </c>
      <c r="H27" s="51">
        <f t="shared" si="40"/>
        <v>0.398</v>
      </c>
      <c r="I27" s="51" t="s">
        <v>42</v>
      </c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3" t="str">
        <f t="shared" si="23"/>
        <v/>
      </c>
      <c r="AA27" s="53" t="str">
        <f t="shared" si="24"/>
        <v/>
      </c>
      <c r="AB27" s="53" t="str">
        <f t="shared" si="25"/>
        <v/>
      </c>
      <c r="AC27" s="53" t="str">
        <f t="shared" si="26"/>
        <v/>
      </c>
      <c r="AD27" s="53" t="str">
        <f t="shared" si="27"/>
        <v/>
      </c>
      <c r="AE27" s="53" t="str">
        <f t="shared" si="28"/>
        <v/>
      </c>
      <c r="AF27" s="53" t="str">
        <f t="shared" si="29"/>
        <v/>
      </c>
      <c r="AG27" s="53" t="str">
        <f t="shared" si="30"/>
        <v/>
      </c>
      <c r="AH27" s="53" t="str">
        <f t="shared" si="31"/>
        <v/>
      </c>
      <c r="AI27" s="53" t="str">
        <f t="shared" si="32"/>
        <v/>
      </c>
      <c r="AJ27" s="53" t="str">
        <f t="shared" si="33"/>
        <v/>
      </c>
      <c r="AK27" s="53" t="str">
        <f t="shared" si="34"/>
        <v/>
      </c>
      <c r="AL27" s="53" t="str">
        <f t="shared" si="35"/>
        <v/>
      </c>
      <c r="AM27" s="53" t="str">
        <f t="shared" si="36"/>
        <v/>
      </c>
      <c r="AN27" s="53" t="str">
        <f t="shared" si="37"/>
        <v/>
      </c>
      <c r="AO27" s="53" t="str">
        <f t="shared" si="38"/>
        <v/>
      </c>
    </row>
    <row r="28" ht="15" customHeight="1" spans="1:41">
      <c r="A28" s="48"/>
      <c r="B28" s="49" t="s">
        <v>53</v>
      </c>
      <c r="C28" s="50" t="s">
        <v>54</v>
      </c>
      <c r="D28" s="51">
        <v>2.76</v>
      </c>
      <c r="E28" s="51">
        <v>0.03</v>
      </c>
      <c r="F28" s="51">
        <v>-0.03</v>
      </c>
      <c r="G28" s="51">
        <f t="shared" si="39"/>
        <v>2.79</v>
      </c>
      <c r="H28" s="51">
        <f t="shared" si="40"/>
        <v>2.73</v>
      </c>
      <c r="I28" s="51" t="s">
        <v>42</v>
      </c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3" t="str">
        <f t="shared" si="23"/>
        <v/>
      </c>
      <c r="AA28" s="53" t="str">
        <f t="shared" si="24"/>
        <v/>
      </c>
      <c r="AB28" s="53" t="str">
        <f t="shared" si="25"/>
        <v/>
      </c>
      <c r="AC28" s="53" t="str">
        <f t="shared" si="26"/>
        <v/>
      </c>
      <c r="AD28" s="53" t="str">
        <f t="shared" si="27"/>
        <v/>
      </c>
      <c r="AE28" s="53" t="str">
        <f t="shared" si="28"/>
        <v/>
      </c>
      <c r="AF28" s="53" t="str">
        <f t="shared" si="29"/>
        <v/>
      </c>
      <c r="AG28" s="53" t="str">
        <f t="shared" si="30"/>
        <v/>
      </c>
      <c r="AH28" s="53" t="str">
        <f t="shared" si="31"/>
        <v/>
      </c>
      <c r="AI28" s="53" t="str">
        <f t="shared" si="32"/>
        <v/>
      </c>
      <c r="AJ28" s="53" t="str">
        <f t="shared" si="33"/>
        <v/>
      </c>
      <c r="AK28" s="53" t="str">
        <f t="shared" si="34"/>
        <v/>
      </c>
      <c r="AL28" s="53" t="str">
        <f t="shared" si="35"/>
        <v/>
      </c>
      <c r="AM28" s="53" t="str">
        <f t="shared" si="36"/>
        <v/>
      </c>
      <c r="AN28" s="53" t="str">
        <f t="shared" si="37"/>
        <v/>
      </c>
      <c r="AO28" s="53" t="str">
        <f t="shared" si="38"/>
        <v/>
      </c>
    </row>
    <row r="29" ht="15" customHeight="1" spans="1:41">
      <c r="A29" s="48"/>
      <c r="B29" s="49" t="s">
        <v>55</v>
      </c>
      <c r="C29" s="50"/>
      <c r="D29" s="51">
        <v>3.6</v>
      </c>
      <c r="E29" s="51">
        <v>0.05</v>
      </c>
      <c r="F29" s="51">
        <v>-0.05</v>
      </c>
      <c r="G29" s="51">
        <f t="shared" si="39"/>
        <v>3.65</v>
      </c>
      <c r="H29" s="51">
        <f t="shared" si="40"/>
        <v>3.55</v>
      </c>
      <c r="I29" s="51" t="s">
        <v>42</v>
      </c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3" t="str">
        <f t="shared" si="23"/>
        <v/>
      </c>
      <c r="AA29" s="53" t="str">
        <f t="shared" si="24"/>
        <v/>
      </c>
      <c r="AB29" s="53" t="str">
        <f t="shared" si="25"/>
        <v/>
      </c>
      <c r="AC29" s="53" t="str">
        <f t="shared" si="26"/>
        <v/>
      </c>
      <c r="AD29" s="53" t="str">
        <f t="shared" si="27"/>
        <v/>
      </c>
      <c r="AE29" s="53" t="str">
        <f t="shared" si="28"/>
        <v/>
      </c>
      <c r="AF29" s="53" t="str">
        <f t="shared" si="29"/>
        <v/>
      </c>
      <c r="AG29" s="53" t="str">
        <f t="shared" si="30"/>
        <v/>
      </c>
      <c r="AH29" s="53" t="str">
        <f t="shared" si="31"/>
        <v/>
      </c>
      <c r="AI29" s="53" t="str">
        <f t="shared" si="32"/>
        <v/>
      </c>
      <c r="AJ29" s="53" t="str">
        <f t="shared" si="33"/>
        <v/>
      </c>
      <c r="AK29" s="53" t="str">
        <f t="shared" si="34"/>
        <v/>
      </c>
      <c r="AL29" s="53" t="str">
        <f t="shared" si="35"/>
        <v/>
      </c>
      <c r="AM29" s="53" t="str">
        <f t="shared" si="36"/>
        <v/>
      </c>
      <c r="AN29" s="53" t="str">
        <f t="shared" si="37"/>
        <v/>
      </c>
      <c r="AO29" s="53" t="str">
        <f t="shared" si="38"/>
        <v/>
      </c>
    </row>
    <row r="30" ht="15" customHeight="1" spans="1:41">
      <c r="A30" s="48"/>
      <c r="B30" s="49" t="s">
        <v>56</v>
      </c>
      <c r="C30" s="50"/>
      <c r="D30" s="51">
        <v>0.04</v>
      </c>
      <c r="E30" s="51">
        <v>0.05</v>
      </c>
      <c r="F30" s="51">
        <v>-0.05</v>
      </c>
      <c r="G30" s="51">
        <f t="shared" si="39"/>
        <v>0.09</v>
      </c>
      <c r="H30" s="51">
        <f t="shared" si="40"/>
        <v>-0.01</v>
      </c>
      <c r="I30" s="51" t="s">
        <v>42</v>
      </c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3" t="str">
        <f t="shared" si="23"/>
        <v/>
      </c>
      <c r="AA30" s="53" t="str">
        <f t="shared" si="24"/>
        <v/>
      </c>
      <c r="AB30" s="53" t="str">
        <f t="shared" si="25"/>
        <v/>
      </c>
      <c r="AC30" s="53" t="str">
        <f t="shared" si="26"/>
        <v/>
      </c>
      <c r="AD30" s="53" t="str">
        <f t="shared" si="27"/>
        <v/>
      </c>
      <c r="AE30" s="53" t="str">
        <f t="shared" si="28"/>
        <v/>
      </c>
      <c r="AF30" s="53" t="str">
        <f t="shared" si="29"/>
        <v/>
      </c>
      <c r="AG30" s="53" t="str">
        <f t="shared" si="30"/>
        <v/>
      </c>
      <c r="AH30" s="53" t="str">
        <f t="shared" si="31"/>
        <v/>
      </c>
      <c r="AI30" s="53" t="str">
        <f t="shared" si="32"/>
        <v/>
      </c>
      <c r="AJ30" s="53" t="str">
        <f t="shared" si="33"/>
        <v/>
      </c>
      <c r="AK30" s="53" t="str">
        <f t="shared" si="34"/>
        <v/>
      </c>
      <c r="AL30" s="53" t="str">
        <f t="shared" si="35"/>
        <v/>
      </c>
      <c r="AM30" s="53" t="str">
        <f t="shared" si="36"/>
        <v/>
      </c>
      <c r="AN30" s="53" t="str">
        <f t="shared" si="37"/>
        <v/>
      </c>
      <c r="AO30" s="53" t="str">
        <f t="shared" si="38"/>
        <v/>
      </c>
    </row>
    <row r="31" ht="15" customHeight="1" spans="1:41">
      <c r="A31" s="48"/>
      <c r="B31" s="49" t="s">
        <v>57</v>
      </c>
      <c r="C31" s="50" t="s">
        <v>58</v>
      </c>
      <c r="D31" s="51">
        <v>1.57</v>
      </c>
      <c r="E31" s="51">
        <v>0.03</v>
      </c>
      <c r="F31" s="51">
        <v>-0.03</v>
      </c>
      <c r="G31" s="51">
        <f t="shared" si="39"/>
        <v>1.6</v>
      </c>
      <c r="H31" s="51">
        <f t="shared" si="40"/>
        <v>1.54</v>
      </c>
      <c r="I31" s="51" t="s">
        <v>42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3" t="str">
        <f t="shared" si="23"/>
        <v/>
      </c>
      <c r="AA31" s="53" t="str">
        <f t="shared" si="24"/>
        <v/>
      </c>
      <c r="AB31" s="53" t="str">
        <f t="shared" si="25"/>
        <v/>
      </c>
      <c r="AC31" s="53" t="str">
        <f t="shared" si="26"/>
        <v/>
      </c>
      <c r="AD31" s="53" t="str">
        <f t="shared" si="27"/>
        <v/>
      </c>
      <c r="AE31" s="53" t="str">
        <f t="shared" si="28"/>
        <v/>
      </c>
      <c r="AF31" s="53" t="str">
        <f t="shared" si="29"/>
        <v/>
      </c>
      <c r="AG31" s="53" t="str">
        <f t="shared" si="30"/>
        <v/>
      </c>
      <c r="AH31" s="53" t="str">
        <f t="shared" si="31"/>
        <v/>
      </c>
      <c r="AI31" s="53" t="str">
        <f t="shared" si="32"/>
        <v/>
      </c>
      <c r="AJ31" s="53" t="str">
        <f t="shared" si="33"/>
        <v/>
      </c>
      <c r="AK31" s="53" t="str">
        <f t="shared" si="34"/>
        <v/>
      </c>
      <c r="AL31" s="53" t="str">
        <f t="shared" si="35"/>
        <v/>
      </c>
      <c r="AM31" s="53" t="str">
        <f t="shared" si="36"/>
        <v/>
      </c>
      <c r="AN31" s="53" t="str">
        <f t="shared" si="37"/>
        <v/>
      </c>
      <c r="AO31" s="53" t="str">
        <f t="shared" si="38"/>
        <v/>
      </c>
    </row>
    <row r="32" ht="15" customHeight="1" spans="1:41">
      <c r="A32" s="48"/>
      <c r="B32" s="49" t="s">
        <v>59</v>
      </c>
      <c r="C32" s="50"/>
      <c r="D32" s="51">
        <v>2.1</v>
      </c>
      <c r="E32" s="51">
        <v>0.03</v>
      </c>
      <c r="F32" s="51">
        <v>-0.03</v>
      </c>
      <c r="G32" s="51">
        <f t="shared" ref="G32:G42" si="41">D32+E32</f>
        <v>2.13</v>
      </c>
      <c r="H32" s="51">
        <f t="shared" ref="H32:H38" si="42">D32+F32</f>
        <v>2.07</v>
      </c>
      <c r="I32" s="51" t="s">
        <v>42</v>
      </c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3" t="str">
        <f t="shared" si="23"/>
        <v/>
      </c>
      <c r="AA32" s="53" t="str">
        <f t="shared" si="24"/>
        <v/>
      </c>
      <c r="AB32" s="53" t="str">
        <f t="shared" si="25"/>
        <v/>
      </c>
      <c r="AC32" s="53" t="str">
        <f t="shared" si="26"/>
        <v/>
      </c>
      <c r="AD32" s="53" t="str">
        <f t="shared" si="27"/>
        <v/>
      </c>
      <c r="AE32" s="53" t="str">
        <f t="shared" si="28"/>
        <v/>
      </c>
      <c r="AF32" s="53" t="str">
        <f t="shared" si="29"/>
        <v/>
      </c>
      <c r="AG32" s="53" t="str">
        <f t="shared" si="30"/>
        <v/>
      </c>
      <c r="AH32" s="53" t="str">
        <f t="shared" si="31"/>
        <v/>
      </c>
      <c r="AI32" s="53" t="str">
        <f t="shared" si="32"/>
        <v/>
      </c>
      <c r="AJ32" s="53" t="str">
        <f t="shared" si="33"/>
        <v/>
      </c>
      <c r="AK32" s="53" t="str">
        <f t="shared" si="34"/>
        <v/>
      </c>
      <c r="AL32" s="53" t="str">
        <f t="shared" si="35"/>
        <v/>
      </c>
      <c r="AM32" s="53" t="str">
        <f t="shared" si="36"/>
        <v/>
      </c>
      <c r="AN32" s="53" t="str">
        <f t="shared" si="37"/>
        <v/>
      </c>
      <c r="AO32" s="53" t="str">
        <f t="shared" si="38"/>
        <v/>
      </c>
    </row>
    <row r="33" ht="15" customHeight="1" spans="1:41">
      <c r="A33" s="48"/>
      <c r="B33" s="49" t="s">
        <v>60</v>
      </c>
      <c r="C33" s="50"/>
      <c r="D33" s="51">
        <v>8.2</v>
      </c>
      <c r="E33" s="51">
        <v>0.05</v>
      </c>
      <c r="F33" s="51">
        <v>-0.05</v>
      </c>
      <c r="G33" s="51">
        <f t="shared" si="41"/>
        <v>8.25</v>
      </c>
      <c r="H33" s="51">
        <f t="shared" si="42"/>
        <v>8.15</v>
      </c>
      <c r="I33" s="51" t="s">
        <v>42</v>
      </c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3" t="str">
        <f t="shared" si="23"/>
        <v/>
      </c>
      <c r="AA33" s="53" t="str">
        <f t="shared" si="24"/>
        <v/>
      </c>
      <c r="AB33" s="53" t="str">
        <f t="shared" si="25"/>
        <v/>
      </c>
      <c r="AC33" s="53" t="str">
        <f t="shared" si="26"/>
        <v/>
      </c>
      <c r="AD33" s="53" t="str">
        <f t="shared" si="27"/>
        <v/>
      </c>
      <c r="AE33" s="53" t="str">
        <f t="shared" si="28"/>
        <v/>
      </c>
      <c r="AF33" s="53" t="str">
        <f t="shared" si="29"/>
        <v/>
      </c>
      <c r="AG33" s="53" t="str">
        <f t="shared" si="30"/>
        <v/>
      </c>
      <c r="AH33" s="53" t="str">
        <f t="shared" si="31"/>
        <v/>
      </c>
      <c r="AI33" s="53" t="str">
        <f t="shared" si="32"/>
        <v/>
      </c>
      <c r="AJ33" s="53" t="str">
        <f t="shared" si="33"/>
        <v/>
      </c>
      <c r="AK33" s="53" t="str">
        <f t="shared" si="34"/>
        <v/>
      </c>
      <c r="AL33" s="53" t="str">
        <f t="shared" si="35"/>
        <v/>
      </c>
      <c r="AM33" s="53" t="str">
        <f t="shared" si="36"/>
        <v/>
      </c>
      <c r="AN33" s="53" t="str">
        <f t="shared" si="37"/>
        <v/>
      </c>
      <c r="AO33" s="53" t="str">
        <f t="shared" si="38"/>
        <v/>
      </c>
    </row>
    <row r="34" ht="15" customHeight="1" spans="1:41">
      <c r="A34" s="48"/>
      <c r="B34" s="49" t="s">
        <v>61</v>
      </c>
      <c r="C34" s="50"/>
      <c r="D34" s="51">
        <v>0.4</v>
      </c>
      <c r="E34" s="51">
        <v>0.03</v>
      </c>
      <c r="F34" s="51">
        <v>-0.03</v>
      </c>
      <c r="G34" s="51">
        <f t="shared" si="41"/>
        <v>0.43</v>
      </c>
      <c r="H34" s="51">
        <f t="shared" si="42"/>
        <v>0.37</v>
      </c>
      <c r="I34" s="51" t="s">
        <v>42</v>
      </c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3" t="str">
        <f t="shared" si="23"/>
        <v/>
      </c>
      <c r="AA34" s="53" t="str">
        <f t="shared" si="24"/>
        <v/>
      </c>
      <c r="AB34" s="53" t="str">
        <f t="shared" si="25"/>
        <v/>
      </c>
      <c r="AC34" s="53" t="str">
        <f t="shared" si="26"/>
        <v/>
      </c>
      <c r="AD34" s="53" t="str">
        <f t="shared" si="27"/>
        <v/>
      </c>
      <c r="AE34" s="53" t="str">
        <f t="shared" si="28"/>
        <v/>
      </c>
      <c r="AF34" s="53" t="str">
        <f t="shared" si="29"/>
        <v/>
      </c>
      <c r="AG34" s="53" t="str">
        <f t="shared" si="30"/>
        <v/>
      </c>
      <c r="AH34" s="53" t="str">
        <f t="shared" si="31"/>
        <v/>
      </c>
      <c r="AI34" s="53" t="str">
        <f t="shared" si="32"/>
        <v/>
      </c>
      <c r="AJ34" s="53" t="str">
        <f t="shared" si="33"/>
        <v/>
      </c>
      <c r="AK34" s="53" t="str">
        <f t="shared" si="34"/>
        <v/>
      </c>
      <c r="AL34" s="53" t="str">
        <f t="shared" si="35"/>
        <v/>
      </c>
      <c r="AM34" s="53" t="str">
        <f t="shared" si="36"/>
        <v/>
      </c>
      <c r="AN34" s="53" t="str">
        <f t="shared" si="37"/>
        <v/>
      </c>
      <c r="AO34" s="53" t="str">
        <f t="shared" si="38"/>
        <v/>
      </c>
    </row>
    <row r="35" ht="15" customHeight="1" spans="1:41">
      <c r="A35" s="48"/>
      <c r="B35" s="49" t="s">
        <v>62</v>
      </c>
      <c r="C35" s="50"/>
      <c r="D35" s="51">
        <v>0.4</v>
      </c>
      <c r="E35" s="51">
        <v>0.03</v>
      </c>
      <c r="F35" s="51">
        <v>-0.03</v>
      </c>
      <c r="G35" s="51">
        <f t="shared" si="41"/>
        <v>0.43</v>
      </c>
      <c r="H35" s="51">
        <f t="shared" si="42"/>
        <v>0.37</v>
      </c>
      <c r="I35" s="51" t="s">
        <v>42</v>
      </c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3" t="str">
        <f t="shared" si="23"/>
        <v/>
      </c>
      <c r="AA35" s="53" t="str">
        <f t="shared" si="24"/>
        <v/>
      </c>
      <c r="AB35" s="53" t="str">
        <f t="shared" si="25"/>
        <v/>
      </c>
      <c r="AC35" s="53" t="str">
        <f t="shared" si="26"/>
        <v/>
      </c>
      <c r="AD35" s="53" t="str">
        <f t="shared" si="27"/>
        <v/>
      </c>
      <c r="AE35" s="53" t="str">
        <f t="shared" si="28"/>
        <v/>
      </c>
      <c r="AF35" s="53" t="str">
        <f t="shared" si="29"/>
        <v/>
      </c>
      <c r="AG35" s="53" t="str">
        <f t="shared" si="30"/>
        <v/>
      </c>
      <c r="AH35" s="53" t="str">
        <f t="shared" si="31"/>
        <v/>
      </c>
      <c r="AI35" s="53" t="str">
        <f t="shared" si="32"/>
        <v/>
      </c>
      <c r="AJ35" s="53" t="str">
        <f t="shared" si="33"/>
        <v/>
      </c>
      <c r="AK35" s="53" t="str">
        <f t="shared" si="34"/>
        <v/>
      </c>
      <c r="AL35" s="53" t="str">
        <f t="shared" si="35"/>
        <v/>
      </c>
      <c r="AM35" s="53" t="str">
        <f t="shared" si="36"/>
        <v/>
      </c>
      <c r="AN35" s="53" t="str">
        <f t="shared" si="37"/>
        <v/>
      </c>
      <c r="AO35" s="53" t="str">
        <f t="shared" si="38"/>
        <v/>
      </c>
    </row>
    <row r="36" ht="15" customHeight="1" spans="1:41">
      <c r="A36" s="48"/>
      <c r="B36" s="49" t="s">
        <v>63</v>
      </c>
      <c r="C36" s="50"/>
      <c r="D36" s="51">
        <v>2.45</v>
      </c>
      <c r="E36" s="51">
        <v>0.05</v>
      </c>
      <c r="F36" s="51">
        <v>-0.05</v>
      </c>
      <c r="G36" s="51">
        <f t="shared" si="41"/>
        <v>2.5</v>
      </c>
      <c r="H36" s="51">
        <f t="shared" si="42"/>
        <v>2.4</v>
      </c>
      <c r="I36" s="51" t="s">
        <v>42</v>
      </c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3" t="str">
        <f t="shared" si="23"/>
        <v/>
      </c>
      <c r="AA36" s="53" t="str">
        <f t="shared" si="24"/>
        <v/>
      </c>
      <c r="AB36" s="53" t="str">
        <f t="shared" si="25"/>
        <v/>
      </c>
      <c r="AC36" s="53" t="str">
        <f t="shared" si="26"/>
        <v/>
      </c>
      <c r="AD36" s="53" t="str">
        <f t="shared" si="27"/>
        <v/>
      </c>
      <c r="AE36" s="53" t="str">
        <f t="shared" si="28"/>
        <v/>
      </c>
      <c r="AF36" s="53" t="str">
        <f t="shared" si="29"/>
        <v/>
      </c>
      <c r="AG36" s="53" t="str">
        <f t="shared" si="30"/>
        <v/>
      </c>
      <c r="AH36" s="53" t="str">
        <f t="shared" si="31"/>
        <v/>
      </c>
      <c r="AI36" s="53" t="str">
        <f t="shared" si="32"/>
        <v/>
      </c>
      <c r="AJ36" s="53" t="str">
        <f t="shared" si="33"/>
        <v/>
      </c>
      <c r="AK36" s="53" t="str">
        <f t="shared" si="34"/>
        <v/>
      </c>
      <c r="AL36" s="53" t="str">
        <f t="shared" si="35"/>
        <v/>
      </c>
      <c r="AM36" s="53" t="str">
        <f t="shared" si="36"/>
        <v/>
      </c>
      <c r="AN36" s="53" t="str">
        <f t="shared" si="37"/>
        <v/>
      </c>
      <c r="AO36" s="53" t="str">
        <f t="shared" si="38"/>
        <v/>
      </c>
    </row>
    <row r="37" ht="15" customHeight="1" spans="1:41">
      <c r="A37" s="48"/>
      <c r="B37" s="49" t="s">
        <v>64</v>
      </c>
      <c r="C37" s="50"/>
      <c r="D37" s="51">
        <v>0.6</v>
      </c>
      <c r="E37" s="51">
        <v>0.02</v>
      </c>
      <c r="F37" s="51">
        <v>-0.02</v>
      </c>
      <c r="G37" s="51">
        <f t="shared" si="41"/>
        <v>0.62</v>
      </c>
      <c r="H37" s="51">
        <f t="shared" si="42"/>
        <v>0.58</v>
      </c>
      <c r="I37" s="51" t="s">
        <v>42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3" t="str">
        <f t="shared" si="23"/>
        <v/>
      </c>
      <c r="AA37" s="53" t="str">
        <f t="shared" si="24"/>
        <v/>
      </c>
      <c r="AB37" s="53" t="str">
        <f t="shared" si="25"/>
        <v/>
      </c>
      <c r="AC37" s="53" t="str">
        <f t="shared" si="26"/>
        <v/>
      </c>
      <c r="AD37" s="53" t="str">
        <f t="shared" si="27"/>
        <v/>
      </c>
      <c r="AE37" s="53" t="str">
        <f t="shared" si="28"/>
        <v/>
      </c>
      <c r="AF37" s="53" t="str">
        <f t="shared" si="29"/>
        <v/>
      </c>
      <c r="AG37" s="53" t="str">
        <f t="shared" si="30"/>
        <v/>
      </c>
      <c r="AH37" s="53" t="str">
        <f t="shared" si="31"/>
        <v/>
      </c>
      <c r="AI37" s="53" t="str">
        <f t="shared" si="32"/>
        <v/>
      </c>
      <c r="AJ37" s="53" t="str">
        <f t="shared" si="33"/>
        <v/>
      </c>
      <c r="AK37" s="53" t="str">
        <f t="shared" si="34"/>
        <v/>
      </c>
      <c r="AL37" s="53" t="str">
        <f t="shared" si="35"/>
        <v/>
      </c>
      <c r="AM37" s="53" t="str">
        <f t="shared" si="36"/>
        <v/>
      </c>
      <c r="AN37" s="53" t="str">
        <f t="shared" si="37"/>
        <v/>
      </c>
      <c r="AO37" s="53" t="str">
        <f t="shared" si="38"/>
        <v/>
      </c>
    </row>
    <row r="38" ht="15" customHeight="1" spans="1:41">
      <c r="A38" s="48"/>
      <c r="B38" s="49" t="s">
        <v>65</v>
      </c>
      <c r="C38" s="50" t="s">
        <v>66</v>
      </c>
      <c r="D38" s="51">
        <v>0</v>
      </c>
      <c r="E38" s="51">
        <v>0.05</v>
      </c>
      <c r="F38" s="51">
        <v>0</v>
      </c>
      <c r="G38" s="51">
        <f t="shared" si="41"/>
        <v>0.05</v>
      </c>
      <c r="H38" s="51">
        <f t="shared" si="42"/>
        <v>0</v>
      </c>
      <c r="I38" s="51" t="s">
        <v>42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3" t="str">
        <f t="shared" si="23"/>
        <v/>
      </c>
      <c r="AA38" s="53" t="str">
        <f t="shared" si="24"/>
        <v/>
      </c>
      <c r="AB38" s="53" t="str">
        <f t="shared" si="25"/>
        <v/>
      </c>
      <c r="AC38" s="53" t="str">
        <f t="shared" si="26"/>
        <v/>
      </c>
      <c r="AD38" s="53" t="str">
        <f t="shared" si="27"/>
        <v/>
      </c>
      <c r="AE38" s="53" t="str">
        <f t="shared" si="28"/>
        <v/>
      </c>
      <c r="AF38" s="53" t="str">
        <f t="shared" si="29"/>
        <v/>
      </c>
      <c r="AG38" s="53" t="str">
        <f t="shared" si="30"/>
        <v/>
      </c>
      <c r="AH38" s="53" t="str">
        <f t="shared" si="31"/>
        <v/>
      </c>
      <c r="AI38" s="53" t="str">
        <f t="shared" si="32"/>
        <v/>
      </c>
      <c r="AJ38" s="53" t="str">
        <f t="shared" si="33"/>
        <v/>
      </c>
      <c r="AK38" s="53" t="str">
        <f t="shared" si="34"/>
        <v/>
      </c>
      <c r="AL38" s="53" t="str">
        <f t="shared" si="35"/>
        <v/>
      </c>
      <c r="AM38" s="53" t="str">
        <f t="shared" si="36"/>
        <v/>
      </c>
      <c r="AN38" s="53" t="str">
        <f t="shared" si="37"/>
        <v/>
      </c>
      <c r="AO38" s="53" t="str">
        <f t="shared" si="38"/>
        <v/>
      </c>
    </row>
    <row r="39" ht="15" customHeight="1" spans="1:41">
      <c r="A39" s="48"/>
      <c r="B39" s="49">
        <v>1</v>
      </c>
      <c r="C39" s="50"/>
      <c r="D39" s="51"/>
      <c r="E39" s="51"/>
      <c r="F39" s="51"/>
      <c r="G39" s="51">
        <f t="shared" si="41"/>
        <v>0</v>
      </c>
      <c r="H39" s="51">
        <f t="shared" ref="H39:H70" si="43">D39+F39</f>
        <v>0</v>
      </c>
      <c r="I39" s="51" t="s">
        <v>42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</row>
    <row r="40" ht="15" customHeight="1" spans="1:41">
      <c r="A40" s="48"/>
      <c r="B40" s="49">
        <v>2</v>
      </c>
      <c r="C40" s="50"/>
      <c r="D40" s="51"/>
      <c r="E40" s="51"/>
      <c r="F40" s="51"/>
      <c r="G40" s="51">
        <f t="shared" si="41"/>
        <v>0</v>
      </c>
      <c r="H40" s="51">
        <f t="shared" si="43"/>
        <v>0</v>
      </c>
      <c r="I40" s="51" t="s">
        <v>42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</row>
    <row r="41" ht="15" customHeight="1" spans="1:41">
      <c r="A41" s="48"/>
      <c r="B41" s="49">
        <v>3</v>
      </c>
      <c r="C41" s="50"/>
      <c r="D41" s="51"/>
      <c r="E41" s="51"/>
      <c r="F41" s="51"/>
      <c r="G41" s="51">
        <f t="shared" si="41"/>
        <v>0</v>
      </c>
      <c r="H41" s="51">
        <f t="shared" si="43"/>
        <v>0</v>
      </c>
      <c r="I41" s="51" t="s">
        <v>42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</row>
    <row r="42" ht="15" customHeight="1" spans="1:41">
      <c r="A42" s="48"/>
      <c r="B42" s="49">
        <v>4</v>
      </c>
      <c r="C42" s="50"/>
      <c r="D42" s="51"/>
      <c r="E42" s="51"/>
      <c r="F42" s="51"/>
      <c r="G42" s="51">
        <f t="shared" si="41"/>
        <v>0</v>
      </c>
      <c r="H42" s="51">
        <f t="shared" si="43"/>
        <v>0</v>
      </c>
      <c r="I42" s="51" t="s">
        <v>42</v>
      </c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</row>
    <row r="43" ht="15" customHeight="1" spans="1:41">
      <c r="A43" s="48"/>
      <c r="B43" s="49">
        <v>5</v>
      </c>
      <c r="C43" s="50"/>
      <c r="D43" s="51"/>
      <c r="E43" s="51"/>
      <c r="F43" s="51"/>
      <c r="G43" s="51">
        <f t="shared" ref="G43:G74" si="44">D43+E43</f>
        <v>0</v>
      </c>
      <c r="H43" s="51">
        <f t="shared" si="43"/>
        <v>0</v>
      </c>
      <c r="I43" s="51" t="s">
        <v>42</v>
      </c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</row>
    <row r="44" ht="15" customHeight="1" spans="1:41">
      <c r="A44" s="48"/>
      <c r="B44" s="49">
        <v>6</v>
      </c>
      <c r="C44" s="50"/>
      <c r="D44" s="51"/>
      <c r="E44" s="51"/>
      <c r="F44" s="51"/>
      <c r="G44" s="51">
        <f t="shared" si="44"/>
        <v>0</v>
      </c>
      <c r="H44" s="51">
        <f t="shared" si="43"/>
        <v>0</v>
      </c>
      <c r="I44" s="51" t="s">
        <v>42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</row>
    <row r="45" ht="15" customHeight="1" spans="1:41">
      <c r="A45" s="48"/>
      <c r="B45" s="49" t="s">
        <v>67</v>
      </c>
      <c r="C45" s="50" t="s">
        <v>68</v>
      </c>
      <c r="D45" s="51">
        <v>0</v>
      </c>
      <c r="E45" s="51">
        <v>0.04</v>
      </c>
      <c r="F45" s="51">
        <v>0</v>
      </c>
      <c r="G45" s="51">
        <f t="shared" si="44"/>
        <v>0.04</v>
      </c>
      <c r="H45" s="51">
        <f t="shared" si="43"/>
        <v>0</v>
      </c>
      <c r="I45" s="51" t="s">
        <v>42</v>
      </c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3" t="str">
        <f t="shared" si="23"/>
        <v/>
      </c>
      <c r="AA45" s="53" t="str">
        <f t="shared" si="24"/>
        <v/>
      </c>
      <c r="AB45" s="53" t="str">
        <f t="shared" si="25"/>
        <v/>
      </c>
      <c r="AC45" s="53" t="str">
        <f t="shared" si="26"/>
        <v/>
      </c>
      <c r="AD45" s="53" t="str">
        <f t="shared" si="27"/>
        <v/>
      </c>
      <c r="AE45" s="53" t="str">
        <f t="shared" si="28"/>
        <v/>
      </c>
      <c r="AF45" s="53" t="str">
        <f t="shared" si="29"/>
        <v/>
      </c>
      <c r="AG45" s="53" t="str">
        <f t="shared" si="30"/>
        <v/>
      </c>
      <c r="AH45" s="53" t="str">
        <f t="shared" si="31"/>
        <v/>
      </c>
      <c r="AI45" s="53" t="str">
        <f t="shared" si="32"/>
        <v/>
      </c>
      <c r="AJ45" s="53" t="str">
        <f t="shared" si="33"/>
        <v/>
      </c>
      <c r="AK45" s="53" t="str">
        <f t="shared" si="34"/>
        <v/>
      </c>
      <c r="AL45" s="53" t="str">
        <f t="shared" si="35"/>
        <v/>
      </c>
      <c r="AM45" s="53" t="str">
        <f t="shared" si="36"/>
        <v/>
      </c>
      <c r="AN45" s="53" t="str">
        <f t="shared" si="37"/>
        <v/>
      </c>
      <c r="AO45" s="53" t="str">
        <f t="shared" si="38"/>
        <v/>
      </c>
    </row>
    <row r="46" ht="15" customHeight="1" spans="1:41">
      <c r="A46" s="48"/>
      <c r="B46" s="49">
        <v>1</v>
      </c>
      <c r="C46" s="50"/>
      <c r="D46" s="51"/>
      <c r="E46" s="51"/>
      <c r="F46" s="51"/>
      <c r="G46" s="51">
        <f t="shared" si="44"/>
        <v>0</v>
      </c>
      <c r="H46" s="51">
        <f t="shared" si="43"/>
        <v>0</v>
      </c>
      <c r="I46" s="51" t="s">
        <v>42</v>
      </c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</row>
    <row r="47" ht="15" customHeight="1" spans="1:41">
      <c r="A47" s="48"/>
      <c r="B47" s="49">
        <v>2</v>
      </c>
      <c r="C47" s="50"/>
      <c r="D47" s="51"/>
      <c r="E47" s="51"/>
      <c r="F47" s="51"/>
      <c r="G47" s="51">
        <f t="shared" si="44"/>
        <v>0</v>
      </c>
      <c r="H47" s="51">
        <f t="shared" si="43"/>
        <v>0</v>
      </c>
      <c r="I47" s="51" t="s">
        <v>42</v>
      </c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</row>
    <row r="48" ht="15" customHeight="1" spans="1:41">
      <c r="A48" s="48"/>
      <c r="B48" s="49">
        <v>3</v>
      </c>
      <c r="C48" s="50"/>
      <c r="D48" s="51"/>
      <c r="E48" s="51"/>
      <c r="F48" s="51"/>
      <c r="G48" s="51">
        <f t="shared" si="44"/>
        <v>0</v>
      </c>
      <c r="H48" s="51">
        <f t="shared" si="43"/>
        <v>0</v>
      </c>
      <c r="I48" s="51" t="s">
        <v>42</v>
      </c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</row>
    <row r="49" ht="15" customHeight="1" spans="1:41">
      <c r="A49" s="48"/>
      <c r="B49" s="49">
        <v>4</v>
      </c>
      <c r="C49" s="50"/>
      <c r="D49" s="51"/>
      <c r="E49" s="51"/>
      <c r="F49" s="51"/>
      <c r="G49" s="51">
        <f t="shared" si="44"/>
        <v>0</v>
      </c>
      <c r="H49" s="51">
        <f t="shared" si="43"/>
        <v>0</v>
      </c>
      <c r="I49" s="51" t="s">
        <v>42</v>
      </c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</row>
    <row r="50" ht="15" customHeight="1" spans="1:41">
      <c r="A50" s="48"/>
      <c r="B50" s="49">
        <v>5</v>
      </c>
      <c r="C50" s="50"/>
      <c r="D50" s="51"/>
      <c r="E50" s="51"/>
      <c r="F50" s="51"/>
      <c r="G50" s="51">
        <f t="shared" si="44"/>
        <v>0</v>
      </c>
      <c r="H50" s="51">
        <f t="shared" si="43"/>
        <v>0</v>
      </c>
      <c r="I50" s="51" t="s">
        <v>42</v>
      </c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</row>
    <row r="51" ht="15" customHeight="1" spans="1:41">
      <c r="A51" s="48"/>
      <c r="B51" s="49">
        <v>6</v>
      </c>
      <c r="C51" s="50"/>
      <c r="D51" s="51"/>
      <c r="E51" s="51"/>
      <c r="F51" s="51"/>
      <c r="G51" s="51">
        <f t="shared" si="44"/>
        <v>0</v>
      </c>
      <c r="H51" s="51">
        <f t="shared" si="43"/>
        <v>0</v>
      </c>
      <c r="I51" s="51" t="s">
        <v>42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</row>
    <row r="52" ht="15" customHeight="1" spans="1:41">
      <c r="A52" s="48"/>
      <c r="B52" s="49" t="s">
        <v>69</v>
      </c>
      <c r="C52" s="50" t="s">
        <v>70</v>
      </c>
      <c r="D52" s="51">
        <v>0</v>
      </c>
      <c r="E52" s="51">
        <v>0.03</v>
      </c>
      <c r="F52" s="51">
        <v>0</v>
      </c>
      <c r="G52" s="51">
        <f t="shared" si="44"/>
        <v>0.03</v>
      </c>
      <c r="H52" s="51">
        <f t="shared" si="43"/>
        <v>0</v>
      </c>
      <c r="I52" s="51" t="s">
        <v>42</v>
      </c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3" t="str">
        <f t="shared" ref="Z52:AO52" si="45">IF(J52="","",IF(J52&gt;($D52+$E52),(J52-$D52-$E52),IF(J52&lt;($D52+$F52),(J52-$D52-$F52),"√")))</f>
        <v/>
      </c>
      <c r="AA52" s="53" t="str">
        <f t="shared" si="45"/>
        <v/>
      </c>
      <c r="AB52" s="53" t="str">
        <f t="shared" si="45"/>
        <v/>
      </c>
      <c r="AC52" s="53" t="str">
        <f t="shared" si="45"/>
        <v/>
      </c>
      <c r="AD52" s="53" t="str">
        <f t="shared" si="45"/>
        <v/>
      </c>
      <c r="AE52" s="53" t="str">
        <f t="shared" si="45"/>
        <v/>
      </c>
      <c r="AF52" s="53" t="str">
        <f t="shared" si="45"/>
        <v/>
      </c>
      <c r="AG52" s="53" t="str">
        <f t="shared" si="45"/>
        <v/>
      </c>
      <c r="AH52" s="53" t="str">
        <f t="shared" si="45"/>
        <v/>
      </c>
      <c r="AI52" s="53" t="str">
        <f t="shared" si="45"/>
        <v/>
      </c>
      <c r="AJ52" s="53" t="str">
        <f t="shared" si="45"/>
        <v/>
      </c>
      <c r="AK52" s="53" t="str">
        <f t="shared" si="45"/>
        <v/>
      </c>
      <c r="AL52" s="53" t="str">
        <f t="shared" si="45"/>
        <v/>
      </c>
      <c r="AM52" s="53" t="str">
        <f t="shared" si="45"/>
        <v/>
      </c>
      <c r="AN52" s="53" t="str">
        <f t="shared" si="45"/>
        <v/>
      </c>
      <c r="AO52" s="53" t="str">
        <f t="shared" si="45"/>
        <v/>
      </c>
    </row>
    <row r="53" ht="15" customHeight="1" spans="1:41">
      <c r="A53" s="48"/>
      <c r="B53" s="49">
        <v>1</v>
      </c>
      <c r="C53" s="50"/>
      <c r="D53" s="51"/>
      <c r="E53" s="51"/>
      <c r="F53" s="51"/>
      <c r="G53" s="51">
        <f t="shared" si="44"/>
        <v>0</v>
      </c>
      <c r="H53" s="51">
        <f t="shared" si="43"/>
        <v>0</v>
      </c>
      <c r="I53" s="51" t="s">
        <v>42</v>
      </c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</row>
    <row r="54" ht="15" customHeight="1" spans="1:41">
      <c r="A54" s="48"/>
      <c r="B54" s="49">
        <v>2</v>
      </c>
      <c r="C54" s="50"/>
      <c r="D54" s="51"/>
      <c r="E54" s="51"/>
      <c r="F54" s="51"/>
      <c r="G54" s="51">
        <f t="shared" si="44"/>
        <v>0</v>
      </c>
      <c r="H54" s="51">
        <f t="shared" si="43"/>
        <v>0</v>
      </c>
      <c r="I54" s="51" t="s">
        <v>42</v>
      </c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</row>
    <row r="55" ht="15" customHeight="1" spans="1:41">
      <c r="A55" s="48"/>
      <c r="B55" s="49">
        <v>3</v>
      </c>
      <c r="C55" s="50"/>
      <c r="D55" s="51"/>
      <c r="E55" s="51"/>
      <c r="F55" s="51"/>
      <c r="G55" s="51">
        <f t="shared" si="44"/>
        <v>0</v>
      </c>
      <c r="H55" s="51">
        <f t="shared" si="43"/>
        <v>0</v>
      </c>
      <c r="I55" s="51" t="s">
        <v>42</v>
      </c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</row>
    <row r="56" ht="15" customHeight="1" spans="1:41">
      <c r="A56" s="48"/>
      <c r="B56" s="49">
        <v>4</v>
      </c>
      <c r="C56" s="50"/>
      <c r="D56" s="51"/>
      <c r="E56" s="51"/>
      <c r="F56" s="51"/>
      <c r="G56" s="51">
        <f t="shared" si="44"/>
        <v>0</v>
      </c>
      <c r="H56" s="51">
        <f t="shared" si="43"/>
        <v>0</v>
      </c>
      <c r="I56" s="51" t="s">
        <v>42</v>
      </c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</row>
    <row r="57" ht="15" customHeight="1" spans="1:41">
      <c r="A57" s="48"/>
      <c r="B57" s="49" t="s">
        <v>71</v>
      </c>
      <c r="C57" s="50" t="s">
        <v>72</v>
      </c>
      <c r="D57" s="51">
        <v>0</v>
      </c>
      <c r="E57" s="51">
        <v>0.03</v>
      </c>
      <c r="F57" s="51">
        <v>0</v>
      </c>
      <c r="G57" s="51">
        <f t="shared" si="44"/>
        <v>0.03</v>
      </c>
      <c r="H57" s="51">
        <f t="shared" si="43"/>
        <v>0</v>
      </c>
      <c r="I57" s="51" t="s">
        <v>42</v>
      </c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3" t="str">
        <f t="shared" ref="Z57:AO57" si="46">IF(J57="","",IF(J57&gt;($D57+$E57),(J57-$D57-$E57),IF(J57&lt;($D57+$F57),(J57-$D57-$F57),"√")))</f>
        <v/>
      </c>
      <c r="AA57" s="53" t="str">
        <f t="shared" si="46"/>
        <v/>
      </c>
      <c r="AB57" s="53" t="str">
        <f t="shared" si="46"/>
        <v/>
      </c>
      <c r="AC57" s="53" t="str">
        <f t="shared" si="46"/>
        <v/>
      </c>
      <c r="AD57" s="53" t="str">
        <f t="shared" si="46"/>
        <v/>
      </c>
      <c r="AE57" s="53" t="str">
        <f t="shared" si="46"/>
        <v/>
      </c>
      <c r="AF57" s="53" t="str">
        <f t="shared" si="46"/>
        <v/>
      </c>
      <c r="AG57" s="53" t="str">
        <f t="shared" si="46"/>
        <v/>
      </c>
      <c r="AH57" s="53" t="str">
        <f t="shared" si="46"/>
        <v/>
      </c>
      <c r="AI57" s="53" t="str">
        <f t="shared" si="46"/>
        <v/>
      </c>
      <c r="AJ57" s="53" t="str">
        <f t="shared" si="46"/>
        <v/>
      </c>
      <c r="AK57" s="53" t="str">
        <f t="shared" si="46"/>
        <v/>
      </c>
      <c r="AL57" s="53" t="str">
        <f t="shared" si="46"/>
        <v/>
      </c>
      <c r="AM57" s="53" t="str">
        <f t="shared" si="46"/>
        <v/>
      </c>
      <c r="AN57" s="53" t="str">
        <f t="shared" si="46"/>
        <v/>
      </c>
      <c r="AO57" s="53" t="str">
        <f t="shared" si="46"/>
        <v/>
      </c>
    </row>
    <row r="58" ht="15" customHeight="1" spans="1:41">
      <c r="A58" s="48"/>
      <c r="B58" s="49">
        <v>1</v>
      </c>
      <c r="C58" s="50"/>
      <c r="D58" s="51"/>
      <c r="E58" s="51"/>
      <c r="F58" s="51"/>
      <c r="G58" s="51">
        <f t="shared" si="44"/>
        <v>0</v>
      </c>
      <c r="H58" s="51">
        <f t="shared" si="43"/>
        <v>0</v>
      </c>
      <c r="I58" s="51" t="s">
        <v>42</v>
      </c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</row>
    <row r="59" ht="15" customHeight="1" spans="1:41">
      <c r="A59" s="48"/>
      <c r="B59" s="49">
        <v>2</v>
      </c>
      <c r="C59" s="50"/>
      <c r="D59" s="51"/>
      <c r="E59" s="51"/>
      <c r="F59" s="51"/>
      <c r="G59" s="51">
        <f t="shared" si="44"/>
        <v>0</v>
      </c>
      <c r="H59" s="51">
        <f t="shared" si="43"/>
        <v>0</v>
      </c>
      <c r="I59" s="51" t="s">
        <v>42</v>
      </c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</row>
    <row r="60" ht="15" customHeight="1" spans="1:41">
      <c r="A60" s="48"/>
      <c r="B60" s="49">
        <v>3</v>
      </c>
      <c r="C60" s="50"/>
      <c r="D60" s="51"/>
      <c r="E60" s="51"/>
      <c r="F60" s="51"/>
      <c r="G60" s="51">
        <f t="shared" si="44"/>
        <v>0</v>
      </c>
      <c r="H60" s="51">
        <f t="shared" si="43"/>
        <v>0</v>
      </c>
      <c r="I60" s="51" t="s">
        <v>42</v>
      </c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</row>
    <row r="61" ht="15" customHeight="1" spans="1:41">
      <c r="A61" s="48"/>
      <c r="B61" s="49">
        <v>4</v>
      </c>
      <c r="C61" s="50"/>
      <c r="D61" s="51"/>
      <c r="E61" s="51"/>
      <c r="F61" s="51"/>
      <c r="G61" s="51">
        <f t="shared" si="44"/>
        <v>0</v>
      </c>
      <c r="H61" s="51">
        <f t="shared" si="43"/>
        <v>0</v>
      </c>
      <c r="I61" s="51" t="s">
        <v>42</v>
      </c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</row>
    <row r="62" ht="15" customHeight="1" spans="1:41">
      <c r="A62" s="48"/>
      <c r="B62" s="49" t="s">
        <v>73</v>
      </c>
      <c r="C62" s="50"/>
      <c r="D62" s="51">
        <v>0</v>
      </c>
      <c r="E62" s="51">
        <v>0.06</v>
      </c>
      <c r="F62" s="51">
        <v>0</v>
      </c>
      <c r="G62" s="51">
        <f t="shared" si="44"/>
        <v>0.06</v>
      </c>
      <c r="H62" s="51">
        <f t="shared" si="43"/>
        <v>0</v>
      </c>
      <c r="I62" s="51" t="s">
        <v>42</v>
      </c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3" t="str">
        <f t="shared" ref="Z62:AO62" si="47">IF(J62="","",IF(J62&gt;($D62+$E62),(J62-$D62-$E62),IF(J62&lt;($D62+$F62),(J62-$D62-$F62),"√")))</f>
        <v/>
      </c>
      <c r="AA62" s="53" t="str">
        <f t="shared" si="47"/>
        <v/>
      </c>
      <c r="AB62" s="53" t="str">
        <f t="shared" si="47"/>
        <v/>
      </c>
      <c r="AC62" s="53" t="str">
        <f t="shared" si="47"/>
        <v/>
      </c>
      <c r="AD62" s="53" t="str">
        <f t="shared" si="47"/>
        <v/>
      </c>
      <c r="AE62" s="53" t="str">
        <f t="shared" si="47"/>
        <v/>
      </c>
      <c r="AF62" s="53" t="str">
        <f t="shared" si="47"/>
        <v/>
      </c>
      <c r="AG62" s="53" t="str">
        <f t="shared" si="47"/>
        <v/>
      </c>
      <c r="AH62" s="53" t="str">
        <f t="shared" si="47"/>
        <v/>
      </c>
      <c r="AI62" s="53" t="str">
        <f t="shared" si="47"/>
        <v/>
      </c>
      <c r="AJ62" s="53" t="str">
        <f t="shared" si="47"/>
        <v/>
      </c>
      <c r="AK62" s="53" t="str">
        <f t="shared" si="47"/>
        <v/>
      </c>
      <c r="AL62" s="53" t="str">
        <f t="shared" si="47"/>
        <v/>
      </c>
      <c r="AM62" s="53" t="str">
        <f t="shared" si="47"/>
        <v/>
      </c>
      <c r="AN62" s="53" t="str">
        <f t="shared" si="47"/>
        <v/>
      </c>
      <c r="AO62" s="53" t="str">
        <f t="shared" si="47"/>
        <v/>
      </c>
    </row>
    <row r="63" ht="15" customHeight="1" spans="1:41">
      <c r="A63" s="48"/>
      <c r="B63" s="49">
        <v>1</v>
      </c>
      <c r="C63" s="50"/>
      <c r="D63" s="51"/>
      <c r="E63" s="51"/>
      <c r="F63" s="51"/>
      <c r="G63" s="51">
        <f t="shared" si="44"/>
        <v>0</v>
      </c>
      <c r="H63" s="51">
        <f t="shared" si="43"/>
        <v>0</v>
      </c>
      <c r="I63" s="51" t="s">
        <v>42</v>
      </c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</row>
    <row r="64" ht="15" customHeight="1" spans="1:41">
      <c r="A64" s="48"/>
      <c r="B64" s="49">
        <v>2</v>
      </c>
      <c r="C64" s="50"/>
      <c r="D64" s="51"/>
      <c r="E64" s="51"/>
      <c r="F64" s="51"/>
      <c r="G64" s="51">
        <f t="shared" si="44"/>
        <v>0</v>
      </c>
      <c r="H64" s="51">
        <f t="shared" si="43"/>
        <v>0</v>
      </c>
      <c r="I64" s="51" t="s">
        <v>42</v>
      </c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</row>
    <row r="65" ht="15" customHeight="1" spans="1:41">
      <c r="A65" s="48"/>
      <c r="B65" s="49">
        <v>3</v>
      </c>
      <c r="C65" s="50"/>
      <c r="D65" s="51"/>
      <c r="E65" s="51"/>
      <c r="F65" s="51"/>
      <c r="G65" s="51">
        <f t="shared" si="44"/>
        <v>0</v>
      </c>
      <c r="H65" s="51">
        <f t="shared" si="43"/>
        <v>0</v>
      </c>
      <c r="I65" s="51" t="s">
        <v>42</v>
      </c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</row>
    <row r="66" ht="15" customHeight="1" spans="1:41">
      <c r="A66" s="48"/>
      <c r="B66" s="49">
        <v>4</v>
      </c>
      <c r="C66" s="50"/>
      <c r="D66" s="51"/>
      <c r="E66" s="51"/>
      <c r="F66" s="51"/>
      <c r="G66" s="51">
        <f t="shared" si="44"/>
        <v>0</v>
      </c>
      <c r="H66" s="51">
        <f t="shared" si="43"/>
        <v>0</v>
      </c>
      <c r="I66" s="51" t="s">
        <v>42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</row>
    <row r="67" ht="15" customHeight="1" spans="1:41">
      <c r="A67" s="48"/>
      <c r="B67" s="49">
        <v>5</v>
      </c>
      <c r="C67" s="50"/>
      <c r="D67" s="51"/>
      <c r="E67" s="51"/>
      <c r="F67" s="51"/>
      <c r="G67" s="51">
        <f t="shared" si="44"/>
        <v>0</v>
      </c>
      <c r="H67" s="51">
        <f t="shared" si="43"/>
        <v>0</v>
      </c>
      <c r="I67" s="51" t="s">
        <v>42</v>
      </c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</row>
    <row r="68" ht="15" customHeight="1" spans="1:41">
      <c r="A68" s="48"/>
      <c r="B68" s="49">
        <v>6</v>
      </c>
      <c r="C68" s="50"/>
      <c r="D68" s="51"/>
      <c r="E68" s="51"/>
      <c r="F68" s="51"/>
      <c r="G68" s="51">
        <f t="shared" si="44"/>
        <v>0</v>
      </c>
      <c r="H68" s="51">
        <f t="shared" si="43"/>
        <v>0</v>
      </c>
      <c r="I68" s="51" t="s">
        <v>42</v>
      </c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</row>
    <row r="69" ht="15" customHeight="1" spans="1:41">
      <c r="A69" s="48"/>
      <c r="B69" s="49">
        <v>7</v>
      </c>
      <c r="C69" s="50"/>
      <c r="D69" s="51"/>
      <c r="E69" s="51"/>
      <c r="F69" s="51"/>
      <c r="G69" s="51">
        <f t="shared" si="44"/>
        <v>0</v>
      </c>
      <c r="H69" s="51">
        <f t="shared" si="43"/>
        <v>0</v>
      </c>
      <c r="I69" s="51" t="s">
        <v>42</v>
      </c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</row>
    <row r="70" ht="15" customHeight="1" spans="1:41">
      <c r="A70" s="48"/>
      <c r="B70" s="49">
        <v>8</v>
      </c>
      <c r="C70" s="50"/>
      <c r="D70" s="51"/>
      <c r="E70" s="51"/>
      <c r="F70" s="51"/>
      <c r="G70" s="51">
        <f t="shared" si="44"/>
        <v>0</v>
      </c>
      <c r="H70" s="51">
        <f t="shared" si="43"/>
        <v>0</v>
      </c>
      <c r="I70" s="51" t="s">
        <v>42</v>
      </c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</row>
    <row r="71" ht="15" customHeight="1" spans="1:41">
      <c r="A71" s="48"/>
      <c r="B71" s="49">
        <v>9</v>
      </c>
      <c r="C71" s="50"/>
      <c r="D71" s="51"/>
      <c r="E71" s="51"/>
      <c r="F71" s="51"/>
      <c r="G71" s="51">
        <f t="shared" si="44"/>
        <v>0</v>
      </c>
      <c r="H71" s="51">
        <f t="shared" ref="H71:H120" si="48">D71+F71</f>
        <v>0</v>
      </c>
      <c r="I71" s="51" t="s">
        <v>42</v>
      </c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</row>
    <row r="72" ht="15" customHeight="1" spans="1:41">
      <c r="A72" s="48"/>
      <c r="B72" s="49">
        <v>10</v>
      </c>
      <c r="C72" s="50"/>
      <c r="D72" s="51"/>
      <c r="E72" s="51"/>
      <c r="F72" s="51"/>
      <c r="G72" s="51">
        <f t="shared" si="44"/>
        <v>0</v>
      </c>
      <c r="H72" s="51">
        <f t="shared" si="48"/>
        <v>0</v>
      </c>
      <c r="I72" s="51" t="s">
        <v>42</v>
      </c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</row>
    <row r="73" ht="15" customHeight="1" spans="1:41">
      <c r="A73" s="48"/>
      <c r="B73" s="49">
        <v>11</v>
      </c>
      <c r="C73" s="50"/>
      <c r="D73" s="51"/>
      <c r="E73" s="51"/>
      <c r="F73" s="51"/>
      <c r="G73" s="51">
        <f t="shared" si="44"/>
        <v>0</v>
      </c>
      <c r="H73" s="51">
        <f t="shared" si="48"/>
        <v>0</v>
      </c>
      <c r="I73" s="51" t="s">
        <v>42</v>
      </c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</row>
    <row r="74" ht="15" customHeight="1" spans="1:41">
      <c r="A74" s="48"/>
      <c r="B74" s="49">
        <v>12</v>
      </c>
      <c r="C74" s="50"/>
      <c r="D74" s="51"/>
      <c r="E74" s="51"/>
      <c r="F74" s="51"/>
      <c r="G74" s="51">
        <f t="shared" si="44"/>
        <v>0</v>
      </c>
      <c r="H74" s="51">
        <f t="shared" si="48"/>
        <v>0</v>
      </c>
      <c r="I74" s="51" t="s">
        <v>42</v>
      </c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</row>
    <row r="75" ht="15" customHeight="1" spans="1:41">
      <c r="A75" s="48"/>
      <c r="B75" s="49" t="s">
        <v>74</v>
      </c>
      <c r="C75" s="50"/>
      <c r="D75" s="51"/>
      <c r="E75" s="51"/>
      <c r="F75" s="51"/>
      <c r="G75" s="51">
        <f t="shared" ref="G75:G120" si="49">D75+E75</f>
        <v>0</v>
      </c>
      <c r="H75" s="51">
        <f t="shared" si="48"/>
        <v>0</v>
      </c>
      <c r="I75" s="51" t="s">
        <v>42</v>
      </c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</row>
    <row r="76" ht="15" customHeight="1" spans="1:41">
      <c r="A76" s="48"/>
      <c r="B76" s="49" t="s">
        <v>75</v>
      </c>
      <c r="C76" s="50"/>
      <c r="D76" s="51"/>
      <c r="E76" s="51"/>
      <c r="F76" s="51"/>
      <c r="G76" s="51">
        <f t="shared" si="49"/>
        <v>0</v>
      </c>
      <c r="H76" s="51">
        <f t="shared" si="48"/>
        <v>0</v>
      </c>
      <c r="I76" s="51" t="s">
        <v>42</v>
      </c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</row>
    <row r="77" ht="15" customHeight="1" spans="1:41">
      <c r="A77" s="48"/>
      <c r="B77" s="49" t="s">
        <v>76</v>
      </c>
      <c r="C77" s="50" t="s">
        <v>77</v>
      </c>
      <c r="D77" s="51">
        <v>0</v>
      </c>
      <c r="E77" s="51">
        <v>0.1</v>
      </c>
      <c r="F77" s="51">
        <v>0</v>
      </c>
      <c r="G77" s="51">
        <f t="shared" si="49"/>
        <v>0.1</v>
      </c>
      <c r="H77" s="51">
        <f t="shared" si="48"/>
        <v>0</v>
      </c>
      <c r="I77" s="51" t="s">
        <v>42</v>
      </c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3" t="str">
        <f t="shared" ref="Z77:AO77" si="50">IF(J77="","",IF(J77&gt;($D77+$E77),(J77-$D77-$E77),IF(J77&lt;($D77+$F77),(J77-$D77-$F77),"√")))</f>
        <v/>
      </c>
      <c r="AA77" s="53" t="str">
        <f t="shared" si="50"/>
        <v/>
      </c>
      <c r="AB77" s="53" t="str">
        <f t="shared" si="50"/>
        <v/>
      </c>
      <c r="AC77" s="53" t="str">
        <f t="shared" si="50"/>
        <v/>
      </c>
      <c r="AD77" s="53" t="str">
        <f t="shared" si="50"/>
        <v/>
      </c>
      <c r="AE77" s="53" t="str">
        <f t="shared" si="50"/>
        <v/>
      </c>
      <c r="AF77" s="53" t="str">
        <f t="shared" si="50"/>
        <v/>
      </c>
      <c r="AG77" s="53" t="str">
        <f t="shared" si="50"/>
        <v/>
      </c>
      <c r="AH77" s="53" t="str">
        <f t="shared" si="50"/>
        <v/>
      </c>
      <c r="AI77" s="53" t="str">
        <f t="shared" si="50"/>
        <v/>
      </c>
      <c r="AJ77" s="53" t="str">
        <f t="shared" si="50"/>
        <v/>
      </c>
      <c r="AK77" s="53" t="str">
        <f t="shared" si="50"/>
        <v/>
      </c>
      <c r="AL77" s="53" t="str">
        <f t="shared" si="50"/>
        <v/>
      </c>
      <c r="AM77" s="53" t="str">
        <f t="shared" si="50"/>
        <v/>
      </c>
      <c r="AN77" s="53" t="str">
        <f t="shared" si="50"/>
        <v/>
      </c>
      <c r="AO77" s="53" t="str">
        <f t="shared" si="50"/>
        <v/>
      </c>
    </row>
    <row r="78" ht="15" customHeight="1" spans="1:41">
      <c r="A78" s="48"/>
      <c r="B78" s="49" t="s">
        <v>78</v>
      </c>
      <c r="C78" s="50" t="s">
        <v>79</v>
      </c>
      <c r="D78" s="51">
        <v>0</v>
      </c>
      <c r="E78" s="51">
        <v>0.08</v>
      </c>
      <c r="F78" s="51">
        <v>0</v>
      </c>
      <c r="G78" s="51">
        <f t="shared" si="49"/>
        <v>0.08</v>
      </c>
      <c r="H78" s="51">
        <f t="shared" si="48"/>
        <v>0</v>
      </c>
      <c r="I78" s="51" t="s">
        <v>42</v>
      </c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3" t="str">
        <f t="shared" ref="Z78:AO78" si="51">IF(J78="","",IF(J78&gt;($D78+$E78),(J78-$D78-$E78),IF(J78&lt;($D78+$F78),(J78-$D78-$F78),"√")))</f>
        <v/>
      </c>
      <c r="AA78" s="53" t="str">
        <f t="shared" si="51"/>
        <v/>
      </c>
      <c r="AB78" s="53" t="str">
        <f t="shared" si="51"/>
        <v/>
      </c>
      <c r="AC78" s="53" t="str">
        <f t="shared" si="51"/>
        <v/>
      </c>
      <c r="AD78" s="53" t="str">
        <f t="shared" si="51"/>
        <v/>
      </c>
      <c r="AE78" s="53" t="str">
        <f t="shared" si="51"/>
        <v/>
      </c>
      <c r="AF78" s="53" t="str">
        <f t="shared" si="51"/>
        <v/>
      </c>
      <c r="AG78" s="53" t="str">
        <f t="shared" si="51"/>
        <v/>
      </c>
      <c r="AH78" s="53" t="str">
        <f t="shared" si="51"/>
        <v/>
      </c>
      <c r="AI78" s="53" t="str">
        <f t="shared" si="51"/>
        <v/>
      </c>
      <c r="AJ78" s="53" t="str">
        <f t="shared" si="51"/>
        <v/>
      </c>
      <c r="AK78" s="53" t="str">
        <f t="shared" si="51"/>
        <v/>
      </c>
      <c r="AL78" s="53" t="str">
        <f t="shared" si="51"/>
        <v/>
      </c>
      <c r="AM78" s="53" t="str">
        <f t="shared" si="51"/>
        <v/>
      </c>
      <c r="AN78" s="53" t="str">
        <f t="shared" si="51"/>
        <v/>
      </c>
      <c r="AO78" s="53" t="str">
        <f t="shared" si="51"/>
        <v/>
      </c>
    </row>
    <row r="79" ht="15" customHeight="1" spans="1:41">
      <c r="A79" s="48"/>
      <c r="B79" s="49">
        <v>1</v>
      </c>
      <c r="C79" s="50"/>
      <c r="D79" s="51"/>
      <c r="E79" s="51"/>
      <c r="F79" s="51"/>
      <c r="G79" s="51">
        <f t="shared" si="49"/>
        <v>0</v>
      </c>
      <c r="H79" s="51">
        <f t="shared" si="48"/>
        <v>0</v>
      </c>
      <c r="I79" s="51" t="s">
        <v>42</v>
      </c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</row>
    <row r="80" ht="15" customHeight="1" spans="1:41">
      <c r="A80" s="48"/>
      <c r="B80" s="49">
        <v>2</v>
      </c>
      <c r="C80" s="50"/>
      <c r="D80" s="51"/>
      <c r="E80" s="51"/>
      <c r="F80" s="51"/>
      <c r="G80" s="51">
        <f t="shared" si="49"/>
        <v>0</v>
      </c>
      <c r="H80" s="51">
        <f t="shared" si="48"/>
        <v>0</v>
      </c>
      <c r="I80" s="51" t="s">
        <v>42</v>
      </c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</row>
    <row r="81" ht="15" customHeight="1" spans="1:41">
      <c r="A81" s="48"/>
      <c r="B81" s="49">
        <v>3</v>
      </c>
      <c r="C81" s="50"/>
      <c r="D81" s="51"/>
      <c r="E81" s="51"/>
      <c r="F81" s="51"/>
      <c r="G81" s="51">
        <f t="shared" si="49"/>
        <v>0</v>
      </c>
      <c r="H81" s="51">
        <f t="shared" si="48"/>
        <v>0</v>
      </c>
      <c r="I81" s="51" t="s">
        <v>42</v>
      </c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</row>
    <row r="82" ht="15" customHeight="1" spans="1:41">
      <c r="A82" s="48"/>
      <c r="B82" s="49">
        <v>4</v>
      </c>
      <c r="C82" s="50"/>
      <c r="D82" s="51"/>
      <c r="E82" s="51"/>
      <c r="F82" s="51"/>
      <c r="G82" s="51">
        <f t="shared" si="49"/>
        <v>0</v>
      </c>
      <c r="H82" s="51">
        <f t="shared" si="48"/>
        <v>0</v>
      </c>
      <c r="I82" s="51" t="s">
        <v>42</v>
      </c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</row>
    <row r="83" ht="15" customHeight="1" spans="1:41">
      <c r="A83" s="48"/>
      <c r="B83" s="49" t="s">
        <v>80</v>
      </c>
      <c r="C83" s="50" t="s">
        <v>81</v>
      </c>
      <c r="D83" s="51">
        <v>0</v>
      </c>
      <c r="E83" s="51">
        <v>0.08</v>
      </c>
      <c r="F83" s="51">
        <v>0</v>
      </c>
      <c r="G83" s="51">
        <f t="shared" si="49"/>
        <v>0.08</v>
      </c>
      <c r="H83" s="51">
        <f t="shared" si="48"/>
        <v>0</v>
      </c>
      <c r="I83" s="51" t="s">
        <v>42</v>
      </c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3" t="str">
        <f t="shared" ref="Z83:AO83" si="52">IF(J83="","",IF(J83&gt;($D83+$E83),(J83-$D83-$E83),IF(J83&lt;($D83+$F83),(J83-$D83-$F83),"√")))</f>
        <v/>
      </c>
      <c r="AA83" s="53" t="str">
        <f t="shared" si="52"/>
        <v/>
      </c>
      <c r="AB83" s="53" t="str">
        <f t="shared" si="52"/>
        <v/>
      </c>
      <c r="AC83" s="53" t="str">
        <f t="shared" si="52"/>
        <v/>
      </c>
      <c r="AD83" s="53" t="str">
        <f t="shared" si="52"/>
        <v/>
      </c>
      <c r="AE83" s="53" t="str">
        <f t="shared" si="52"/>
        <v/>
      </c>
      <c r="AF83" s="53" t="str">
        <f t="shared" si="52"/>
        <v/>
      </c>
      <c r="AG83" s="53" t="str">
        <f t="shared" si="52"/>
        <v/>
      </c>
      <c r="AH83" s="53" t="str">
        <f t="shared" si="52"/>
        <v/>
      </c>
      <c r="AI83" s="53" t="str">
        <f t="shared" si="52"/>
        <v/>
      </c>
      <c r="AJ83" s="53" t="str">
        <f t="shared" si="52"/>
        <v/>
      </c>
      <c r="AK83" s="53" t="str">
        <f t="shared" si="52"/>
        <v/>
      </c>
      <c r="AL83" s="53" t="str">
        <f t="shared" si="52"/>
        <v/>
      </c>
      <c r="AM83" s="53" t="str">
        <f t="shared" si="52"/>
        <v/>
      </c>
      <c r="AN83" s="53" t="str">
        <f t="shared" si="52"/>
        <v/>
      </c>
      <c r="AO83" s="53" t="str">
        <f t="shared" si="52"/>
        <v/>
      </c>
    </row>
    <row r="84" ht="15" customHeight="1" spans="1:41">
      <c r="A84" s="48"/>
      <c r="B84" s="49">
        <v>1</v>
      </c>
      <c r="C84" s="50"/>
      <c r="D84" s="51"/>
      <c r="E84" s="51"/>
      <c r="F84" s="51"/>
      <c r="G84" s="51">
        <f t="shared" si="49"/>
        <v>0</v>
      </c>
      <c r="H84" s="51">
        <f t="shared" si="48"/>
        <v>0</v>
      </c>
      <c r="I84" s="51" t="s">
        <v>42</v>
      </c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</row>
    <row r="85" ht="15" customHeight="1" spans="1:41">
      <c r="A85" s="48"/>
      <c r="B85" s="49">
        <v>2</v>
      </c>
      <c r="C85" s="50"/>
      <c r="D85" s="51"/>
      <c r="E85" s="51"/>
      <c r="F85" s="51"/>
      <c r="G85" s="51">
        <f t="shared" si="49"/>
        <v>0</v>
      </c>
      <c r="H85" s="51">
        <f t="shared" si="48"/>
        <v>0</v>
      </c>
      <c r="I85" s="51" t="s">
        <v>42</v>
      </c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</row>
    <row r="86" ht="15" customHeight="1" spans="1:41">
      <c r="A86" s="48"/>
      <c r="B86" s="49">
        <v>3</v>
      </c>
      <c r="C86" s="50"/>
      <c r="D86" s="51"/>
      <c r="E86" s="51"/>
      <c r="F86" s="51"/>
      <c r="G86" s="51">
        <f t="shared" si="49"/>
        <v>0</v>
      </c>
      <c r="H86" s="51">
        <f t="shared" si="48"/>
        <v>0</v>
      </c>
      <c r="I86" s="51" t="s">
        <v>42</v>
      </c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</row>
    <row r="87" ht="15" customHeight="1" spans="1:41">
      <c r="A87" s="48"/>
      <c r="B87" s="49">
        <v>4</v>
      </c>
      <c r="C87" s="50"/>
      <c r="D87" s="51"/>
      <c r="E87" s="51"/>
      <c r="F87" s="51"/>
      <c r="G87" s="51">
        <f t="shared" si="49"/>
        <v>0</v>
      </c>
      <c r="H87" s="51">
        <f t="shared" si="48"/>
        <v>0</v>
      </c>
      <c r="I87" s="51" t="s">
        <v>42</v>
      </c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</row>
    <row r="88" ht="15" customHeight="1" spans="1:41">
      <c r="A88" s="48"/>
      <c r="B88" s="49" t="s">
        <v>82</v>
      </c>
      <c r="C88" s="50"/>
      <c r="D88" s="51">
        <v>0</v>
      </c>
      <c r="E88" s="51">
        <v>0.08</v>
      </c>
      <c r="F88" s="51">
        <v>0</v>
      </c>
      <c r="G88" s="51">
        <f t="shared" si="49"/>
        <v>0.08</v>
      </c>
      <c r="H88" s="51">
        <f t="shared" si="48"/>
        <v>0</v>
      </c>
      <c r="I88" s="51" t="s">
        <v>42</v>
      </c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3" t="str">
        <f t="shared" ref="Z88:AO88" si="53">IF(J88="","",IF(J88&gt;($D88+$E88),(J88-$D88-$E88),IF(J88&lt;($D88+$F88),(J88-$D88-$F88),"√")))</f>
        <v/>
      </c>
      <c r="AA88" s="53" t="str">
        <f t="shared" si="53"/>
        <v/>
      </c>
      <c r="AB88" s="53" t="str">
        <f t="shared" si="53"/>
        <v/>
      </c>
      <c r="AC88" s="53" t="str">
        <f t="shared" si="53"/>
        <v/>
      </c>
      <c r="AD88" s="53" t="str">
        <f t="shared" si="53"/>
        <v/>
      </c>
      <c r="AE88" s="53" t="str">
        <f t="shared" si="53"/>
        <v/>
      </c>
      <c r="AF88" s="53" t="str">
        <f t="shared" si="53"/>
        <v/>
      </c>
      <c r="AG88" s="53" t="str">
        <f t="shared" si="53"/>
        <v/>
      </c>
      <c r="AH88" s="53" t="str">
        <f t="shared" si="53"/>
        <v/>
      </c>
      <c r="AI88" s="53" t="str">
        <f t="shared" si="53"/>
        <v/>
      </c>
      <c r="AJ88" s="53" t="str">
        <f t="shared" si="53"/>
        <v/>
      </c>
      <c r="AK88" s="53" t="str">
        <f t="shared" si="53"/>
        <v/>
      </c>
      <c r="AL88" s="53" t="str">
        <f t="shared" si="53"/>
        <v/>
      </c>
      <c r="AM88" s="53" t="str">
        <f t="shared" si="53"/>
        <v/>
      </c>
      <c r="AN88" s="53" t="str">
        <f t="shared" si="53"/>
        <v/>
      </c>
      <c r="AO88" s="53" t="str">
        <f t="shared" si="53"/>
        <v/>
      </c>
    </row>
    <row r="89" ht="15" customHeight="1" spans="1:41">
      <c r="A89" s="48"/>
      <c r="B89" s="49">
        <v>1</v>
      </c>
      <c r="C89" s="50"/>
      <c r="D89" s="51"/>
      <c r="E89" s="51"/>
      <c r="F89" s="51"/>
      <c r="G89" s="51">
        <f t="shared" si="49"/>
        <v>0</v>
      </c>
      <c r="H89" s="51">
        <f t="shared" si="48"/>
        <v>0</v>
      </c>
      <c r="I89" s="51" t="s">
        <v>42</v>
      </c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</row>
    <row r="90" ht="15" customHeight="1" spans="1:41">
      <c r="A90" s="48"/>
      <c r="B90" s="49">
        <v>2</v>
      </c>
      <c r="C90" s="50"/>
      <c r="D90" s="51"/>
      <c r="E90" s="51"/>
      <c r="F90" s="51"/>
      <c r="G90" s="51">
        <f t="shared" si="49"/>
        <v>0</v>
      </c>
      <c r="H90" s="51">
        <f t="shared" si="48"/>
        <v>0</v>
      </c>
      <c r="I90" s="51" t="s">
        <v>42</v>
      </c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</row>
    <row r="91" ht="15" customHeight="1" spans="1:41">
      <c r="A91" s="48"/>
      <c r="B91" s="49">
        <v>3</v>
      </c>
      <c r="C91" s="50"/>
      <c r="D91" s="51"/>
      <c r="E91" s="51"/>
      <c r="F91" s="51"/>
      <c r="G91" s="51">
        <f t="shared" si="49"/>
        <v>0</v>
      </c>
      <c r="H91" s="51">
        <f t="shared" si="48"/>
        <v>0</v>
      </c>
      <c r="I91" s="51" t="s">
        <v>42</v>
      </c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</row>
    <row r="92" ht="15" customHeight="1" spans="1:41">
      <c r="A92" s="48"/>
      <c r="B92" s="49">
        <v>4</v>
      </c>
      <c r="C92" s="50"/>
      <c r="D92" s="51"/>
      <c r="E92" s="51"/>
      <c r="F92" s="51"/>
      <c r="G92" s="51">
        <f t="shared" si="49"/>
        <v>0</v>
      </c>
      <c r="H92" s="51">
        <f t="shared" si="48"/>
        <v>0</v>
      </c>
      <c r="I92" s="51" t="s">
        <v>42</v>
      </c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</row>
    <row r="93" ht="15" customHeight="1" spans="1:41">
      <c r="A93" s="48"/>
      <c r="B93" s="49" t="s">
        <v>83</v>
      </c>
      <c r="C93" s="50" t="s">
        <v>84</v>
      </c>
      <c r="D93" s="51">
        <v>0</v>
      </c>
      <c r="E93" s="51">
        <v>0.08</v>
      </c>
      <c r="F93" s="51">
        <v>0</v>
      </c>
      <c r="G93" s="51">
        <f t="shared" si="49"/>
        <v>0.08</v>
      </c>
      <c r="H93" s="51">
        <f t="shared" si="48"/>
        <v>0</v>
      </c>
      <c r="I93" s="51" t="s">
        <v>42</v>
      </c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3" t="str">
        <f t="shared" ref="Z93:AO93" si="54">IF(J93="","",IF(J93&gt;($D93+$E93),(J93-$D93-$E93),IF(J93&lt;($D93+$F93),(J93-$D93-$F93),"√")))</f>
        <v/>
      </c>
      <c r="AA93" s="53" t="str">
        <f t="shared" si="54"/>
        <v/>
      </c>
      <c r="AB93" s="53" t="str">
        <f t="shared" si="54"/>
        <v/>
      </c>
      <c r="AC93" s="53" t="str">
        <f t="shared" si="54"/>
        <v/>
      </c>
      <c r="AD93" s="53" t="str">
        <f t="shared" si="54"/>
        <v/>
      </c>
      <c r="AE93" s="53" t="str">
        <f t="shared" si="54"/>
        <v/>
      </c>
      <c r="AF93" s="53" t="str">
        <f t="shared" si="54"/>
        <v/>
      </c>
      <c r="AG93" s="53" t="str">
        <f t="shared" si="54"/>
        <v/>
      </c>
      <c r="AH93" s="53" t="str">
        <f t="shared" si="54"/>
        <v/>
      </c>
      <c r="AI93" s="53" t="str">
        <f t="shared" si="54"/>
        <v/>
      </c>
      <c r="AJ93" s="53" t="str">
        <f t="shared" si="54"/>
        <v/>
      </c>
      <c r="AK93" s="53" t="str">
        <f t="shared" si="54"/>
        <v/>
      </c>
      <c r="AL93" s="53" t="str">
        <f t="shared" si="54"/>
        <v/>
      </c>
      <c r="AM93" s="53" t="str">
        <f t="shared" si="54"/>
        <v/>
      </c>
      <c r="AN93" s="53" t="str">
        <f t="shared" si="54"/>
        <v/>
      </c>
      <c r="AO93" s="53" t="str">
        <f t="shared" si="54"/>
        <v/>
      </c>
    </row>
    <row r="94" ht="15" customHeight="1" spans="1:41">
      <c r="A94" s="48"/>
      <c r="B94" s="49">
        <v>1</v>
      </c>
      <c r="C94" s="50"/>
      <c r="D94" s="51"/>
      <c r="E94" s="51"/>
      <c r="F94" s="51"/>
      <c r="G94" s="51">
        <f t="shared" si="49"/>
        <v>0</v>
      </c>
      <c r="H94" s="51">
        <f t="shared" si="48"/>
        <v>0</v>
      </c>
      <c r="I94" s="51" t="s">
        <v>42</v>
      </c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</row>
    <row r="95" ht="15" customHeight="1" spans="1:41">
      <c r="A95" s="48"/>
      <c r="B95" s="49">
        <v>2</v>
      </c>
      <c r="C95" s="50"/>
      <c r="D95" s="51"/>
      <c r="E95" s="51"/>
      <c r="F95" s="51"/>
      <c r="G95" s="51">
        <f t="shared" si="49"/>
        <v>0</v>
      </c>
      <c r="H95" s="51">
        <f t="shared" si="48"/>
        <v>0</v>
      </c>
      <c r="I95" s="51" t="s">
        <v>42</v>
      </c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</row>
    <row r="96" ht="15" customHeight="1" spans="1:41">
      <c r="A96" s="48"/>
      <c r="B96" s="49">
        <v>3</v>
      </c>
      <c r="C96" s="50"/>
      <c r="D96" s="51"/>
      <c r="E96" s="51"/>
      <c r="F96" s="51"/>
      <c r="G96" s="51">
        <f t="shared" si="49"/>
        <v>0</v>
      </c>
      <c r="H96" s="51">
        <f t="shared" si="48"/>
        <v>0</v>
      </c>
      <c r="I96" s="51" t="s">
        <v>42</v>
      </c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</row>
    <row r="97" ht="15" customHeight="1" spans="1:41">
      <c r="A97" s="48"/>
      <c r="B97" s="49">
        <v>4</v>
      </c>
      <c r="C97" s="50"/>
      <c r="D97" s="51"/>
      <c r="E97" s="51"/>
      <c r="F97" s="51"/>
      <c r="G97" s="51">
        <f t="shared" si="49"/>
        <v>0</v>
      </c>
      <c r="H97" s="51">
        <f t="shared" si="48"/>
        <v>0</v>
      </c>
      <c r="I97" s="51" t="s">
        <v>42</v>
      </c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</row>
    <row r="98" ht="15" customHeight="1" spans="1:41">
      <c r="A98" s="48"/>
      <c r="B98" s="49" t="s">
        <v>85</v>
      </c>
      <c r="C98" s="50"/>
      <c r="D98" s="51">
        <v>0</v>
      </c>
      <c r="E98" s="51">
        <v>0.05</v>
      </c>
      <c r="F98" s="51">
        <v>0</v>
      </c>
      <c r="G98" s="51">
        <f t="shared" si="49"/>
        <v>0.05</v>
      </c>
      <c r="H98" s="51">
        <f t="shared" si="48"/>
        <v>0</v>
      </c>
      <c r="I98" s="51" t="s">
        <v>42</v>
      </c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 t="str">
        <f t="shared" ref="Z98:AO98" si="55">IF(J98="","",IF(J98&gt;($D98+$E98),(J98-$D98-$E98),IF(J98&lt;($D98+$F98),(J98-$D98-$F98),"√")))</f>
        <v/>
      </c>
      <c r="AA98" s="53" t="str">
        <f t="shared" si="55"/>
        <v/>
      </c>
      <c r="AB98" s="53" t="str">
        <f t="shared" si="55"/>
        <v/>
      </c>
      <c r="AC98" s="53" t="str">
        <f t="shared" si="55"/>
        <v/>
      </c>
      <c r="AD98" s="53" t="str">
        <f t="shared" si="55"/>
        <v/>
      </c>
      <c r="AE98" s="53" t="str">
        <f t="shared" si="55"/>
        <v/>
      </c>
      <c r="AF98" s="53" t="str">
        <f t="shared" si="55"/>
        <v/>
      </c>
      <c r="AG98" s="53" t="str">
        <f t="shared" si="55"/>
        <v/>
      </c>
      <c r="AH98" s="53" t="str">
        <f t="shared" si="55"/>
        <v/>
      </c>
      <c r="AI98" s="53" t="str">
        <f t="shared" si="55"/>
        <v/>
      </c>
      <c r="AJ98" s="53" t="str">
        <f t="shared" si="55"/>
        <v/>
      </c>
      <c r="AK98" s="53" t="str">
        <f t="shared" si="55"/>
        <v/>
      </c>
      <c r="AL98" s="53" t="str">
        <f t="shared" si="55"/>
        <v/>
      </c>
      <c r="AM98" s="53" t="str">
        <f t="shared" si="55"/>
        <v/>
      </c>
      <c r="AN98" s="53" t="str">
        <f t="shared" si="55"/>
        <v/>
      </c>
      <c r="AO98" s="53" t="str">
        <f t="shared" si="55"/>
        <v/>
      </c>
    </row>
    <row r="99" ht="15" customHeight="1" spans="1:41">
      <c r="A99" s="48"/>
      <c r="B99" s="49" t="s">
        <v>86</v>
      </c>
      <c r="C99" s="50"/>
      <c r="D99" s="51"/>
      <c r="E99" s="51"/>
      <c r="F99" s="51"/>
      <c r="G99" s="51">
        <f t="shared" si="49"/>
        <v>0</v>
      </c>
      <c r="H99" s="51">
        <f t="shared" si="48"/>
        <v>0</v>
      </c>
      <c r="I99" s="51" t="s">
        <v>42</v>
      </c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</row>
    <row r="100" ht="15" customHeight="1" spans="1:41">
      <c r="A100" s="48"/>
      <c r="B100" s="49" t="s">
        <v>87</v>
      </c>
      <c r="C100" s="50"/>
      <c r="D100" s="51"/>
      <c r="E100" s="51"/>
      <c r="F100" s="51"/>
      <c r="G100" s="51">
        <f t="shared" si="49"/>
        <v>0</v>
      </c>
      <c r="H100" s="51">
        <f t="shared" si="48"/>
        <v>0</v>
      </c>
      <c r="I100" s="51" t="s">
        <v>42</v>
      </c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</row>
    <row r="101" ht="15" customHeight="1" spans="1:41">
      <c r="A101" s="48"/>
      <c r="B101" s="49" t="s">
        <v>88</v>
      </c>
      <c r="C101" s="50"/>
      <c r="D101" s="51">
        <v>0</v>
      </c>
      <c r="E101" s="51">
        <v>0.04</v>
      </c>
      <c r="F101" s="51">
        <v>0</v>
      </c>
      <c r="G101" s="51">
        <f t="shared" si="49"/>
        <v>0.04</v>
      </c>
      <c r="H101" s="51">
        <f t="shared" si="48"/>
        <v>0</v>
      </c>
      <c r="I101" s="51" t="s">
        <v>42</v>
      </c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3" t="str">
        <f t="shared" ref="Z101:AO101" si="56">IF(J101="","",IF(J101&gt;($D101+$E101),(J101-$D101-$E101),IF(J101&lt;($D101+$F101),(J101-$D101-$F101),"√")))</f>
        <v/>
      </c>
      <c r="AA101" s="53" t="str">
        <f t="shared" si="56"/>
        <v/>
      </c>
      <c r="AB101" s="53" t="str">
        <f t="shared" si="56"/>
        <v/>
      </c>
      <c r="AC101" s="53" t="str">
        <f t="shared" si="56"/>
        <v/>
      </c>
      <c r="AD101" s="53" t="str">
        <f t="shared" si="56"/>
        <v/>
      </c>
      <c r="AE101" s="53" t="str">
        <f t="shared" si="56"/>
        <v/>
      </c>
      <c r="AF101" s="53" t="str">
        <f t="shared" si="56"/>
        <v/>
      </c>
      <c r="AG101" s="53" t="str">
        <f t="shared" si="56"/>
        <v/>
      </c>
      <c r="AH101" s="53" t="str">
        <f t="shared" si="56"/>
        <v/>
      </c>
      <c r="AI101" s="53" t="str">
        <f t="shared" si="56"/>
        <v/>
      </c>
      <c r="AJ101" s="53" t="str">
        <f t="shared" si="56"/>
        <v/>
      </c>
      <c r="AK101" s="53" t="str">
        <f t="shared" si="56"/>
        <v/>
      </c>
      <c r="AL101" s="53" t="str">
        <f t="shared" si="56"/>
        <v/>
      </c>
      <c r="AM101" s="53" t="str">
        <f t="shared" si="56"/>
        <v/>
      </c>
      <c r="AN101" s="53" t="str">
        <f t="shared" si="56"/>
        <v/>
      </c>
      <c r="AO101" s="53" t="str">
        <f t="shared" si="56"/>
        <v/>
      </c>
    </row>
    <row r="102" ht="15" customHeight="1" spans="1:41">
      <c r="A102" s="48"/>
      <c r="B102" s="49">
        <v>1</v>
      </c>
      <c r="C102" s="50"/>
      <c r="D102" s="51"/>
      <c r="E102" s="51"/>
      <c r="F102" s="51"/>
      <c r="G102" s="51">
        <f t="shared" si="49"/>
        <v>0</v>
      </c>
      <c r="H102" s="51">
        <f t="shared" si="48"/>
        <v>0</v>
      </c>
      <c r="I102" s="51" t="s">
        <v>42</v>
      </c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</row>
    <row r="103" ht="15" customHeight="1" spans="1:41">
      <c r="A103" s="48"/>
      <c r="B103" s="49">
        <v>2</v>
      </c>
      <c r="C103" s="50"/>
      <c r="D103" s="51"/>
      <c r="E103" s="51"/>
      <c r="F103" s="51"/>
      <c r="G103" s="51">
        <f t="shared" si="49"/>
        <v>0</v>
      </c>
      <c r="H103" s="51">
        <f t="shared" si="48"/>
        <v>0</v>
      </c>
      <c r="I103" s="51" t="s">
        <v>42</v>
      </c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</row>
    <row r="104" ht="15" customHeight="1" spans="1:41">
      <c r="A104" s="48"/>
      <c r="B104" s="49" t="s">
        <v>89</v>
      </c>
      <c r="C104" s="50"/>
      <c r="D104" s="51">
        <v>0</v>
      </c>
      <c r="E104" s="51">
        <v>0.04</v>
      </c>
      <c r="F104" s="51">
        <v>0</v>
      </c>
      <c r="G104" s="51">
        <f t="shared" si="49"/>
        <v>0.04</v>
      </c>
      <c r="H104" s="51">
        <f t="shared" si="48"/>
        <v>0</v>
      </c>
      <c r="I104" s="51" t="s">
        <v>42</v>
      </c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3" t="str">
        <f t="shared" ref="Z104:AO104" si="57">IF(J104="","",IF(J104&gt;($D104+$E104),(J104-$D104-$E104),IF(J104&lt;($D104+$F104),(J104-$D104-$F104),"√")))</f>
        <v/>
      </c>
      <c r="AA104" s="53" t="str">
        <f t="shared" si="57"/>
        <v/>
      </c>
      <c r="AB104" s="53" t="str">
        <f t="shared" si="57"/>
        <v/>
      </c>
      <c r="AC104" s="53" t="str">
        <f t="shared" si="57"/>
        <v/>
      </c>
      <c r="AD104" s="53" t="str">
        <f t="shared" si="57"/>
        <v/>
      </c>
      <c r="AE104" s="53" t="str">
        <f t="shared" si="57"/>
        <v/>
      </c>
      <c r="AF104" s="53" t="str">
        <f t="shared" si="57"/>
        <v/>
      </c>
      <c r="AG104" s="53" t="str">
        <f t="shared" si="57"/>
        <v/>
      </c>
      <c r="AH104" s="53" t="str">
        <f t="shared" si="57"/>
        <v/>
      </c>
      <c r="AI104" s="53" t="str">
        <f t="shared" si="57"/>
        <v/>
      </c>
      <c r="AJ104" s="53" t="str">
        <f t="shared" si="57"/>
        <v/>
      </c>
      <c r="AK104" s="53" t="str">
        <f t="shared" si="57"/>
        <v/>
      </c>
      <c r="AL104" s="53" t="str">
        <f t="shared" si="57"/>
        <v/>
      </c>
      <c r="AM104" s="53" t="str">
        <f t="shared" si="57"/>
        <v/>
      </c>
      <c r="AN104" s="53" t="str">
        <f t="shared" si="57"/>
        <v/>
      </c>
      <c r="AO104" s="53" t="str">
        <f t="shared" si="57"/>
        <v/>
      </c>
    </row>
    <row r="105" ht="15" customHeight="1" spans="1:41">
      <c r="A105" s="48"/>
      <c r="B105" s="49">
        <v>1</v>
      </c>
      <c r="C105" s="50"/>
      <c r="D105" s="51"/>
      <c r="E105" s="51"/>
      <c r="F105" s="51"/>
      <c r="G105" s="51">
        <f t="shared" si="49"/>
        <v>0</v>
      </c>
      <c r="H105" s="51">
        <f t="shared" si="48"/>
        <v>0</v>
      </c>
      <c r="I105" s="51" t="s">
        <v>42</v>
      </c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</row>
    <row r="106" ht="15" customHeight="1" spans="1:41">
      <c r="A106" s="48"/>
      <c r="B106" s="49">
        <v>2</v>
      </c>
      <c r="C106" s="50"/>
      <c r="D106" s="51"/>
      <c r="E106" s="51"/>
      <c r="F106" s="51"/>
      <c r="G106" s="51">
        <f t="shared" si="49"/>
        <v>0</v>
      </c>
      <c r="H106" s="51">
        <f t="shared" si="48"/>
        <v>0</v>
      </c>
      <c r="I106" s="51" t="s">
        <v>42</v>
      </c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</row>
    <row r="107" ht="15" customHeight="1" spans="1:41">
      <c r="A107" s="48"/>
      <c r="B107" s="49">
        <v>3</v>
      </c>
      <c r="C107" s="50"/>
      <c r="D107" s="51"/>
      <c r="E107" s="51"/>
      <c r="F107" s="51"/>
      <c r="G107" s="51">
        <f t="shared" si="49"/>
        <v>0</v>
      </c>
      <c r="H107" s="51">
        <f t="shared" si="48"/>
        <v>0</v>
      </c>
      <c r="I107" s="51" t="s">
        <v>42</v>
      </c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</row>
    <row r="108" ht="15" customHeight="1" spans="1:41">
      <c r="A108" s="48"/>
      <c r="B108" s="49">
        <v>4</v>
      </c>
      <c r="C108" s="50"/>
      <c r="D108" s="51"/>
      <c r="E108" s="51"/>
      <c r="F108" s="51"/>
      <c r="G108" s="51">
        <f t="shared" si="49"/>
        <v>0</v>
      </c>
      <c r="H108" s="51">
        <f t="shared" si="48"/>
        <v>0</v>
      </c>
      <c r="I108" s="51" t="s">
        <v>42</v>
      </c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</row>
    <row r="109" ht="15" customHeight="1" spans="1:41">
      <c r="A109" s="48"/>
      <c r="B109" s="49" t="s">
        <v>90</v>
      </c>
      <c r="C109" s="50" t="s">
        <v>91</v>
      </c>
      <c r="D109" s="51">
        <v>0</v>
      </c>
      <c r="E109" s="51">
        <v>0.05</v>
      </c>
      <c r="F109" s="51">
        <v>0</v>
      </c>
      <c r="G109" s="51">
        <f t="shared" si="49"/>
        <v>0.05</v>
      </c>
      <c r="H109" s="51">
        <f t="shared" si="48"/>
        <v>0</v>
      </c>
      <c r="I109" s="51" t="s">
        <v>42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3" t="str">
        <f t="shared" ref="Z109:AO109" si="58">IF(J109="","",IF(J109&gt;($D109+$E109),(J109-$D109-$E109),IF(J109&lt;($D109+$F109),(J109-$D109-$F109),"√")))</f>
        <v/>
      </c>
      <c r="AA109" s="53" t="str">
        <f t="shared" si="58"/>
        <v/>
      </c>
      <c r="AB109" s="53" t="str">
        <f t="shared" si="58"/>
        <v/>
      </c>
      <c r="AC109" s="53" t="str">
        <f t="shared" si="58"/>
        <v/>
      </c>
      <c r="AD109" s="53" t="str">
        <f t="shared" si="58"/>
        <v/>
      </c>
      <c r="AE109" s="53" t="str">
        <f t="shared" si="58"/>
        <v/>
      </c>
      <c r="AF109" s="53" t="str">
        <f t="shared" si="58"/>
        <v/>
      </c>
      <c r="AG109" s="53" t="str">
        <f t="shared" si="58"/>
        <v/>
      </c>
      <c r="AH109" s="53" t="str">
        <f t="shared" si="58"/>
        <v/>
      </c>
      <c r="AI109" s="53" t="str">
        <f t="shared" si="58"/>
        <v/>
      </c>
      <c r="AJ109" s="53" t="str">
        <f t="shared" si="58"/>
        <v/>
      </c>
      <c r="AK109" s="53" t="str">
        <f t="shared" si="58"/>
        <v/>
      </c>
      <c r="AL109" s="53" t="str">
        <f t="shared" si="58"/>
        <v/>
      </c>
      <c r="AM109" s="53" t="str">
        <f t="shared" si="58"/>
        <v/>
      </c>
      <c r="AN109" s="53" t="str">
        <f t="shared" si="58"/>
        <v/>
      </c>
      <c r="AO109" s="53" t="str">
        <f t="shared" si="58"/>
        <v/>
      </c>
    </row>
    <row r="110" ht="15" customHeight="1" spans="1:41">
      <c r="A110" s="48"/>
      <c r="B110" s="49">
        <v>1</v>
      </c>
      <c r="C110" s="50"/>
      <c r="D110" s="51"/>
      <c r="E110" s="51"/>
      <c r="F110" s="51"/>
      <c r="G110" s="51">
        <f t="shared" si="49"/>
        <v>0</v>
      </c>
      <c r="H110" s="51">
        <f t="shared" si="48"/>
        <v>0</v>
      </c>
      <c r="I110" s="51" t="s">
        <v>42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</row>
    <row r="111" ht="15" customHeight="1" spans="1:41">
      <c r="A111" s="48"/>
      <c r="B111" s="49">
        <v>2</v>
      </c>
      <c r="C111" s="50"/>
      <c r="D111" s="51"/>
      <c r="E111" s="51"/>
      <c r="F111" s="51"/>
      <c r="G111" s="51">
        <f t="shared" si="49"/>
        <v>0</v>
      </c>
      <c r="H111" s="51">
        <f t="shared" si="48"/>
        <v>0</v>
      </c>
      <c r="I111" s="51" t="s">
        <v>42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</row>
    <row r="112" ht="15" customHeight="1" spans="1:41">
      <c r="A112" s="48"/>
      <c r="B112" s="49">
        <v>3</v>
      </c>
      <c r="C112" s="50"/>
      <c r="D112" s="51"/>
      <c r="E112" s="51"/>
      <c r="F112" s="51"/>
      <c r="G112" s="51">
        <f t="shared" si="49"/>
        <v>0</v>
      </c>
      <c r="H112" s="51">
        <f t="shared" si="48"/>
        <v>0</v>
      </c>
      <c r="I112" s="51" t="s">
        <v>42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</row>
    <row r="113" ht="15" customHeight="1" spans="1:41">
      <c r="A113" s="48"/>
      <c r="B113" s="49">
        <v>4</v>
      </c>
      <c r="C113" s="50"/>
      <c r="D113" s="51"/>
      <c r="E113" s="51"/>
      <c r="F113" s="51"/>
      <c r="G113" s="51">
        <f t="shared" si="49"/>
        <v>0</v>
      </c>
      <c r="H113" s="51">
        <f t="shared" si="48"/>
        <v>0</v>
      </c>
      <c r="I113" s="51" t="s">
        <v>42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</row>
    <row r="114" ht="15" customHeight="1" spans="1:41">
      <c r="A114" s="48"/>
      <c r="B114" s="49">
        <v>5</v>
      </c>
      <c r="C114" s="50"/>
      <c r="D114" s="51"/>
      <c r="E114" s="51"/>
      <c r="F114" s="51"/>
      <c r="G114" s="51">
        <f t="shared" si="49"/>
        <v>0</v>
      </c>
      <c r="H114" s="51">
        <f t="shared" si="48"/>
        <v>0</v>
      </c>
      <c r="I114" s="51" t="s">
        <v>42</v>
      </c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</row>
    <row r="115" ht="15" customHeight="1" spans="1:41">
      <c r="A115" s="48"/>
      <c r="B115" s="49">
        <v>6</v>
      </c>
      <c r="C115" s="50"/>
      <c r="D115" s="51"/>
      <c r="E115" s="51"/>
      <c r="F115" s="51"/>
      <c r="G115" s="51">
        <f t="shared" si="49"/>
        <v>0</v>
      </c>
      <c r="H115" s="51">
        <f t="shared" si="48"/>
        <v>0</v>
      </c>
      <c r="I115" s="51" t="s">
        <v>42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</row>
    <row r="116" ht="15" customHeight="1" spans="1:41">
      <c r="A116" s="48"/>
      <c r="B116" s="49" t="s">
        <v>92</v>
      </c>
      <c r="C116" s="50" t="s">
        <v>93</v>
      </c>
      <c r="D116" s="51">
        <v>0.915</v>
      </c>
      <c r="E116" s="51">
        <v>0.015</v>
      </c>
      <c r="F116" s="51">
        <v>-0.01</v>
      </c>
      <c r="G116" s="51">
        <f t="shared" si="49"/>
        <v>0.93</v>
      </c>
      <c r="H116" s="51">
        <f t="shared" si="48"/>
        <v>0.905</v>
      </c>
      <c r="I116" s="51" t="s">
        <v>94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3" t="str">
        <f t="shared" ref="Z116:AO116" si="59">IF(J116="","",IF(J116&gt;($D116+$E116),(J116-$D116-$E116),IF(J116&lt;($D116+$F116),(J116-$D116-$F116),"√")))</f>
        <v/>
      </c>
      <c r="AA116" s="53" t="str">
        <f t="shared" si="59"/>
        <v/>
      </c>
      <c r="AB116" s="53" t="str">
        <f t="shared" si="59"/>
        <v/>
      </c>
      <c r="AC116" s="53" t="str">
        <f t="shared" si="59"/>
        <v/>
      </c>
      <c r="AD116" s="53" t="str">
        <f t="shared" si="59"/>
        <v/>
      </c>
      <c r="AE116" s="53" t="str">
        <f t="shared" si="59"/>
        <v/>
      </c>
      <c r="AF116" s="53" t="str">
        <f t="shared" si="59"/>
        <v/>
      </c>
      <c r="AG116" s="53" t="str">
        <f t="shared" si="59"/>
        <v/>
      </c>
      <c r="AH116" s="53" t="str">
        <f t="shared" si="59"/>
        <v/>
      </c>
      <c r="AI116" s="53" t="str">
        <f t="shared" si="59"/>
        <v/>
      </c>
      <c r="AJ116" s="53" t="str">
        <f t="shared" si="59"/>
        <v/>
      </c>
      <c r="AK116" s="53" t="str">
        <f t="shared" si="59"/>
        <v/>
      </c>
      <c r="AL116" s="53" t="str">
        <f t="shared" si="59"/>
        <v/>
      </c>
      <c r="AM116" s="53" t="str">
        <f t="shared" si="59"/>
        <v/>
      </c>
      <c r="AN116" s="53" t="str">
        <f t="shared" si="59"/>
        <v/>
      </c>
      <c r="AO116" s="53" t="str">
        <f t="shared" si="59"/>
        <v/>
      </c>
    </row>
    <row r="117" ht="15" customHeight="1" spans="1:41">
      <c r="A117" s="48"/>
      <c r="B117" s="49" t="s">
        <v>95</v>
      </c>
      <c r="C117" s="50"/>
      <c r="D117" s="51">
        <v>0.65</v>
      </c>
      <c r="E117" s="51">
        <v>0.03</v>
      </c>
      <c r="F117" s="51">
        <v>-0.03</v>
      </c>
      <c r="G117" s="51">
        <f t="shared" si="49"/>
        <v>0.68</v>
      </c>
      <c r="H117" s="51">
        <f t="shared" si="48"/>
        <v>0.62</v>
      </c>
      <c r="I117" s="51" t="s">
        <v>96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3" t="str">
        <f t="shared" ref="Z117:AO117" si="60">IF(J117="","",IF(J117&gt;($D117+$E117),(J117-$D117-$E117),IF(J117&lt;($D117+$F117),(J117-$D117-$F117),"√")))</f>
        <v/>
      </c>
      <c r="AA117" s="53" t="str">
        <f t="shared" si="60"/>
        <v/>
      </c>
      <c r="AB117" s="53" t="str">
        <f t="shared" si="60"/>
        <v/>
      </c>
      <c r="AC117" s="53" t="str">
        <f t="shared" si="60"/>
        <v/>
      </c>
      <c r="AD117" s="53" t="str">
        <f t="shared" si="60"/>
        <v/>
      </c>
      <c r="AE117" s="53" t="str">
        <f t="shared" si="60"/>
        <v/>
      </c>
      <c r="AF117" s="53" t="str">
        <f t="shared" si="60"/>
        <v/>
      </c>
      <c r="AG117" s="53" t="str">
        <f t="shared" si="60"/>
        <v/>
      </c>
      <c r="AH117" s="53" t="str">
        <f t="shared" si="60"/>
        <v/>
      </c>
      <c r="AI117" s="53" t="str">
        <f t="shared" si="60"/>
        <v/>
      </c>
      <c r="AJ117" s="53" t="str">
        <f t="shared" si="60"/>
        <v/>
      </c>
      <c r="AK117" s="53" t="str">
        <f t="shared" si="60"/>
        <v/>
      </c>
      <c r="AL117" s="53" t="str">
        <f t="shared" si="60"/>
        <v/>
      </c>
      <c r="AM117" s="53" t="str">
        <f t="shared" si="60"/>
        <v/>
      </c>
      <c r="AN117" s="53" t="str">
        <f t="shared" si="60"/>
        <v/>
      </c>
      <c r="AO117" s="53" t="str">
        <f t="shared" si="60"/>
        <v/>
      </c>
    </row>
    <row r="118" ht="15" customHeight="1" spans="1:41">
      <c r="A118" s="48"/>
      <c r="B118" s="49" t="s">
        <v>97</v>
      </c>
      <c r="C118" s="50" t="s">
        <v>98</v>
      </c>
      <c r="D118" s="51">
        <v>0.65</v>
      </c>
      <c r="E118" s="51">
        <v>0.05</v>
      </c>
      <c r="F118" s="51">
        <v>-0.05</v>
      </c>
      <c r="G118" s="51">
        <f t="shared" si="49"/>
        <v>0.7</v>
      </c>
      <c r="H118" s="51">
        <f t="shared" si="48"/>
        <v>0.6</v>
      </c>
      <c r="I118" s="51" t="s">
        <v>96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3" t="str">
        <f t="shared" ref="Z118:AO118" si="61">IF(J118="","",IF(J118&gt;($D118+$E118),(J118-$D118-$E118),IF(J118&lt;($D118+$F118),(J118-$D118-$F118),"√")))</f>
        <v/>
      </c>
      <c r="AA118" s="53" t="str">
        <f t="shared" si="61"/>
        <v/>
      </c>
      <c r="AB118" s="53" t="str">
        <f t="shared" si="61"/>
        <v/>
      </c>
      <c r="AC118" s="53" t="str">
        <f t="shared" si="61"/>
        <v/>
      </c>
      <c r="AD118" s="53" t="str">
        <f t="shared" si="61"/>
        <v/>
      </c>
      <c r="AE118" s="53" t="str">
        <f t="shared" si="61"/>
        <v/>
      </c>
      <c r="AF118" s="53" t="str">
        <f t="shared" si="61"/>
        <v/>
      </c>
      <c r="AG118" s="53" t="str">
        <f t="shared" si="61"/>
        <v/>
      </c>
      <c r="AH118" s="53" t="str">
        <f t="shared" si="61"/>
        <v/>
      </c>
      <c r="AI118" s="53" t="str">
        <f t="shared" si="61"/>
        <v/>
      </c>
      <c r="AJ118" s="53" t="str">
        <f t="shared" si="61"/>
        <v/>
      </c>
      <c r="AK118" s="53" t="str">
        <f t="shared" si="61"/>
        <v/>
      </c>
      <c r="AL118" s="53" t="str">
        <f t="shared" si="61"/>
        <v/>
      </c>
      <c r="AM118" s="53" t="str">
        <f t="shared" si="61"/>
        <v/>
      </c>
      <c r="AN118" s="53" t="str">
        <f t="shared" si="61"/>
        <v/>
      </c>
      <c r="AO118" s="53" t="str">
        <f t="shared" si="61"/>
        <v/>
      </c>
    </row>
    <row r="119" ht="15" customHeight="1" spans="1:41">
      <c r="A119" s="48"/>
      <c r="B119" s="49" t="s">
        <v>99</v>
      </c>
      <c r="C119" s="50" t="s">
        <v>98</v>
      </c>
      <c r="D119" s="51">
        <v>0.65</v>
      </c>
      <c r="E119" s="51">
        <v>0.05</v>
      </c>
      <c r="F119" s="51">
        <v>-0.05</v>
      </c>
      <c r="G119" s="51">
        <f t="shared" si="49"/>
        <v>0.7</v>
      </c>
      <c r="H119" s="51">
        <f t="shared" si="48"/>
        <v>0.6</v>
      </c>
      <c r="I119" s="51" t="s">
        <v>96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3" t="str">
        <f t="shared" ref="Z119:AO119" si="62">IF(J119="","",IF(J119&gt;($D119+$E119),(J119-$D119-$E119),IF(J119&lt;($D119+$F119),(J119-$D119-$F119),"√")))</f>
        <v/>
      </c>
      <c r="AA119" s="53" t="str">
        <f t="shared" si="62"/>
        <v/>
      </c>
      <c r="AB119" s="53" t="str">
        <f t="shared" si="62"/>
        <v/>
      </c>
      <c r="AC119" s="53" t="str">
        <f t="shared" si="62"/>
        <v/>
      </c>
      <c r="AD119" s="53" t="str">
        <f t="shared" si="62"/>
        <v/>
      </c>
      <c r="AE119" s="53" t="str">
        <f t="shared" si="62"/>
        <v/>
      </c>
      <c r="AF119" s="53" t="str">
        <f t="shared" si="62"/>
        <v/>
      </c>
      <c r="AG119" s="53" t="str">
        <f t="shared" si="62"/>
        <v/>
      </c>
      <c r="AH119" s="53" t="str">
        <f t="shared" si="62"/>
        <v/>
      </c>
      <c r="AI119" s="53" t="str">
        <f t="shared" si="62"/>
        <v/>
      </c>
      <c r="AJ119" s="53" t="str">
        <f t="shared" si="62"/>
        <v/>
      </c>
      <c r="AK119" s="53" t="str">
        <f t="shared" si="62"/>
        <v/>
      </c>
      <c r="AL119" s="53" t="str">
        <f t="shared" si="62"/>
        <v/>
      </c>
      <c r="AM119" s="53" t="str">
        <f t="shared" si="62"/>
        <v/>
      </c>
      <c r="AN119" s="53" t="str">
        <f t="shared" si="62"/>
        <v/>
      </c>
      <c r="AO119" s="53" t="str">
        <f t="shared" si="62"/>
        <v/>
      </c>
    </row>
    <row r="120" ht="15" customHeight="1" spans="1:41">
      <c r="A120" s="48"/>
      <c r="B120" s="49" t="s">
        <v>100</v>
      </c>
      <c r="C120" s="50" t="s">
        <v>98</v>
      </c>
      <c r="D120" s="51">
        <v>0.4</v>
      </c>
      <c r="E120" s="51">
        <v>0.03</v>
      </c>
      <c r="F120" s="51">
        <v>-0.03</v>
      </c>
      <c r="G120" s="51">
        <f t="shared" si="49"/>
        <v>0.43</v>
      </c>
      <c r="H120" s="51">
        <f t="shared" si="48"/>
        <v>0.37</v>
      </c>
      <c r="I120" s="51" t="s">
        <v>96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3" t="str">
        <f t="shared" ref="Z120:AO120" si="63">IF(J120="","",IF(J120&gt;($D120+$E120),(J120-$D120-$E120),IF(J120&lt;($D120+$F120),(J120-$D120-$F120),"√")))</f>
        <v/>
      </c>
      <c r="AA120" s="53" t="str">
        <f t="shared" si="63"/>
        <v/>
      </c>
      <c r="AB120" s="53" t="str">
        <f t="shared" si="63"/>
        <v/>
      </c>
      <c r="AC120" s="53" t="str">
        <f t="shared" si="63"/>
        <v/>
      </c>
      <c r="AD120" s="53" t="str">
        <f t="shared" si="63"/>
        <v/>
      </c>
      <c r="AE120" s="53" t="str">
        <f t="shared" si="63"/>
        <v/>
      </c>
      <c r="AF120" s="53" t="str">
        <f t="shared" si="63"/>
        <v/>
      </c>
      <c r="AG120" s="53" t="str">
        <f t="shared" si="63"/>
        <v/>
      </c>
      <c r="AH120" s="53" t="str">
        <f t="shared" si="63"/>
        <v/>
      </c>
      <c r="AI120" s="53" t="str">
        <f t="shared" si="63"/>
        <v/>
      </c>
      <c r="AJ120" s="53" t="str">
        <f t="shared" si="63"/>
        <v/>
      </c>
      <c r="AK120" s="53" t="str">
        <f t="shared" si="63"/>
        <v/>
      </c>
      <c r="AL120" s="53" t="str">
        <f t="shared" si="63"/>
        <v/>
      </c>
      <c r="AM120" s="53" t="str">
        <f t="shared" si="63"/>
        <v/>
      </c>
      <c r="AN120" s="53" t="str">
        <f t="shared" si="63"/>
        <v/>
      </c>
      <c r="AO120" s="53" t="str">
        <f t="shared" si="63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20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7">
    <cfRule type="cellIs" dxfId="0" priority="26" operator="notBetween">
      <formula>$G7</formula>
      <formula>$H7</formula>
    </cfRule>
  </conditionalFormatting>
  <conditionalFormatting sqref="J8:Y8">
    <cfRule type="cellIs" dxfId="0" priority="24" operator="notBetween">
      <formula>$G8</formula>
      <formula>$H8</formula>
    </cfRule>
  </conditionalFormatting>
  <conditionalFormatting sqref="J11:Y11">
    <cfRule type="cellIs" dxfId="0" priority="22" operator="notBetween">
      <formula>$G11</formula>
      <formula>$H11</formula>
    </cfRule>
  </conditionalFormatting>
  <conditionalFormatting sqref="J14:Y14">
    <cfRule type="cellIs" dxfId="0" priority="21" operator="notBetween">
      <formula>$G14</formula>
      <formula>$H14</formula>
    </cfRule>
  </conditionalFormatting>
  <conditionalFormatting sqref="J18">
    <cfRule type="cellIs" dxfId="0" priority="266" operator="notBetween">
      <formula>$G18</formula>
      <formula>$H18</formula>
    </cfRule>
  </conditionalFormatting>
  <conditionalFormatting sqref="K18">
    <cfRule type="cellIs" dxfId="0" priority="123" operator="notBetween">
      <formula>$G18</formula>
      <formula>$H18</formula>
    </cfRule>
  </conditionalFormatting>
  <conditionalFormatting sqref="L18">
    <cfRule type="cellIs" dxfId="0" priority="122" operator="notBetween">
      <formula>$G18</formula>
      <formula>$H18</formula>
    </cfRule>
  </conditionalFormatting>
  <conditionalFormatting sqref="M18">
    <cfRule type="cellIs" dxfId="0" priority="121" operator="notBetween">
      <formula>$G18</formula>
      <formula>$H18</formula>
    </cfRule>
  </conditionalFormatting>
  <conditionalFormatting sqref="N18">
    <cfRule type="cellIs" dxfId="0" priority="120" operator="notBetween">
      <formula>$G18</formula>
      <formula>$H18</formula>
    </cfRule>
  </conditionalFormatting>
  <conditionalFormatting sqref="O18">
    <cfRule type="cellIs" dxfId="0" priority="119" operator="notBetween">
      <formula>$G18</formula>
      <formula>$H18</formula>
    </cfRule>
  </conditionalFormatting>
  <conditionalFormatting sqref="P18">
    <cfRule type="cellIs" dxfId="0" priority="118" operator="notBetween">
      <formula>$G18</formula>
      <formula>$H18</formula>
    </cfRule>
  </conditionalFormatting>
  <conditionalFormatting sqref="Q18">
    <cfRule type="cellIs" dxfId="0" priority="117" operator="notBetween">
      <formula>$G18</formula>
      <formula>$H18</formula>
    </cfRule>
  </conditionalFormatting>
  <conditionalFormatting sqref="R18">
    <cfRule type="cellIs" dxfId="0" priority="116" operator="notBetween">
      <formula>$G18</formula>
      <formula>$H18</formula>
    </cfRule>
  </conditionalFormatting>
  <conditionalFormatting sqref="S18">
    <cfRule type="cellIs" dxfId="0" priority="115" operator="notBetween">
      <formula>$G18</formula>
      <formula>$H18</formula>
    </cfRule>
  </conditionalFormatting>
  <conditionalFormatting sqref="T18">
    <cfRule type="cellIs" dxfId="0" priority="114" operator="notBetween">
      <formula>$G18</formula>
      <formula>$H18</formula>
    </cfRule>
  </conditionalFormatting>
  <conditionalFormatting sqref="U18">
    <cfRule type="cellIs" dxfId="0" priority="113" operator="notBetween">
      <formula>$G18</formula>
      <formula>$H18</formula>
    </cfRule>
  </conditionalFormatting>
  <conditionalFormatting sqref="V18">
    <cfRule type="cellIs" dxfId="0" priority="112" operator="notBetween">
      <formula>$G18</formula>
      <formula>$H18</formula>
    </cfRule>
  </conditionalFormatting>
  <conditionalFormatting sqref="W18">
    <cfRule type="cellIs" dxfId="0" priority="111" operator="notBetween">
      <formula>$G18</formula>
      <formula>$H18</formula>
    </cfRule>
  </conditionalFormatting>
  <conditionalFormatting sqref="X18">
    <cfRule type="cellIs" dxfId="0" priority="110" operator="notBetween">
      <formula>$G18</formula>
      <formula>$H18</formula>
    </cfRule>
  </conditionalFormatting>
  <conditionalFormatting sqref="Y18">
    <cfRule type="cellIs" dxfId="0" priority="109" operator="notBetween">
      <formula>$G18</formula>
      <formula>$H18</formula>
    </cfRule>
  </conditionalFormatting>
  <conditionalFormatting sqref="J19">
    <cfRule type="cellIs" dxfId="0" priority="300" operator="notBetween">
      <formula>$G19</formula>
      <formula>$H19</formula>
    </cfRule>
  </conditionalFormatting>
  <conditionalFormatting sqref="K19">
    <cfRule type="cellIs" dxfId="0" priority="228" operator="notBetween">
      <formula>$G19</formula>
      <formula>$H19</formula>
    </cfRule>
  </conditionalFormatting>
  <conditionalFormatting sqref="L19">
    <cfRule type="cellIs" dxfId="0" priority="227" operator="notBetween">
      <formula>$G19</formula>
      <formula>$H19</formula>
    </cfRule>
  </conditionalFormatting>
  <conditionalFormatting sqref="M19">
    <cfRule type="cellIs" dxfId="0" priority="226" operator="notBetween">
      <formula>$G19</formula>
      <formula>$H19</formula>
    </cfRule>
  </conditionalFormatting>
  <conditionalFormatting sqref="N19">
    <cfRule type="cellIs" dxfId="0" priority="225" operator="notBetween">
      <formula>$G19</formula>
      <formula>$H19</formula>
    </cfRule>
  </conditionalFormatting>
  <conditionalFormatting sqref="O19">
    <cfRule type="cellIs" dxfId="0" priority="224" operator="notBetween">
      <formula>$G19</formula>
      <formula>$H19</formula>
    </cfRule>
  </conditionalFormatting>
  <conditionalFormatting sqref="P19">
    <cfRule type="cellIs" dxfId="0" priority="223" operator="notBetween">
      <formula>$G19</formula>
      <formula>$H19</formula>
    </cfRule>
  </conditionalFormatting>
  <conditionalFormatting sqref="Q19">
    <cfRule type="cellIs" dxfId="0" priority="222" operator="notBetween">
      <formula>$G19</formula>
      <formula>$H19</formula>
    </cfRule>
  </conditionalFormatting>
  <conditionalFormatting sqref="R19">
    <cfRule type="cellIs" dxfId="0" priority="221" operator="notBetween">
      <formula>$G19</formula>
      <formula>$H19</formula>
    </cfRule>
  </conditionalFormatting>
  <conditionalFormatting sqref="S19">
    <cfRule type="cellIs" dxfId="0" priority="220" operator="notBetween">
      <formula>$G19</formula>
      <formula>$H19</formula>
    </cfRule>
  </conditionalFormatting>
  <conditionalFormatting sqref="T19">
    <cfRule type="cellIs" dxfId="0" priority="219" operator="notBetween">
      <formula>$G19</formula>
      <formula>$H19</formula>
    </cfRule>
  </conditionalFormatting>
  <conditionalFormatting sqref="U19">
    <cfRule type="cellIs" dxfId="0" priority="218" operator="notBetween">
      <formula>$G19</formula>
      <formula>$H19</formula>
    </cfRule>
  </conditionalFormatting>
  <conditionalFormatting sqref="V19">
    <cfRule type="cellIs" dxfId="0" priority="217" operator="notBetween">
      <formula>$G19</formula>
      <formula>$H19</formula>
    </cfRule>
  </conditionalFormatting>
  <conditionalFormatting sqref="W19">
    <cfRule type="cellIs" dxfId="0" priority="216" operator="notBetween">
      <formula>$G19</formula>
      <formula>$H19</formula>
    </cfRule>
  </conditionalFormatting>
  <conditionalFormatting sqref="X19">
    <cfRule type="cellIs" dxfId="0" priority="215" operator="notBetween">
      <formula>$G19</formula>
      <formula>$H19</formula>
    </cfRule>
  </conditionalFormatting>
  <conditionalFormatting sqref="Y19">
    <cfRule type="cellIs" dxfId="0" priority="214" operator="notBetween">
      <formula>$G19</formula>
      <formula>$H19</formula>
    </cfRule>
  </conditionalFormatting>
  <conditionalFormatting sqref="J20:Y20">
    <cfRule type="cellIs" dxfId="0" priority="20" operator="notBetween">
      <formula>$G20</formula>
      <formula>$H20</formula>
    </cfRule>
  </conditionalFormatting>
  <conditionalFormatting sqref="J21:Y21">
    <cfRule type="cellIs" dxfId="0" priority="28" operator="notBetween">
      <formula>$G21</formula>
      <formula>$H21</formula>
    </cfRule>
  </conditionalFormatting>
  <conditionalFormatting sqref="J23:Y23">
    <cfRule type="cellIs" dxfId="0" priority="27" operator="notBetween">
      <formula>$G23</formula>
      <formula>$H23</formula>
    </cfRule>
  </conditionalFormatting>
  <conditionalFormatting sqref="J30:Y30">
    <cfRule type="cellIs" dxfId="0" priority="29" operator="notBetween">
      <formula>$G30</formula>
      <formula>$H30</formula>
    </cfRule>
  </conditionalFormatting>
  <conditionalFormatting sqref="J31">
    <cfRule type="cellIs" dxfId="0" priority="48" operator="notBetween">
      <formula>$G31</formula>
      <formula>$H31</formula>
    </cfRule>
  </conditionalFormatting>
  <conditionalFormatting sqref="K31">
    <cfRule type="cellIs" dxfId="0" priority="47" operator="notBetween">
      <formula>$G31</formula>
      <formula>$H31</formula>
    </cfRule>
  </conditionalFormatting>
  <conditionalFormatting sqref="L31">
    <cfRule type="cellIs" dxfId="0" priority="46" operator="notBetween">
      <formula>$G31</formula>
      <formula>$H31</formula>
    </cfRule>
  </conditionalFormatting>
  <conditionalFormatting sqref="M31">
    <cfRule type="cellIs" dxfId="0" priority="45" operator="notBetween">
      <formula>$G31</formula>
      <formula>$H31</formula>
    </cfRule>
  </conditionalFormatting>
  <conditionalFormatting sqref="N31">
    <cfRule type="cellIs" dxfId="0" priority="44" operator="notBetween">
      <formula>$G31</formula>
      <formula>$H31</formula>
    </cfRule>
  </conditionalFormatting>
  <conditionalFormatting sqref="O31">
    <cfRule type="cellIs" dxfId="0" priority="43" operator="notBetween">
      <formula>$G31</formula>
      <formula>$H31</formula>
    </cfRule>
  </conditionalFormatting>
  <conditionalFormatting sqref="P31">
    <cfRule type="cellIs" dxfId="0" priority="42" operator="notBetween">
      <formula>$G31</formula>
      <formula>$H31</formula>
    </cfRule>
  </conditionalFormatting>
  <conditionalFormatting sqref="Q31">
    <cfRule type="cellIs" dxfId="0" priority="41" operator="notBetween">
      <formula>$G31</formula>
      <formula>$H31</formula>
    </cfRule>
  </conditionalFormatting>
  <conditionalFormatting sqref="R31">
    <cfRule type="cellIs" dxfId="0" priority="40" operator="notBetween">
      <formula>$G31</formula>
      <formula>$H31</formula>
    </cfRule>
  </conditionalFormatting>
  <conditionalFormatting sqref="S31">
    <cfRule type="cellIs" dxfId="0" priority="39" operator="notBetween">
      <formula>$G31</formula>
      <formula>$H31</formula>
    </cfRule>
  </conditionalFormatting>
  <conditionalFormatting sqref="T31">
    <cfRule type="cellIs" dxfId="0" priority="38" operator="notBetween">
      <formula>$G31</formula>
      <formula>$H31</formula>
    </cfRule>
  </conditionalFormatting>
  <conditionalFormatting sqref="U31">
    <cfRule type="cellIs" dxfId="0" priority="37" operator="notBetween">
      <formula>$G31</formula>
      <formula>$H31</formula>
    </cfRule>
  </conditionalFormatting>
  <conditionalFormatting sqref="V31">
    <cfRule type="cellIs" dxfId="0" priority="36" operator="notBetween">
      <formula>$G31</formula>
      <formula>$H31</formula>
    </cfRule>
  </conditionalFormatting>
  <conditionalFormatting sqref="W31">
    <cfRule type="cellIs" dxfId="0" priority="35" operator="notBetween">
      <formula>$G31</formula>
      <formula>$H31</formula>
    </cfRule>
  </conditionalFormatting>
  <conditionalFormatting sqref="X31">
    <cfRule type="cellIs" dxfId="0" priority="34" operator="notBetween">
      <formula>$G31</formula>
      <formula>$H31</formula>
    </cfRule>
  </conditionalFormatting>
  <conditionalFormatting sqref="Y31">
    <cfRule type="cellIs" dxfId="0" priority="33" operator="notBetween">
      <formula>$G31</formula>
      <formula>$H31</formula>
    </cfRule>
  </conditionalFormatting>
  <conditionalFormatting sqref="J33">
    <cfRule type="cellIs" dxfId="0" priority="260" operator="notBetween">
      <formula>$G33</formula>
      <formula>$H33</formula>
    </cfRule>
  </conditionalFormatting>
  <conditionalFormatting sqref="K33">
    <cfRule type="cellIs" dxfId="0" priority="63" operator="notBetween">
      <formula>$G33</formula>
      <formula>$H33</formula>
    </cfRule>
  </conditionalFormatting>
  <conditionalFormatting sqref="L33">
    <cfRule type="cellIs" dxfId="0" priority="62" operator="notBetween">
      <formula>$G33</formula>
      <formula>$H33</formula>
    </cfRule>
  </conditionalFormatting>
  <conditionalFormatting sqref="M33">
    <cfRule type="cellIs" dxfId="0" priority="61" operator="notBetween">
      <formula>$G33</formula>
      <formula>$H33</formula>
    </cfRule>
  </conditionalFormatting>
  <conditionalFormatting sqref="N33">
    <cfRule type="cellIs" dxfId="0" priority="60" operator="notBetween">
      <formula>$G33</formula>
      <formula>$H33</formula>
    </cfRule>
  </conditionalFormatting>
  <conditionalFormatting sqref="O33">
    <cfRule type="cellIs" dxfId="0" priority="59" operator="notBetween">
      <formula>$G33</formula>
      <formula>$H33</formula>
    </cfRule>
  </conditionalFormatting>
  <conditionalFormatting sqref="P33">
    <cfRule type="cellIs" dxfId="0" priority="58" operator="notBetween">
      <formula>$G33</formula>
      <formula>$H33</formula>
    </cfRule>
  </conditionalFormatting>
  <conditionalFormatting sqref="Q33">
    <cfRule type="cellIs" dxfId="0" priority="57" operator="notBetween">
      <formula>$G33</formula>
      <formula>$H33</formula>
    </cfRule>
  </conditionalFormatting>
  <conditionalFormatting sqref="R33">
    <cfRule type="cellIs" dxfId="0" priority="56" operator="notBetween">
      <formula>$G33</formula>
      <formula>$H33</formula>
    </cfRule>
  </conditionalFormatting>
  <conditionalFormatting sqref="S33">
    <cfRule type="cellIs" dxfId="0" priority="55" operator="notBetween">
      <formula>$G33</formula>
      <formula>$H33</formula>
    </cfRule>
  </conditionalFormatting>
  <conditionalFormatting sqref="T33">
    <cfRule type="cellIs" dxfId="0" priority="54" operator="notBetween">
      <formula>$G33</formula>
      <formula>$H33</formula>
    </cfRule>
  </conditionalFormatting>
  <conditionalFormatting sqref="U33">
    <cfRule type="cellIs" dxfId="0" priority="53" operator="notBetween">
      <formula>$G33</formula>
      <formula>$H33</formula>
    </cfRule>
  </conditionalFormatting>
  <conditionalFormatting sqref="V33">
    <cfRule type="cellIs" dxfId="0" priority="52" operator="notBetween">
      <formula>$G33</formula>
      <formula>$H33</formula>
    </cfRule>
  </conditionalFormatting>
  <conditionalFormatting sqref="W33">
    <cfRule type="cellIs" dxfId="0" priority="51" operator="notBetween">
      <formula>$G33</formula>
      <formula>$H33</formula>
    </cfRule>
  </conditionalFormatting>
  <conditionalFormatting sqref="X33">
    <cfRule type="cellIs" dxfId="0" priority="50" operator="notBetween">
      <formula>$G33</formula>
      <formula>$H33</formula>
    </cfRule>
  </conditionalFormatting>
  <conditionalFormatting sqref="Y33">
    <cfRule type="cellIs" dxfId="0" priority="49" operator="notBetween">
      <formula>$G33</formula>
      <formula>$H33</formula>
    </cfRule>
  </conditionalFormatting>
  <conditionalFormatting sqref="J34">
    <cfRule type="cellIs" dxfId="0" priority="263" operator="notBetween">
      <formula>$G34</formula>
      <formula>$H34</formula>
    </cfRule>
  </conditionalFormatting>
  <conditionalFormatting sqref="K34">
    <cfRule type="cellIs" dxfId="0" priority="93" operator="notBetween">
      <formula>$G34</formula>
      <formula>$H34</formula>
    </cfRule>
  </conditionalFormatting>
  <conditionalFormatting sqref="L34">
    <cfRule type="cellIs" dxfId="0" priority="92" operator="notBetween">
      <formula>$G34</formula>
      <formula>$H34</formula>
    </cfRule>
  </conditionalFormatting>
  <conditionalFormatting sqref="M34">
    <cfRule type="cellIs" dxfId="0" priority="91" operator="notBetween">
      <formula>$G34</formula>
      <formula>$H34</formula>
    </cfRule>
  </conditionalFormatting>
  <conditionalFormatting sqref="N34">
    <cfRule type="cellIs" dxfId="0" priority="90" operator="notBetween">
      <formula>$G34</formula>
      <formula>$H34</formula>
    </cfRule>
  </conditionalFormatting>
  <conditionalFormatting sqref="O34">
    <cfRule type="cellIs" dxfId="0" priority="89" operator="notBetween">
      <formula>$G34</formula>
      <formula>$H34</formula>
    </cfRule>
  </conditionalFormatting>
  <conditionalFormatting sqref="P34">
    <cfRule type="cellIs" dxfId="0" priority="88" operator="notBetween">
      <formula>$G34</formula>
      <formula>$H34</formula>
    </cfRule>
  </conditionalFormatting>
  <conditionalFormatting sqref="Q34">
    <cfRule type="cellIs" dxfId="0" priority="87" operator="notBetween">
      <formula>$G34</formula>
      <formula>$H34</formula>
    </cfRule>
  </conditionalFormatting>
  <conditionalFormatting sqref="R34">
    <cfRule type="cellIs" dxfId="0" priority="86" operator="notBetween">
      <formula>$G34</formula>
      <formula>$H34</formula>
    </cfRule>
  </conditionalFormatting>
  <conditionalFormatting sqref="S34">
    <cfRule type="cellIs" dxfId="0" priority="85" operator="notBetween">
      <formula>$G34</formula>
      <formula>$H34</formula>
    </cfRule>
  </conditionalFormatting>
  <conditionalFormatting sqref="T34">
    <cfRule type="cellIs" dxfId="0" priority="84" operator="notBetween">
      <formula>$G34</formula>
      <formula>$H34</formula>
    </cfRule>
  </conditionalFormatting>
  <conditionalFormatting sqref="U34">
    <cfRule type="cellIs" dxfId="0" priority="83" operator="notBetween">
      <formula>$G34</formula>
      <formula>$H34</formula>
    </cfRule>
  </conditionalFormatting>
  <conditionalFormatting sqref="V34">
    <cfRule type="cellIs" dxfId="0" priority="82" operator="notBetween">
      <formula>$G34</formula>
      <formula>$H34</formula>
    </cfRule>
  </conditionalFormatting>
  <conditionalFormatting sqref="W34">
    <cfRule type="cellIs" dxfId="0" priority="81" operator="notBetween">
      <formula>$G34</formula>
      <formula>$H34</formula>
    </cfRule>
  </conditionalFormatting>
  <conditionalFormatting sqref="X34">
    <cfRule type="cellIs" dxfId="0" priority="80" operator="notBetween">
      <formula>$G34</formula>
      <formula>$H34</formula>
    </cfRule>
  </conditionalFormatting>
  <conditionalFormatting sqref="Y34">
    <cfRule type="cellIs" dxfId="0" priority="79" operator="notBetween">
      <formula>$G34</formula>
      <formula>$H34</formula>
    </cfRule>
  </conditionalFormatting>
  <conditionalFormatting sqref="J35:Y35">
    <cfRule type="cellIs" dxfId="0" priority="32" operator="notBetween">
      <formula>$G35</formula>
      <formula>$H35</formula>
    </cfRule>
  </conditionalFormatting>
  <conditionalFormatting sqref="J45:Y45">
    <cfRule type="cellIs" dxfId="0" priority="18" operator="notBetween">
      <formula>$G45</formula>
      <formula>$H45</formula>
    </cfRule>
  </conditionalFormatting>
  <conditionalFormatting sqref="J52:Y52">
    <cfRule type="cellIs" dxfId="0" priority="17" operator="notBetween">
      <formula>$G52</formula>
      <formula>$H52</formula>
    </cfRule>
  </conditionalFormatting>
  <conditionalFormatting sqref="J57:Y57">
    <cfRule type="cellIs" dxfId="0" priority="16" operator="notBetween">
      <formula>$G57</formula>
      <formula>$H57</formula>
    </cfRule>
  </conditionalFormatting>
  <conditionalFormatting sqref="J62:Y62">
    <cfRule type="cellIs" dxfId="0" priority="15" operator="notBetween">
      <formula>$G62</formula>
      <formula>$H62</formula>
    </cfRule>
  </conditionalFormatting>
  <conditionalFormatting sqref="J83:Y83">
    <cfRule type="cellIs" dxfId="0" priority="13" operator="notBetween">
      <formula>$G83</formula>
      <formula>$H83</formula>
    </cfRule>
  </conditionalFormatting>
  <conditionalFormatting sqref="J88:Y88">
    <cfRule type="cellIs" dxfId="0" priority="12" operator="notBetween">
      <formula>$G88</formula>
      <formula>$H88</formula>
    </cfRule>
  </conditionalFormatting>
  <conditionalFormatting sqref="J93:Y93">
    <cfRule type="cellIs" dxfId="0" priority="11" operator="notBetween">
      <formula>$G93</formula>
      <formula>$H93</formula>
    </cfRule>
  </conditionalFormatting>
  <conditionalFormatting sqref="J98:Y98">
    <cfRule type="cellIs" dxfId="0" priority="10" operator="notBetween">
      <formula>$G98</formula>
      <formula>$H98</formula>
    </cfRule>
  </conditionalFormatting>
  <conditionalFormatting sqref="J101:Y101">
    <cfRule type="cellIs" dxfId="0" priority="9" operator="notBetween">
      <formula>$G101</formula>
      <formula>$H101</formula>
    </cfRule>
  </conditionalFormatting>
  <conditionalFormatting sqref="J104:Y104">
    <cfRule type="cellIs" dxfId="0" priority="8" operator="notBetween">
      <formula>$G104</formula>
      <formula>$H104</formula>
    </cfRule>
  </conditionalFormatting>
  <conditionalFormatting sqref="J109:Y109">
    <cfRule type="cellIs" dxfId="0" priority="7" operator="notBetween">
      <formula>$G109</formula>
      <formula>$H109</formula>
    </cfRule>
  </conditionalFormatting>
  <conditionalFormatting sqref="J116:Y116">
    <cfRule type="cellIs" dxfId="0" priority="5" operator="notBetween">
      <formula>$G116</formula>
      <formula>$H116</formula>
    </cfRule>
  </conditionalFormatting>
  <conditionalFormatting sqref="J117:Y117">
    <cfRule type="cellIs" dxfId="0" priority="6" operator="notBetween">
      <formula>$G117</formula>
      <formula>$H117</formula>
    </cfRule>
  </conditionalFormatting>
  <conditionalFormatting sqref="J118:Y118">
    <cfRule type="cellIs" dxfId="0" priority="2" operator="notBetween">
      <formula>$G118</formula>
      <formula>$H118</formula>
    </cfRule>
  </conditionalFormatting>
  <conditionalFormatting sqref="J119:Y119">
    <cfRule type="cellIs" dxfId="0" priority="1" operator="notBetween">
      <formula>$G119</formula>
      <formula>$H119</formula>
    </cfRule>
  </conditionalFormatting>
  <conditionalFormatting sqref="J120:Y120">
    <cfRule type="cellIs" dxfId="0" priority="4" operator="notBetween">
      <formula>$G120</formula>
      <formula>$H120</formula>
    </cfRule>
  </conditionalFormatting>
  <conditionalFormatting sqref="J9:Y10">
    <cfRule type="cellIs" dxfId="0" priority="25" operator="notBetween">
      <formula>$G9</formula>
      <formula>$H9</formula>
    </cfRule>
  </conditionalFormatting>
  <conditionalFormatting sqref="J12:Y13">
    <cfRule type="cellIs" dxfId="0" priority="23" operator="notBetween">
      <formula>$G12</formula>
      <formula>$H12</formula>
    </cfRule>
  </conditionalFormatting>
  <conditionalFormatting sqref="J15:Y17 J32 J36">
    <cfRule type="cellIs" dxfId="0" priority="337" operator="notBetween">
      <formula>$G15</formula>
      <formula>$H15</formula>
    </cfRule>
  </conditionalFormatting>
  <conditionalFormatting sqref="J22:Y22 J24:Y29">
    <cfRule type="cellIs" dxfId="0" priority="290" operator="notBetween">
      <formula>$G22</formula>
      <formula>$H22</formula>
    </cfRule>
  </conditionalFormatting>
  <conditionalFormatting sqref="K32 K36">
    <cfRule type="cellIs" dxfId="0" priority="258" operator="notBetween">
      <formula>$G32</formula>
      <formula>$H32</formula>
    </cfRule>
  </conditionalFormatting>
  <conditionalFormatting sqref="L32 L36">
    <cfRule type="cellIs" dxfId="0" priority="257" operator="notBetween">
      <formula>$G32</formula>
      <formula>$H32</formula>
    </cfRule>
  </conditionalFormatting>
  <conditionalFormatting sqref="M32 M36">
    <cfRule type="cellIs" dxfId="0" priority="256" operator="notBetween">
      <formula>$G32</formula>
      <formula>$H32</formula>
    </cfRule>
  </conditionalFormatting>
  <conditionalFormatting sqref="N32 N36">
    <cfRule type="cellIs" dxfId="0" priority="255" operator="notBetween">
      <formula>$G32</formula>
      <formula>$H32</formula>
    </cfRule>
  </conditionalFormatting>
  <conditionalFormatting sqref="O32 O36">
    <cfRule type="cellIs" dxfId="0" priority="254" operator="notBetween">
      <formula>$G32</formula>
      <formula>$H32</formula>
    </cfRule>
  </conditionalFormatting>
  <conditionalFormatting sqref="P32 P36">
    <cfRule type="cellIs" dxfId="0" priority="253" operator="notBetween">
      <formula>$G32</formula>
      <formula>$H32</formula>
    </cfRule>
  </conditionalFormatting>
  <conditionalFormatting sqref="Q32 Q36">
    <cfRule type="cellIs" dxfId="0" priority="252" operator="notBetween">
      <formula>$G32</formula>
      <formula>$H32</formula>
    </cfRule>
  </conditionalFormatting>
  <conditionalFormatting sqref="R32 R36">
    <cfRule type="cellIs" dxfId="0" priority="251" operator="notBetween">
      <formula>$G32</formula>
      <formula>$H32</formula>
    </cfRule>
  </conditionalFormatting>
  <conditionalFormatting sqref="S32 S36">
    <cfRule type="cellIs" dxfId="0" priority="250" operator="notBetween">
      <formula>$G32</formula>
      <formula>$H32</formula>
    </cfRule>
  </conditionalFormatting>
  <conditionalFormatting sqref="T32 T36">
    <cfRule type="cellIs" dxfId="0" priority="249" operator="notBetween">
      <formula>$G32</formula>
      <formula>$H32</formula>
    </cfRule>
  </conditionalFormatting>
  <conditionalFormatting sqref="U32 U36">
    <cfRule type="cellIs" dxfId="0" priority="248" operator="notBetween">
      <formula>$G32</formula>
      <formula>$H32</formula>
    </cfRule>
  </conditionalFormatting>
  <conditionalFormatting sqref="V32 V36">
    <cfRule type="cellIs" dxfId="0" priority="247" operator="notBetween">
      <formula>$G32</formula>
      <formula>$H32</formula>
    </cfRule>
  </conditionalFormatting>
  <conditionalFormatting sqref="W32 W36">
    <cfRule type="cellIs" dxfId="0" priority="246" operator="notBetween">
      <formula>$G32</formula>
      <formula>$H32</formula>
    </cfRule>
  </conditionalFormatting>
  <conditionalFormatting sqref="X32 X36">
    <cfRule type="cellIs" dxfId="0" priority="245" operator="notBetween">
      <formula>$G32</formula>
      <formula>$H32</formula>
    </cfRule>
  </conditionalFormatting>
  <conditionalFormatting sqref="Y32 Y36">
    <cfRule type="cellIs" dxfId="0" priority="244" operator="notBetween">
      <formula>$G32</formula>
      <formula>$H32</formula>
    </cfRule>
  </conditionalFormatting>
  <conditionalFormatting sqref="J37:Y38">
    <cfRule type="cellIs" dxfId="0" priority="19" operator="notBetween">
      <formula>$G37</formula>
      <formula>$H37</formula>
    </cfRule>
  </conditionalFormatting>
  <conditionalFormatting sqref="J77:Y78">
    <cfRule type="cellIs" dxfId="0" priority="14" operator="notBetween">
      <formula>$G77</formula>
      <formula>$H77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2026-07-02T13:50:05Z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