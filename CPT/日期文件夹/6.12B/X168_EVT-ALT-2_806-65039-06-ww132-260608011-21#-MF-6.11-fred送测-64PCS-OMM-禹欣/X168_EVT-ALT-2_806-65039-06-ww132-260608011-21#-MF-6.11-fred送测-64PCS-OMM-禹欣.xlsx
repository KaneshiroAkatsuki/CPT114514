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1" sheetId="8" r:id="rId1"/>
    <sheet name="2" sheetId="9" r:id="rId2"/>
    <sheet name="3" sheetId="10" r:id="rId3"/>
    <sheet name="4" sheetId="11" r:id="rId4"/>
    <sheet name="5" sheetId="12" r:id="rId5"/>
    <sheet name="6" sheetId="13" r:id="rId6"/>
    <sheet name="7" sheetId="14" r:id="rId7"/>
    <sheet name="8" sheetId="15" r:id="rId8"/>
  </sheets>
  <definedNames>
    <definedName name="_xlnm.Print_Area" localSheetId="0">'1'!$B$1:$AE$6</definedName>
    <definedName name="_xlnm.Print_Titles" localSheetId="0">'1'!$1:$6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<sst xmlns="http://schemas.openxmlformats.org/spreadsheetml/2006/main" count="1673" uniqueCount="101">
  <si>
    <t>安徽中耀智能科技有限公司首件尺寸报告</t>
  </si>
  <si>
    <t>料号</t>
  </si>
  <si>
    <t>806-65039</t>
  </si>
  <si>
    <t>工单号</t>
  </si>
  <si>
    <t>ww132-260608011</t>
  </si>
  <si>
    <t>工站</t>
  </si>
  <si>
    <t>炉号</t>
  </si>
  <si>
    <t>测量机台号</t>
  </si>
  <si>
    <t>测量人员</t>
  </si>
  <si>
    <t>审核</t>
  </si>
  <si>
    <t xml:space="preserve"> 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</si>
  <si>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</si>
  <si>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</si>
  <si>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</si>
  <si>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</si>
  <si>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</si>
  <si>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</si>
  <si>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</si>
  <si>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</si>
  <si>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</si>
  <si>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</si>
  <si>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</si>
  <si>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</si>
  <si>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</si>
  <si>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</si>
  <si>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</si>
  <si>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</si>
  <si>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</si>
  <si>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</si>
  <si>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</si>
  <si>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t>FAI25</t>
  </si>
  <si>
    <t>Y</t>
  </si>
  <si>
    <t>FAI44_1</t>
  </si>
  <si>
    <t>FAI44_2</t>
  </si>
  <si>
    <t>FAI45_1</t>
  </si>
  <si>
    <t>FAI45_2</t>
  </si>
  <si>
    <t>FAI45_3</t>
  </si>
  <si>
    <t>FAI45_4</t>
  </si>
  <si>
    <t>FAI45_5</t>
  </si>
  <si>
    <t>FAI45_6</t>
  </si>
  <si>
    <t>FAI45_7</t>
  </si>
  <si>
    <t>FAI45_8</t>
  </si>
  <si>
    <t>FAI6</t>
  </si>
  <si>
    <t>CMM</t>
  </si>
  <si>
    <t>FAI12</t>
  </si>
  <si>
    <t>L</t>
  </si>
  <si>
    <t>参考</t>
  </si>
  <si>
    <t>FAI15</t>
  </si>
  <si>
    <t>FAI16</t>
  </si>
  <si>
    <t>FAI17</t>
  </si>
  <si>
    <t>FAI18</t>
  </si>
  <si>
    <t>FAI19</t>
  </si>
  <si>
    <t>FAI20</t>
  </si>
  <si>
    <t>FAI21</t>
  </si>
  <si>
    <t>FAI22</t>
  </si>
  <si>
    <t>FAI23_1</t>
  </si>
  <si>
    <t>FAI23_2</t>
  </si>
  <si>
    <t>FAI24</t>
  </si>
  <si>
    <t>X</t>
  </si>
  <si>
    <t>FAI26</t>
  </si>
  <si>
    <t>Z</t>
  </si>
  <si>
    <t>FAI27</t>
  </si>
  <si>
    <t>FAI29</t>
  </si>
  <si>
    <t>FAI4</t>
  </si>
  <si>
    <t>D</t>
  </si>
  <si>
    <t>FAI7</t>
  </si>
  <si>
    <t>G</t>
  </si>
  <si>
    <t>FAI8</t>
  </si>
  <si>
    <t>H</t>
  </si>
  <si>
    <t>FAI11_1</t>
  </si>
  <si>
    <t>K</t>
  </si>
  <si>
    <t>FAI11_2</t>
  </si>
  <si>
    <t>FAI13</t>
  </si>
  <si>
    <t>FAI30</t>
  </si>
  <si>
    <t>AD</t>
  </si>
  <si>
    <t>FAI31</t>
  </si>
  <si>
    <t>AE</t>
  </si>
  <si>
    <t>FAI32</t>
  </si>
  <si>
    <t>AF</t>
  </si>
  <si>
    <t>FAI33</t>
  </si>
  <si>
    <t>AG</t>
  </si>
  <si>
    <t>FAI37</t>
  </si>
  <si>
    <t>FAI37_Y</t>
  </si>
  <si>
    <t>FAI37_Z</t>
  </si>
  <si>
    <t>FAI38</t>
  </si>
  <si>
    <t>FAI39</t>
  </si>
  <si>
    <t>FAI43</t>
  </si>
  <si>
    <t>AL</t>
  </si>
  <si>
    <t>FAI5</t>
  </si>
  <si>
    <t>E</t>
  </si>
  <si>
    <t>PIN</t>
  </si>
  <si>
    <t>FAI42</t>
  </si>
  <si>
    <t>MIC</t>
  </si>
  <si>
    <t>FAI10_1</t>
  </si>
  <si>
    <t>FAI10_2</t>
  </si>
  <si>
    <t>FAI9_1</t>
  </si>
  <si>
    <t>I</t>
  </si>
  <si>
    <t>FAI9_2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</si>
  <si>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4</t>
    </r>
  </si>
  <si>
    <t xml:space="preserve">ww132-260608011      
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</si>
  <si>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8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</si>
</sst>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9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10" fillId="4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3" fillId="4" borderId="7" xfId="53" applyFont="1" applyFill="1" applyBorder="1" applyAlignment="1">
      <alignment horizontal="center" vertical="center"/>
    </xf>
    <xf numFmtId="0" fontId="12" fillId="5" borderId="1" xfId="60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 wrapText="1"/>
    </xf>
    <xf numFmtId="49" fontId="3" fillId="0" borderId="1" xfId="60" applyNumberFormat="1" applyFont="1" applyBorder="1" applyAlignment="1">
      <alignment horizontal="center" vertical="center" wrapText="1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304165</xdr:colOff>
      <xdr:row>0</xdr:row>
      <xdr:rowOff>775448</xdr:rowOff>
    </xdr:to>
    <xdr:pic>
      <xdr:nvPicPr>
        <xdr:cNvPr id="2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abSelected="1" topLeftCell="R1" workbookViewId="0">
      <selection activeCell="AN3" sqref="AN3:AO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10" si="1">D7+E7</f>
        <v>0.53</v>
      </c>
      <c r="H7" s="50">
        <f t="shared" ref="H7:H10" si="2">D7+F7</f>
        <v>0.47</v>
      </c>
      <c r="I7" s="50" t="s">
        <v>29</v>
      </c>
      <c r="J7" s="51">
        <v>0.4849</v>
      </c>
      <c r="K7" s="51">
        <v>0.4964</v>
      </c>
      <c r="L7" s="51">
        <v>0.4963</v>
      </c>
      <c r="M7" s="51">
        <v>0.497</v>
      </c>
      <c r="N7" s="51">
        <v>0.4923</v>
      </c>
      <c r="O7" s="51">
        <v>0.4933</v>
      </c>
      <c r="P7" s="51">
        <v>0.4986</v>
      </c>
      <c r="Q7" s="51">
        <v>0.498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0.583</v>
      </c>
      <c r="K8" s="51">
        <v>0.5911</v>
      </c>
      <c r="L8" s="51">
        <v>0.5917</v>
      </c>
      <c r="M8" s="51">
        <v>0.5869</v>
      </c>
      <c r="N8" s="51">
        <v>0.5909</v>
      </c>
      <c r="O8" s="51">
        <v>0.5944</v>
      </c>
      <c r="P8" s="51">
        <v>0.5783</v>
      </c>
      <c r="Q8" s="51">
        <v>0.5789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0.0345</v>
      </c>
      <c r="K9" s="51">
        <v>0.0371</v>
      </c>
      <c r="L9" s="51">
        <v>0.0339</v>
      </c>
      <c r="M9" s="51">
        <v>0.0314</v>
      </c>
      <c r="N9" s="51">
        <v>0.0308</v>
      </c>
      <c r="O9" s="51">
        <v>0.0426</v>
      </c>
      <c r="P9" s="51">
        <v>0.0372</v>
      </c>
      <c r="Q9" s="51">
        <v>0.0318</v>
      </c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0.0415</v>
      </c>
      <c r="K10" s="51">
        <v>0.0425</v>
      </c>
      <c r="L10" s="51">
        <v>0.0419</v>
      </c>
      <c r="M10" s="51">
        <v>0.055</v>
      </c>
      <c r="N10" s="51">
        <v>0.0433</v>
      </c>
      <c r="O10" s="51">
        <v>0.0361</v>
      </c>
      <c r="P10" s="51">
        <v>0.0437</v>
      </c>
      <c r="Q10" s="51">
        <v>0.0591</v>
      </c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ref="G11:G26" si="7">D11+E11</f>
        <v>0.035</v>
      </c>
      <c r="H11" s="50">
        <f t="shared" ref="H11:H26" si="8">D11+F11</f>
        <v>0.015</v>
      </c>
      <c r="I11" s="50" t="s">
        <v>29</v>
      </c>
      <c r="J11" s="51">
        <v>0.0235</v>
      </c>
      <c r="K11" s="51">
        <v>0.0249</v>
      </c>
      <c r="L11" s="51">
        <v>0.0232</v>
      </c>
      <c r="M11" s="51">
        <v>0.0297</v>
      </c>
      <c r="N11" s="51">
        <v>0.0255</v>
      </c>
      <c r="O11" s="51">
        <v>0.0252</v>
      </c>
      <c r="P11" s="51">
        <v>0.0292</v>
      </c>
      <c r="Q11" s="51">
        <v>0.0288</v>
      </c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9">IF(J11="","",IF(J11&gt;($D11+$E11),(J11-$D11-$E11),IF(J11&lt;($D11+$F11),(J11-$D11-$F11),"√")))</f>
        <v>√</v>
      </c>
      <c r="AA11" s="52" t="str">
        <f t="shared" si="9"/>
        <v>√</v>
      </c>
      <c r="AB11" s="52" t="str">
        <f t="shared" si="9"/>
        <v>√</v>
      </c>
      <c r="AC11" s="52" t="str">
        <f t="shared" si="9"/>
        <v>√</v>
      </c>
      <c r="AD11" s="52" t="str">
        <f t="shared" si="9"/>
        <v>√</v>
      </c>
      <c r="AE11" s="52" t="str">
        <f t="shared" si="9"/>
        <v>√</v>
      </c>
      <c r="AF11" s="52" t="str">
        <f t="shared" si="9"/>
        <v>√</v>
      </c>
      <c r="AG11" s="52" t="str">
        <f t="shared" si="9"/>
        <v>√</v>
      </c>
      <c r="AH11" s="52" t="str">
        <f t="shared" si="9"/>
        <v/>
      </c>
      <c r="AI11" s="52" t="str">
        <f t="shared" si="9"/>
        <v/>
      </c>
      <c r="AJ11" s="52" t="str">
        <f t="shared" si="9"/>
        <v/>
      </c>
      <c r="AK11" s="52" t="str">
        <f t="shared" si="9"/>
        <v/>
      </c>
      <c r="AL11" s="52" t="str">
        <f t="shared" si="9"/>
        <v/>
      </c>
      <c r="AM11" s="52" t="str">
        <f t="shared" si="9"/>
        <v/>
      </c>
      <c r="AN11" s="52" t="str">
        <f t="shared" si="9"/>
        <v/>
      </c>
      <c r="AO11" s="52" t="str">
        <f t="shared" si="9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7"/>
        <v>0.035</v>
      </c>
      <c r="H12" s="50">
        <f t="shared" si="8"/>
        <v>0.015</v>
      </c>
      <c r="I12" s="50" t="s">
        <v>29</v>
      </c>
      <c r="J12" s="51">
        <v>0.0167</v>
      </c>
      <c r="K12" s="51">
        <v>0.0225</v>
      </c>
      <c r="L12" s="51">
        <v>0.0199</v>
      </c>
      <c r="M12" s="51">
        <v>0.0275</v>
      </c>
      <c r="N12" s="51">
        <v>0.0232</v>
      </c>
      <c r="O12" s="51">
        <v>0.0221</v>
      </c>
      <c r="P12" s="51">
        <v>0.0254</v>
      </c>
      <c r="Q12" s="51">
        <v>0.0232</v>
      </c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10">IF(J12="","",IF(J12&gt;($D12+$E12),(J12-$D12-$E12),IF(J12&lt;($D12+$F12),(J12-$D12-$F12),"√")))</f>
        <v>√</v>
      </c>
      <c r="AA12" s="52" t="str">
        <f t="shared" si="10"/>
        <v>√</v>
      </c>
      <c r="AB12" s="52" t="str">
        <f t="shared" si="10"/>
        <v>√</v>
      </c>
      <c r="AC12" s="52" t="str">
        <f t="shared" si="10"/>
        <v>√</v>
      </c>
      <c r="AD12" s="52" t="str">
        <f t="shared" si="10"/>
        <v>√</v>
      </c>
      <c r="AE12" s="52" t="str">
        <f t="shared" si="10"/>
        <v>√</v>
      </c>
      <c r="AF12" s="52" t="str">
        <f t="shared" si="10"/>
        <v>√</v>
      </c>
      <c r="AG12" s="52" t="str">
        <f t="shared" si="10"/>
        <v>√</v>
      </c>
      <c r="AH12" s="52" t="str">
        <f t="shared" si="10"/>
        <v/>
      </c>
      <c r="AI12" s="52" t="str">
        <f t="shared" si="10"/>
        <v/>
      </c>
      <c r="AJ12" s="52" t="str">
        <f t="shared" si="10"/>
        <v/>
      </c>
      <c r="AK12" s="52" t="str">
        <f t="shared" si="10"/>
        <v/>
      </c>
      <c r="AL12" s="52" t="str">
        <f t="shared" si="10"/>
        <v/>
      </c>
      <c r="AM12" s="52" t="str">
        <f t="shared" si="10"/>
        <v/>
      </c>
      <c r="AN12" s="52" t="str">
        <f t="shared" si="10"/>
        <v/>
      </c>
      <c r="AO12" s="52" t="str">
        <f t="shared" si="10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7"/>
        <v>0.035</v>
      </c>
      <c r="H13" s="50">
        <f t="shared" si="8"/>
        <v>0.015</v>
      </c>
      <c r="I13" s="50" t="s">
        <v>29</v>
      </c>
      <c r="J13" s="51">
        <v>0.016</v>
      </c>
      <c r="K13" s="51">
        <v>0.0178</v>
      </c>
      <c r="L13" s="51">
        <v>0.0209</v>
      </c>
      <c r="M13" s="51">
        <v>0.0212</v>
      </c>
      <c r="N13" s="51">
        <v>0.0212</v>
      </c>
      <c r="O13" s="51">
        <v>0.0204</v>
      </c>
      <c r="P13" s="51">
        <v>0.0234</v>
      </c>
      <c r="Q13" s="51">
        <v>0.0208</v>
      </c>
      <c r="R13" s="51"/>
      <c r="S13" s="51"/>
      <c r="T13" s="51"/>
      <c r="U13" s="51"/>
      <c r="V13" s="51"/>
      <c r="W13" s="51"/>
      <c r="X13" s="51"/>
      <c r="Y13" s="51"/>
      <c r="Z13" s="52" t="str">
        <f t="shared" ref="Z13:AO13" si="11">IF(J13="","",IF(J13&gt;($D13+$E13),(J13-$D13-$E13),IF(J13&lt;($D13+$F13),(J13-$D13-$F13),"√")))</f>
        <v>√</v>
      </c>
      <c r="AA13" s="52" t="str">
        <f t="shared" si="11"/>
        <v>√</v>
      </c>
      <c r="AB13" s="52" t="str">
        <f t="shared" si="11"/>
        <v>√</v>
      </c>
      <c r="AC13" s="52" t="str">
        <f t="shared" si="11"/>
        <v>√</v>
      </c>
      <c r="AD13" s="52" t="str">
        <f t="shared" si="11"/>
        <v>√</v>
      </c>
      <c r="AE13" s="52" t="str">
        <f t="shared" si="11"/>
        <v>√</v>
      </c>
      <c r="AF13" s="52" t="str">
        <f t="shared" si="11"/>
        <v>√</v>
      </c>
      <c r="AG13" s="52" t="str">
        <f t="shared" si="11"/>
        <v>√</v>
      </c>
      <c r="AH13" s="52" t="str">
        <f t="shared" si="11"/>
        <v/>
      </c>
      <c r="AI13" s="52" t="str">
        <f t="shared" si="11"/>
        <v/>
      </c>
      <c r="AJ13" s="52" t="str">
        <f t="shared" si="11"/>
        <v/>
      </c>
      <c r="AK13" s="52" t="str">
        <f t="shared" si="11"/>
        <v/>
      </c>
      <c r="AL13" s="52" t="str">
        <f t="shared" si="11"/>
        <v/>
      </c>
      <c r="AM13" s="52" t="str">
        <f t="shared" si="11"/>
        <v/>
      </c>
      <c r="AN13" s="52" t="str">
        <f t="shared" si="11"/>
        <v/>
      </c>
      <c r="AO13" s="52" t="str">
        <f t="shared" si="11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7"/>
        <v>0.035</v>
      </c>
      <c r="H14" s="50">
        <f t="shared" si="8"/>
        <v>0.015</v>
      </c>
      <c r="I14" s="50" t="s">
        <v>29</v>
      </c>
      <c r="J14" s="51">
        <v>0.0231</v>
      </c>
      <c r="K14" s="51">
        <v>0.0219</v>
      </c>
      <c r="L14" s="51">
        <v>0.0278</v>
      </c>
      <c r="M14" s="51">
        <v>0.0235</v>
      </c>
      <c r="N14" s="51">
        <v>0.0272</v>
      </c>
      <c r="O14" s="51">
        <v>0.0225</v>
      </c>
      <c r="P14" s="51">
        <v>0.0278</v>
      </c>
      <c r="Q14" s="51">
        <v>0.0213</v>
      </c>
      <c r="R14" s="51"/>
      <c r="S14" s="51"/>
      <c r="T14" s="51"/>
      <c r="U14" s="51"/>
      <c r="V14" s="51"/>
      <c r="W14" s="51"/>
      <c r="X14" s="51"/>
      <c r="Y14" s="51"/>
      <c r="Z14" s="52" t="str">
        <f t="shared" ref="Z14:AO14" si="12">IF(J14="","",IF(J14&gt;($D14+$E14),(J14-$D14-$E14),IF(J14&lt;($D14+$F14),(J14-$D14-$F14),"√")))</f>
        <v>√</v>
      </c>
      <c r="AA14" s="52" t="str">
        <f t="shared" si="12"/>
        <v>√</v>
      </c>
      <c r="AB14" s="52" t="str">
        <f t="shared" si="12"/>
        <v>√</v>
      </c>
      <c r="AC14" s="52" t="str">
        <f t="shared" si="12"/>
        <v>√</v>
      </c>
      <c r="AD14" s="52" t="str">
        <f t="shared" si="12"/>
        <v>√</v>
      </c>
      <c r="AE14" s="52" t="str">
        <f t="shared" si="12"/>
        <v>√</v>
      </c>
      <c r="AF14" s="52" t="str">
        <f t="shared" si="12"/>
        <v>√</v>
      </c>
      <c r="AG14" s="52" t="str">
        <f t="shared" si="12"/>
        <v>√</v>
      </c>
      <c r="AH14" s="52" t="str">
        <f t="shared" si="12"/>
        <v/>
      </c>
      <c r="AI14" s="52" t="str">
        <f t="shared" si="12"/>
        <v/>
      </c>
      <c r="AJ14" s="52" t="str">
        <f t="shared" si="12"/>
        <v/>
      </c>
      <c r="AK14" s="52" t="str">
        <f t="shared" si="12"/>
        <v/>
      </c>
      <c r="AL14" s="52" t="str">
        <f t="shared" si="12"/>
        <v/>
      </c>
      <c r="AM14" s="52" t="str">
        <f t="shared" si="12"/>
        <v/>
      </c>
      <c r="AN14" s="52" t="str">
        <f t="shared" si="12"/>
        <v/>
      </c>
      <c r="AO14" s="52" t="str">
        <f t="shared" si="12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7"/>
        <v>0.035</v>
      </c>
      <c r="H15" s="50">
        <f t="shared" si="8"/>
        <v>0.015</v>
      </c>
      <c r="I15" s="50" t="s">
        <v>29</v>
      </c>
      <c r="J15" s="51">
        <v>0.0227</v>
      </c>
      <c r="K15" s="51">
        <v>0.0282</v>
      </c>
      <c r="L15" s="51">
        <v>0.0185</v>
      </c>
      <c r="M15" s="51">
        <v>0.0217</v>
      </c>
      <c r="N15" s="51">
        <v>0.021</v>
      </c>
      <c r="O15" s="51">
        <v>0.0222</v>
      </c>
      <c r="P15" s="51">
        <v>0.0254</v>
      </c>
      <c r="Q15" s="51">
        <v>0.0251</v>
      </c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3">IF(J15="","",IF(J15&gt;($D15+$E15),(J15-$D15-$E15),IF(J15&lt;($D15+$F15),(J15-$D15-$F15),"√")))</f>
        <v>√</v>
      </c>
      <c r="AA15" s="52" t="str">
        <f t="shared" si="13"/>
        <v>√</v>
      </c>
      <c r="AB15" s="52" t="str">
        <f t="shared" si="13"/>
        <v>√</v>
      </c>
      <c r="AC15" s="52" t="str">
        <f t="shared" si="13"/>
        <v>√</v>
      </c>
      <c r="AD15" s="52" t="str">
        <f t="shared" si="13"/>
        <v>√</v>
      </c>
      <c r="AE15" s="52" t="str">
        <f t="shared" si="13"/>
        <v>√</v>
      </c>
      <c r="AF15" s="52" t="str">
        <f t="shared" si="13"/>
        <v>√</v>
      </c>
      <c r="AG15" s="52" t="str">
        <f t="shared" si="13"/>
        <v>√</v>
      </c>
      <c r="AH15" s="52" t="str">
        <f t="shared" si="13"/>
        <v/>
      </c>
      <c r="AI15" s="52" t="str">
        <f t="shared" si="13"/>
        <v/>
      </c>
      <c r="AJ15" s="52" t="str">
        <f t="shared" si="13"/>
        <v/>
      </c>
      <c r="AK15" s="52" t="str">
        <f t="shared" si="13"/>
        <v/>
      </c>
      <c r="AL15" s="52" t="str">
        <f t="shared" si="13"/>
        <v/>
      </c>
      <c r="AM15" s="52" t="str">
        <f t="shared" si="13"/>
        <v/>
      </c>
      <c r="AN15" s="52" t="str">
        <f t="shared" si="13"/>
        <v/>
      </c>
      <c r="AO15" s="52" t="str">
        <f t="shared" si="13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7"/>
        <v>0.035</v>
      </c>
      <c r="H16" s="50">
        <f t="shared" si="8"/>
        <v>0.015</v>
      </c>
      <c r="I16" s="50" t="s">
        <v>29</v>
      </c>
      <c r="J16" s="51">
        <v>0.0193</v>
      </c>
      <c r="K16" s="51">
        <v>0.0185</v>
      </c>
      <c r="L16" s="51">
        <v>0.0218</v>
      </c>
      <c r="M16" s="51">
        <v>0.0231</v>
      </c>
      <c r="N16" s="51">
        <v>0.019</v>
      </c>
      <c r="O16" s="51">
        <v>0.0192</v>
      </c>
      <c r="P16" s="51">
        <v>0.0164</v>
      </c>
      <c r="Q16" s="51">
        <v>0.0166</v>
      </c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4">IF(J16="","",IF(J16&gt;($D16+$E16),(J16-$D16-$E16),IF(J16&lt;($D16+$F16),(J16-$D16-$F16),"√")))</f>
        <v>√</v>
      </c>
      <c r="AA16" s="52" t="str">
        <f t="shared" si="14"/>
        <v>√</v>
      </c>
      <c r="AB16" s="52" t="str">
        <f t="shared" si="14"/>
        <v>√</v>
      </c>
      <c r="AC16" s="52" t="str">
        <f t="shared" si="14"/>
        <v>√</v>
      </c>
      <c r="AD16" s="52" t="str">
        <f t="shared" si="14"/>
        <v>√</v>
      </c>
      <c r="AE16" s="52" t="str">
        <f t="shared" si="14"/>
        <v>√</v>
      </c>
      <c r="AF16" s="52" t="str">
        <f t="shared" si="14"/>
        <v>√</v>
      </c>
      <c r="AG16" s="52" t="str">
        <f t="shared" si="14"/>
        <v>√</v>
      </c>
      <c r="AH16" s="52" t="str">
        <f t="shared" si="14"/>
        <v/>
      </c>
      <c r="AI16" s="52" t="str">
        <f t="shared" si="14"/>
        <v/>
      </c>
      <c r="AJ16" s="52" t="str">
        <f t="shared" si="14"/>
        <v/>
      </c>
      <c r="AK16" s="52" t="str">
        <f t="shared" si="14"/>
        <v/>
      </c>
      <c r="AL16" s="52" t="str">
        <f t="shared" si="14"/>
        <v/>
      </c>
      <c r="AM16" s="52" t="str">
        <f t="shared" si="14"/>
        <v/>
      </c>
      <c r="AN16" s="52" t="str">
        <f t="shared" si="14"/>
        <v/>
      </c>
      <c r="AO16" s="52" t="str">
        <f t="shared" si="14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7"/>
        <v>0.035</v>
      </c>
      <c r="H17" s="50">
        <f t="shared" si="8"/>
        <v>0.015</v>
      </c>
      <c r="I17" s="50" t="s">
        <v>29</v>
      </c>
      <c r="J17" s="51">
        <v>0.0237</v>
      </c>
      <c r="K17" s="51">
        <v>0.026</v>
      </c>
      <c r="L17" s="51">
        <v>0.0262</v>
      </c>
      <c r="M17" s="51">
        <v>0.0267</v>
      </c>
      <c r="N17" s="51">
        <v>0.0286</v>
      </c>
      <c r="O17" s="51">
        <v>0.0307</v>
      </c>
      <c r="P17" s="51">
        <v>0.0283</v>
      </c>
      <c r="Q17" s="51">
        <v>0.0248</v>
      </c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5">IF(J17="","",IF(J17&gt;($D17+$E17),(J17-$D17-$E17),IF(J17&lt;($D17+$F17),(J17-$D17-$F17),"√")))</f>
        <v>√</v>
      </c>
      <c r="AA17" s="52" t="str">
        <f t="shared" si="15"/>
        <v>√</v>
      </c>
      <c r="AB17" s="52" t="str">
        <f t="shared" si="15"/>
        <v>√</v>
      </c>
      <c r="AC17" s="52" t="str">
        <f t="shared" si="15"/>
        <v>√</v>
      </c>
      <c r="AD17" s="52" t="str">
        <f t="shared" si="15"/>
        <v>√</v>
      </c>
      <c r="AE17" s="52" t="str">
        <f t="shared" si="15"/>
        <v>√</v>
      </c>
      <c r="AF17" s="52" t="str">
        <f t="shared" si="15"/>
        <v>√</v>
      </c>
      <c r="AG17" s="52" t="str">
        <f t="shared" si="15"/>
        <v>√</v>
      </c>
      <c r="AH17" s="52" t="str">
        <f t="shared" si="15"/>
        <v/>
      </c>
      <c r="AI17" s="52" t="str">
        <f t="shared" si="15"/>
        <v/>
      </c>
      <c r="AJ17" s="52" t="str">
        <f t="shared" si="15"/>
        <v/>
      </c>
      <c r="AK17" s="52" t="str">
        <f t="shared" si="15"/>
        <v/>
      </c>
      <c r="AL17" s="52" t="str">
        <f t="shared" si="15"/>
        <v/>
      </c>
      <c r="AM17" s="52" t="str">
        <f t="shared" si="15"/>
        <v/>
      </c>
      <c r="AN17" s="52" t="str">
        <f t="shared" si="15"/>
        <v/>
      </c>
      <c r="AO17" s="52" t="str">
        <f t="shared" si="15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7"/>
        <v>0.035</v>
      </c>
      <c r="H18" s="50">
        <f t="shared" si="8"/>
        <v>0.015</v>
      </c>
      <c r="I18" s="50" t="s">
        <v>29</v>
      </c>
      <c r="J18" s="51">
        <v>0.0234</v>
      </c>
      <c r="K18" s="51">
        <v>0.0191</v>
      </c>
      <c r="L18" s="51">
        <v>0.0161</v>
      </c>
      <c r="M18" s="51">
        <v>0.0197</v>
      </c>
      <c r="N18" s="51">
        <v>0.0184</v>
      </c>
      <c r="O18" s="51">
        <v>0.0228</v>
      </c>
      <c r="P18" s="51">
        <v>0.021</v>
      </c>
      <c r="Q18" s="51">
        <v>0.0267</v>
      </c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6">IF(J18="","",IF(J18&gt;($D18+$E18),(J18-$D18-$E18),IF(J18&lt;($D18+$F18),(J18-$D18-$F18),"√")))</f>
        <v>√</v>
      </c>
      <c r="AA18" s="52" t="str">
        <f t="shared" si="16"/>
        <v>√</v>
      </c>
      <c r="AB18" s="52" t="str">
        <f t="shared" si="16"/>
        <v>√</v>
      </c>
      <c r="AC18" s="52" t="str">
        <f t="shared" si="16"/>
        <v>√</v>
      </c>
      <c r="AD18" s="52" t="str">
        <f t="shared" si="16"/>
        <v>√</v>
      </c>
      <c r="AE18" s="52" t="str">
        <f t="shared" si="16"/>
        <v>√</v>
      </c>
      <c r="AF18" s="52" t="str">
        <f t="shared" si="16"/>
        <v>√</v>
      </c>
      <c r="AG18" s="52" t="str">
        <f t="shared" si="16"/>
        <v>√</v>
      </c>
      <c r="AH18" s="52" t="str">
        <f t="shared" si="16"/>
        <v/>
      </c>
      <c r="AI18" s="52" t="str">
        <f t="shared" si="16"/>
        <v/>
      </c>
      <c r="AJ18" s="52" t="str">
        <f t="shared" si="16"/>
        <v/>
      </c>
      <c r="AK18" s="52" t="str">
        <f t="shared" si="16"/>
        <v/>
      </c>
      <c r="AL18" s="52" t="str">
        <f t="shared" si="16"/>
        <v/>
      </c>
      <c r="AM18" s="52" t="str">
        <f t="shared" si="16"/>
        <v/>
      </c>
      <c r="AN18" s="52" t="str">
        <f t="shared" si="16"/>
        <v/>
      </c>
      <c r="AO18" s="52" t="str">
        <f t="shared" si="16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7"/>
        <v>1.33</v>
      </c>
      <c r="H19" s="50">
        <f t="shared" si="8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7">IF(J19="","",IF(J19&gt;($D19+$E19),(J19-$D19-$E19),IF(J19&lt;($D19+$F19),(J19-$D19-$F19),"√")))</f>
        <v/>
      </c>
      <c r="AA19" s="52" t="str">
        <f t="shared" si="17"/>
        <v/>
      </c>
      <c r="AB19" s="52" t="str">
        <f t="shared" si="17"/>
        <v/>
      </c>
      <c r="AC19" s="52" t="str">
        <f t="shared" si="17"/>
        <v/>
      </c>
      <c r="AD19" s="52" t="str">
        <f t="shared" si="17"/>
        <v/>
      </c>
      <c r="AE19" s="52" t="str">
        <f t="shared" si="17"/>
        <v/>
      </c>
      <c r="AF19" s="52" t="str">
        <f t="shared" si="17"/>
        <v/>
      </c>
      <c r="AG19" s="52" t="str">
        <f t="shared" si="17"/>
        <v/>
      </c>
      <c r="AH19" s="52" t="str">
        <f t="shared" si="17"/>
        <v/>
      </c>
      <c r="AI19" s="52" t="str">
        <f t="shared" si="17"/>
        <v/>
      </c>
      <c r="AJ19" s="52" t="str">
        <f t="shared" si="17"/>
        <v/>
      </c>
      <c r="AK19" s="52" t="str">
        <f t="shared" si="17"/>
        <v/>
      </c>
      <c r="AL19" s="52" t="str">
        <f t="shared" si="17"/>
        <v/>
      </c>
      <c r="AM19" s="52" t="str">
        <f t="shared" si="17"/>
        <v/>
      </c>
      <c r="AN19" s="52" t="str">
        <f t="shared" si="17"/>
        <v/>
      </c>
      <c r="AO19" s="52" t="str">
        <f t="shared" si="17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7"/>
        <v>187.04</v>
      </c>
      <c r="H20" s="50">
        <f t="shared" si="8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8">IF(J20="","",IF(J20&gt;($D20+$E20),(J20-$D20-$E20),IF(J20&lt;($D20+$F20),(J20-$D20-$F20),"√")))</f>
        <v/>
      </c>
      <c r="AA20" s="52" t="str">
        <f t="shared" si="18"/>
        <v/>
      </c>
      <c r="AB20" s="52" t="str">
        <f t="shared" si="18"/>
        <v/>
      </c>
      <c r="AC20" s="52" t="str">
        <f t="shared" si="18"/>
        <v/>
      </c>
      <c r="AD20" s="52" t="str">
        <f t="shared" si="18"/>
        <v/>
      </c>
      <c r="AE20" s="52" t="str">
        <f t="shared" si="18"/>
        <v/>
      </c>
      <c r="AF20" s="52" t="str">
        <f t="shared" si="18"/>
        <v/>
      </c>
      <c r="AG20" s="52" t="str">
        <f t="shared" si="18"/>
        <v/>
      </c>
      <c r="AH20" s="52" t="str">
        <f t="shared" si="18"/>
        <v/>
      </c>
      <c r="AI20" s="52" t="str">
        <f t="shared" si="18"/>
        <v/>
      </c>
      <c r="AJ20" s="52" t="str">
        <f t="shared" si="18"/>
        <v/>
      </c>
      <c r="AK20" s="52" t="str">
        <f t="shared" si="18"/>
        <v/>
      </c>
      <c r="AL20" s="52" t="str">
        <f t="shared" si="18"/>
        <v/>
      </c>
      <c r="AM20" s="52" t="str">
        <f t="shared" si="18"/>
        <v/>
      </c>
      <c r="AN20" s="52" t="str">
        <f t="shared" si="18"/>
        <v/>
      </c>
      <c r="AO20" s="52" t="str">
        <f t="shared" si="18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7"/>
        <v>0.53</v>
      </c>
      <c r="H21" s="50">
        <f t="shared" si="8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9">IF(J21="","",IF(J21&gt;($D21+$E21),(J21-$D21-$E21),IF(J21&lt;($D21+$F21),(J21-$D21-$F21),"√")))</f>
        <v/>
      </c>
      <c r="AA21" s="52" t="str">
        <f t="shared" si="19"/>
        <v/>
      </c>
      <c r="AB21" s="52" t="str">
        <f t="shared" si="19"/>
        <v/>
      </c>
      <c r="AC21" s="52" t="str">
        <f t="shared" si="19"/>
        <v/>
      </c>
      <c r="AD21" s="52" t="str">
        <f t="shared" si="19"/>
        <v/>
      </c>
      <c r="AE21" s="52" t="str">
        <f t="shared" si="19"/>
        <v/>
      </c>
      <c r="AF21" s="52" t="str">
        <f t="shared" si="19"/>
        <v/>
      </c>
      <c r="AG21" s="52" t="str">
        <f t="shared" si="19"/>
        <v/>
      </c>
      <c r="AH21" s="52" t="str">
        <f t="shared" si="19"/>
        <v/>
      </c>
      <c r="AI21" s="52" t="str">
        <f t="shared" si="19"/>
        <v/>
      </c>
      <c r="AJ21" s="52" t="str">
        <f t="shared" si="19"/>
        <v/>
      </c>
      <c r="AK21" s="52" t="str">
        <f t="shared" si="19"/>
        <v/>
      </c>
      <c r="AL21" s="52" t="str">
        <f t="shared" si="19"/>
        <v/>
      </c>
      <c r="AM21" s="52" t="str">
        <f t="shared" si="19"/>
        <v/>
      </c>
      <c r="AN21" s="52" t="str">
        <f t="shared" si="19"/>
        <v/>
      </c>
      <c r="AO21" s="52" t="str">
        <f t="shared" si="19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7"/>
        <v>1.03</v>
      </c>
      <c r="H22" s="50">
        <f t="shared" si="8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20">IF(J22="","",IF(J22&gt;($D22+$E22),(J22-$D22-$E22),IF(J22&lt;($D22+$F22),(J22-$D22-$F22),"√")))</f>
        <v/>
      </c>
      <c r="AA22" s="52" t="str">
        <f t="shared" si="20"/>
        <v/>
      </c>
      <c r="AB22" s="52" t="str">
        <f t="shared" si="20"/>
        <v/>
      </c>
      <c r="AC22" s="52" t="str">
        <f t="shared" si="20"/>
        <v/>
      </c>
      <c r="AD22" s="52" t="str">
        <f t="shared" si="20"/>
        <v/>
      </c>
      <c r="AE22" s="52" t="str">
        <f t="shared" si="20"/>
        <v/>
      </c>
      <c r="AF22" s="52" t="str">
        <f t="shared" si="20"/>
        <v/>
      </c>
      <c r="AG22" s="52" t="str">
        <f t="shared" si="20"/>
        <v/>
      </c>
      <c r="AH22" s="52" t="str">
        <f t="shared" si="20"/>
        <v/>
      </c>
      <c r="AI22" s="52" t="str">
        <f t="shared" si="20"/>
        <v/>
      </c>
      <c r="AJ22" s="52" t="str">
        <f t="shared" si="20"/>
        <v/>
      </c>
      <c r="AK22" s="52" t="str">
        <f t="shared" si="20"/>
        <v/>
      </c>
      <c r="AL22" s="52" t="str">
        <f t="shared" si="20"/>
        <v/>
      </c>
      <c r="AM22" s="52" t="str">
        <f t="shared" si="20"/>
        <v/>
      </c>
      <c r="AN22" s="52" t="str">
        <f t="shared" si="20"/>
        <v/>
      </c>
      <c r="AO22" s="52" t="str">
        <f t="shared" si="20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7"/>
        <v>1.06</v>
      </c>
      <c r="H23" s="50">
        <f t="shared" si="8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21">IF(J23="","",IF(J23&gt;($D23+$E23),(J23-$D23-$E23),IF(J23&lt;($D23+$F23),(J23-$D23-$F23),"√")))</f>
        <v/>
      </c>
      <c r="AA23" s="52" t="str">
        <f t="shared" si="21"/>
        <v/>
      </c>
      <c r="AB23" s="52" t="str">
        <f t="shared" si="21"/>
        <v/>
      </c>
      <c r="AC23" s="52" t="str">
        <f t="shared" si="21"/>
        <v/>
      </c>
      <c r="AD23" s="52" t="str">
        <f t="shared" si="21"/>
        <v/>
      </c>
      <c r="AE23" s="52" t="str">
        <f t="shared" si="21"/>
        <v/>
      </c>
      <c r="AF23" s="52" t="str">
        <f t="shared" si="21"/>
        <v/>
      </c>
      <c r="AG23" s="52" t="str">
        <f t="shared" si="21"/>
        <v/>
      </c>
      <c r="AH23" s="52" t="str">
        <f t="shared" si="21"/>
        <v/>
      </c>
      <c r="AI23" s="52" t="str">
        <f t="shared" si="21"/>
        <v/>
      </c>
      <c r="AJ23" s="52" t="str">
        <f t="shared" si="21"/>
        <v/>
      </c>
      <c r="AK23" s="52" t="str">
        <f t="shared" si="21"/>
        <v/>
      </c>
      <c r="AL23" s="52" t="str">
        <f t="shared" si="21"/>
        <v/>
      </c>
      <c r="AM23" s="52" t="str">
        <f t="shared" si="21"/>
        <v/>
      </c>
      <c r="AN23" s="52" t="str">
        <f t="shared" si="21"/>
        <v/>
      </c>
      <c r="AO23" s="52" t="str">
        <f t="shared" si="21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7"/>
        <v>0.92</v>
      </c>
      <c r="H24" s="50">
        <f t="shared" si="8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2">IF(J24="","",IF(J24&gt;($D24+$E24),(J24-$D24-$E24),IF(J24&lt;($D24+$F24),(J24-$D24-$F24),"√")))</f>
        <v/>
      </c>
      <c r="AA24" s="52" t="str">
        <f t="shared" si="22"/>
        <v/>
      </c>
      <c r="AB24" s="52" t="str">
        <f t="shared" si="22"/>
        <v/>
      </c>
      <c r="AC24" s="52" t="str">
        <f t="shared" si="22"/>
        <v/>
      </c>
      <c r="AD24" s="52" t="str">
        <f t="shared" si="22"/>
        <v/>
      </c>
      <c r="AE24" s="52" t="str">
        <f t="shared" si="22"/>
        <v/>
      </c>
      <c r="AF24" s="52" t="str">
        <f t="shared" si="22"/>
        <v/>
      </c>
      <c r="AG24" s="52" t="str">
        <f t="shared" si="22"/>
        <v/>
      </c>
      <c r="AH24" s="52" t="str">
        <f t="shared" si="22"/>
        <v/>
      </c>
      <c r="AI24" s="52" t="str">
        <f t="shared" si="22"/>
        <v/>
      </c>
      <c r="AJ24" s="52" t="str">
        <f t="shared" si="22"/>
        <v/>
      </c>
      <c r="AK24" s="52" t="str">
        <f t="shared" si="22"/>
        <v/>
      </c>
      <c r="AL24" s="52" t="str">
        <f t="shared" si="22"/>
        <v/>
      </c>
      <c r="AM24" s="52" t="str">
        <f t="shared" si="22"/>
        <v/>
      </c>
      <c r="AN24" s="52" t="str">
        <f t="shared" si="22"/>
        <v/>
      </c>
      <c r="AO24" s="52" t="str">
        <f t="shared" si="22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7"/>
        <v>4.21</v>
      </c>
      <c r="H25" s="50">
        <f t="shared" si="8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3">IF(J25="","",IF(J25&gt;($D25+$E25),(J25-$D25-$E25),IF(J25&lt;($D25+$F25),(J25-$D25-$F25),"√")))</f>
        <v/>
      </c>
      <c r="AA25" s="52" t="str">
        <f t="shared" si="23"/>
        <v/>
      </c>
      <c r="AB25" s="52" t="str">
        <f t="shared" si="23"/>
        <v/>
      </c>
      <c r="AC25" s="52" t="str">
        <f t="shared" si="23"/>
        <v/>
      </c>
      <c r="AD25" s="52" t="str">
        <f t="shared" si="23"/>
        <v/>
      </c>
      <c r="AE25" s="52" t="str">
        <f t="shared" si="23"/>
        <v/>
      </c>
      <c r="AF25" s="52" t="str">
        <f t="shared" si="23"/>
        <v/>
      </c>
      <c r="AG25" s="52" t="str">
        <f t="shared" si="23"/>
        <v/>
      </c>
      <c r="AH25" s="52" t="str">
        <f t="shared" si="23"/>
        <v/>
      </c>
      <c r="AI25" s="52" t="str">
        <f t="shared" si="23"/>
        <v/>
      </c>
      <c r="AJ25" s="52" t="str">
        <f t="shared" si="23"/>
        <v/>
      </c>
      <c r="AK25" s="52" t="str">
        <f t="shared" si="23"/>
        <v/>
      </c>
      <c r="AL25" s="52" t="str">
        <f t="shared" si="23"/>
        <v/>
      </c>
      <c r="AM25" s="52" t="str">
        <f t="shared" si="23"/>
        <v/>
      </c>
      <c r="AN25" s="52" t="str">
        <f t="shared" si="23"/>
        <v/>
      </c>
      <c r="AO25" s="52" t="str">
        <f t="shared" si="23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7"/>
        <v>4.24</v>
      </c>
      <c r="H26" s="50">
        <f t="shared" si="8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4">IF(J26="","",IF(J26&gt;($D26+$E26),(J26-$D26-$E26),IF(J26&lt;($D26+$F26),(J26-$D26-$F26),"√")))</f>
        <v/>
      </c>
      <c r="AA26" s="52" t="str">
        <f t="shared" si="24"/>
        <v/>
      </c>
      <c r="AB26" s="52" t="str">
        <f t="shared" si="24"/>
        <v/>
      </c>
      <c r="AC26" s="52" t="str">
        <f t="shared" si="24"/>
        <v/>
      </c>
      <c r="AD26" s="52" t="str">
        <f t="shared" si="24"/>
        <v/>
      </c>
      <c r="AE26" s="52" t="str">
        <f t="shared" si="24"/>
        <v/>
      </c>
      <c r="AF26" s="52" t="str">
        <f t="shared" si="24"/>
        <v/>
      </c>
      <c r="AG26" s="52" t="str">
        <f t="shared" si="24"/>
        <v/>
      </c>
      <c r="AH26" s="52" t="str">
        <f t="shared" si="24"/>
        <v/>
      </c>
      <c r="AI26" s="52" t="str">
        <f t="shared" si="24"/>
        <v/>
      </c>
      <c r="AJ26" s="52" t="str">
        <f t="shared" si="24"/>
        <v/>
      </c>
      <c r="AK26" s="52" t="str">
        <f t="shared" si="24"/>
        <v/>
      </c>
      <c r="AL26" s="52" t="str">
        <f t="shared" si="24"/>
        <v/>
      </c>
      <c r="AM26" s="52" t="str">
        <f t="shared" si="24"/>
        <v/>
      </c>
      <c r="AN26" s="52" t="str">
        <f t="shared" si="24"/>
        <v/>
      </c>
      <c r="AO26" s="52" t="str">
        <f t="shared" si="24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ref="G27:G33" si="25">D27+E27</f>
        <v>8.25</v>
      </c>
      <c r="H27" s="50">
        <f t="shared" ref="H27:H33" si="26">D27+F27</f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7">IF(J27="","",IF(J27&gt;($D27+$E27),(J27-$D27-$E27),IF(J27&lt;($D27+$F27),(J27-$D27-$F27),"√")))</f>
        <v/>
      </c>
      <c r="AA27" s="52" t="str">
        <f t="shared" si="27"/>
        <v/>
      </c>
      <c r="AB27" s="52" t="str">
        <f t="shared" si="27"/>
        <v/>
      </c>
      <c r="AC27" s="52" t="str">
        <f t="shared" si="27"/>
        <v/>
      </c>
      <c r="AD27" s="52" t="str">
        <f t="shared" si="27"/>
        <v/>
      </c>
      <c r="AE27" s="52" t="str">
        <f t="shared" si="27"/>
        <v/>
      </c>
      <c r="AF27" s="52" t="str">
        <f t="shared" si="27"/>
        <v/>
      </c>
      <c r="AG27" s="52" t="str">
        <f t="shared" si="27"/>
        <v/>
      </c>
      <c r="AH27" s="52" t="str">
        <f t="shared" si="27"/>
        <v/>
      </c>
      <c r="AI27" s="52" t="str">
        <f t="shared" si="27"/>
        <v/>
      </c>
      <c r="AJ27" s="52" t="str">
        <f t="shared" si="27"/>
        <v/>
      </c>
      <c r="AK27" s="52" t="str">
        <f t="shared" si="27"/>
        <v/>
      </c>
      <c r="AL27" s="52" t="str">
        <f t="shared" si="27"/>
        <v/>
      </c>
      <c r="AM27" s="52" t="str">
        <f t="shared" si="27"/>
        <v/>
      </c>
      <c r="AN27" s="52" t="str">
        <f t="shared" si="27"/>
        <v/>
      </c>
      <c r="AO27" s="52" t="str">
        <f t="shared" si="27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25"/>
        <v>2.72</v>
      </c>
      <c r="H28" s="50">
        <f t="shared" si="26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8">IF(J28="","",IF(J28&gt;($D28+$E28),(J28-$D28-$E28),IF(J28&lt;($D28+$F28),(J28-$D28-$F28),"√")))</f>
        <v/>
      </c>
      <c r="AA28" s="52" t="str">
        <f t="shared" si="28"/>
        <v/>
      </c>
      <c r="AB28" s="52" t="str">
        <f t="shared" si="28"/>
        <v/>
      </c>
      <c r="AC28" s="52" t="str">
        <f t="shared" si="28"/>
        <v/>
      </c>
      <c r="AD28" s="52" t="str">
        <f t="shared" si="28"/>
        <v/>
      </c>
      <c r="AE28" s="52" t="str">
        <f t="shared" si="28"/>
        <v/>
      </c>
      <c r="AF28" s="52" t="str">
        <f t="shared" si="28"/>
        <v/>
      </c>
      <c r="AG28" s="52" t="str">
        <f t="shared" si="28"/>
        <v/>
      </c>
      <c r="AH28" s="52" t="str">
        <f t="shared" si="28"/>
        <v/>
      </c>
      <c r="AI28" s="52" t="str">
        <f t="shared" si="28"/>
        <v/>
      </c>
      <c r="AJ28" s="52" t="str">
        <f t="shared" si="28"/>
        <v/>
      </c>
      <c r="AK28" s="52" t="str">
        <f t="shared" si="28"/>
        <v/>
      </c>
      <c r="AL28" s="52" t="str">
        <f t="shared" si="28"/>
        <v/>
      </c>
      <c r="AM28" s="52" t="str">
        <f t="shared" si="28"/>
        <v/>
      </c>
      <c r="AN28" s="52" t="str">
        <f t="shared" si="28"/>
        <v/>
      </c>
      <c r="AO28" s="52" t="str">
        <f t="shared" si="28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25"/>
        <v>5.61</v>
      </c>
      <c r="H29" s="50">
        <f t="shared" si="26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9">IF(J29="","",IF(J29&gt;($D29+$E29),(J29-$D29-$E29),IF(J29&lt;($D29+$F29),(J29-$D29-$F29),"√")))</f>
        <v/>
      </c>
      <c r="AA29" s="52" t="str">
        <f t="shared" si="29"/>
        <v/>
      </c>
      <c r="AB29" s="52" t="str">
        <f t="shared" si="29"/>
        <v/>
      </c>
      <c r="AC29" s="52" t="str">
        <f t="shared" si="29"/>
        <v/>
      </c>
      <c r="AD29" s="52" t="str">
        <f t="shared" si="29"/>
        <v/>
      </c>
      <c r="AE29" s="52" t="str">
        <f t="shared" si="29"/>
        <v/>
      </c>
      <c r="AF29" s="52" t="str">
        <f t="shared" si="29"/>
        <v/>
      </c>
      <c r="AG29" s="52" t="str">
        <f t="shared" si="29"/>
        <v/>
      </c>
      <c r="AH29" s="52" t="str">
        <f t="shared" si="29"/>
        <v/>
      </c>
      <c r="AI29" s="52" t="str">
        <f t="shared" si="29"/>
        <v/>
      </c>
      <c r="AJ29" s="52" t="str">
        <f t="shared" si="29"/>
        <v/>
      </c>
      <c r="AK29" s="52" t="str">
        <f t="shared" si="29"/>
        <v/>
      </c>
      <c r="AL29" s="52" t="str">
        <f t="shared" si="29"/>
        <v/>
      </c>
      <c r="AM29" s="52" t="str">
        <f t="shared" si="29"/>
        <v/>
      </c>
      <c r="AN29" s="52" t="str">
        <f t="shared" si="29"/>
        <v/>
      </c>
      <c r="AO29" s="52" t="str">
        <f t="shared" si="29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25"/>
        <v>0.43</v>
      </c>
      <c r="H30" s="50">
        <f t="shared" si="26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30">IF(J30="","",IF(J30&gt;($D30+$E30),(J30-$D30-$E30),IF(J30&lt;($D30+$F30),(J30-$D30-$F30),"√")))</f>
        <v/>
      </c>
      <c r="AA30" s="52" t="str">
        <f t="shared" si="30"/>
        <v/>
      </c>
      <c r="AB30" s="52" t="str">
        <f t="shared" si="30"/>
        <v/>
      </c>
      <c r="AC30" s="52" t="str">
        <f t="shared" si="30"/>
        <v/>
      </c>
      <c r="AD30" s="52" t="str">
        <f t="shared" si="30"/>
        <v/>
      </c>
      <c r="AE30" s="52" t="str">
        <f t="shared" si="30"/>
        <v/>
      </c>
      <c r="AF30" s="52" t="str">
        <f t="shared" si="30"/>
        <v/>
      </c>
      <c r="AG30" s="52" t="str">
        <f t="shared" si="30"/>
        <v/>
      </c>
      <c r="AH30" s="52" t="str">
        <f t="shared" si="30"/>
        <v/>
      </c>
      <c r="AI30" s="52" t="str">
        <f t="shared" si="30"/>
        <v/>
      </c>
      <c r="AJ30" s="52" t="str">
        <f t="shared" si="30"/>
        <v/>
      </c>
      <c r="AK30" s="52" t="str">
        <f t="shared" si="30"/>
        <v/>
      </c>
      <c r="AL30" s="52" t="str">
        <f t="shared" si="30"/>
        <v/>
      </c>
      <c r="AM30" s="52" t="str">
        <f t="shared" si="30"/>
        <v/>
      </c>
      <c r="AN30" s="52" t="str">
        <f t="shared" si="30"/>
        <v/>
      </c>
      <c r="AO30" s="52" t="str">
        <f t="shared" si="30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25"/>
        <v>0.43</v>
      </c>
      <c r="H31" s="50">
        <f t="shared" si="26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2" si="31">IF(J31="","",IF(J31&gt;($D31+$E31),(J31-$D31-$E31),IF(J31&lt;($D31+$F31),(J31-$D31-$F31),"√")))</f>
        <v/>
      </c>
      <c r="AA31" s="52" t="str">
        <f t="shared" si="31"/>
        <v/>
      </c>
      <c r="AB31" s="52" t="str">
        <f t="shared" si="31"/>
        <v/>
      </c>
      <c r="AC31" s="52" t="str">
        <f t="shared" si="31"/>
        <v/>
      </c>
      <c r="AD31" s="52" t="str">
        <f t="shared" si="31"/>
        <v/>
      </c>
      <c r="AE31" s="52" t="str">
        <f t="shared" si="31"/>
        <v/>
      </c>
      <c r="AF31" s="52" t="str">
        <f t="shared" si="31"/>
        <v/>
      </c>
      <c r="AG31" s="52" t="str">
        <f t="shared" si="31"/>
        <v/>
      </c>
      <c r="AH31" s="52" t="str">
        <f t="shared" si="31"/>
        <v/>
      </c>
      <c r="AI31" s="52" t="str">
        <f t="shared" si="31"/>
        <v/>
      </c>
      <c r="AJ31" s="52" t="str">
        <f t="shared" si="31"/>
        <v/>
      </c>
      <c r="AK31" s="52" t="str">
        <f t="shared" si="31"/>
        <v/>
      </c>
      <c r="AL31" s="52" t="str">
        <f t="shared" si="31"/>
        <v/>
      </c>
      <c r="AM31" s="52" t="str">
        <f t="shared" si="31"/>
        <v/>
      </c>
      <c r="AN31" s="52" t="str">
        <f t="shared" si="31"/>
        <v/>
      </c>
      <c r="AO31" s="52" t="str">
        <f t="shared" si="31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25"/>
        <v>3.37</v>
      </c>
      <c r="H32" s="50">
        <f t="shared" si="26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si="31"/>
        <v/>
      </c>
      <c r="AA32" s="56" t="str">
        <f t="shared" si="31"/>
        <v/>
      </c>
      <c r="AB32" s="56" t="str">
        <f t="shared" si="31"/>
        <v/>
      </c>
      <c r="AC32" s="56" t="str">
        <f t="shared" si="31"/>
        <v/>
      </c>
      <c r="AD32" s="56" t="str">
        <f t="shared" si="31"/>
        <v/>
      </c>
      <c r="AE32" s="56" t="str">
        <f t="shared" si="31"/>
        <v/>
      </c>
      <c r="AF32" s="56" t="str">
        <f t="shared" si="31"/>
        <v/>
      </c>
      <c r="AG32" s="56" t="str">
        <f t="shared" si="31"/>
        <v/>
      </c>
      <c r="AH32" s="56" t="str">
        <f t="shared" si="31"/>
        <v/>
      </c>
      <c r="AI32" s="56" t="str">
        <f t="shared" si="31"/>
        <v/>
      </c>
      <c r="AJ32" s="56" t="str">
        <f t="shared" si="31"/>
        <v/>
      </c>
      <c r="AK32" s="56" t="str">
        <f t="shared" si="31"/>
        <v/>
      </c>
      <c r="AL32" s="56" t="str">
        <f t="shared" si="31"/>
        <v/>
      </c>
      <c r="AM32" s="56" t="str">
        <f t="shared" si="31"/>
        <v/>
      </c>
      <c r="AN32" s="56" t="str">
        <f t="shared" si="31"/>
        <v/>
      </c>
      <c r="AO32" s="56" t="str">
        <f t="shared" si="31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25"/>
        <v>1.6</v>
      </c>
      <c r="H33" s="50">
        <f t="shared" si="26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32">IF(J33="","",IF(J33&gt;($D33+$E33),(J33-$D33-$E33),IF(J33&lt;($D33+$F33),(J33-$D33-$F33),"√")))</f>
        <v/>
      </c>
      <c r="AA33" s="52" t="str">
        <f t="shared" si="32"/>
        <v/>
      </c>
      <c r="AB33" s="52" t="str">
        <f t="shared" si="32"/>
        <v/>
      </c>
      <c r="AC33" s="52" t="str">
        <f t="shared" si="32"/>
        <v/>
      </c>
      <c r="AD33" s="52" t="str">
        <f t="shared" si="32"/>
        <v/>
      </c>
      <c r="AE33" s="52" t="str">
        <f t="shared" si="32"/>
        <v/>
      </c>
      <c r="AF33" s="52" t="str">
        <f t="shared" si="32"/>
        <v/>
      </c>
      <c r="AG33" s="52" t="str">
        <f t="shared" si="32"/>
        <v/>
      </c>
      <c r="AH33" s="52" t="str">
        <f t="shared" si="32"/>
        <v/>
      </c>
      <c r="AI33" s="52" t="str">
        <f t="shared" si="32"/>
        <v/>
      </c>
      <c r="AJ33" s="52" t="str">
        <f t="shared" si="32"/>
        <v/>
      </c>
      <c r="AK33" s="52" t="str">
        <f t="shared" si="32"/>
        <v/>
      </c>
      <c r="AL33" s="52" t="str">
        <f t="shared" si="32"/>
        <v/>
      </c>
      <c r="AM33" s="52" t="str">
        <f t="shared" si="32"/>
        <v/>
      </c>
      <c r="AN33" s="52" t="str">
        <f t="shared" si="32"/>
        <v/>
      </c>
      <c r="AO33" s="52" t="str">
        <f t="shared" si="32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ref="G34:G65" si="33">D34+E34</f>
        <v>1.2</v>
      </c>
      <c r="H34" s="50">
        <f t="shared" ref="H34:H65" si="34">D34+F34</f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5">IF(J34="","",IF(J34&gt;($D34+$E34),(J34-$D34-$E34),IF(J34&lt;($D34+$F34),(J34-$D34-$F34),"√")))</f>
        <v/>
      </c>
      <c r="AA34" s="52" t="str">
        <f t="shared" si="35"/>
        <v/>
      </c>
      <c r="AB34" s="52" t="str">
        <f t="shared" si="35"/>
        <v/>
      </c>
      <c r="AC34" s="52" t="str">
        <f t="shared" si="35"/>
        <v/>
      </c>
      <c r="AD34" s="52" t="str">
        <f t="shared" si="35"/>
        <v/>
      </c>
      <c r="AE34" s="52" t="str">
        <f t="shared" si="35"/>
        <v/>
      </c>
      <c r="AF34" s="52" t="str">
        <f t="shared" si="35"/>
        <v/>
      </c>
      <c r="AG34" s="52" t="str">
        <f t="shared" si="35"/>
        <v/>
      </c>
      <c r="AH34" s="52" t="str">
        <f t="shared" si="35"/>
        <v/>
      </c>
      <c r="AI34" s="52" t="str">
        <f t="shared" si="35"/>
        <v/>
      </c>
      <c r="AJ34" s="52" t="str">
        <f t="shared" si="35"/>
        <v/>
      </c>
      <c r="AK34" s="52" t="str">
        <f t="shared" si="35"/>
        <v/>
      </c>
      <c r="AL34" s="52" t="str">
        <f t="shared" si="35"/>
        <v/>
      </c>
      <c r="AM34" s="52" t="str">
        <f t="shared" si="35"/>
        <v/>
      </c>
      <c r="AN34" s="52" t="str">
        <f t="shared" si="35"/>
        <v/>
      </c>
      <c r="AO34" s="52" t="str">
        <f t="shared" si="35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33"/>
        <v>2.13</v>
      </c>
      <c r="H35" s="50">
        <f t="shared" si="34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6">IF(J35="","",IF(J35&gt;($D35+$E35),(J35-$D35-$E35),IF(J35&lt;($D35+$F35),(J35-$D35-$F35),"√")))</f>
        <v/>
      </c>
      <c r="AA35" s="52" t="str">
        <f t="shared" si="36"/>
        <v/>
      </c>
      <c r="AB35" s="52" t="str">
        <f t="shared" si="36"/>
        <v/>
      </c>
      <c r="AC35" s="52" t="str">
        <f t="shared" si="36"/>
        <v/>
      </c>
      <c r="AD35" s="52" t="str">
        <f t="shared" si="36"/>
        <v/>
      </c>
      <c r="AE35" s="52" t="str">
        <f t="shared" si="36"/>
        <v/>
      </c>
      <c r="AF35" s="52" t="str">
        <f t="shared" si="36"/>
        <v/>
      </c>
      <c r="AG35" s="52" t="str">
        <f t="shared" si="36"/>
        <v/>
      </c>
      <c r="AH35" s="52" t="str">
        <f t="shared" si="36"/>
        <v/>
      </c>
      <c r="AI35" s="52" t="str">
        <f t="shared" si="36"/>
        <v/>
      </c>
      <c r="AJ35" s="52" t="str">
        <f t="shared" si="36"/>
        <v/>
      </c>
      <c r="AK35" s="52" t="str">
        <f t="shared" si="36"/>
        <v/>
      </c>
      <c r="AL35" s="52" t="str">
        <f t="shared" si="36"/>
        <v/>
      </c>
      <c r="AM35" s="52" t="str">
        <f t="shared" si="36"/>
        <v/>
      </c>
      <c r="AN35" s="52" t="str">
        <f t="shared" si="36"/>
        <v/>
      </c>
      <c r="AO35" s="52" t="str">
        <f t="shared" si="36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33"/>
        <v>0.05</v>
      </c>
      <c r="H36" s="50">
        <f t="shared" si="34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7">IF(J36="","",IF(J36&gt;($D36+$E36),(J36-$D36-$E36),IF(J36&lt;($D36+$F36),(J36-$D36-$F36),"√")))</f>
        <v/>
      </c>
      <c r="AA36" s="52" t="str">
        <f t="shared" si="37"/>
        <v/>
      </c>
      <c r="AB36" s="52" t="str">
        <f t="shared" si="37"/>
        <v/>
      </c>
      <c r="AC36" s="52" t="str">
        <f t="shared" si="37"/>
        <v/>
      </c>
      <c r="AD36" s="52" t="str">
        <f t="shared" si="37"/>
        <v/>
      </c>
      <c r="AE36" s="52" t="str">
        <f t="shared" si="37"/>
        <v/>
      </c>
      <c r="AF36" s="52" t="str">
        <f t="shared" si="37"/>
        <v/>
      </c>
      <c r="AG36" s="52" t="str">
        <f t="shared" si="37"/>
        <v/>
      </c>
      <c r="AH36" s="52" t="str">
        <f t="shared" si="37"/>
        <v/>
      </c>
      <c r="AI36" s="52" t="str">
        <f t="shared" si="37"/>
        <v/>
      </c>
      <c r="AJ36" s="52" t="str">
        <f t="shared" si="37"/>
        <v/>
      </c>
      <c r="AK36" s="52" t="str">
        <f t="shared" si="37"/>
        <v/>
      </c>
      <c r="AL36" s="52" t="str">
        <f t="shared" si="37"/>
        <v/>
      </c>
      <c r="AM36" s="52" t="str">
        <f t="shared" si="37"/>
        <v/>
      </c>
      <c r="AN36" s="52" t="str">
        <f t="shared" si="37"/>
        <v/>
      </c>
      <c r="AO36" s="52" t="str">
        <f t="shared" si="37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33"/>
        <v>0</v>
      </c>
      <c r="H37" s="50">
        <f t="shared" si="34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33"/>
        <v>0</v>
      </c>
      <c r="H38" s="50">
        <f t="shared" si="34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33"/>
        <v>0</v>
      </c>
      <c r="H39" s="50">
        <f t="shared" si="34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33"/>
        <v>0</v>
      </c>
      <c r="H40" s="50">
        <f t="shared" si="34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33"/>
        <v>0</v>
      </c>
      <c r="H41" s="50">
        <f t="shared" si="34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33"/>
        <v>0</v>
      </c>
      <c r="H42" s="50">
        <f t="shared" si="34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33"/>
        <v>0.04</v>
      </c>
      <c r="H43" s="50">
        <f t="shared" si="34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8">IF(J43="","",IF(J43&gt;($D43+$E43),(J43-$D43-$E43),IF(J43&lt;($D43+$F43),(J43-$D43-$F43),"√")))</f>
        <v/>
      </c>
      <c r="AA43" s="52" t="str">
        <f t="shared" si="38"/>
        <v/>
      </c>
      <c r="AB43" s="52" t="str">
        <f t="shared" si="38"/>
        <v/>
      </c>
      <c r="AC43" s="52" t="str">
        <f t="shared" si="38"/>
        <v/>
      </c>
      <c r="AD43" s="52" t="str">
        <f t="shared" si="38"/>
        <v/>
      </c>
      <c r="AE43" s="52" t="str">
        <f t="shared" si="38"/>
        <v/>
      </c>
      <c r="AF43" s="52" t="str">
        <f t="shared" si="38"/>
        <v/>
      </c>
      <c r="AG43" s="52" t="str">
        <f t="shared" si="38"/>
        <v/>
      </c>
      <c r="AH43" s="52" t="str">
        <f t="shared" si="38"/>
        <v/>
      </c>
      <c r="AI43" s="52" t="str">
        <f t="shared" si="38"/>
        <v/>
      </c>
      <c r="AJ43" s="52" t="str">
        <f t="shared" si="38"/>
        <v/>
      </c>
      <c r="AK43" s="52" t="str">
        <f t="shared" si="38"/>
        <v/>
      </c>
      <c r="AL43" s="52" t="str">
        <f t="shared" si="38"/>
        <v/>
      </c>
      <c r="AM43" s="52" t="str">
        <f t="shared" si="38"/>
        <v/>
      </c>
      <c r="AN43" s="52" t="str">
        <f t="shared" si="38"/>
        <v/>
      </c>
      <c r="AO43" s="52" t="str">
        <f t="shared" si="38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33"/>
        <v>0</v>
      </c>
      <c r="H44" s="50">
        <f t="shared" si="34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33"/>
        <v>0</v>
      </c>
      <c r="H45" s="50">
        <f t="shared" si="34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33"/>
        <v>0</v>
      </c>
      <c r="H46" s="50">
        <f t="shared" si="34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33"/>
        <v>0</v>
      </c>
      <c r="H47" s="50">
        <f t="shared" si="34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33"/>
        <v>0</v>
      </c>
      <c r="H48" s="50">
        <f t="shared" si="34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33"/>
        <v>0</v>
      </c>
      <c r="H49" s="50">
        <f t="shared" si="34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33"/>
        <v>0.03</v>
      </c>
      <c r="H50" s="50">
        <f t="shared" si="34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9">IF(J50="","",IF(J50&gt;($D50+$E50),(J50-$D50-$E50),IF(J50&lt;($D50+$F50),(J50-$D50-$F50),"√")))</f>
        <v/>
      </c>
      <c r="AA50" s="52" t="str">
        <f t="shared" si="39"/>
        <v/>
      </c>
      <c r="AB50" s="52" t="str">
        <f t="shared" si="39"/>
        <v/>
      </c>
      <c r="AC50" s="52" t="str">
        <f t="shared" si="39"/>
        <v/>
      </c>
      <c r="AD50" s="52" t="str">
        <f t="shared" si="39"/>
        <v/>
      </c>
      <c r="AE50" s="52" t="str">
        <f t="shared" si="39"/>
        <v/>
      </c>
      <c r="AF50" s="52" t="str">
        <f t="shared" si="39"/>
        <v/>
      </c>
      <c r="AG50" s="52" t="str">
        <f t="shared" si="39"/>
        <v/>
      </c>
      <c r="AH50" s="52" t="str">
        <f t="shared" si="39"/>
        <v/>
      </c>
      <c r="AI50" s="52" t="str">
        <f t="shared" si="39"/>
        <v/>
      </c>
      <c r="AJ50" s="52" t="str">
        <f t="shared" si="39"/>
        <v/>
      </c>
      <c r="AK50" s="52" t="str">
        <f t="shared" si="39"/>
        <v/>
      </c>
      <c r="AL50" s="52" t="str">
        <f t="shared" si="39"/>
        <v/>
      </c>
      <c r="AM50" s="52" t="str">
        <f t="shared" si="39"/>
        <v/>
      </c>
      <c r="AN50" s="52" t="str">
        <f t="shared" si="39"/>
        <v/>
      </c>
      <c r="AO50" s="52" t="str">
        <f t="shared" si="39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33"/>
        <v>0</v>
      </c>
      <c r="H51" s="50">
        <f t="shared" si="34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33"/>
        <v>0</v>
      </c>
      <c r="H52" s="50">
        <f t="shared" si="34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33"/>
        <v>0</v>
      </c>
      <c r="H53" s="50">
        <f t="shared" si="34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33"/>
        <v>0</v>
      </c>
      <c r="H54" s="50">
        <f t="shared" si="34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33"/>
        <v>0.03</v>
      </c>
      <c r="H55" s="50">
        <f t="shared" si="34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40">IF(J55="","",IF(J55&gt;($D55+$E55),(J55-$D55-$E55),IF(J55&lt;($D55+$F55),(J55-$D55-$F55),"√")))</f>
        <v/>
      </c>
      <c r="AA55" s="52" t="str">
        <f t="shared" si="40"/>
        <v/>
      </c>
      <c r="AB55" s="52" t="str">
        <f t="shared" si="40"/>
        <v/>
      </c>
      <c r="AC55" s="52" t="str">
        <f t="shared" si="40"/>
        <v/>
      </c>
      <c r="AD55" s="52" t="str">
        <f t="shared" si="40"/>
        <v/>
      </c>
      <c r="AE55" s="52" t="str">
        <f t="shared" si="40"/>
        <v/>
      </c>
      <c r="AF55" s="52" t="str">
        <f t="shared" si="40"/>
        <v/>
      </c>
      <c r="AG55" s="52" t="str">
        <f t="shared" si="40"/>
        <v/>
      </c>
      <c r="AH55" s="52" t="str">
        <f t="shared" si="40"/>
        <v/>
      </c>
      <c r="AI55" s="52" t="str">
        <f t="shared" si="40"/>
        <v/>
      </c>
      <c r="AJ55" s="52" t="str">
        <f t="shared" si="40"/>
        <v/>
      </c>
      <c r="AK55" s="52" t="str">
        <f t="shared" si="40"/>
        <v/>
      </c>
      <c r="AL55" s="52" t="str">
        <f t="shared" si="40"/>
        <v/>
      </c>
      <c r="AM55" s="52" t="str">
        <f t="shared" si="40"/>
        <v/>
      </c>
      <c r="AN55" s="52" t="str">
        <f t="shared" si="40"/>
        <v/>
      </c>
      <c r="AO55" s="52" t="str">
        <f t="shared" si="40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33"/>
        <v>0</v>
      </c>
      <c r="H56" s="50">
        <f t="shared" si="34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33"/>
        <v>0</v>
      </c>
      <c r="H57" s="50">
        <f t="shared" si="34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33"/>
        <v>0</v>
      </c>
      <c r="H58" s="50">
        <f t="shared" si="34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33"/>
        <v>0</v>
      </c>
      <c r="H59" s="50">
        <f t="shared" si="34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33"/>
        <v>0.03</v>
      </c>
      <c r="H60" s="50">
        <f t="shared" si="34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41">IF(J60="","",IF(J60&gt;($D60+$E60),(J60-$D60-$E60),IF(J60&lt;($D60+$F60),(J60-$D60-$F60),"√")))</f>
        <v/>
      </c>
      <c r="AA60" s="52" t="str">
        <f t="shared" si="41"/>
        <v/>
      </c>
      <c r="AB60" s="52" t="str">
        <f t="shared" si="41"/>
        <v/>
      </c>
      <c r="AC60" s="52" t="str">
        <f t="shared" si="41"/>
        <v/>
      </c>
      <c r="AD60" s="52" t="str">
        <f t="shared" si="41"/>
        <v/>
      </c>
      <c r="AE60" s="52" t="str">
        <f t="shared" si="41"/>
        <v/>
      </c>
      <c r="AF60" s="52" t="str">
        <f t="shared" si="41"/>
        <v/>
      </c>
      <c r="AG60" s="52" t="str">
        <f t="shared" si="41"/>
        <v/>
      </c>
      <c r="AH60" s="52" t="str">
        <f t="shared" si="41"/>
        <v/>
      </c>
      <c r="AI60" s="52" t="str">
        <f t="shared" si="41"/>
        <v/>
      </c>
      <c r="AJ60" s="52" t="str">
        <f t="shared" si="41"/>
        <v/>
      </c>
      <c r="AK60" s="52" t="str">
        <f t="shared" si="41"/>
        <v/>
      </c>
      <c r="AL60" s="52" t="str">
        <f t="shared" si="41"/>
        <v/>
      </c>
      <c r="AM60" s="52" t="str">
        <f t="shared" si="41"/>
        <v/>
      </c>
      <c r="AN60" s="52" t="str">
        <f t="shared" si="41"/>
        <v/>
      </c>
      <c r="AO60" s="52" t="str">
        <f t="shared" si="41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33"/>
        <v>0</v>
      </c>
      <c r="H61" s="50">
        <f t="shared" si="34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33"/>
        <v>0</v>
      </c>
      <c r="H62" s="50">
        <f t="shared" si="34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33"/>
        <v>0</v>
      </c>
      <c r="H63" s="50">
        <f t="shared" si="34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33"/>
        <v>0</v>
      </c>
      <c r="H64" s="50">
        <f t="shared" si="34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33"/>
        <v>0.06</v>
      </c>
      <c r="H65" s="50">
        <f t="shared" si="34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42">IF(J65="","",IF(J65&gt;($D65+$E65),(J65-$D65-$E65),IF(J65&lt;($D65+$F65),(J65-$D65-$F65),"√")))</f>
        <v/>
      </c>
      <c r="AA65" s="52" t="str">
        <f t="shared" si="42"/>
        <v/>
      </c>
      <c r="AB65" s="52" t="str">
        <f t="shared" si="42"/>
        <v/>
      </c>
      <c r="AC65" s="52" t="str">
        <f t="shared" si="42"/>
        <v/>
      </c>
      <c r="AD65" s="52" t="str">
        <f t="shared" si="42"/>
        <v/>
      </c>
      <c r="AE65" s="52" t="str">
        <f t="shared" si="42"/>
        <v/>
      </c>
      <c r="AF65" s="52" t="str">
        <f t="shared" si="42"/>
        <v/>
      </c>
      <c r="AG65" s="52" t="str">
        <f t="shared" si="42"/>
        <v/>
      </c>
      <c r="AH65" s="52" t="str">
        <f t="shared" si="42"/>
        <v/>
      </c>
      <c r="AI65" s="52" t="str">
        <f t="shared" si="42"/>
        <v/>
      </c>
      <c r="AJ65" s="52" t="str">
        <f t="shared" si="42"/>
        <v/>
      </c>
      <c r="AK65" s="52" t="str">
        <f t="shared" si="42"/>
        <v/>
      </c>
      <c r="AL65" s="52" t="str">
        <f t="shared" si="42"/>
        <v/>
      </c>
      <c r="AM65" s="52" t="str">
        <f t="shared" si="42"/>
        <v/>
      </c>
      <c r="AN65" s="52" t="str">
        <f t="shared" si="42"/>
        <v/>
      </c>
      <c r="AO65" s="52" t="str">
        <f t="shared" si="42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ref="G66:G119" si="43">D66+E66</f>
        <v>0</v>
      </c>
      <c r="H66" s="50">
        <f t="shared" ref="H66:H119" si="44">D66+F66</f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43"/>
        <v>0</v>
      </c>
      <c r="H67" s="50">
        <f t="shared" si="44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43"/>
        <v>0</v>
      </c>
      <c r="H68" s="50">
        <f t="shared" si="44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43"/>
        <v>0</v>
      </c>
      <c r="H69" s="50">
        <f t="shared" si="44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43"/>
        <v>0</v>
      </c>
      <c r="H70" s="50">
        <f t="shared" si="44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si="43"/>
        <v>0</v>
      </c>
      <c r="H71" s="50">
        <f t="shared" si="44"/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43"/>
        <v>0</v>
      </c>
      <c r="H72" s="50">
        <f t="shared" si="44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43"/>
        <v>0</v>
      </c>
      <c r="H73" s="50">
        <f t="shared" si="44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43"/>
        <v>0</v>
      </c>
      <c r="H74" s="50">
        <f t="shared" si="44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43"/>
        <v>0</v>
      </c>
      <c r="H75" s="50">
        <f t="shared" si="44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43"/>
        <v>0</v>
      </c>
      <c r="H76" s="50">
        <f t="shared" si="44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43"/>
        <v>0.08</v>
      </c>
      <c r="H77" s="50">
        <f t="shared" si="44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5">IF(J77="","",IF(J77&gt;($D77+$E77),(J77-$D77-$E77),IF(J77&lt;($D77+$F77),(J77-$D77-$F77),"√")))</f>
        <v/>
      </c>
      <c r="AA77" s="52" t="str">
        <f t="shared" si="45"/>
        <v/>
      </c>
      <c r="AB77" s="52" t="str">
        <f t="shared" si="45"/>
        <v/>
      </c>
      <c r="AC77" s="52" t="str">
        <f t="shared" si="45"/>
        <v/>
      </c>
      <c r="AD77" s="52" t="str">
        <f t="shared" si="45"/>
        <v/>
      </c>
      <c r="AE77" s="52" t="str">
        <f t="shared" si="45"/>
        <v/>
      </c>
      <c r="AF77" s="52" t="str">
        <f t="shared" si="45"/>
        <v/>
      </c>
      <c r="AG77" s="52" t="str">
        <f t="shared" si="45"/>
        <v/>
      </c>
      <c r="AH77" s="52" t="str">
        <f t="shared" si="45"/>
        <v/>
      </c>
      <c r="AI77" s="52" t="str">
        <f t="shared" si="45"/>
        <v/>
      </c>
      <c r="AJ77" s="52" t="str">
        <f t="shared" si="45"/>
        <v/>
      </c>
      <c r="AK77" s="52" t="str">
        <f t="shared" si="45"/>
        <v/>
      </c>
      <c r="AL77" s="52" t="str">
        <f t="shared" si="45"/>
        <v/>
      </c>
      <c r="AM77" s="52" t="str">
        <f t="shared" si="45"/>
        <v/>
      </c>
      <c r="AN77" s="52" t="str">
        <f t="shared" si="45"/>
        <v/>
      </c>
      <c r="AO77" s="52" t="str">
        <f t="shared" si="45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43"/>
        <v>0</v>
      </c>
      <c r="H78" s="50">
        <f t="shared" si="44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43"/>
        <v>0</v>
      </c>
      <c r="H79" s="50">
        <f t="shared" si="44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43"/>
        <v>0</v>
      </c>
      <c r="H80" s="50">
        <f t="shared" si="44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43"/>
        <v>0</v>
      </c>
      <c r="H81" s="50">
        <f t="shared" si="44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43"/>
        <v>0.08</v>
      </c>
      <c r="H82" s="50">
        <f t="shared" si="44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6">IF(J82="","",IF(J82&gt;($D82+$E82),(J82-$D82-$E82),IF(J82&lt;($D82+$F82),(J82-$D82-$F82),"√")))</f>
        <v/>
      </c>
      <c r="AA82" s="52" t="str">
        <f t="shared" si="46"/>
        <v/>
      </c>
      <c r="AB82" s="52" t="str">
        <f t="shared" si="46"/>
        <v/>
      </c>
      <c r="AC82" s="52" t="str">
        <f t="shared" si="46"/>
        <v/>
      </c>
      <c r="AD82" s="52" t="str">
        <f t="shared" si="46"/>
        <v/>
      </c>
      <c r="AE82" s="52" t="str">
        <f t="shared" si="46"/>
        <v/>
      </c>
      <c r="AF82" s="52" t="str">
        <f t="shared" si="46"/>
        <v/>
      </c>
      <c r="AG82" s="52" t="str">
        <f t="shared" si="46"/>
        <v/>
      </c>
      <c r="AH82" s="52" t="str">
        <f t="shared" si="46"/>
        <v/>
      </c>
      <c r="AI82" s="52" t="str">
        <f t="shared" si="46"/>
        <v/>
      </c>
      <c r="AJ82" s="52" t="str">
        <f t="shared" si="46"/>
        <v/>
      </c>
      <c r="AK82" s="52" t="str">
        <f t="shared" si="46"/>
        <v/>
      </c>
      <c r="AL82" s="52" t="str">
        <f t="shared" si="46"/>
        <v/>
      </c>
      <c r="AM82" s="52" t="str">
        <f t="shared" si="46"/>
        <v/>
      </c>
      <c r="AN82" s="52" t="str">
        <f t="shared" si="46"/>
        <v/>
      </c>
      <c r="AO82" s="52" t="str">
        <f t="shared" si="46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43"/>
        <v>0</v>
      </c>
      <c r="H83" s="50">
        <f t="shared" si="44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43"/>
        <v>0</v>
      </c>
      <c r="H84" s="50">
        <f t="shared" si="44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43"/>
        <v>0</v>
      </c>
      <c r="H85" s="50">
        <f t="shared" si="44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43"/>
        <v>0</v>
      </c>
      <c r="H86" s="50">
        <f t="shared" si="44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43"/>
        <v>0.08</v>
      </c>
      <c r="H87" s="50">
        <f t="shared" si="44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7">IF(J87="","",IF(J87&gt;($D87+$E87),(J87-$D87-$E87),IF(J87&lt;($D87+$F87),(J87-$D87-$F87),"√")))</f>
        <v/>
      </c>
      <c r="AA87" s="52" t="str">
        <f t="shared" si="47"/>
        <v/>
      </c>
      <c r="AB87" s="52" t="str">
        <f t="shared" si="47"/>
        <v/>
      </c>
      <c r="AC87" s="52" t="str">
        <f t="shared" si="47"/>
        <v/>
      </c>
      <c r="AD87" s="52" t="str">
        <f t="shared" si="47"/>
        <v/>
      </c>
      <c r="AE87" s="52" t="str">
        <f t="shared" si="47"/>
        <v/>
      </c>
      <c r="AF87" s="52" t="str">
        <f t="shared" si="47"/>
        <v/>
      </c>
      <c r="AG87" s="52" t="str">
        <f t="shared" si="47"/>
        <v/>
      </c>
      <c r="AH87" s="52" t="str">
        <f t="shared" si="47"/>
        <v/>
      </c>
      <c r="AI87" s="52" t="str">
        <f t="shared" si="47"/>
        <v/>
      </c>
      <c r="AJ87" s="52" t="str">
        <f t="shared" si="47"/>
        <v/>
      </c>
      <c r="AK87" s="52" t="str">
        <f t="shared" si="47"/>
        <v/>
      </c>
      <c r="AL87" s="52" t="str">
        <f t="shared" si="47"/>
        <v/>
      </c>
      <c r="AM87" s="52" t="str">
        <f t="shared" si="47"/>
        <v/>
      </c>
      <c r="AN87" s="52" t="str">
        <f t="shared" si="47"/>
        <v/>
      </c>
      <c r="AO87" s="52" t="str">
        <f t="shared" si="47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43"/>
        <v>0</v>
      </c>
      <c r="H88" s="50">
        <f t="shared" si="44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43"/>
        <v>0</v>
      </c>
      <c r="H89" s="50">
        <f t="shared" si="44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43"/>
        <v>0</v>
      </c>
      <c r="H90" s="50">
        <f t="shared" si="44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43"/>
        <v>0</v>
      </c>
      <c r="H91" s="50">
        <f t="shared" si="44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43"/>
        <v>0.08</v>
      </c>
      <c r="H92" s="50">
        <f t="shared" si="44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8">IF(J92="","",IF(J92&gt;($D92+$E92),(J92-$D92-$E92),IF(J92&lt;($D92+$F92),(J92-$D92-$F92),"√")))</f>
        <v/>
      </c>
      <c r="AA92" s="52" t="str">
        <f t="shared" si="48"/>
        <v/>
      </c>
      <c r="AB92" s="52" t="str">
        <f t="shared" si="48"/>
        <v/>
      </c>
      <c r="AC92" s="52" t="str">
        <f t="shared" si="48"/>
        <v/>
      </c>
      <c r="AD92" s="52" t="str">
        <f t="shared" si="48"/>
        <v/>
      </c>
      <c r="AE92" s="52" t="str">
        <f t="shared" si="48"/>
        <v/>
      </c>
      <c r="AF92" s="52" t="str">
        <f t="shared" si="48"/>
        <v/>
      </c>
      <c r="AG92" s="52" t="str">
        <f t="shared" si="48"/>
        <v/>
      </c>
      <c r="AH92" s="52" t="str">
        <f t="shared" si="48"/>
        <v/>
      </c>
      <c r="AI92" s="52" t="str">
        <f t="shared" si="48"/>
        <v/>
      </c>
      <c r="AJ92" s="52" t="str">
        <f t="shared" si="48"/>
        <v/>
      </c>
      <c r="AK92" s="52" t="str">
        <f t="shared" si="48"/>
        <v/>
      </c>
      <c r="AL92" s="52" t="str">
        <f t="shared" si="48"/>
        <v/>
      </c>
      <c r="AM92" s="52" t="str">
        <f t="shared" si="48"/>
        <v/>
      </c>
      <c r="AN92" s="52" t="str">
        <f t="shared" si="48"/>
        <v/>
      </c>
      <c r="AO92" s="52" t="str">
        <f t="shared" si="48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43"/>
        <v>0</v>
      </c>
      <c r="H93" s="50">
        <f t="shared" si="44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43"/>
        <v>0</v>
      </c>
      <c r="H94" s="50">
        <f t="shared" si="44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43"/>
        <v>0</v>
      </c>
      <c r="H95" s="50">
        <f t="shared" si="44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43"/>
        <v>0</v>
      </c>
      <c r="H96" s="50">
        <f t="shared" si="44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43"/>
        <v>0.05</v>
      </c>
      <c r="H97" s="50">
        <f t="shared" si="44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9">IF(J97="","",IF(J97&gt;($D97+$E97),(J97-$D97-$E97),IF(J97&lt;($D97+$F97),(J97-$D97-$F97),"√")))</f>
        <v/>
      </c>
      <c r="AA97" s="52" t="str">
        <f t="shared" si="49"/>
        <v/>
      </c>
      <c r="AB97" s="52" t="str">
        <f t="shared" si="49"/>
        <v/>
      </c>
      <c r="AC97" s="52" t="str">
        <f t="shared" si="49"/>
        <v/>
      </c>
      <c r="AD97" s="52" t="str">
        <f t="shared" si="49"/>
        <v/>
      </c>
      <c r="AE97" s="52" t="str">
        <f t="shared" si="49"/>
        <v/>
      </c>
      <c r="AF97" s="52" t="str">
        <f t="shared" si="49"/>
        <v/>
      </c>
      <c r="AG97" s="52" t="str">
        <f t="shared" si="49"/>
        <v/>
      </c>
      <c r="AH97" s="52" t="str">
        <f t="shared" si="49"/>
        <v/>
      </c>
      <c r="AI97" s="52" t="str">
        <f t="shared" si="49"/>
        <v/>
      </c>
      <c r="AJ97" s="52" t="str">
        <f t="shared" si="49"/>
        <v/>
      </c>
      <c r="AK97" s="52" t="str">
        <f t="shared" si="49"/>
        <v/>
      </c>
      <c r="AL97" s="52" t="str">
        <f t="shared" si="49"/>
        <v/>
      </c>
      <c r="AM97" s="52" t="str">
        <f t="shared" si="49"/>
        <v/>
      </c>
      <c r="AN97" s="52" t="str">
        <f t="shared" si="49"/>
        <v/>
      </c>
      <c r="AO97" s="52" t="str">
        <f t="shared" si="49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43"/>
        <v>0</v>
      </c>
      <c r="H98" s="50">
        <f t="shared" si="44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43"/>
        <v>0</v>
      </c>
      <c r="H99" s="50">
        <f t="shared" si="44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43"/>
        <v>0.04</v>
      </c>
      <c r="H100" s="50">
        <f t="shared" si="44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50">IF(J100="","",IF(J100&gt;($D100+$E100),(J100-$D100-$E100),IF(J100&lt;($D100+$F100),(J100-$D100-$F100),"√")))</f>
        <v/>
      </c>
      <c r="AA100" s="52" t="str">
        <f t="shared" si="50"/>
        <v/>
      </c>
      <c r="AB100" s="52" t="str">
        <f t="shared" si="50"/>
        <v/>
      </c>
      <c r="AC100" s="52" t="str">
        <f t="shared" si="50"/>
        <v/>
      </c>
      <c r="AD100" s="52" t="str">
        <f t="shared" si="50"/>
        <v/>
      </c>
      <c r="AE100" s="52" t="str">
        <f t="shared" si="50"/>
        <v/>
      </c>
      <c r="AF100" s="52" t="str">
        <f t="shared" si="50"/>
        <v/>
      </c>
      <c r="AG100" s="52" t="str">
        <f t="shared" si="50"/>
        <v/>
      </c>
      <c r="AH100" s="52" t="str">
        <f t="shared" si="50"/>
        <v/>
      </c>
      <c r="AI100" s="52" t="str">
        <f t="shared" si="50"/>
        <v/>
      </c>
      <c r="AJ100" s="52" t="str">
        <f t="shared" si="50"/>
        <v/>
      </c>
      <c r="AK100" s="52" t="str">
        <f t="shared" si="50"/>
        <v/>
      </c>
      <c r="AL100" s="52" t="str">
        <f t="shared" si="50"/>
        <v/>
      </c>
      <c r="AM100" s="52" t="str">
        <f t="shared" si="50"/>
        <v/>
      </c>
      <c r="AN100" s="52" t="str">
        <f t="shared" si="50"/>
        <v/>
      </c>
      <c r="AO100" s="52" t="str">
        <f t="shared" si="50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43"/>
        <v>0</v>
      </c>
      <c r="H101" s="50">
        <f t="shared" si="44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43"/>
        <v>0</v>
      </c>
      <c r="H102" s="50">
        <f t="shared" si="44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43"/>
        <v>0.04</v>
      </c>
      <c r="H103" s="50">
        <f t="shared" si="44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51">IF(J103="","",IF(J103&gt;($D103+$E103),(J103-$D103-$E103),IF(J103&lt;($D103+$F103),(J103-$D103-$F103),"√")))</f>
        <v/>
      </c>
      <c r="AA103" s="52" t="str">
        <f t="shared" si="51"/>
        <v/>
      </c>
      <c r="AB103" s="52" t="str">
        <f t="shared" si="51"/>
        <v/>
      </c>
      <c r="AC103" s="52" t="str">
        <f t="shared" si="51"/>
        <v/>
      </c>
      <c r="AD103" s="52" t="str">
        <f t="shared" si="51"/>
        <v/>
      </c>
      <c r="AE103" s="52" t="str">
        <f t="shared" si="51"/>
        <v/>
      </c>
      <c r="AF103" s="52" t="str">
        <f t="shared" si="51"/>
        <v/>
      </c>
      <c r="AG103" s="52" t="str">
        <f t="shared" si="51"/>
        <v/>
      </c>
      <c r="AH103" s="52" t="str">
        <f t="shared" si="51"/>
        <v/>
      </c>
      <c r="AI103" s="52" t="str">
        <f t="shared" si="51"/>
        <v/>
      </c>
      <c r="AJ103" s="52" t="str">
        <f t="shared" si="51"/>
        <v/>
      </c>
      <c r="AK103" s="52" t="str">
        <f t="shared" si="51"/>
        <v/>
      </c>
      <c r="AL103" s="52" t="str">
        <f t="shared" si="51"/>
        <v/>
      </c>
      <c r="AM103" s="52" t="str">
        <f t="shared" si="51"/>
        <v/>
      </c>
      <c r="AN103" s="52" t="str">
        <f t="shared" si="51"/>
        <v/>
      </c>
      <c r="AO103" s="52" t="str">
        <f t="shared" si="51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43"/>
        <v>0</v>
      </c>
      <c r="H104" s="50">
        <f t="shared" si="44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43"/>
        <v>0</v>
      </c>
      <c r="H105" s="50">
        <f t="shared" si="44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43"/>
        <v>0</v>
      </c>
      <c r="H106" s="50">
        <f t="shared" si="44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43"/>
        <v>0.05</v>
      </c>
      <c r="H107" s="50">
        <f t="shared" si="44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52">IF(J107="","",IF(J107&gt;($D107+$E107),(J107-$D107-$E107),IF(J107&lt;($D107+$F107),(J107-$D107-$F107),"√")))</f>
        <v/>
      </c>
      <c r="AA107" s="52" t="str">
        <f t="shared" si="52"/>
        <v/>
      </c>
      <c r="AB107" s="52" t="str">
        <f t="shared" si="52"/>
        <v/>
      </c>
      <c r="AC107" s="52" t="str">
        <f t="shared" si="52"/>
        <v/>
      </c>
      <c r="AD107" s="52" t="str">
        <f t="shared" si="52"/>
        <v/>
      </c>
      <c r="AE107" s="52" t="str">
        <f t="shared" si="52"/>
        <v/>
      </c>
      <c r="AF107" s="52" t="str">
        <f t="shared" si="52"/>
        <v/>
      </c>
      <c r="AG107" s="52" t="str">
        <f t="shared" si="52"/>
        <v/>
      </c>
      <c r="AH107" s="52" t="str">
        <f t="shared" si="52"/>
        <v/>
      </c>
      <c r="AI107" s="52" t="str">
        <f t="shared" si="52"/>
        <v/>
      </c>
      <c r="AJ107" s="52" t="str">
        <f t="shared" si="52"/>
        <v/>
      </c>
      <c r="AK107" s="52" t="str">
        <f t="shared" si="52"/>
        <v/>
      </c>
      <c r="AL107" s="52" t="str">
        <f t="shared" si="52"/>
        <v/>
      </c>
      <c r="AM107" s="52" t="str">
        <f t="shared" si="52"/>
        <v/>
      </c>
      <c r="AN107" s="52" t="str">
        <f t="shared" si="52"/>
        <v/>
      </c>
      <c r="AO107" s="52" t="str">
        <f t="shared" si="52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43"/>
        <v>0</v>
      </c>
      <c r="H108" s="50">
        <f t="shared" si="44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43"/>
        <v>0</v>
      </c>
      <c r="H109" s="50">
        <f t="shared" si="44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43"/>
        <v>0</v>
      </c>
      <c r="H110" s="50">
        <f t="shared" si="44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43"/>
        <v>0</v>
      </c>
      <c r="H111" s="50">
        <f t="shared" si="44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43"/>
        <v>0</v>
      </c>
      <c r="H112" s="50">
        <f t="shared" si="44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43"/>
        <v>0.93</v>
      </c>
      <c r="H113" s="50">
        <f t="shared" si="44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53">IF(J113="","",IF(J113&gt;($D113+$E113),(J113-$D113-$E113),IF(J113&lt;($D113+$F113),(J113-$D113-$F113),"√")))</f>
        <v/>
      </c>
      <c r="AA113" s="52" t="str">
        <f t="shared" si="53"/>
        <v/>
      </c>
      <c r="AB113" s="52" t="str">
        <f t="shared" si="53"/>
        <v/>
      </c>
      <c r="AC113" s="52" t="str">
        <f t="shared" si="53"/>
        <v/>
      </c>
      <c r="AD113" s="52" t="str">
        <f t="shared" si="53"/>
        <v/>
      </c>
      <c r="AE113" s="52" t="str">
        <f t="shared" si="53"/>
        <v/>
      </c>
      <c r="AF113" s="52" t="str">
        <f t="shared" si="53"/>
        <v/>
      </c>
      <c r="AG113" s="52" t="str">
        <f t="shared" si="53"/>
        <v/>
      </c>
      <c r="AH113" s="52" t="str">
        <f t="shared" si="53"/>
        <v/>
      </c>
      <c r="AI113" s="52" t="str">
        <f t="shared" si="53"/>
        <v/>
      </c>
      <c r="AJ113" s="52" t="str">
        <f t="shared" si="53"/>
        <v/>
      </c>
      <c r="AK113" s="52" t="str">
        <f t="shared" si="53"/>
        <v/>
      </c>
      <c r="AL113" s="52" t="str">
        <f t="shared" si="53"/>
        <v/>
      </c>
      <c r="AM113" s="52" t="str">
        <f t="shared" si="53"/>
        <v/>
      </c>
      <c r="AN113" s="52" t="str">
        <f t="shared" si="53"/>
        <v/>
      </c>
      <c r="AO113" s="52" t="str">
        <f t="shared" si="53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43"/>
        <v>0.68</v>
      </c>
      <c r="H114" s="50">
        <f t="shared" si="44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54">IF(J114="","",IF(J114&gt;($D114+$E114),(J114-$D114-$E114),IF(J114&lt;($D114+$F114),(J114-$D114-$F114),"√")))</f>
        <v/>
      </c>
      <c r="AA114" s="52" t="str">
        <f t="shared" si="54"/>
        <v/>
      </c>
      <c r="AB114" s="52" t="str">
        <f t="shared" si="54"/>
        <v/>
      </c>
      <c r="AC114" s="52" t="str">
        <f t="shared" si="54"/>
        <v/>
      </c>
      <c r="AD114" s="52" t="str">
        <f t="shared" si="54"/>
        <v/>
      </c>
      <c r="AE114" s="52" t="str">
        <f t="shared" si="54"/>
        <v/>
      </c>
      <c r="AF114" s="52" t="str">
        <f t="shared" si="54"/>
        <v/>
      </c>
      <c r="AG114" s="52" t="str">
        <f t="shared" si="54"/>
        <v/>
      </c>
      <c r="AH114" s="52" t="str">
        <f t="shared" si="54"/>
        <v/>
      </c>
      <c r="AI114" s="52" t="str">
        <f t="shared" si="54"/>
        <v/>
      </c>
      <c r="AJ114" s="52" t="str">
        <f t="shared" si="54"/>
        <v/>
      </c>
      <c r="AK114" s="52" t="str">
        <f t="shared" si="54"/>
        <v/>
      </c>
      <c r="AL114" s="52" t="str">
        <f t="shared" si="54"/>
        <v/>
      </c>
      <c r="AM114" s="52" t="str">
        <f t="shared" si="54"/>
        <v/>
      </c>
      <c r="AN114" s="52" t="str">
        <f t="shared" si="54"/>
        <v/>
      </c>
      <c r="AO114" s="52" t="str">
        <f t="shared" si="54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43"/>
        <v>0.7</v>
      </c>
      <c r="H115" s="50">
        <f t="shared" si="44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5">IF(J115="","",IF(J115&gt;($D115+$E115),(J115-$D115-$E115),IF(J115&lt;($D115+$F115),(J115-$D115-$F115),"√")))</f>
        <v/>
      </c>
      <c r="AA115" s="52" t="str">
        <f t="shared" si="55"/>
        <v/>
      </c>
      <c r="AB115" s="52" t="str">
        <f t="shared" si="55"/>
        <v/>
      </c>
      <c r="AC115" s="52" t="str">
        <f t="shared" si="55"/>
        <v/>
      </c>
      <c r="AD115" s="52" t="str">
        <f t="shared" si="55"/>
        <v/>
      </c>
      <c r="AE115" s="52" t="str">
        <f t="shared" si="55"/>
        <v/>
      </c>
      <c r="AF115" s="52" t="str">
        <f t="shared" si="55"/>
        <v/>
      </c>
      <c r="AG115" s="52" t="str">
        <f t="shared" si="55"/>
        <v/>
      </c>
      <c r="AH115" s="52" t="str">
        <f t="shared" si="55"/>
        <v/>
      </c>
      <c r="AI115" s="52" t="str">
        <f t="shared" si="55"/>
        <v/>
      </c>
      <c r="AJ115" s="52" t="str">
        <f t="shared" si="55"/>
        <v/>
      </c>
      <c r="AK115" s="52" t="str">
        <f t="shared" si="55"/>
        <v/>
      </c>
      <c r="AL115" s="52" t="str">
        <f t="shared" si="55"/>
        <v/>
      </c>
      <c r="AM115" s="52" t="str">
        <f t="shared" si="55"/>
        <v/>
      </c>
      <c r="AN115" s="52" t="str">
        <f t="shared" si="55"/>
        <v/>
      </c>
      <c r="AO115" s="52" t="str">
        <f t="shared" si="55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43"/>
        <v>0.7</v>
      </c>
      <c r="H116" s="50">
        <f t="shared" si="44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6">IF(J116="","",IF(J116&gt;($D116+$E116),(J116-$D116-$E116),IF(J116&lt;($D116+$F116),(J116-$D116-$F116),"√")))</f>
        <v/>
      </c>
      <c r="AA116" s="52" t="str">
        <f t="shared" si="56"/>
        <v/>
      </c>
      <c r="AB116" s="52" t="str">
        <f t="shared" si="56"/>
        <v/>
      </c>
      <c r="AC116" s="52" t="str">
        <f t="shared" si="56"/>
        <v/>
      </c>
      <c r="AD116" s="52" t="str">
        <f t="shared" si="56"/>
        <v/>
      </c>
      <c r="AE116" s="52" t="str">
        <f t="shared" si="56"/>
        <v/>
      </c>
      <c r="AF116" s="52" t="str">
        <f t="shared" si="56"/>
        <v/>
      </c>
      <c r="AG116" s="52" t="str">
        <f t="shared" si="56"/>
        <v/>
      </c>
      <c r="AH116" s="52" t="str">
        <f t="shared" si="56"/>
        <v/>
      </c>
      <c r="AI116" s="52" t="str">
        <f t="shared" si="56"/>
        <v/>
      </c>
      <c r="AJ116" s="52" t="str">
        <f t="shared" si="56"/>
        <v/>
      </c>
      <c r="AK116" s="52" t="str">
        <f t="shared" si="56"/>
        <v/>
      </c>
      <c r="AL116" s="52" t="str">
        <f t="shared" si="56"/>
        <v/>
      </c>
      <c r="AM116" s="52" t="str">
        <f t="shared" si="56"/>
        <v/>
      </c>
      <c r="AN116" s="52" t="str">
        <f t="shared" si="56"/>
        <v/>
      </c>
      <c r="AO116" s="52" t="str">
        <f t="shared" si="56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43"/>
        <v>0.43</v>
      </c>
      <c r="H117" s="50">
        <f t="shared" si="44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7">IF(J117="","",IF(J117&gt;($D117+$E117),(J117-$D117-$E117),IF(J117&lt;($D117+$F117),(J117-$D117-$F117),"√")))</f>
        <v/>
      </c>
      <c r="AA117" s="52" t="str">
        <f t="shared" si="57"/>
        <v/>
      </c>
      <c r="AB117" s="52" t="str">
        <f t="shared" si="57"/>
        <v/>
      </c>
      <c r="AC117" s="52" t="str">
        <f t="shared" si="57"/>
        <v/>
      </c>
      <c r="AD117" s="52" t="str">
        <f t="shared" si="57"/>
        <v/>
      </c>
      <c r="AE117" s="52" t="str">
        <f t="shared" si="57"/>
        <v/>
      </c>
      <c r="AF117" s="52" t="str">
        <f t="shared" si="57"/>
        <v/>
      </c>
      <c r="AG117" s="52" t="str">
        <f t="shared" si="57"/>
        <v/>
      </c>
      <c r="AH117" s="52" t="str">
        <f t="shared" si="57"/>
        <v/>
      </c>
      <c r="AI117" s="52" t="str">
        <f t="shared" si="57"/>
        <v/>
      </c>
      <c r="AJ117" s="52" t="str">
        <f t="shared" si="57"/>
        <v/>
      </c>
      <c r="AK117" s="52" t="str">
        <f t="shared" si="57"/>
        <v/>
      </c>
      <c r="AL117" s="52" t="str">
        <f t="shared" si="57"/>
        <v/>
      </c>
      <c r="AM117" s="52" t="str">
        <f t="shared" si="57"/>
        <v/>
      </c>
      <c r="AN117" s="52" t="str">
        <f t="shared" si="57"/>
        <v/>
      </c>
      <c r="AO117" s="52" t="str">
        <f t="shared" si="57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43"/>
        <v>0.43</v>
      </c>
      <c r="H118" s="50">
        <f t="shared" si="44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8">IF(J118="","",IF(J118&gt;($D118+$E118),(J118-$D118-$E118),IF(J118&lt;($D118+$F118),(J118-$D118-$F118),"√")))</f>
        <v/>
      </c>
      <c r="AA118" s="52" t="str">
        <f t="shared" si="58"/>
        <v/>
      </c>
      <c r="AB118" s="52" t="str">
        <f t="shared" si="58"/>
        <v/>
      </c>
      <c r="AC118" s="52" t="str">
        <f t="shared" si="58"/>
        <v/>
      </c>
      <c r="AD118" s="52" t="str">
        <f t="shared" si="58"/>
        <v/>
      </c>
      <c r="AE118" s="52" t="str">
        <f t="shared" si="58"/>
        <v/>
      </c>
      <c r="AF118" s="52" t="str">
        <f t="shared" si="58"/>
        <v/>
      </c>
      <c r="AG118" s="52" t="str">
        <f t="shared" si="58"/>
        <v/>
      </c>
      <c r="AH118" s="52" t="str">
        <f t="shared" si="58"/>
        <v/>
      </c>
      <c r="AI118" s="52" t="str">
        <f t="shared" si="58"/>
        <v/>
      </c>
      <c r="AJ118" s="52" t="str">
        <f t="shared" si="58"/>
        <v/>
      </c>
      <c r="AK118" s="52" t="str">
        <f t="shared" si="58"/>
        <v/>
      </c>
      <c r="AL118" s="52" t="str">
        <f t="shared" si="58"/>
        <v/>
      </c>
      <c r="AM118" s="52" t="str">
        <f t="shared" si="58"/>
        <v/>
      </c>
      <c r="AN118" s="52" t="str">
        <f t="shared" si="58"/>
        <v/>
      </c>
      <c r="AO118" s="52" t="str">
        <f t="shared" si="58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11:O11">
    <cfRule type="cellIs" dxfId="0" priority="29" operator="notBetween">
      <formula>$F11</formula>
      <formula>$G11</formula>
    </cfRule>
  </conditionalFormatting>
  <conditionalFormatting sqref="P11:U11">
    <cfRule type="cellIs" dxfId="0" priority="23" operator="notBetween">
      <formula>$F11</formula>
      <formula>$G11</formula>
    </cfRule>
  </conditionalFormatting>
  <conditionalFormatting sqref="V11:Y11">
    <cfRule type="cellIs" dxfId="0" priority="36" operator="notBetween">
      <formula>$G11</formula>
      <formula>$H11</formula>
    </cfRule>
  </conditionalFormatting>
  <conditionalFormatting sqref="J15:O15">
    <cfRule type="cellIs" dxfId="0" priority="27" operator="notBetween">
      <formula>$F15</formula>
      <formula>$G15</formula>
    </cfRule>
  </conditionalFormatting>
  <conditionalFormatting sqref="P15:U15">
    <cfRule type="cellIs" dxfId="0" priority="21" operator="notBetween">
      <formula>$F15</formula>
      <formula>$G15</formula>
    </cfRule>
  </conditionalFormatting>
  <conditionalFormatting sqref="V15:Y15">
    <cfRule type="cellIs" dxfId="0" priority="34" operator="notBetween">
      <formula>$G15</formula>
      <formula>$H15</formula>
    </cfRule>
  </conditionalFormatting>
  <conditionalFormatting sqref="L19">
    <cfRule type="cellIs" dxfId="0" priority="71" operator="notBetween">
      <formula>$G19</formula>
      <formula>$H19</formula>
    </cfRule>
  </conditionalFormatting>
  <conditionalFormatting sqref="O19">
    <cfRule type="cellIs" dxfId="0" priority="45" operator="notBetween">
      <formula>$G19</formula>
      <formula>$H19</formula>
    </cfRule>
  </conditionalFormatting>
  <conditionalFormatting sqref="Q19">
    <cfRule type="cellIs" dxfId="0" priority="58" operator="notBetween">
      <formula>$G19</formula>
      <formula>$H19</formula>
    </cfRule>
  </conditionalFormatting>
  <conditionalFormatting sqref="L20">
    <cfRule type="cellIs" dxfId="0" priority="78" operator="notBetween">
      <formula>$G20</formula>
      <formula>$H20</formula>
    </cfRule>
  </conditionalFormatting>
  <conditionalFormatting sqref="O20">
    <cfRule type="cellIs" dxfId="0" priority="52" operator="notBetween">
      <formula>$G20</formula>
      <formula>$H20</formula>
    </cfRule>
  </conditionalFormatting>
  <conditionalFormatting sqref="Q20">
    <cfRule type="cellIs" dxfId="0" priority="65" operator="notBetween">
      <formula>$G20</formula>
      <formula>$H20</formula>
    </cfRule>
  </conditionalFormatting>
  <conditionalFormatting sqref="J21:Y21">
    <cfRule type="cellIs" dxfId="0" priority="33" operator="notBetween">
      <formula>$G21</formula>
      <formula>$H21</formula>
    </cfRule>
  </conditionalFormatting>
  <conditionalFormatting sqref="J23:Y23">
    <cfRule type="cellIs" dxfId="0" priority="20" operator="notBetween">
      <formula>$F23</formula>
      <formula>$G23</formula>
    </cfRule>
  </conditionalFormatting>
  <conditionalFormatting sqref="L32">
    <cfRule type="cellIs" dxfId="0" priority="70" operator="notBetween">
      <formula>$G32</formula>
      <formula>$H32</formula>
    </cfRule>
  </conditionalFormatting>
  <conditionalFormatting sqref="O32">
    <cfRule type="cellIs" dxfId="0" priority="44" operator="notBetween">
      <formula>$G32</formula>
      <formula>$H32</formula>
    </cfRule>
  </conditionalFormatting>
  <conditionalFormatting sqref="Q32">
    <cfRule type="cellIs" dxfId="0" priority="57" operator="notBetween">
      <formula>$G32</formula>
      <formula>$H32</formula>
    </cfRule>
  </conditionalFormatting>
  <conditionalFormatting sqref="L33">
    <cfRule type="cellIs" dxfId="0" priority="80" operator="notBetween">
      <formula>$G33</formula>
      <formula>$H33</formula>
    </cfRule>
  </conditionalFormatting>
  <conditionalFormatting sqref="O33">
    <cfRule type="cellIs" dxfId="0" priority="54" operator="notBetween">
      <formula>$G33</formula>
      <formula>$H33</formula>
    </cfRule>
  </conditionalFormatting>
  <conditionalFormatting sqref="Q33">
    <cfRule type="cellIs" dxfId="0" priority="67" operator="notBetween">
      <formula>$G33</formula>
      <formula>$H33</formula>
    </cfRule>
  </conditionalFormatting>
  <conditionalFormatting sqref="J43:Y43">
    <cfRule type="cellIs" dxfId="0" priority="18" operator="notBetween">
      <formula>$G43</formula>
      <formula>$H43</formula>
    </cfRule>
  </conditionalFormatting>
  <conditionalFormatting sqref="J50:Y50">
    <cfRule type="cellIs" dxfId="0" priority="17" operator="notBetween">
      <formula>$G50</formula>
      <formula>$H50</formula>
    </cfRule>
  </conditionalFormatting>
  <conditionalFormatting sqref="J55:Y55">
    <cfRule type="cellIs" dxfId="0" priority="16" operator="notBetween">
      <formula>$G55</formula>
      <formula>$H55</formula>
    </cfRule>
  </conditionalFormatting>
  <conditionalFormatting sqref="J60:Y60">
    <cfRule type="cellIs" dxfId="0" priority="15" operator="notBetween">
      <formula>$G60</formula>
      <formula>$H60</formula>
    </cfRule>
  </conditionalFormatting>
  <conditionalFormatting sqref="J65:Y65">
    <cfRule type="cellIs" dxfId="0" priority="14" operator="notBetween">
      <formula>$G65</formula>
      <formula>$H65</formula>
    </cfRule>
  </conditionalFormatting>
  <conditionalFormatting sqref="J77:Y77">
    <cfRule type="cellIs" dxfId="0" priority="13" operator="notBetween">
      <formula>$G77</formula>
      <formula>$H77</formula>
    </cfRule>
  </conditionalFormatting>
  <conditionalFormatting sqref="J82:Y82">
    <cfRule type="cellIs" dxfId="0" priority="12" operator="notBetween">
      <formula>$G82</formula>
      <formula>$H82</formula>
    </cfRule>
  </conditionalFormatting>
  <conditionalFormatting sqref="J87:Y87">
    <cfRule type="cellIs" dxfId="0" priority="11" operator="notBetween">
      <formula>$G87</formula>
      <formula>$H87</formula>
    </cfRule>
  </conditionalFormatting>
  <conditionalFormatting sqref="J92:Y92">
    <cfRule type="cellIs" dxfId="0" priority="10" operator="notBetween">
      <formula>$G92</formula>
      <formula>$H92</formula>
    </cfRule>
  </conditionalFormatting>
  <conditionalFormatting sqref="L97">
    <cfRule type="cellIs" dxfId="0" priority="75" operator="notBetween">
      <formula>$G97</formula>
      <formula>$H97</formula>
    </cfRule>
  </conditionalFormatting>
  <conditionalFormatting sqref="O97">
    <cfRule type="cellIs" dxfId="0" priority="49" operator="notBetween">
      <formula>$G97</formula>
      <formula>$H97</formula>
    </cfRule>
  </conditionalFormatting>
  <conditionalFormatting sqref="Q97">
    <cfRule type="cellIs" dxfId="0" priority="62" operator="notBetween">
      <formula>$G97</formula>
      <formula>$H97</formula>
    </cfRule>
  </conditionalFormatting>
  <conditionalFormatting sqref="L100">
    <cfRule type="cellIs" dxfId="0" priority="68" operator="notBetween">
      <formula>$G100</formula>
      <formula>$H100</formula>
    </cfRule>
  </conditionalFormatting>
  <conditionalFormatting sqref="O100">
    <cfRule type="cellIs" dxfId="0" priority="42" operator="notBetween">
      <formula>$G100</formula>
      <formula>$H100</formula>
    </cfRule>
  </conditionalFormatting>
  <conditionalFormatting sqref="Q100">
    <cfRule type="cellIs" dxfId="0" priority="55" operator="notBetween">
      <formula>$G100</formula>
      <formula>$H100</formula>
    </cfRule>
  </conditionalFormatting>
  <conditionalFormatting sqref="J103:Y103">
    <cfRule type="cellIs" dxfId="0" priority="9" operator="notBetween">
      <formula>$G103</formula>
      <formula>$H103</formula>
    </cfRule>
  </conditionalFormatting>
  <conditionalFormatting sqref="J107:Y107">
    <cfRule type="cellIs" dxfId="0" priority="8" operator="notBetween">
      <formula>$G107</formula>
      <formula>$H107</formula>
    </cfRule>
  </conditionalFormatting>
  <conditionalFormatting sqref="J113:Y113">
    <cfRule type="cellIs" dxfId="0" priority="6" operator="notBetween">
      <formula>$G113</formula>
      <formula>$H113</formula>
    </cfRule>
  </conditionalFormatting>
  <conditionalFormatting sqref="J114:Y114">
    <cfRule type="cellIs" dxfId="0" priority="1" operator="notBetween">
      <formula>$G114</formula>
      <formula>$H114</formula>
    </cfRule>
  </conditionalFormatting>
  <conditionalFormatting sqref="J115:Y115">
    <cfRule type="cellIs" dxfId="0" priority="3" operator="notBetween">
      <formula>$G115</formula>
      <formula>$H115</formula>
    </cfRule>
  </conditionalFormatting>
  <conditionalFormatting sqref="J116:Y116">
    <cfRule type="cellIs" dxfId="0" priority="2" operator="notBetween">
      <formula>$G116</formula>
      <formula>$H116</formula>
    </cfRule>
  </conditionalFormatting>
  <conditionalFormatting sqref="J117:Y117">
    <cfRule type="cellIs" dxfId="0" priority="5" operator="notBetween">
      <formula>$G117</formula>
      <formula>$H117</formula>
    </cfRule>
  </conditionalFormatting>
  <conditionalFormatting sqref="J118:Y118">
    <cfRule type="cellIs" dxfId="0" priority="4" operator="notBetween">
      <formula>$G118</formula>
      <formula>$H118</formula>
    </cfRule>
  </conditionalFormatting>
  <conditionalFormatting sqref="L24:L25">
    <cfRule type="cellIs" dxfId="0" priority="77" operator="notBetween">
      <formula>$G24</formula>
      <formula>$H24</formula>
    </cfRule>
  </conditionalFormatting>
  <conditionalFormatting sqref="L29:L31">
    <cfRule type="cellIs" dxfId="0" priority="69" operator="notBetween">
      <formula>$G29</formula>
      <formula>$H29</formula>
    </cfRule>
  </conditionalFormatting>
  <conditionalFormatting sqref="O24:O25">
    <cfRule type="cellIs" dxfId="0" priority="51" operator="notBetween">
      <formula>$G24</formula>
      <formula>$H24</formula>
    </cfRule>
  </conditionalFormatting>
  <conditionalFormatting sqref="O29:O31">
    <cfRule type="cellIs" dxfId="0" priority="43" operator="notBetween">
      <formula>$G29</formula>
      <formula>$H29</formula>
    </cfRule>
  </conditionalFormatting>
  <conditionalFormatting sqref="Q24:Q25">
    <cfRule type="cellIs" dxfId="0" priority="64" operator="notBetween">
      <formula>$G24</formula>
      <formula>$H24</formula>
    </cfRule>
  </conditionalFormatting>
  <conditionalFormatting sqref="Q29:Q31">
    <cfRule type="cellIs" dxfId="0" priority="56" operator="notBetween">
      <formula>$G29</formula>
      <formula>$H29</formula>
    </cfRule>
  </conditionalFormatting>
  <conditionalFormatting sqref="J7:O8">
    <cfRule type="cellIs" dxfId="0" priority="32" operator="notBetween">
      <formula>$F7</formula>
      <formula>$G7</formula>
    </cfRule>
  </conditionalFormatting>
  <conditionalFormatting sqref="V7:Y8 J22:Y22 J26:Y26 J33:K33 M33:N33 P33 R33:Y33 J97">
    <cfRule type="cellIs" dxfId="0" priority="157" operator="notBetween">
      <formula>$G7</formula>
      <formula>$H7</formula>
    </cfRule>
  </conditionalFormatting>
  <conditionalFormatting sqref="P7:U8">
    <cfRule type="cellIs" dxfId="0" priority="26" operator="notBetween">
      <formula>$F7</formula>
      <formula>$G7</formula>
    </cfRule>
  </conditionalFormatting>
  <conditionalFormatting sqref="J9:O10">
    <cfRule type="cellIs" dxfId="0" priority="31" operator="notBetween">
      <formula>$F9</formula>
      <formula>$G9</formula>
    </cfRule>
  </conditionalFormatting>
  <conditionalFormatting sqref="P9:U10">
    <cfRule type="cellIs" dxfId="0" priority="25" operator="notBetween">
      <formula>$F9</formula>
      <formula>$G9</formula>
    </cfRule>
  </conditionalFormatting>
  <conditionalFormatting sqref="V9:Y10">
    <cfRule type="cellIs" dxfId="0" priority="41" operator="notBetween">
      <formula>$G9</formula>
      <formula>$H9</formula>
    </cfRule>
  </conditionalFormatting>
  <conditionalFormatting sqref="J12:O14">
    <cfRule type="cellIs" dxfId="0" priority="30" operator="notBetween">
      <formula>$F12</formula>
      <formula>$G12</formula>
    </cfRule>
  </conditionalFormatting>
  <conditionalFormatting sqref="P12:U14">
    <cfRule type="cellIs" dxfId="0" priority="24" operator="notBetween">
      <formula>$F12</formula>
      <formula>$G12</formula>
    </cfRule>
  </conditionalFormatting>
  <conditionalFormatting sqref="V12:Y14">
    <cfRule type="cellIs" dxfId="0" priority="37" operator="notBetween">
      <formula>$G12</formula>
      <formula>$H12</formula>
    </cfRule>
  </conditionalFormatting>
  <conditionalFormatting sqref="J16:O18">
    <cfRule type="cellIs" dxfId="0" priority="28" operator="notBetween">
      <formula>$F16</formula>
      <formula>$G16</formula>
    </cfRule>
  </conditionalFormatting>
  <conditionalFormatting sqref="P16:U18">
    <cfRule type="cellIs" dxfId="0" priority="22" operator="notBetween">
      <formula>$F16</formula>
      <formula>$G16</formula>
    </cfRule>
  </conditionalFormatting>
  <conditionalFormatting sqref="V16:Y18">
    <cfRule type="cellIs" dxfId="0" priority="35" operator="notBetween">
      <formula>$G16</formula>
      <formula>$H16</formula>
    </cfRule>
  </conditionalFormatting>
  <conditionalFormatting sqref="J19:K19 M19:N19 P19 R19:Y19">
    <cfRule type="cellIs" dxfId="0" priority="85" operator="notBetween">
      <formula>$G19</formula>
      <formula>$H19</formula>
    </cfRule>
  </conditionalFormatting>
  <conditionalFormatting sqref="J20:K20 M20:N20 P20 R20:Y20">
    <cfRule type="cellIs" dxfId="0" priority="120" operator="notBetween">
      <formula>$G20</formula>
      <formula>$H20</formula>
    </cfRule>
  </conditionalFormatting>
  <conditionalFormatting sqref="J24:J25 J27:J31">
    <cfRule type="cellIs" dxfId="0" priority="95" operator="notBetween">
      <formula>$G24</formula>
      <formula>$H24</formula>
    </cfRule>
  </conditionalFormatting>
  <conditionalFormatting sqref="K24:K25 M24:N25 P24:P25 R24:Y25">
    <cfRule type="cellIs" dxfId="0" priority="112" operator="notBetween">
      <formula>$G24</formula>
      <formula>$H24</formula>
    </cfRule>
  </conditionalFormatting>
  <conditionalFormatting sqref="K27:Y28">
    <cfRule type="cellIs" dxfId="0" priority="40" operator="notBetween">
      <formula>$G27</formula>
      <formula>$H27</formula>
    </cfRule>
  </conditionalFormatting>
  <conditionalFormatting sqref="K29:K31 M29:N31 P29:P31 R29:Y31">
    <cfRule type="cellIs" dxfId="0" priority="83" operator="notBetween">
      <formula>$G29</formula>
      <formula>$H29</formula>
    </cfRule>
  </conditionalFormatting>
  <conditionalFormatting sqref="J32:K32 M32:N32 P32 R32:Y32">
    <cfRule type="cellIs" dxfId="0" priority="84" operator="notBetween">
      <formula>$G32</formula>
      <formula>$H32</formula>
    </cfRule>
  </conditionalFormatting>
  <conditionalFormatting sqref="J34:Y36">
    <cfRule type="cellIs" dxfId="0" priority="19" operator="notBetween">
      <formula>$G34</formula>
      <formula>$H34</formula>
    </cfRule>
  </conditionalFormatting>
  <conditionalFormatting sqref="K97 M97:N97 P97 R97:Y97">
    <cfRule type="cellIs" dxfId="0" priority="109" operator="notBetween">
      <formula>$G97</formula>
      <formula>$H97</formula>
    </cfRule>
  </conditionalFormatting>
  <conditionalFormatting sqref="J100:K100 M100:N100 P100 R100:Y100">
    <cfRule type="cellIs" dxfId="0" priority="81" operator="notBetween">
      <formula>$G100</formula>
      <formula>$H100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Q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0.4992</v>
      </c>
      <c r="K7" s="51">
        <v>0.4986</v>
      </c>
      <c r="L7" s="51">
        <v>0.5025</v>
      </c>
      <c r="M7" s="51">
        <v>0.4999</v>
      </c>
      <c r="N7" s="51">
        <v>0.4978</v>
      </c>
      <c r="O7" s="51">
        <v>0.5004</v>
      </c>
      <c r="P7" s="51">
        <v>0.5005</v>
      </c>
      <c r="Q7" s="51">
        <v>0.4976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0.5805</v>
      </c>
      <c r="K8" s="51">
        <v>0.5943</v>
      </c>
      <c r="L8" s="51">
        <v>0.5853</v>
      </c>
      <c r="M8" s="51">
        <v>0.5888</v>
      </c>
      <c r="N8" s="51">
        <v>0.5796</v>
      </c>
      <c r="O8" s="51">
        <v>0.5895</v>
      </c>
      <c r="P8" s="51">
        <v>0.5875</v>
      </c>
      <c r="Q8" s="51">
        <v>0.5845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0.0351</v>
      </c>
      <c r="K9" s="51">
        <v>0.032</v>
      </c>
      <c r="L9" s="51">
        <v>0.0344</v>
      </c>
      <c r="M9" s="51">
        <v>0.0315</v>
      </c>
      <c r="N9" s="51">
        <v>0.0327</v>
      </c>
      <c r="O9" s="51">
        <v>0.0306</v>
      </c>
      <c r="P9" s="51">
        <v>0.0359</v>
      </c>
      <c r="Q9" s="51">
        <v>0.0435</v>
      </c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0.0635</v>
      </c>
      <c r="K10" s="51">
        <v>0.0471</v>
      </c>
      <c r="L10" s="51">
        <v>0.0646</v>
      </c>
      <c r="M10" s="51">
        <v>0.0468</v>
      </c>
      <c r="N10" s="51">
        <v>0.059</v>
      </c>
      <c r="O10" s="51">
        <v>0.0479</v>
      </c>
      <c r="P10" s="51">
        <v>0.0447</v>
      </c>
      <c r="Q10" s="51">
        <v>0.0367</v>
      </c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0.023</v>
      </c>
      <c r="K11" s="51">
        <v>0.0277</v>
      </c>
      <c r="L11" s="51">
        <v>0.0281</v>
      </c>
      <c r="M11" s="51">
        <v>0.0205</v>
      </c>
      <c r="N11" s="51">
        <v>0.023</v>
      </c>
      <c r="O11" s="51">
        <v>0.0254</v>
      </c>
      <c r="P11" s="51">
        <v>0.0245</v>
      </c>
      <c r="Q11" s="51">
        <v>0.0241</v>
      </c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0.0213</v>
      </c>
      <c r="K12" s="51">
        <v>0.024</v>
      </c>
      <c r="L12" s="51">
        <v>0.0181</v>
      </c>
      <c r="M12" s="51">
        <v>0.0226</v>
      </c>
      <c r="N12" s="51">
        <v>0.0238</v>
      </c>
      <c r="O12" s="51">
        <v>0.0257</v>
      </c>
      <c r="P12" s="51">
        <v>0.0245</v>
      </c>
      <c r="Q12" s="51">
        <v>0.0227</v>
      </c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0.0247</v>
      </c>
      <c r="K13" s="51">
        <v>0.0175</v>
      </c>
      <c r="L13" s="51">
        <v>0.0267</v>
      </c>
      <c r="M13" s="51">
        <v>0.0197</v>
      </c>
      <c r="N13" s="51">
        <v>0.0246</v>
      </c>
      <c r="O13" s="51">
        <v>0.0151</v>
      </c>
      <c r="P13" s="51">
        <v>0.0208</v>
      </c>
      <c r="Q13" s="51">
        <v>0.0164</v>
      </c>
      <c r="R13" s="51"/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/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0.0237</v>
      </c>
      <c r="K14" s="51">
        <v>0.0191</v>
      </c>
      <c r="L14" s="51">
        <v>0.0236</v>
      </c>
      <c r="M14" s="51">
        <v>0.021</v>
      </c>
      <c r="N14" s="51">
        <v>0.0227</v>
      </c>
      <c r="O14" s="51">
        <v>0.0248</v>
      </c>
      <c r="P14" s="51">
        <v>0.022</v>
      </c>
      <c r="Q14" s="51">
        <v>0.0244</v>
      </c>
      <c r="R14" s="51"/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/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>
        <v>0.0178</v>
      </c>
      <c r="K15" s="51">
        <v>0.0223</v>
      </c>
      <c r="L15" s="51">
        <v>0.02</v>
      </c>
      <c r="M15" s="51">
        <v>0.0202</v>
      </c>
      <c r="N15" s="51">
        <v>0.0236</v>
      </c>
      <c r="O15" s="51">
        <v>0.0283</v>
      </c>
      <c r="P15" s="51">
        <v>0.0174</v>
      </c>
      <c r="Q15" s="51">
        <v>0.0197</v>
      </c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 t="str">
        <f t="shared" si="11"/>
        <v>√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>
        <v>0.0223</v>
      </c>
      <c r="K16" s="51">
        <v>0.029</v>
      </c>
      <c r="L16" s="51">
        <v>0.0238</v>
      </c>
      <c r="M16" s="51">
        <v>0.0215</v>
      </c>
      <c r="N16" s="51">
        <v>0.0246</v>
      </c>
      <c r="O16" s="51">
        <v>0.0229</v>
      </c>
      <c r="P16" s="51">
        <v>0.0158</v>
      </c>
      <c r="Q16" s="51">
        <v>0.0212</v>
      </c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>
        <v>0.0201</v>
      </c>
      <c r="K17" s="51">
        <v>0.0247</v>
      </c>
      <c r="L17" s="51">
        <v>0.0264</v>
      </c>
      <c r="M17" s="51">
        <v>0.0291</v>
      </c>
      <c r="N17" s="51">
        <v>0.0269</v>
      </c>
      <c r="O17" s="51">
        <v>0.0285</v>
      </c>
      <c r="P17" s="51">
        <v>0.0288</v>
      </c>
      <c r="Q17" s="51">
        <v>0.0212</v>
      </c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>
        <v>0.0257</v>
      </c>
      <c r="K18" s="51">
        <v>0.0222</v>
      </c>
      <c r="L18" s="51">
        <v>0.0213</v>
      </c>
      <c r="M18" s="51">
        <v>0.0269</v>
      </c>
      <c r="N18" s="51">
        <v>0.0176</v>
      </c>
      <c r="O18" s="51">
        <v>0.0242</v>
      </c>
      <c r="P18" s="51">
        <v>0.0244</v>
      </c>
      <c r="Q18" s="51">
        <v>0.0223</v>
      </c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28" operator="notBetween">
      <formula>$F11</formula>
      <formula>$G11</formula>
    </cfRule>
  </conditionalFormatting>
  <conditionalFormatting sqref="P11:U11">
    <cfRule type="cellIs" dxfId="0" priority="22" operator="notBetween">
      <formula>$F11</formula>
      <formula>$G11</formula>
    </cfRule>
  </conditionalFormatting>
  <conditionalFormatting sqref="V11:Y11">
    <cfRule type="cellIs" dxfId="0" priority="35" operator="notBetween">
      <formula>$G11</formula>
      <formula>$H11</formula>
    </cfRule>
  </conditionalFormatting>
  <conditionalFormatting sqref="J15:O15">
    <cfRule type="cellIs" dxfId="0" priority="26" operator="notBetween">
      <formula>$F15</formula>
      <formula>$G15</formula>
    </cfRule>
  </conditionalFormatting>
  <conditionalFormatting sqref="P15:U15">
    <cfRule type="cellIs" dxfId="0" priority="20" operator="notBetween">
      <formula>$F15</formula>
      <formula>$G15</formula>
    </cfRule>
  </conditionalFormatting>
  <conditionalFormatting sqref="V15:Y15">
    <cfRule type="cellIs" dxfId="0" priority="33" operator="notBetween">
      <formula>$G15</formula>
      <formula>$H15</formula>
    </cfRule>
  </conditionalFormatting>
  <conditionalFormatting sqref="L19">
    <cfRule type="cellIs" dxfId="0" priority="58" operator="notBetween">
      <formula>$G19</formula>
      <formula>$H19</formula>
    </cfRule>
  </conditionalFormatting>
  <conditionalFormatting sqref="O19">
    <cfRule type="cellIs" dxfId="0" priority="42" operator="notBetween">
      <formula>$G19</formula>
      <formula>$H19</formula>
    </cfRule>
  </conditionalFormatting>
  <conditionalFormatting sqref="Q19">
    <cfRule type="cellIs" dxfId="0" priority="50" operator="notBetween">
      <formula>$G19</formula>
      <formula>$H19</formula>
    </cfRule>
  </conditionalFormatting>
  <conditionalFormatting sqref="L20">
    <cfRule type="cellIs" dxfId="0" priority="61" operator="notBetween">
      <formula>$G20</formula>
      <formula>$H20</formula>
    </cfRule>
  </conditionalFormatting>
  <conditionalFormatting sqref="O20">
    <cfRule type="cellIs" dxfId="0" priority="45" operator="notBetween">
      <formula>$G20</formula>
      <formula>$H20</formula>
    </cfRule>
  </conditionalFormatting>
  <conditionalFormatting sqref="Q20">
    <cfRule type="cellIs" dxfId="0" priority="53" operator="notBetween">
      <formula>$G20</formula>
      <formula>$H20</formula>
    </cfRule>
  </conditionalFormatting>
  <conditionalFormatting sqref="J21:Y21">
    <cfRule type="cellIs" dxfId="0" priority="32" operator="notBetween">
      <formula>$G21</formula>
      <formula>$H21</formula>
    </cfRule>
  </conditionalFormatting>
  <conditionalFormatting sqref="J23:Y23">
    <cfRule type="cellIs" dxfId="0" priority="19" operator="notBetween">
      <formula>$F23</formula>
      <formula>$G23</formula>
    </cfRule>
  </conditionalFormatting>
  <conditionalFormatting sqref="L32">
    <cfRule type="cellIs" dxfId="0" priority="57" operator="notBetween">
      <formula>$G32</formula>
      <formula>$H32</formula>
    </cfRule>
  </conditionalFormatting>
  <conditionalFormatting sqref="O32">
    <cfRule type="cellIs" dxfId="0" priority="41" operator="notBetween">
      <formula>$G32</formula>
      <formula>$H32</formula>
    </cfRule>
  </conditionalFormatting>
  <conditionalFormatting sqref="Q32">
    <cfRule type="cellIs" dxfId="0" priority="49" operator="notBetween">
      <formula>$G32</formula>
      <formula>$H32</formula>
    </cfRule>
  </conditionalFormatting>
  <conditionalFormatting sqref="L33">
    <cfRule type="cellIs" dxfId="0" priority="62" operator="notBetween">
      <formula>$G33</formula>
      <formula>$H33</formula>
    </cfRule>
  </conditionalFormatting>
  <conditionalFormatting sqref="O33">
    <cfRule type="cellIs" dxfId="0" priority="46" operator="notBetween">
      <formula>$G33</formula>
      <formula>$H33</formula>
    </cfRule>
  </conditionalFormatting>
  <conditionalFormatting sqref="Q33">
    <cfRule type="cellIs" dxfId="0" priority="54" operator="notBetween">
      <formula>$G33</formula>
      <formula>$H33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50:Y50">
    <cfRule type="cellIs" dxfId="0" priority="16" operator="notBetween">
      <formula>$G50</formula>
      <formula>$H50</formula>
    </cfRule>
  </conditionalFormatting>
  <conditionalFormatting sqref="J55:Y55">
    <cfRule type="cellIs" dxfId="0" priority="15" operator="notBetween">
      <formula>$G55</formula>
      <formula>$H55</formula>
    </cfRule>
  </conditionalFormatting>
  <conditionalFormatting sqref="J60:Y60">
    <cfRule type="cellIs" dxfId="0" priority="14" operator="notBetween">
      <formula>$G60</formula>
      <formula>$H60</formula>
    </cfRule>
  </conditionalFormatting>
  <conditionalFormatting sqref="J65:Y65">
    <cfRule type="cellIs" dxfId="0" priority="13" operator="notBetween">
      <formula>$G65</formula>
      <formula>$H65</formula>
    </cfRule>
  </conditionalFormatting>
  <conditionalFormatting sqref="J77:Y77">
    <cfRule type="cellIs" dxfId="0" priority="12" operator="notBetween">
      <formula>$G77</formula>
      <formula>$H77</formula>
    </cfRule>
  </conditionalFormatting>
  <conditionalFormatting sqref="J82:Y82">
    <cfRule type="cellIs" dxfId="0" priority="11" operator="notBetween">
      <formula>$G82</formula>
      <formula>$H82</formula>
    </cfRule>
  </conditionalFormatting>
  <conditionalFormatting sqref="J87:Y87">
    <cfRule type="cellIs" dxfId="0" priority="10" operator="notBetween">
      <formula>$G87</formula>
      <formula>$H87</formula>
    </cfRule>
  </conditionalFormatting>
  <conditionalFormatting sqref="J92:Y92">
    <cfRule type="cellIs" dxfId="0" priority="9" operator="notBetween">
      <formula>$G92</formula>
      <formula>$H92</formula>
    </cfRule>
  </conditionalFormatting>
  <conditionalFormatting sqref="L97">
    <cfRule type="cellIs" dxfId="0" priority="59" operator="notBetween">
      <formula>$G97</formula>
      <formula>$H97</formula>
    </cfRule>
  </conditionalFormatting>
  <conditionalFormatting sqref="O97">
    <cfRule type="cellIs" dxfId="0" priority="43" operator="notBetween">
      <formula>$G97</formula>
      <formula>$H97</formula>
    </cfRule>
  </conditionalFormatting>
  <conditionalFormatting sqref="Q97">
    <cfRule type="cellIs" dxfId="0" priority="51" operator="notBetween">
      <formula>$G97</formula>
      <formula>$H97</formula>
    </cfRule>
  </conditionalFormatting>
  <conditionalFormatting sqref="L100">
    <cfRule type="cellIs" dxfId="0" priority="55" operator="notBetween">
      <formula>$G100</formula>
      <formula>$H100</formula>
    </cfRule>
  </conditionalFormatting>
  <conditionalFormatting sqref="O100">
    <cfRule type="cellIs" dxfId="0" priority="39" operator="notBetween">
      <formula>$G100</formula>
      <formula>$H100</formula>
    </cfRule>
  </conditionalFormatting>
  <conditionalFormatting sqref="Q100">
    <cfRule type="cellIs" dxfId="0" priority="47" operator="notBetween">
      <formula>$G100</formula>
      <formula>$H100</formula>
    </cfRule>
  </conditionalFormatting>
  <conditionalFormatting sqref="J103:Y103">
    <cfRule type="cellIs" dxfId="0" priority="8" operator="notBetween">
      <formula>$G103</formula>
      <formula>$H103</formula>
    </cfRule>
  </conditionalFormatting>
  <conditionalFormatting sqref="J107:Y107">
    <cfRule type="cellIs" dxfId="0" priority="7" operator="notBetween">
      <formula>$G107</formula>
      <formula>$H107</formula>
    </cfRule>
  </conditionalFormatting>
  <conditionalFormatting sqref="J113:Y113">
    <cfRule type="cellIs" dxfId="0" priority="6" operator="notBetween">
      <formula>$G113</formula>
      <formula>$H113</formula>
    </cfRule>
  </conditionalFormatting>
  <conditionalFormatting sqref="J114:Y114">
    <cfRule type="cellIs" dxfId="0" priority="1" operator="notBetween">
      <formula>$G114</formula>
      <formula>$H114</formula>
    </cfRule>
  </conditionalFormatting>
  <conditionalFormatting sqref="J115:Y115">
    <cfRule type="cellIs" dxfId="0" priority="3" operator="notBetween">
      <formula>$G115</formula>
      <formula>$H115</formula>
    </cfRule>
  </conditionalFormatting>
  <conditionalFormatting sqref="J116:Y116">
    <cfRule type="cellIs" dxfId="0" priority="2" operator="notBetween">
      <formula>$G116</formula>
      <formula>$H116</formula>
    </cfRule>
  </conditionalFormatting>
  <conditionalFormatting sqref="J117:Y117">
    <cfRule type="cellIs" dxfId="0" priority="5" operator="notBetween">
      <formula>$G117</formula>
      <formula>$H117</formula>
    </cfRule>
  </conditionalFormatting>
  <conditionalFormatting sqref="J118:Y118">
    <cfRule type="cellIs" dxfId="0" priority="4" operator="notBetween">
      <formula>$G118</formula>
      <formula>$H118</formula>
    </cfRule>
  </conditionalFormatting>
  <conditionalFormatting sqref="L24:L25">
    <cfRule type="cellIs" dxfId="0" priority="60" operator="notBetween">
      <formula>$G24</formula>
      <formula>$H24</formula>
    </cfRule>
  </conditionalFormatting>
  <conditionalFormatting sqref="L29:L31">
    <cfRule type="cellIs" dxfId="0" priority="56" operator="notBetween">
      <formula>$G29</formula>
      <formula>$H29</formula>
    </cfRule>
  </conditionalFormatting>
  <conditionalFormatting sqref="O24:O25">
    <cfRule type="cellIs" dxfId="0" priority="44" operator="notBetween">
      <formula>$G24</formula>
      <formula>$H24</formula>
    </cfRule>
  </conditionalFormatting>
  <conditionalFormatting sqref="O29:O31">
    <cfRule type="cellIs" dxfId="0" priority="40" operator="notBetween">
      <formula>$G29</formula>
      <formula>$H29</formula>
    </cfRule>
  </conditionalFormatting>
  <conditionalFormatting sqref="Q24:Q25">
    <cfRule type="cellIs" dxfId="0" priority="52" operator="notBetween">
      <formula>$G24</formula>
      <formula>$H24</formula>
    </cfRule>
  </conditionalFormatting>
  <conditionalFormatting sqref="Q29:Q31">
    <cfRule type="cellIs" dxfId="0" priority="48" operator="notBetween">
      <formula>$G29</formula>
      <formula>$H29</formula>
    </cfRule>
  </conditionalFormatting>
  <conditionalFormatting sqref="V7:Y8 J22:Y22 J26:Y26 J33:K33 M33:N33 P33 R33:Y33 J97">
    <cfRule type="cellIs" dxfId="0" priority="71" operator="notBetween">
      <formula>$G7</formula>
      <formula>$H7</formula>
    </cfRule>
  </conditionalFormatting>
  <conditionalFormatting sqref="J7:O8">
    <cfRule type="cellIs" dxfId="0" priority="31" operator="notBetween">
      <formula>$F7</formula>
      <formula>$G7</formula>
    </cfRule>
  </conditionalFormatting>
  <conditionalFormatting sqref="P7:U8">
    <cfRule type="cellIs" dxfId="0" priority="25" operator="notBetween">
      <formula>$F7</formula>
      <formula>$G7</formula>
    </cfRule>
  </conditionalFormatting>
  <conditionalFormatting sqref="J9:O10">
    <cfRule type="cellIs" dxfId="0" priority="30" operator="notBetween">
      <formula>$F9</formula>
      <formula>$G9</formula>
    </cfRule>
  </conditionalFormatting>
  <conditionalFormatting sqref="P9:U10">
    <cfRule type="cellIs" dxfId="0" priority="24" operator="notBetween">
      <formula>$F9</formula>
      <formula>$G9</formula>
    </cfRule>
  </conditionalFormatting>
  <conditionalFormatting sqref="V9:Y10">
    <cfRule type="cellIs" dxfId="0" priority="38" operator="notBetween">
      <formula>$G9</formula>
      <formula>$H9</formula>
    </cfRule>
  </conditionalFormatting>
  <conditionalFormatting sqref="J12:O14">
    <cfRule type="cellIs" dxfId="0" priority="29" operator="notBetween">
      <formula>$F12</formula>
      <formula>$G12</formula>
    </cfRule>
  </conditionalFormatting>
  <conditionalFormatting sqref="P12:U14">
    <cfRule type="cellIs" dxfId="0" priority="23" operator="notBetween">
      <formula>$F12</formula>
      <formula>$G12</formula>
    </cfRule>
  </conditionalFormatting>
  <conditionalFormatting sqref="V12:Y14">
    <cfRule type="cellIs" dxfId="0" priority="36" operator="notBetween">
      <formula>$G12</formula>
      <formula>$H12</formula>
    </cfRule>
  </conditionalFormatting>
  <conditionalFormatting sqref="J16:O18">
    <cfRule type="cellIs" dxfId="0" priority="27" operator="notBetween">
      <formula>$F16</formula>
      <formula>$G16</formula>
    </cfRule>
  </conditionalFormatting>
  <conditionalFormatting sqref="P16:U18">
    <cfRule type="cellIs" dxfId="0" priority="21" operator="notBetween">
      <formula>$F16</formula>
      <formula>$G16</formula>
    </cfRule>
  </conditionalFormatting>
  <conditionalFormatting sqref="V16:Y18">
    <cfRule type="cellIs" dxfId="0" priority="34" operator="notBetween">
      <formula>$G16</formula>
      <formula>$H16</formula>
    </cfRule>
  </conditionalFormatting>
  <conditionalFormatting sqref="J19:K19 M19:N19 P19 R19:Y19">
    <cfRule type="cellIs" dxfId="0" priority="66" operator="notBetween">
      <formula>$G19</formula>
      <formula>$H19</formula>
    </cfRule>
  </conditionalFormatting>
  <conditionalFormatting sqref="J20:K20 M20:N20 P20 R20:Y20">
    <cfRule type="cellIs" dxfId="0" priority="70" operator="notBetween">
      <formula>$G20</formula>
      <formula>$H20</formula>
    </cfRule>
  </conditionalFormatting>
  <conditionalFormatting sqref="J24:J25 J27:J31">
    <cfRule type="cellIs" dxfId="0" priority="67" operator="notBetween">
      <formula>$G24</formula>
      <formula>$H24</formula>
    </cfRule>
  </conditionalFormatting>
  <conditionalFormatting sqref="K24:K25 M24:N25 P24:P25 R24:Y25">
    <cfRule type="cellIs" dxfId="0" priority="69" operator="notBetween">
      <formula>$G24</formula>
      <formula>$H24</formula>
    </cfRule>
  </conditionalFormatting>
  <conditionalFormatting sqref="K27:Y28">
    <cfRule type="cellIs" dxfId="0" priority="37" operator="notBetween">
      <formula>$G27</formula>
      <formula>$H27</formula>
    </cfRule>
  </conditionalFormatting>
  <conditionalFormatting sqref="K29:K31 M29:N31 P29:P31 R29:Y31">
    <cfRule type="cellIs" dxfId="0" priority="64" operator="notBetween">
      <formula>$G29</formula>
      <formula>$H29</formula>
    </cfRule>
  </conditionalFormatting>
  <conditionalFormatting sqref="J32:K32 M32:N32 P32 R32:Y32">
    <cfRule type="cellIs" dxfId="0" priority="65" operator="notBetween">
      <formula>$G32</formula>
      <formula>$H32</formula>
    </cfRule>
  </conditionalFormatting>
  <conditionalFormatting sqref="J34:Y36">
    <cfRule type="cellIs" dxfId="0" priority="18" operator="notBetween">
      <formula>$G34</formula>
      <formula>$H34</formula>
    </cfRule>
  </conditionalFormatting>
  <conditionalFormatting sqref="K97 M97:N97 P97 R97:Y97">
    <cfRule type="cellIs" dxfId="0" priority="68" operator="notBetween">
      <formula>$G97</formula>
      <formula>$H97</formula>
    </cfRule>
  </conditionalFormatting>
  <conditionalFormatting sqref="J100:K100 M100:N100 P100 R100:Y100">
    <cfRule type="cellIs" dxfId="0" priority="63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Q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0.4949</v>
      </c>
      <c r="K7" s="51">
        <v>0.4951</v>
      </c>
      <c r="L7" s="51">
        <v>0.496</v>
      </c>
      <c r="M7" s="51">
        <v>0.4951</v>
      </c>
      <c r="N7" s="51">
        <v>0.4953</v>
      </c>
      <c r="O7" s="51">
        <v>0.4961</v>
      </c>
      <c r="P7" s="51">
        <v>0.4956</v>
      </c>
      <c r="Q7" s="51">
        <v>0.4968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0.5806</v>
      </c>
      <c r="K8" s="51">
        <v>0.5837</v>
      </c>
      <c r="L8" s="51">
        <v>0.5864</v>
      </c>
      <c r="M8" s="51">
        <v>0.5821</v>
      </c>
      <c r="N8" s="51">
        <v>0.5858</v>
      </c>
      <c r="O8" s="51">
        <v>0.5776</v>
      </c>
      <c r="P8" s="51">
        <v>0.5829</v>
      </c>
      <c r="Q8" s="51">
        <v>0.5781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0.0335</v>
      </c>
      <c r="K9" s="51">
        <v>0.0485</v>
      </c>
      <c r="L9" s="51">
        <v>0.0334</v>
      </c>
      <c r="M9" s="51">
        <v>0.0301</v>
      </c>
      <c r="N9" s="51">
        <v>0.0348</v>
      </c>
      <c r="O9" s="51">
        <v>0.0368</v>
      </c>
      <c r="P9" s="51">
        <v>0.0333</v>
      </c>
      <c r="Q9" s="51">
        <v>0.034</v>
      </c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0.041</v>
      </c>
      <c r="K10" s="51">
        <v>0.032</v>
      </c>
      <c r="L10" s="51">
        <v>0.0453</v>
      </c>
      <c r="M10" s="51">
        <v>0.043</v>
      </c>
      <c r="N10" s="51">
        <v>0.0472</v>
      </c>
      <c r="O10" s="51">
        <v>0.0459</v>
      </c>
      <c r="P10" s="51">
        <v>0.046</v>
      </c>
      <c r="Q10" s="51">
        <v>0.0395</v>
      </c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0.0212</v>
      </c>
      <c r="K11" s="51">
        <v>0.0205</v>
      </c>
      <c r="L11" s="51">
        <v>0.0284</v>
      </c>
      <c r="M11" s="51">
        <v>0.0304</v>
      </c>
      <c r="N11" s="51">
        <v>0.0209</v>
      </c>
      <c r="O11" s="51">
        <v>0.0257</v>
      </c>
      <c r="P11" s="51">
        <v>0.0301</v>
      </c>
      <c r="Q11" s="51">
        <v>0.0263</v>
      </c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0.0254</v>
      </c>
      <c r="K12" s="51">
        <v>0.027</v>
      </c>
      <c r="L12" s="51">
        <v>0.026</v>
      </c>
      <c r="M12" s="51">
        <v>0.0285</v>
      </c>
      <c r="N12" s="51">
        <v>0.0263</v>
      </c>
      <c r="O12" s="51">
        <v>0.0219</v>
      </c>
      <c r="P12" s="51">
        <v>0.0245</v>
      </c>
      <c r="Q12" s="51">
        <v>0.0209</v>
      </c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0.0163</v>
      </c>
      <c r="K13" s="51">
        <v>0.0198</v>
      </c>
      <c r="L13" s="51">
        <v>0.0166</v>
      </c>
      <c r="M13" s="51">
        <v>0.0234</v>
      </c>
      <c r="N13" s="51">
        <v>0.0168</v>
      </c>
      <c r="O13" s="51">
        <v>0.0159</v>
      </c>
      <c r="P13" s="51">
        <v>0.0248</v>
      </c>
      <c r="Q13" s="51">
        <v>0.0193</v>
      </c>
      <c r="R13" s="51"/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/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0.0238</v>
      </c>
      <c r="K14" s="51">
        <v>0.0228</v>
      </c>
      <c r="L14" s="51">
        <v>0.0238</v>
      </c>
      <c r="M14" s="51">
        <v>0.0288</v>
      </c>
      <c r="N14" s="51">
        <v>0.023</v>
      </c>
      <c r="O14" s="51">
        <v>0.0226</v>
      </c>
      <c r="P14" s="51">
        <v>0.0271</v>
      </c>
      <c r="Q14" s="51">
        <v>0.0288</v>
      </c>
      <c r="R14" s="51"/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/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>
        <v>0.0168</v>
      </c>
      <c r="K15" s="51">
        <v>0.0185</v>
      </c>
      <c r="L15" s="51">
        <v>0.0195</v>
      </c>
      <c r="M15" s="51">
        <v>0.0217</v>
      </c>
      <c r="N15" s="51">
        <v>0.0148</v>
      </c>
      <c r="O15" s="51">
        <v>0.0213</v>
      </c>
      <c r="P15" s="51">
        <v>0.0279</v>
      </c>
      <c r="Q15" s="51">
        <v>0.0213</v>
      </c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>
        <f t="shared" si="11"/>
        <v>-0.000200000000000001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>
        <v>0.0158</v>
      </c>
      <c r="K16" s="51">
        <v>0.016</v>
      </c>
      <c r="L16" s="51">
        <v>0.0173</v>
      </c>
      <c r="M16" s="51">
        <v>0.0186</v>
      </c>
      <c r="N16" s="51">
        <v>0.0216</v>
      </c>
      <c r="O16" s="51">
        <v>0.0159</v>
      </c>
      <c r="P16" s="51">
        <v>0.0156</v>
      </c>
      <c r="Q16" s="51">
        <v>0.0174</v>
      </c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>
        <v>0.0308</v>
      </c>
      <c r="K17" s="51">
        <v>0.0261</v>
      </c>
      <c r="L17" s="51">
        <v>0.0225</v>
      </c>
      <c r="M17" s="51">
        <v>0.0333</v>
      </c>
      <c r="N17" s="51">
        <v>0.0282</v>
      </c>
      <c r="O17" s="51">
        <v>0.0268</v>
      </c>
      <c r="P17" s="51">
        <v>0.0263</v>
      </c>
      <c r="Q17" s="51">
        <v>0.026</v>
      </c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>
        <v>0.0171</v>
      </c>
      <c r="K18" s="51">
        <v>0.0155</v>
      </c>
      <c r="L18" s="51">
        <v>0.0205</v>
      </c>
      <c r="M18" s="51">
        <v>0.0179</v>
      </c>
      <c r="N18" s="51">
        <v>0.0183</v>
      </c>
      <c r="O18" s="51">
        <v>0.0167</v>
      </c>
      <c r="P18" s="51">
        <v>0.02</v>
      </c>
      <c r="Q18" s="51">
        <v>0.0213</v>
      </c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28" operator="notBetween">
      <formula>$F11</formula>
      <formula>$G11</formula>
    </cfRule>
  </conditionalFormatting>
  <conditionalFormatting sqref="P11:U11">
    <cfRule type="cellIs" dxfId="0" priority="22" operator="notBetween">
      <formula>$F11</formula>
      <formula>$G11</formula>
    </cfRule>
  </conditionalFormatting>
  <conditionalFormatting sqref="V11:Y11">
    <cfRule type="cellIs" dxfId="0" priority="35" operator="notBetween">
      <formula>$G11</formula>
      <formula>$H11</formula>
    </cfRule>
  </conditionalFormatting>
  <conditionalFormatting sqref="J15:O15">
    <cfRule type="cellIs" dxfId="0" priority="26" operator="notBetween">
      <formula>$F15</formula>
      <formula>$G15</formula>
    </cfRule>
  </conditionalFormatting>
  <conditionalFormatting sqref="P15:U15">
    <cfRule type="cellIs" dxfId="0" priority="20" operator="notBetween">
      <formula>$F15</formula>
      <formula>$G15</formula>
    </cfRule>
  </conditionalFormatting>
  <conditionalFormatting sqref="V15:Y15">
    <cfRule type="cellIs" dxfId="0" priority="33" operator="notBetween">
      <formula>$G15</formula>
      <formula>$H15</formula>
    </cfRule>
  </conditionalFormatting>
  <conditionalFormatting sqref="L19">
    <cfRule type="cellIs" dxfId="0" priority="58" operator="notBetween">
      <formula>$G19</formula>
      <formula>$H19</formula>
    </cfRule>
  </conditionalFormatting>
  <conditionalFormatting sqref="O19">
    <cfRule type="cellIs" dxfId="0" priority="42" operator="notBetween">
      <formula>$G19</formula>
      <formula>$H19</formula>
    </cfRule>
  </conditionalFormatting>
  <conditionalFormatting sqref="Q19">
    <cfRule type="cellIs" dxfId="0" priority="50" operator="notBetween">
      <formula>$G19</formula>
      <formula>$H19</formula>
    </cfRule>
  </conditionalFormatting>
  <conditionalFormatting sqref="L20">
    <cfRule type="cellIs" dxfId="0" priority="61" operator="notBetween">
      <formula>$G20</formula>
      <formula>$H20</formula>
    </cfRule>
  </conditionalFormatting>
  <conditionalFormatting sqref="O20">
    <cfRule type="cellIs" dxfId="0" priority="45" operator="notBetween">
      <formula>$G20</formula>
      <formula>$H20</formula>
    </cfRule>
  </conditionalFormatting>
  <conditionalFormatting sqref="Q20">
    <cfRule type="cellIs" dxfId="0" priority="53" operator="notBetween">
      <formula>$G20</formula>
      <formula>$H20</formula>
    </cfRule>
  </conditionalFormatting>
  <conditionalFormatting sqref="J21:Y21">
    <cfRule type="cellIs" dxfId="0" priority="32" operator="notBetween">
      <formula>$G21</formula>
      <formula>$H21</formula>
    </cfRule>
  </conditionalFormatting>
  <conditionalFormatting sqref="J23:Y23">
    <cfRule type="cellIs" dxfId="0" priority="19" operator="notBetween">
      <formula>$F23</formula>
      <formula>$G23</formula>
    </cfRule>
  </conditionalFormatting>
  <conditionalFormatting sqref="L32">
    <cfRule type="cellIs" dxfId="0" priority="57" operator="notBetween">
      <formula>$G32</formula>
      <formula>$H32</formula>
    </cfRule>
  </conditionalFormatting>
  <conditionalFormatting sqref="O32">
    <cfRule type="cellIs" dxfId="0" priority="41" operator="notBetween">
      <formula>$G32</formula>
      <formula>$H32</formula>
    </cfRule>
  </conditionalFormatting>
  <conditionalFormatting sqref="Q32">
    <cfRule type="cellIs" dxfId="0" priority="49" operator="notBetween">
      <formula>$G32</formula>
      <formula>$H32</formula>
    </cfRule>
  </conditionalFormatting>
  <conditionalFormatting sqref="L33">
    <cfRule type="cellIs" dxfId="0" priority="62" operator="notBetween">
      <formula>$G33</formula>
      <formula>$H33</formula>
    </cfRule>
  </conditionalFormatting>
  <conditionalFormatting sqref="O33">
    <cfRule type="cellIs" dxfId="0" priority="46" operator="notBetween">
      <formula>$G33</formula>
      <formula>$H33</formula>
    </cfRule>
  </conditionalFormatting>
  <conditionalFormatting sqref="Q33">
    <cfRule type="cellIs" dxfId="0" priority="54" operator="notBetween">
      <formula>$G33</formula>
      <formula>$H33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50:Y50">
    <cfRule type="cellIs" dxfId="0" priority="16" operator="notBetween">
      <formula>$G50</formula>
      <formula>$H50</formula>
    </cfRule>
  </conditionalFormatting>
  <conditionalFormatting sqref="J55:Y55">
    <cfRule type="cellIs" dxfId="0" priority="15" operator="notBetween">
      <formula>$G55</formula>
      <formula>$H55</formula>
    </cfRule>
  </conditionalFormatting>
  <conditionalFormatting sqref="J60:Y60">
    <cfRule type="cellIs" dxfId="0" priority="14" operator="notBetween">
      <formula>$G60</formula>
      <formula>$H60</formula>
    </cfRule>
  </conditionalFormatting>
  <conditionalFormatting sqref="J65:Y65">
    <cfRule type="cellIs" dxfId="0" priority="13" operator="notBetween">
      <formula>$G65</formula>
      <formula>$H65</formula>
    </cfRule>
  </conditionalFormatting>
  <conditionalFormatting sqref="J77:Y77">
    <cfRule type="cellIs" dxfId="0" priority="12" operator="notBetween">
      <formula>$G77</formula>
      <formula>$H77</formula>
    </cfRule>
  </conditionalFormatting>
  <conditionalFormatting sqref="J82:Y82">
    <cfRule type="cellIs" dxfId="0" priority="11" operator="notBetween">
      <formula>$G82</formula>
      <formula>$H82</formula>
    </cfRule>
  </conditionalFormatting>
  <conditionalFormatting sqref="J87:Y87">
    <cfRule type="cellIs" dxfId="0" priority="10" operator="notBetween">
      <formula>$G87</formula>
      <formula>$H87</formula>
    </cfRule>
  </conditionalFormatting>
  <conditionalFormatting sqref="J92:Y92">
    <cfRule type="cellIs" dxfId="0" priority="9" operator="notBetween">
      <formula>$G92</formula>
      <formula>$H92</formula>
    </cfRule>
  </conditionalFormatting>
  <conditionalFormatting sqref="L97">
    <cfRule type="cellIs" dxfId="0" priority="59" operator="notBetween">
      <formula>$G97</formula>
      <formula>$H97</formula>
    </cfRule>
  </conditionalFormatting>
  <conditionalFormatting sqref="O97">
    <cfRule type="cellIs" dxfId="0" priority="43" operator="notBetween">
      <formula>$G97</formula>
      <formula>$H97</formula>
    </cfRule>
  </conditionalFormatting>
  <conditionalFormatting sqref="Q97">
    <cfRule type="cellIs" dxfId="0" priority="51" operator="notBetween">
      <formula>$G97</formula>
      <formula>$H97</formula>
    </cfRule>
  </conditionalFormatting>
  <conditionalFormatting sqref="L100">
    <cfRule type="cellIs" dxfId="0" priority="55" operator="notBetween">
      <formula>$G100</formula>
      <formula>$H100</formula>
    </cfRule>
  </conditionalFormatting>
  <conditionalFormatting sqref="O100">
    <cfRule type="cellIs" dxfId="0" priority="39" operator="notBetween">
      <formula>$G100</formula>
      <formula>$H100</formula>
    </cfRule>
  </conditionalFormatting>
  <conditionalFormatting sqref="Q100">
    <cfRule type="cellIs" dxfId="0" priority="47" operator="notBetween">
      <formula>$G100</formula>
      <formula>$H100</formula>
    </cfRule>
  </conditionalFormatting>
  <conditionalFormatting sqref="J103:Y103">
    <cfRule type="cellIs" dxfId="0" priority="8" operator="notBetween">
      <formula>$G103</formula>
      <formula>$H103</formula>
    </cfRule>
  </conditionalFormatting>
  <conditionalFormatting sqref="J107:Y107">
    <cfRule type="cellIs" dxfId="0" priority="7" operator="notBetween">
      <formula>$G107</formula>
      <formula>$H107</formula>
    </cfRule>
  </conditionalFormatting>
  <conditionalFormatting sqref="J113:Y113">
    <cfRule type="cellIs" dxfId="0" priority="6" operator="notBetween">
      <formula>$G113</formula>
      <formula>$H113</formula>
    </cfRule>
  </conditionalFormatting>
  <conditionalFormatting sqref="J114:Y114">
    <cfRule type="cellIs" dxfId="0" priority="1" operator="notBetween">
      <formula>$G114</formula>
      <formula>$H114</formula>
    </cfRule>
  </conditionalFormatting>
  <conditionalFormatting sqref="J115:Y115">
    <cfRule type="cellIs" dxfId="0" priority="3" operator="notBetween">
      <formula>$G115</formula>
      <formula>$H115</formula>
    </cfRule>
  </conditionalFormatting>
  <conditionalFormatting sqref="J116:Y116">
    <cfRule type="cellIs" dxfId="0" priority="2" operator="notBetween">
      <formula>$G116</formula>
      <formula>$H116</formula>
    </cfRule>
  </conditionalFormatting>
  <conditionalFormatting sqref="J117:Y117">
    <cfRule type="cellIs" dxfId="0" priority="5" operator="notBetween">
      <formula>$G117</formula>
      <formula>$H117</formula>
    </cfRule>
  </conditionalFormatting>
  <conditionalFormatting sqref="J118:Y118">
    <cfRule type="cellIs" dxfId="0" priority="4" operator="notBetween">
      <formula>$G118</formula>
      <formula>$H118</formula>
    </cfRule>
  </conditionalFormatting>
  <conditionalFormatting sqref="L24:L25">
    <cfRule type="cellIs" dxfId="0" priority="60" operator="notBetween">
      <formula>$G24</formula>
      <formula>$H24</formula>
    </cfRule>
  </conditionalFormatting>
  <conditionalFormatting sqref="L29:L31">
    <cfRule type="cellIs" dxfId="0" priority="56" operator="notBetween">
      <formula>$G29</formula>
      <formula>$H29</formula>
    </cfRule>
  </conditionalFormatting>
  <conditionalFormatting sqref="O24:O25">
    <cfRule type="cellIs" dxfId="0" priority="44" operator="notBetween">
      <formula>$G24</formula>
      <formula>$H24</formula>
    </cfRule>
  </conditionalFormatting>
  <conditionalFormatting sqref="O29:O31">
    <cfRule type="cellIs" dxfId="0" priority="40" operator="notBetween">
      <formula>$G29</formula>
      <formula>$H29</formula>
    </cfRule>
  </conditionalFormatting>
  <conditionalFormatting sqref="Q24:Q25">
    <cfRule type="cellIs" dxfId="0" priority="52" operator="notBetween">
      <formula>$G24</formula>
      <formula>$H24</formula>
    </cfRule>
  </conditionalFormatting>
  <conditionalFormatting sqref="Q29:Q31">
    <cfRule type="cellIs" dxfId="0" priority="48" operator="notBetween">
      <formula>$G29</formula>
      <formula>$H29</formula>
    </cfRule>
  </conditionalFormatting>
  <conditionalFormatting sqref="V7:Y8 J22:Y22 J26:Y26 J33:K33 M33:N33 P33 R33:Y33 J97">
    <cfRule type="cellIs" dxfId="0" priority="71" operator="notBetween">
      <formula>$G7</formula>
      <formula>$H7</formula>
    </cfRule>
  </conditionalFormatting>
  <conditionalFormatting sqref="J7:O8">
    <cfRule type="cellIs" dxfId="0" priority="31" operator="notBetween">
      <formula>$F7</formula>
      <formula>$G7</formula>
    </cfRule>
  </conditionalFormatting>
  <conditionalFormatting sqref="P7:U8">
    <cfRule type="cellIs" dxfId="0" priority="25" operator="notBetween">
      <formula>$F7</formula>
      <formula>$G7</formula>
    </cfRule>
  </conditionalFormatting>
  <conditionalFormatting sqref="J9:O10">
    <cfRule type="cellIs" dxfId="0" priority="30" operator="notBetween">
      <formula>$F9</formula>
      <formula>$G9</formula>
    </cfRule>
  </conditionalFormatting>
  <conditionalFormatting sqref="P9:U10">
    <cfRule type="cellIs" dxfId="0" priority="24" operator="notBetween">
      <formula>$F9</formula>
      <formula>$G9</formula>
    </cfRule>
  </conditionalFormatting>
  <conditionalFormatting sqref="V9:Y10">
    <cfRule type="cellIs" dxfId="0" priority="38" operator="notBetween">
      <formula>$G9</formula>
      <formula>$H9</formula>
    </cfRule>
  </conditionalFormatting>
  <conditionalFormatting sqref="J12:O14">
    <cfRule type="cellIs" dxfId="0" priority="29" operator="notBetween">
      <formula>$F12</formula>
      <formula>$G12</formula>
    </cfRule>
  </conditionalFormatting>
  <conditionalFormatting sqref="P12:U14">
    <cfRule type="cellIs" dxfId="0" priority="23" operator="notBetween">
      <formula>$F12</formula>
      <formula>$G12</formula>
    </cfRule>
  </conditionalFormatting>
  <conditionalFormatting sqref="V12:Y14">
    <cfRule type="cellIs" dxfId="0" priority="36" operator="notBetween">
      <formula>$G12</formula>
      <formula>$H12</formula>
    </cfRule>
  </conditionalFormatting>
  <conditionalFormatting sqref="J16:O18">
    <cfRule type="cellIs" dxfId="0" priority="27" operator="notBetween">
      <formula>$F16</formula>
      <formula>$G16</formula>
    </cfRule>
  </conditionalFormatting>
  <conditionalFormatting sqref="P16:U18">
    <cfRule type="cellIs" dxfId="0" priority="21" operator="notBetween">
      <formula>$F16</formula>
      <formula>$G16</formula>
    </cfRule>
  </conditionalFormatting>
  <conditionalFormatting sqref="V16:Y18">
    <cfRule type="cellIs" dxfId="0" priority="34" operator="notBetween">
      <formula>$G16</formula>
      <formula>$H16</formula>
    </cfRule>
  </conditionalFormatting>
  <conditionalFormatting sqref="J19:K19 M19:N19 P19 R19:Y19">
    <cfRule type="cellIs" dxfId="0" priority="66" operator="notBetween">
      <formula>$G19</formula>
      <formula>$H19</formula>
    </cfRule>
  </conditionalFormatting>
  <conditionalFormatting sqref="J20:K20 M20:N20 P20 R20:Y20">
    <cfRule type="cellIs" dxfId="0" priority="70" operator="notBetween">
      <formula>$G20</formula>
      <formula>$H20</formula>
    </cfRule>
  </conditionalFormatting>
  <conditionalFormatting sqref="J24:J25 J27:J31">
    <cfRule type="cellIs" dxfId="0" priority="67" operator="notBetween">
      <formula>$G24</formula>
      <formula>$H24</formula>
    </cfRule>
  </conditionalFormatting>
  <conditionalFormatting sqref="K24:K25 M24:N25 P24:P25 R24:Y25">
    <cfRule type="cellIs" dxfId="0" priority="69" operator="notBetween">
      <formula>$G24</formula>
      <formula>$H24</formula>
    </cfRule>
  </conditionalFormatting>
  <conditionalFormatting sqref="K27:Y28">
    <cfRule type="cellIs" dxfId="0" priority="37" operator="notBetween">
      <formula>$G27</formula>
      <formula>$H27</formula>
    </cfRule>
  </conditionalFormatting>
  <conditionalFormatting sqref="K29:K31 M29:N31 P29:P31 R29:Y31">
    <cfRule type="cellIs" dxfId="0" priority="64" operator="notBetween">
      <formula>$G29</formula>
      <formula>$H29</formula>
    </cfRule>
  </conditionalFormatting>
  <conditionalFormatting sqref="J32:K32 M32:N32 P32 R32:Y32">
    <cfRule type="cellIs" dxfId="0" priority="65" operator="notBetween">
      <formula>$G32</formula>
      <formula>$H32</formula>
    </cfRule>
  </conditionalFormatting>
  <conditionalFormatting sqref="J34:Y36">
    <cfRule type="cellIs" dxfId="0" priority="18" operator="notBetween">
      <formula>$G34</formula>
      <formula>$H34</formula>
    </cfRule>
  </conditionalFormatting>
  <conditionalFormatting sqref="K97 M97:N97 P97 R97:Y97">
    <cfRule type="cellIs" dxfId="0" priority="68" operator="notBetween">
      <formula>$G97</formula>
      <formula>$H97</formula>
    </cfRule>
  </conditionalFormatting>
  <conditionalFormatting sqref="J100:K100 M100:N100 P100 R100:Y100">
    <cfRule type="cellIs" dxfId="0" priority="63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Q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0.4924</v>
      </c>
      <c r="K7" s="51">
        <v>0.4929</v>
      </c>
      <c r="L7" s="51">
        <v>0.4955</v>
      </c>
      <c r="M7" s="51">
        <v>0.4968</v>
      </c>
      <c r="N7" s="51">
        <v>0.4976</v>
      </c>
      <c r="O7" s="51">
        <v>0.4955</v>
      </c>
      <c r="P7" s="51">
        <v>0.4937</v>
      </c>
      <c r="Q7" s="51">
        <v>0.4949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0.5856</v>
      </c>
      <c r="K8" s="51">
        <v>0.5883</v>
      </c>
      <c r="L8" s="51">
        <v>0.5859</v>
      </c>
      <c r="M8" s="51">
        <v>0.5835</v>
      </c>
      <c r="N8" s="51">
        <v>0.5793</v>
      </c>
      <c r="O8" s="51">
        <v>0.5822</v>
      </c>
      <c r="P8" s="51">
        <v>0.5774</v>
      </c>
      <c r="Q8" s="51">
        <v>0.5852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0.0367</v>
      </c>
      <c r="K9" s="51">
        <v>0.0502</v>
      </c>
      <c r="L9" s="51">
        <v>0.0439</v>
      </c>
      <c r="M9" s="51">
        <v>0.0553</v>
      </c>
      <c r="N9" s="51">
        <v>0.0361</v>
      </c>
      <c r="O9" s="51">
        <v>0.0499</v>
      </c>
      <c r="P9" s="51">
        <v>0.0381</v>
      </c>
      <c r="Q9" s="51">
        <v>0.0301</v>
      </c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0.0356</v>
      </c>
      <c r="K10" s="51">
        <v>0.0306</v>
      </c>
      <c r="L10" s="51">
        <v>0.0354</v>
      </c>
      <c r="M10" s="51">
        <v>0.0323</v>
      </c>
      <c r="N10" s="51">
        <v>0.0433</v>
      </c>
      <c r="O10" s="51">
        <v>0.0329</v>
      </c>
      <c r="P10" s="51">
        <v>0.0483</v>
      </c>
      <c r="Q10" s="51">
        <v>0.0489</v>
      </c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0.0283</v>
      </c>
      <c r="K11" s="51">
        <v>0.0257</v>
      </c>
      <c r="L11" s="51">
        <v>0.0271</v>
      </c>
      <c r="M11" s="51">
        <v>0.0289</v>
      </c>
      <c r="N11" s="51">
        <v>0.0238</v>
      </c>
      <c r="O11" s="51">
        <v>0.0246</v>
      </c>
      <c r="P11" s="51">
        <v>0.0251</v>
      </c>
      <c r="Q11" s="51">
        <v>0.0302</v>
      </c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0.0221</v>
      </c>
      <c r="K12" s="51">
        <v>0.0186</v>
      </c>
      <c r="L12" s="51">
        <v>0.0234</v>
      </c>
      <c r="M12" s="51">
        <v>0.0277</v>
      </c>
      <c r="N12" s="51">
        <v>0.0288</v>
      </c>
      <c r="O12" s="51">
        <v>0.0253</v>
      </c>
      <c r="P12" s="51">
        <v>0.0225</v>
      </c>
      <c r="Q12" s="51">
        <v>0.0198</v>
      </c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0.0228</v>
      </c>
      <c r="K13" s="51">
        <v>0.0162</v>
      </c>
      <c r="L13" s="51">
        <v>0.0156</v>
      </c>
      <c r="M13" s="51">
        <v>0.0161</v>
      </c>
      <c r="N13" s="51">
        <v>0.0257</v>
      </c>
      <c r="O13" s="51">
        <v>0.0265</v>
      </c>
      <c r="P13" s="51">
        <v>0.0155</v>
      </c>
      <c r="Q13" s="51">
        <v>0.0228</v>
      </c>
      <c r="R13" s="51"/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/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0.0261</v>
      </c>
      <c r="K14" s="51">
        <v>0.0189</v>
      </c>
      <c r="L14" s="51">
        <v>0.0239</v>
      </c>
      <c r="M14" s="51">
        <v>0.026</v>
      </c>
      <c r="N14" s="51">
        <v>0.0278</v>
      </c>
      <c r="O14" s="51">
        <v>0.0244</v>
      </c>
      <c r="P14" s="51">
        <v>0.0224</v>
      </c>
      <c r="Q14" s="51">
        <v>0.0187</v>
      </c>
      <c r="R14" s="51"/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/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>
        <v>0.0192</v>
      </c>
      <c r="K15" s="51">
        <v>0.0225</v>
      </c>
      <c r="L15" s="51">
        <v>0.023</v>
      </c>
      <c r="M15" s="51">
        <v>0.0195</v>
      </c>
      <c r="N15" s="51">
        <v>0.026</v>
      </c>
      <c r="O15" s="51">
        <v>0.0242</v>
      </c>
      <c r="P15" s="51">
        <v>0.0212</v>
      </c>
      <c r="Q15" s="51">
        <v>0.0164</v>
      </c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>√</v>
      </c>
      <c r="AA15" s="52" t="str">
        <f t="shared" si="11"/>
        <v>√</v>
      </c>
      <c r="AB15" s="52" t="str">
        <f t="shared" si="11"/>
        <v>√</v>
      </c>
      <c r="AC15" s="52" t="str">
        <f t="shared" si="11"/>
        <v>√</v>
      </c>
      <c r="AD15" s="52" t="str">
        <f t="shared" si="11"/>
        <v>√</v>
      </c>
      <c r="AE15" s="52" t="str">
        <f t="shared" si="11"/>
        <v>√</v>
      </c>
      <c r="AF15" s="52" t="str">
        <f t="shared" si="11"/>
        <v>√</v>
      </c>
      <c r="AG15" s="52" t="str">
        <f t="shared" si="11"/>
        <v>√</v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>
        <v>0.0218</v>
      </c>
      <c r="K16" s="51">
        <v>0.02</v>
      </c>
      <c r="L16" s="51">
        <v>0.0199</v>
      </c>
      <c r="M16" s="51">
        <v>0.0201</v>
      </c>
      <c r="N16" s="51">
        <v>0.0256</v>
      </c>
      <c r="O16" s="51">
        <v>0.0222</v>
      </c>
      <c r="P16" s="51">
        <v>0.0239</v>
      </c>
      <c r="Q16" s="51">
        <v>0.0235</v>
      </c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>√</v>
      </c>
      <c r="AA16" s="52" t="str">
        <f t="shared" si="12"/>
        <v>√</v>
      </c>
      <c r="AB16" s="52" t="str">
        <f t="shared" si="12"/>
        <v>√</v>
      </c>
      <c r="AC16" s="52" t="str">
        <f t="shared" si="12"/>
        <v>√</v>
      </c>
      <c r="AD16" s="52" t="str">
        <f t="shared" si="12"/>
        <v>√</v>
      </c>
      <c r="AE16" s="52" t="str">
        <f t="shared" si="12"/>
        <v>√</v>
      </c>
      <c r="AF16" s="52" t="str">
        <f t="shared" si="12"/>
        <v>√</v>
      </c>
      <c r="AG16" s="52" t="str">
        <f t="shared" si="12"/>
        <v>√</v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>
        <v>0.0253</v>
      </c>
      <c r="K17" s="51">
        <v>0.0301</v>
      </c>
      <c r="L17" s="51">
        <v>0.0287</v>
      </c>
      <c r="M17" s="51">
        <v>0.022</v>
      </c>
      <c r="N17" s="51">
        <v>0.0259</v>
      </c>
      <c r="O17" s="51">
        <v>0.0261</v>
      </c>
      <c r="P17" s="51">
        <v>0.0272</v>
      </c>
      <c r="Q17" s="51">
        <v>0.0277</v>
      </c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>√</v>
      </c>
      <c r="AA17" s="52" t="str">
        <f t="shared" si="13"/>
        <v>√</v>
      </c>
      <c r="AB17" s="52" t="str">
        <f t="shared" si="13"/>
        <v>√</v>
      </c>
      <c r="AC17" s="52" t="str">
        <f t="shared" si="13"/>
        <v>√</v>
      </c>
      <c r="AD17" s="52" t="str">
        <f t="shared" si="13"/>
        <v>√</v>
      </c>
      <c r="AE17" s="52" t="str">
        <f t="shared" si="13"/>
        <v>√</v>
      </c>
      <c r="AF17" s="52" t="str">
        <f t="shared" si="13"/>
        <v>√</v>
      </c>
      <c r="AG17" s="52" t="str">
        <f t="shared" si="13"/>
        <v>√</v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>
        <v>0.0205</v>
      </c>
      <c r="K18" s="51">
        <v>0.0221</v>
      </c>
      <c r="L18" s="51">
        <v>0.023</v>
      </c>
      <c r="M18" s="51">
        <v>0.0267</v>
      </c>
      <c r="N18" s="51">
        <v>0.0236</v>
      </c>
      <c r="O18" s="51">
        <v>0.024</v>
      </c>
      <c r="P18" s="51">
        <v>0.0222</v>
      </c>
      <c r="Q18" s="51">
        <v>0.021</v>
      </c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>√</v>
      </c>
      <c r="AA18" s="52" t="str">
        <f t="shared" si="14"/>
        <v>√</v>
      </c>
      <c r="AB18" s="52" t="str">
        <f t="shared" si="14"/>
        <v>√</v>
      </c>
      <c r="AC18" s="52" t="str">
        <f t="shared" si="14"/>
        <v>√</v>
      </c>
      <c r="AD18" s="52" t="str">
        <f t="shared" si="14"/>
        <v>√</v>
      </c>
      <c r="AE18" s="52" t="str">
        <f t="shared" si="14"/>
        <v>√</v>
      </c>
      <c r="AF18" s="52" t="str">
        <f t="shared" si="14"/>
        <v>√</v>
      </c>
      <c r="AG18" s="52" t="str">
        <f t="shared" si="14"/>
        <v>√</v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28" operator="notBetween">
      <formula>$F11</formula>
      <formula>$G11</formula>
    </cfRule>
  </conditionalFormatting>
  <conditionalFormatting sqref="P11:U11">
    <cfRule type="cellIs" dxfId="0" priority="22" operator="notBetween">
      <formula>$F11</formula>
      <formula>$G11</formula>
    </cfRule>
  </conditionalFormatting>
  <conditionalFormatting sqref="V11:Y11">
    <cfRule type="cellIs" dxfId="0" priority="35" operator="notBetween">
      <formula>$G11</formula>
      <formula>$H11</formula>
    </cfRule>
  </conditionalFormatting>
  <conditionalFormatting sqref="J15:O15">
    <cfRule type="cellIs" dxfId="0" priority="26" operator="notBetween">
      <formula>$F15</formula>
      <formula>$G15</formula>
    </cfRule>
  </conditionalFormatting>
  <conditionalFormatting sqref="P15:U15">
    <cfRule type="cellIs" dxfId="0" priority="20" operator="notBetween">
      <formula>$F15</formula>
      <formula>$G15</formula>
    </cfRule>
  </conditionalFormatting>
  <conditionalFormatting sqref="V15:Y15">
    <cfRule type="cellIs" dxfId="0" priority="33" operator="notBetween">
      <formula>$G15</formula>
      <formula>$H15</formula>
    </cfRule>
  </conditionalFormatting>
  <conditionalFormatting sqref="L19">
    <cfRule type="cellIs" dxfId="0" priority="58" operator="notBetween">
      <formula>$G19</formula>
      <formula>$H19</formula>
    </cfRule>
  </conditionalFormatting>
  <conditionalFormatting sqref="O19">
    <cfRule type="cellIs" dxfId="0" priority="42" operator="notBetween">
      <formula>$G19</formula>
      <formula>$H19</formula>
    </cfRule>
  </conditionalFormatting>
  <conditionalFormatting sqref="Q19">
    <cfRule type="cellIs" dxfId="0" priority="50" operator="notBetween">
      <formula>$G19</formula>
      <formula>$H19</formula>
    </cfRule>
  </conditionalFormatting>
  <conditionalFormatting sqref="L20">
    <cfRule type="cellIs" dxfId="0" priority="61" operator="notBetween">
      <formula>$G20</formula>
      <formula>$H20</formula>
    </cfRule>
  </conditionalFormatting>
  <conditionalFormatting sqref="O20">
    <cfRule type="cellIs" dxfId="0" priority="45" operator="notBetween">
      <formula>$G20</formula>
      <formula>$H20</formula>
    </cfRule>
  </conditionalFormatting>
  <conditionalFormatting sqref="Q20">
    <cfRule type="cellIs" dxfId="0" priority="53" operator="notBetween">
      <formula>$G20</formula>
      <formula>$H20</formula>
    </cfRule>
  </conditionalFormatting>
  <conditionalFormatting sqref="J21:Y21">
    <cfRule type="cellIs" dxfId="0" priority="32" operator="notBetween">
      <formula>$G21</formula>
      <formula>$H21</formula>
    </cfRule>
  </conditionalFormatting>
  <conditionalFormatting sqref="J23:Y23">
    <cfRule type="cellIs" dxfId="0" priority="19" operator="notBetween">
      <formula>$F23</formula>
      <formula>$G23</formula>
    </cfRule>
  </conditionalFormatting>
  <conditionalFormatting sqref="L32">
    <cfRule type="cellIs" dxfId="0" priority="57" operator="notBetween">
      <formula>$G32</formula>
      <formula>$H32</formula>
    </cfRule>
  </conditionalFormatting>
  <conditionalFormatting sqref="O32">
    <cfRule type="cellIs" dxfId="0" priority="41" operator="notBetween">
      <formula>$G32</formula>
      <formula>$H32</formula>
    </cfRule>
  </conditionalFormatting>
  <conditionalFormatting sqref="Q32">
    <cfRule type="cellIs" dxfId="0" priority="49" operator="notBetween">
      <formula>$G32</formula>
      <formula>$H32</formula>
    </cfRule>
  </conditionalFormatting>
  <conditionalFormatting sqref="L33">
    <cfRule type="cellIs" dxfId="0" priority="62" operator="notBetween">
      <formula>$G33</formula>
      <formula>$H33</formula>
    </cfRule>
  </conditionalFormatting>
  <conditionalFormatting sqref="O33">
    <cfRule type="cellIs" dxfId="0" priority="46" operator="notBetween">
      <formula>$G33</formula>
      <formula>$H33</formula>
    </cfRule>
  </conditionalFormatting>
  <conditionalFormatting sqref="Q33">
    <cfRule type="cellIs" dxfId="0" priority="54" operator="notBetween">
      <formula>$G33</formula>
      <formula>$H33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50:Y50">
    <cfRule type="cellIs" dxfId="0" priority="16" operator="notBetween">
      <formula>$G50</formula>
      <formula>$H50</formula>
    </cfRule>
  </conditionalFormatting>
  <conditionalFormatting sqref="J55:Y55">
    <cfRule type="cellIs" dxfId="0" priority="15" operator="notBetween">
      <formula>$G55</formula>
      <formula>$H55</formula>
    </cfRule>
  </conditionalFormatting>
  <conditionalFormatting sqref="J60:Y60">
    <cfRule type="cellIs" dxfId="0" priority="14" operator="notBetween">
      <formula>$G60</formula>
      <formula>$H60</formula>
    </cfRule>
  </conditionalFormatting>
  <conditionalFormatting sqref="J65:Y65">
    <cfRule type="cellIs" dxfId="0" priority="13" operator="notBetween">
      <formula>$G65</formula>
      <formula>$H65</formula>
    </cfRule>
  </conditionalFormatting>
  <conditionalFormatting sqref="J77:Y77">
    <cfRule type="cellIs" dxfId="0" priority="12" operator="notBetween">
      <formula>$G77</formula>
      <formula>$H77</formula>
    </cfRule>
  </conditionalFormatting>
  <conditionalFormatting sqref="J82:Y82">
    <cfRule type="cellIs" dxfId="0" priority="11" operator="notBetween">
      <formula>$G82</formula>
      <formula>$H82</formula>
    </cfRule>
  </conditionalFormatting>
  <conditionalFormatting sqref="J87:Y87">
    <cfRule type="cellIs" dxfId="0" priority="10" operator="notBetween">
      <formula>$G87</formula>
      <formula>$H87</formula>
    </cfRule>
  </conditionalFormatting>
  <conditionalFormatting sqref="J92:Y92">
    <cfRule type="cellIs" dxfId="0" priority="9" operator="notBetween">
      <formula>$G92</formula>
      <formula>$H92</formula>
    </cfRule>
  </conditionalFormatting>
  <conditionalFormatting sqref="L97">
    <cfRule type="cellIs" dxfId="0" priority="59" operator="notBetween">
      <formula>$G97</formula>
      <formula>$H97</formula>
    </cfRule>
  </conditionalFormatting>
  <conditionalFormatting sqref="O97">
    <cfRule type="cellIs" dxfId="0" priority="43" operator="notBetween">
      <formula>$G97</formula>
      <formula>$H97</formula>
    </cfRule>
  </conditionalFormatting>
  <conditionalFormatting sqref="Q97">
    <cfRule type="cellIs" dxfId="0" priority="51" operator="notBetween">
      <formula>$G97</formula>
      <formula>$H97</formula>
    </cfRule>
  </conditionalFormatting>
  <conditionalFormatting sqref="L100">
    <cfRule type="cellIs" dxfId="0" priority="55" operator="notBetween">
      <formula>$G100</formula>
      <formula>$H100</formula>
    </cfRule>
  </conditionalFormatting>
  <conditionalFormatting sqref="O100">
    <cfRule type="cellIs" dxfId="0" priority="39" operator="notBetween">
      <formula>$G100</formula>
      <formula>$H100</formula>
    </cfRule>
  </conditionalFormatting>
  <conditionalFormatting sqref="Q100">
    <cfRule type="cellIs" dxfId="0" priority="47" operator="notBetween">
      <formula>$G100</formula>
      <formula>$H100</formula>
    </cfRule>
  </conditionalFormatting>
  <conditionalFormatting sqref="J103:Y103">
    <cfRule type="cellIs" dxfId="0" priority="8" operator="notBetween">
      <formula>$G103</formula>
      <formula>$H103</formula>
    </cfRule>
  </conditionalFormatting>
  <conditionalFormatting sqref="J107:Y107">
    <cfRule type="cellIs" dxfId="0" priority="7" operator="notBetween">
      <formula>$G107</formula>
      <formula>$H107</formula>
    </cfRule>
  </conditionalFormatting>
  <conditionalFormatting sqref="J113:Y113">
    <cfRule type="cellIs" dxfId="0" priority="6" operator="notBetween">
      <formula>$G113</formula>
      <formula>$H113</formula>
    </cfRule>
  </conditionalFormatting>
  <conditionalFormatting sqref="J114:Y114">
    <cfRule type="cellIs" dxfId="0" priority="1" operator="notBetween">
      <formula>$G114</formula>
      <formula>$H114</formula>
    </cfRule>
  </conditionalFormatting>
  <conditionalFormatting sqref="J115:Y115">
    <cfRule type="cellIs" dxfId="0" priority="3" operator="notBetween">
      <formula>$G115</formula>
      <formula>$H115</formula>
    </cfRule>
  </conditionalFormatting>
  <conditionalFormatting sqref="J116:Y116">
    <cfRule type="cellIs" dxfId="0" priority="2" operator="notBetween">
      <formula>$G116</formula>
      <formula>$H116</formula>
    </cfRule>
  </conditionalFormatting>
  <conditionalFormatting sqref="J117:Y117">
    <cfRule type="cellIs" dxfId="0" priority="5" operator="notBetween">
      <formula>$G117</formula>
      <formula>$H117</formula>
    </cfRule>
  </conditionalFormatting>
  <conditionalFormatting sqref="J118:Y118">
    <cfRule type="cellIs" dxfId="0" priority="4" operator="notBetween">
      <formula>$G118</formula>
      <formula>$H118</formula>
    </cfRule>
  </conditionalFormatting>
  <conditionalFormatting sqref="L24:L25">
    <cfRule type="cellIs" dxfId="0" priority="60" operator="notBetween">
      <formula>$G24</formula>
      <formula>$H24</formula>
    </cfRule>
  </conditionalFormatting>
  <conditionalFormatting sqref="L29:L31">
    <cfRule type="cellIs" dxfId="0" priority="56" operator="notBetween">
      <formula>$G29</formula>
      <formula>$H29</formula>
    </cfRule>
  </conditionalFormatting>
  <conditionalFormatting sqref="O24:O25">
    <cfRule type="cellIs" dxfId="0" priority="44" operator="notBetween">
      <formula>$G24</formula>
      <formula>$H24</formula>
    </cfRule>
  </conditionalFormatting>
  <conditionalFormatting sqref="O29:O31">
    <cfRule type="cellIs" dxfId="0" priority="40" operator="notBetween">
      <formula>$G29</formula>
      <formula>$H29</formula>
    </cfRule>
  </conditionalFormatting>
  <conditionalFormatting sqref="Q24:Q25">
    <cfRule type="cellIs" dxfId="0" priority="52" operator="notBetween">
      <formula>$G24</formula>
      <formula>$H24</formula>
    </cfRule>
  </conditionalFormatting>
  <conditionalFormatting sqref="Q29:Q31">
    <cfRule type="cellIs" dxfId="0" priority="48" operator="notBetween">
      <formula>$G29</formula>
      <formula>$H29</formula>
    </cfRule>
  </conditionalFormatting>
  <conditionalFormatting sqref="V7:Y8 J22:Y22 J26:Y26 J33:K33 M33:N33 P33 R33:Y33 J97">
    <cfRule type="cellIs" dxfId="0" priority="71" operator="notBetween">
      <formula>$G7</formula>
      <formula>$H7</formula>
    </cfRule>
  </conditionalFormatting>
  <conditionalFormatting sqref="J7:O8">
    <cfRule type="cellIs" dxfId="0" priority="31" operator="notBetween">
      <formula>$F7</formula>
      <formula>$G7</formula>
    </cfRule>
  </conditionalFormatting>
  <conditionalFormatting sqref="P7:U8">
    <cfRule type="cellIs" dxfId="0" priority="25" operator="notBetween">
      <formula>$F7</formula>
      <formula>$G7</formula>
    </cfRule>
  </conditionalFormatting>
  <conditionalFormatting sqref="J9:O10">
    <cfRule type="cellIs" dxfId="0" priority="30" operator="notBetween">
      <formula>$F9</formula>
      <formula>$G9</formula>
    </cfRule>
  </conditionalFormatting>
  <conditionalFormatting sqref="P9:U10">
    <cfRule type="cellIs" dxfId="0" priority="24" operator="notBetween">
      <formula>$F9</formula>
      <formula>$G9</formula>
    </cfRule>
  </conditionalFormatting>
  <conditionalFormatting sqref="V9:Y10">
    <cfRule type="cellIs" dxfId="0" priority="38" operator="notBetween">
      <formula>$G9</formula>
      <formula>$H9</formula>
    </cfRule>
  </conditionalFormatting>
  <conditionalFormatting sqref="J12:O14">
    <cfRule type="cellIs" dxfId="0" priority="29" operator="notBetween">
      <formula>$F12</formula>
      <formula>$G12</formula>
    </cfRule>
  </conditionalFormatting>
  <conditionalFormatting sqref="P12:U14">
    <cfRule type="cellIs" dxfId="0" priority="23" operator="notBetween">
      <formula>$F12</formula>
      <formula>$G12</formula>
    </cfRule>
  </conditionalFormatting>
  <conditionalFormatting sqref="V12:Y14">
    <cfRule type="cellIs" dxfId="0" priority="36" operator="notBetween">
      <formula>$G12</formula>
      <formula>$H12</formula>
    </cfRule>
  </conditionalFormatting>
  <conditionalFormatting sqref="J16:O18">
    <cfRule type="cellIs" dxfId="0" priority="27" operator="notBetween">
      <formula>$F16</formula>
      <formula>$G16</formula>
    </cfRule>
  </conditionalFormatting>
  <conditionalFormatting sqref="P16:U18">
    <cfRule type="cellIs" dxfId="0" priority="21" operator="notBetween">
      <formula>$F16</formula>
      <formula>$G16</formula>
    </cfRule>
  </conditionalFormatting>
  <conditionalFormatting sqref="V16:Y18">
    <cfRule type="cellIs" dxfId="0" priority="34" operator="notBetween">
      <formula>$G16</formula>
      <formula>$H16</formula>
    </cfRule>
  </conditionalFormatting>
  <conditionalFormatting sqref="J19:K19 M19:N19 P19 R19:Y19">
    <cfRule type="cellIs" dxfId="0" priority="66" operator="notBetween">
      <formula>$G19</formula>
      <formula>$H19</formula>
    </cfRule>
  </conditionalFormatting>
  <conditionalFormatting sqref="J20:K20 M20:N20 P20 R20:Y20">
    <cfRule type="cellIs" dxfId="0" priority="70" operator="notBetween">
      <formula>$G20</formula>
      <formula>$H20</formula>
    </cfRule>
  </conditionalFormatting>
  <conditionalFormatting sqref="J24:J25 J27:J31">
    <cfRule type="cellIs" dxfId="0" priority="67" operator="notBetween">
      <formula>$G24</formula>
      <formula>$H24</formula>
    </cfRule>
  </conditionalFormatting>
  <conditionalFormatting sqref="K24:K25 M24:N25 P24:P25 R24:Y25">
    <cfRule type="cellIs" dxfId="0" priority="69" operator="notBetween">
      <formula>$G24</formula>
      <formula>$H24</formula>
    </cfRule>
  </conditionalFormatting>
  <conditionalFormatting sqref="K27:Y28">
    <cfRule type="cellIs" dxfId="0" priority="37" operator="notBetween">
      <formula>$G27</formula>
      <formula>$H27</formula>
    </cfRule>
  </conditionalFormatting>
  <conditionalFormatting sqref="K29:K31 M29:N31 P29:P31 R29:Y31">
    <cfRule type="cellIs" dxfId="0" priority="64" operator="notBetween">
      <formula>$G29</formula>
      <formula>$H29</formula>
    </cfRule>
  </conditionalFormatting>
  <conditionalFormatting sqref="J32:K32 M32:N32 P32 R32:Y32">
    <cfRule type="cellIs" dxfId="0" priority="65" operator="notBetween">
      <formula>$G32</formula>
      <formula>$H32</formula>
    </cfRule>
  </conditionalFormatting>
  <conditionalFormatting sqref="J34:Y36">
    <cfRule type="cellIs" dxfId="0" priority="18" operator="notBetween">
      <formula>$G34</formula>
      <formula>$H34</formula>
    </cfRule>
  </conditionalFormatting>
  <conditionalFormatting sqref="K97 M97:N97 P97 R97:Y97">
    <cfRule type="cellIs" dxfId="0" priority="68" operator="notBetween">
      <formula>$G97</formula>
      <formula>$H97</formula>
    </cfRule>
  </conditionalFormatting>
  <conditionalFormatting sqref="J100:K100 M100:N100 P100 R100:Y100">
    <cfRule type="cellIs" dxfId="0" priority="63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R1" workbookViewId="0">
      <selection activeCell="AN3" sqref="AN3:AO3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37" t="s">
        <v>98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 t="str">
        <f t="shared" si="0"/>
        <v>复测4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0.4981</v>
      </c>
      <c r="K7" s="51">
        <v>0.502</v>
      </c>
      <c r="L7" s="51">
        <v>0.5079</v>
      </c>
      <c r="M7" s="51">
        <v>0.499</v>
      </c>
      <c r="N7" s="51">
        <v>0.5033</v>
      </c>
      <c r="O7" s="51">
        <v>0.5052</v>
      </c>
      <c r="P7" s="51">
        <v>0.4965</v>
      </c>
      <c r="Q7" s="51">
        <v>0.4984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0.59</v>
      </c>
      <c r="K8" s="51">
        <v>0.5896</v>
      </c>
      <c r="L8" s="51">
        <v>0.5864</v>
      </c>
      <c r="M8" s="51">
        <v>0.5967</v>
      </c>
      <c r="N8" s="51">
        <v>0.5827</v>
      </c>
      <c r="O8" s="51">
        <v>0.5728</v>
      </c>
      <c r="P8" s="51">
        <v>0.5847</v>
      </c>
      <c r="Q8" s="51">
        <v>0.5848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0.0172</v>
      </c>
      <c r="K9" s="51">
        <v>0.0164</v>
      </c>
      <c r="L9" s="51">
        <v>0.0754</v>
      </c>
      <c r="M9" s="51">
        <v>0.0906</v>
      </c>
      <c r="N9" s="51">
        <v>0.0209</v>
      </c>
      <c r="O9" s="51">
        <v>0.0491</v>
      </c>
      <c r="P9" s="51">
        <v>0.0244</v>
      </c>
      <c r="Q9" s="51">
        <v>0.0059</v>
      </c>
      <c r="R9" s="51">
        <v>0.0892</v>
      </c>
      <c r="S9" s="51"/>
      <c r="T9" s="51"/>
      <c r="U9" s="51"/>
      <c r="V9" s="51"/>
      <c r="W9" s="51"/>
      <c r="X9" s="51"/>
      <c r="Y9" s="51"/>
      <c r="Z9" s="52">
        <f t="shared" ref="Z9:AO9" si="5">IF(J9="","",IF(J9&gt;($D9+$E9),(J9-$D9-$E9),IF(J9&lt;($D9+$F9),(J9-$D9-$F9),"√")))</f>
        <v>-0.0128</v>
      </c>
      <c r="AA9" s="52">
        <f t="shared" si="5"/>
        <v>-0.0136</v>
      </c>
      <c r="AB9" s="52">
        <f t="shared" si="5"/>
        <v>0.00539999999999999</v>
      </c>
      <c r="AC9" s="52">
        <f t="shared" si="5"/>
        <v>0.0206</v>
      </c>
      <c r="AD9" s="52">
        <f t="shared" si="5"/>
        <v>-0.0091</v>
      </c>
      <c r="AE9" s="52" t="str">
        <f t="shared" si="5"/>
        <v>√</v>
      </c>
      <c r="AF9" s="52">
        <f t="shared" si="5"/>
        <v>-0.0056</v>
      </c>
      <c r="AG9" s="52">
        <f t="shared" si="5"/>
        <v>-0.0241</v>
      </c>
      <c r="AH9" s="52">
        <f t="shared" si="5"/>
        <v>0.0192</v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0.0622</v>
      </c>
      <c r="K10" s="51">
        <v>0.0552</v>
      </c>
      <c r="L10" s="51">
        <v>0.0445</v>
      </c>
      <c r="M10" s="51">
        <v>0.0398</v>
      </c>
      <c r="N10" s="51">
        <v>0.0573</v>
      </c>
      <c r="O10" s="51">
        <v>0.0361</v>
      </c>
      <c r="P10" s="51">
        <v>0.0492</v>
      </c>
      <c r="Q10" s="51">
        <v>0.0645</v>
      </c>
      <c r="R10" s="51">
        <v>0.0389</v>
      </c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>√</v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0.0223</v>
      </c>
      <c r="K11" s="51">
        <v>0.0261</v>
      </c>
      <c r="L11" s="51">
        <v>0.0283</v>
      </c>
      <c r="M11" s="51">
        <v>0.0294</v>
      </c>
      <c r="N11" s="51">
        <v>0.0276</v>
      </c>
      <c r="O11" s="51">
        <v>0.0271</v>
      </c>
      <c r="P11" s="51">
        <v>0.0238</v>
      </c>
      <c r="Q11" s="51">
        <v>0.0185</v>
      </c>
      <c r="R11" s="51">
        <v>0.0284</v>
      </c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</v>
      </c>
      <c r="K12" s="51">
        <v>0.0262</v>
      </c>
      <c r="L12" s="51">
        <v>0.0252</v>
      </c>
      <c r="M12" s="51">
        <v>0.0193</v>
      </c>
      <c r="N12" s="51">
        <v>0.0233</v>
      </c>
      <c r="O12" s="51">
        <v>0.0198</v>
      </c>
      <c r="P12" s="51">
        <v>0.022</v>
      </c>
      <c r="Q12" s="51">
        <v>0.0273</v>
      </c>
      <c r="R12" s="51">
        <v>0.0181</v>
      </c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0.0151</v>
      </c>
      <c r="K13" s="51">
        <v>0.0151</v>
      </c>
      <c r="L13" s="51">
        <v>0.0152</v>
      </c>
      <c r="M13" s="51">
        <v>0.0199</v>
      </c>
      <c r="N13" s="51">
        <v>0.0268</v>
      </c>
      <c r="O13" s="51">
        <v>0.0157</v>
      </c>
      <c r="P13" s="51">
        <v>0.0151</v>
      </c>
      <c r="Q13" s="51">
        <v>0.0154</v>
      </c>
      <c r="R13" s="51">
        <v>0.0184</v>
      </c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0.017</v>
      </c>
      <c r="K14" s="51">
        <v>0.0232</v>
      </c>
      <c r="L14" s="51">
        <v>0.0186</v>
      </c>
      <c r="M14" s="51">
        <v>0.0268</v>
      </c>
      <c r="N14" s="51">
        <v>0.0249</v>
      </c>
      <c r="O14" s="51">
        <v>0.0231</v>
      </c>
      <c r="P14" s="51">
        <v>0.0235</v>
      </c>
      <c r="Q14" s="51">
        <v>0.024</v>
      </c>
      <c r="R14" s="51">
        <v>0.0251</v>
      </c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/>
      </c>
      <c r="AA15" s="52" t="str">
        <f t="shared" si="11"/>
        <v/>
      </c>
      <c r="AB15" s="52" t="str">
        <f t="shared" si="11"/>
        <v/>
      </c>
      <c r="AC15" s="52" t="str">
        <f t="shared" si="11"/>
        <v/>
      </c>
      <c r="AD15" s="52" t="str">
        <f t="shared" si="11"/>
        <v/>
      </c>
      <c r="AE15" s="52" t="str">
        <f t="shared" si="11"/>
        <v/>
      </c>
      <c r="AF15" s="52" t="str">
        <f t="shared" si="11"/>
        <v/>
      </c>
      <c r="AG15" s="52" t="str">
        <f t="shared" si="11"/>
        <v/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/>
      </c>
      <c r="AA16" s="52" t="str">
        <f t="shared" si="12"/>
        <v/>
      </c>
      <c r="AB16" s="52" t="str">
        <f t="shared" si="12"/>
        <v/>
      </c>
      <c r="AC16" s="52" t="str">
        <f t="shared" si="12"/>
        <v/>
      </c>
      <c r="AD16" s="52" t="str">
        <f t="shared" si="12"/>
        <v/>
      </c>
      <c r="AE16" s="52" t="str">
        <f t="shared" si="12"/>
        <v/>
      </c>
      <c r="AF16" s="52" t="str">
        <f t="shared" si="12"/>
        <v/>
      </c>
      <c r="AG16" s="52" t="str">
        <f t="shared" si="12"/>
        <v/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/>
      </c>
      <c r="AA17" s="52" t="str">
        <f t="shared" si="13"/>
        <v/>
      </c>
      <c r="AB17" s="52" t="str">
        <f t="shared" si="13"/>
        <v/>
      </c>
      <c r="AC17" s="52" t="str">
        <f t="shared" si="13"/>
        <v/>
      </c>
      <c r="AD17" s="52" t="str">
        <f t="shared" si="13"/>
        <v/>
      </c>
      <c r="AE17" s="52" t="str">
        <f t="shared" si="13"/>
        <v/>
      </c>
      <c r="AF17" s="52" t="str">
        <f t="shared" si="13"/>
        <v/>
      </c>
      <c r="AG17" s="52" t="str">
        <f t="shared" si="13"/>
        <v/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/>
      </c>
      <c r="AA18" s="52" t="str">
        <f t="shared" si="14"/>
        <v/>
      </c>
      <c r="AB18" s="52" t="str">
        <f t="shared" si="14"/>
        <v/>
      </c>
      <c r="AC18" s="52" t="str">
        <f t="shared" si="14"/>
        <v/>
      </c>
      <c r="AD18" s="52" t="str">
        <f t="shared" si="14"/>
        <v/>
      </c>
      <c r="AE18" s="52" t="str">
        <f t="shared" si="14"/>
        <v/>
      </c>
      <c r="AF18" s="52" t="str">
        <f t="shared" si="14"/>
        <v/>
      </c>
      <c r="AG18" s="52" t="str">
        <f t="shared" si="14"/>
        <v/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31" operator="notBetween">
      <formula>$F11</formula>
      <formula>$G11</formula>
    </cfRule>
  </conditionalFormatting>
  <conditionalFormatting sqref="R11">
    <cfRule type="cellIs" dxfId="0" priority="1" operator="notBetween">
      <formula>$F11</formula>
      <formula>$G11</formula>
    </cfRule>
  </conditionalFormatting>
  <conditionalFormatting sqref="V11:Y11">
    <cfRule type="cellIs" dxfId="0" priority="38" operator="notBetween">
      <formula>$G11</formula>
      <formula>$H11</formula>
    </cfRule>
  </conditionalFormatting>
  <conditionalFormatting sqref="J15:O15">
    <cfRule type="cellIs" dxfId="0" priority="29" operator="notBetween">
      <formula>$F15</formula>
      <formula>$G15</formula>
    </cfRule>
  </conditionalFormatting>
  <conditionalFormatting sqref="P15:U15">
    <cfRule type="cellIs" dxfId="0" priority="23" operator="notBetween">
      <formula>$F15</formula>
      <formula>$G15</formula>
    </cfRule>
  </conditionalFormatting>
  <conditionalFormatting sqref="V15:Y15">
    <cfRule type="cellIs" dxfId="0" priority="36" operator="notBetween">
      <formula>$G15</formula>
      <formula>$H15</formula>
    </cfRule>
  </conditionalFormatting>
  <conditionalFormatting sqref="L19">
    <cfRule type="cellIs" dxfId="0" priority="61" operator="notBetween">
      <formula>$G19</formula>
      <formula>$H19</formula>
    </cfRule>
  </conditionalFormatting>
  <conditionalFormatting sqref="O19">
    <cfRule type="cellIs" dxfId="0" priority="45" operator="notBetween">
      <formula>$G19</formula>
      <formula>$H19</formula>
    </cfRule>
  </conditionalFormatting>
  <conditionalFormatting sqref="Q19">
    <cfRule type="cellIs" dxfId="0" priority="53" operator="notBetween">
      <formula>$G19</formula>
      <formula>$H19</formula>
    </cfRule>
  </conditionalFormatting>
  <conditionalFormatting sqref="L20">
    <cfRule type="cellIs" dxfId="0" priority="64" operator="notBetween">
      <formula>$G20</formula>
      <formula>$H20</formula>
    </cfRule>
  </conditionalFormatting>
  <conditionalFormatting sqref="O20">
    <cfRule type="cellIs" dxfId="0" priority="48" operator="notBetween">
      <formula>$G20</formula>
      <formula>$H20</formula>
    </cfRule>
  </conditionalFormatting>
  <conditionalFormatting sqref="Q20">
    <cfRule type="cellIs" dxfId="0" priority="56" operator="notBetween">
      <formula>$G20</formula>
      <formula>$H20</formula>
    </cfRule>
  </conditionalFormatting>
  <conditionalFormatting sqref="J21:Y21">
    <cfRule type="cellIs" dxfId="0" priority="35" operator="notBetween">
      <formula>$G21</formula>
      <formula>$H21</formula>
    </cfRule>
  </conditionalFormatting>
  <conditionalFormatting sqref="J23:Y23">
    <cfRule type="cellIs" dxfId="0" priority="22" operator="notBetween">
      <formula>$F23</formula>
      <formula>$G23</formula>
    </cfRule>
  </conditionalFormatting>
  <conditionalFormatting sqref="L32">
    <cfRule type="cellIs" dxfId="0" priority="60" operator="notBetween">
      <formula>$G32</formula>
      <formula>$H32</formula>
    </cfRule>
  </conditionalFormatting>
  <conditionalFormatting sqref="O32">
    <cfRule type="cellIs" dxfId="0" priority="44" operator="notBetween">
      <formula>$G32</formula>
      <formula>$H32</formula>
    </cfRule>
  </conditionalFormatting>
  <conditionalFormatting sqref="Q32">
    <cfRule type="cellIs" dxfId="0" priority="52" operator="notBetween">
      <formula>$G32</formula>
      <formula>$H32</formula>
    </cfRule>
  </conditionalFormatting>
  <conditionalFormatting sqref="L33">
    <cfRule type="cellIs" dxfId="0" priority="65" operator="notBetween">
      <formula>$G33</formula>
      <formula>$H33</formula>
    </cfRule>
  </conditionalFormatting>
  <conditionalFormatting sqref="O33">
    <cfRule type="cellIs" dxfId="0" priority="49" operator="notBetween">
      <formula>$G33</formula>
      <formula>$H33</formula>
    </cfRule>
  </conditionalFormatting>
  <conditionalFormatting sqref="Q33">
    <cfRule type="cellIs" dxfId="0" priority="57" operator="notBetween">
      <formula>$G33</formula>
      <formula>$H33</formula>
    </cfRule>
  </conditionalFormatting>
  <conditionalFormatting sqref="J43:Y43">
    <cfRule type="cellIs" dxfId="0" priority="20" operator="notBetween">
      <formula>$G43</formula>
      <formula>$H43</formula>
    </cfRule>
  </conditionalFormatting>
  <conditionalFormatting sqref="J50:Y50">
    <cfRule type="cellIs" dxfId="0" priority="19" operator="notBetween">
      <formula>$G50</formula>
      <formula>$H50</formula>
    </cfRule>
  </conditionalFormatting>
  <conditionalFormatting sqref="J55:Y55">
    <cfRule type="cellIs" dxfId="0" priority="18" operator="notBetween">
      <formula>$G55</formula>
      <formula>$H55</formula>
    </cfRule>
  </conditionalFormatting>
  <conditionalFormatting sqref="J60:Y60">
    <cfRule type="cellIs" dxfId="0" priority="17" operator="notBetween">
      <formula>$G60</formula>
      <formula>$H60</formula>
    </cfRule>
  </conditionalFormatting>
  <conditionalFormatting sqref="J65:Y65">
    <cfRule type="cellIs" dxfId="0" priority="16" operator="notBetween">
      <formula>$G65</formula>
      <formula>$H65</formula>
    </cfRule>
  </conditionalFormatting>
  <conditionalFormatting sqref="J77:Y77">
    <cfRule type="cellIs" dxfId="0" priority="15" operator="notBetween">
      <formula>$G77</formula>
      <formula>$H77</formula>
    </cfRule>
  </conditionalFormatting>
  <conditionalFormatting sqref="J82:Y82">
    <cfRule type="cellIs" dxfId="0" priority="14" operator="notBetween">
      <formula>$G82</formula>
      <formula>$H82</formula>
    </cfRule>
  </conditionalFormatting>
  <conditionalFormatting sqref="J87:Y87">
    <cfRule type="cellIs" dxfId="0" priority="13" operator="notBetween">
      <formula>$G87</formula>
      <formula>$H87</formula>
    </cfRule>
  </conditionalFormatting>
  <conditionalFormatting sqref="J92:Y92">
    <cfRule type="cellIs" dxfId="0" priority="12" operator="notBetween">
      <formula>$G92</formula>
      <formula>$H92</formula>
    </cfRule>
  </conditionalFormatting>
  <conditionalFormatting sqref="L97">
    <cfRule type="cellIs" dxfId="0" priority="62" operator="notBetween">
      <formula>$G97</formula>
      <formula>$H97</formula>
    </cfRule>
  </conditionalFormatting>
  <conditionalFormatting sqref="O97">
    <cfRule type="cellIs" dxfId="0" priority="46" operator="notBetween">
      <formula>$G97</formula>
      <formula>$H97</formula>
    </cfRule>
  </conditionalFormatting>
  <conditionalFormatting sqref="Q97">
    <cfRule type="cellIs" dxfId="0" priority="54" operator="notBetween">
      <formula>$G97</formula>
      <formula>$H97</formula>
    </cfRule>
  </conditionalFormatting>
  <conditionalFormatting sqref="L100">
    <cfRule type="cellIs" dxfId="0" priority="58" operator="notBetween">
      <formula>$G100</formula>
      <formula>$H100</formula>
    </cfRule>
  </conditionalFormatting>
  <conditionalFormatting sqref="O100">
    <cfRule type="cellIs" dxfId="0" priority="42" operator="notBetween">
      <formula>$G100</formula>
      <formula>$H100</formula>
    </cfRule>
  </conditionalFormatting>
  <conditionalFormatting sqref="Q100">
    <cfRule type="cellIs" dxfId="0" priority="50" operator="notBetween">
      <formula>$G100</formula>
      <formula>$H100</formula>
    </cfRule>
  </conditionalFormatting>
  <conditionalFormatting sqref="J103:Y103">
    <cfRule type="cellIs" dxfId="0" priority="11" operator="notBetween">
      <formula>$G103</formula>
      <formula>$H103</formula>
    </cfRule>
  </conditionalFormatting>
  <conditionalFormatting sqref="J107:Y107">
    <cfRule type="cellIs" dxfId="0" priority="10" operator="notBetween">
      <formula>$G107</formula>
      <formula>$H107</formula>
    </cfRule>
  </conditionalFormatting>
  <conditionalFormatting sqref="J113:Y113">
    <cfRule type="cellIs" dxfId="0" priority="9" operator="notBetween">
      <formula>$G113</formula>
      <formula>$H113</formula>
    </cfRule>
  </conditionalFormatting>
  <conditionalFormatting sqref="J114:Y114">
    <cfRule type="cellIs" dxfId="0" priority="4" operator="notBetween">
      <formula>$G114</formula>
      <formula>$H114</formula>
    </cfRule>
  </conditionalFormatting>
  <conditionalFormatting sqref="J115:Y115">
    <cfRule type="cellIs" dxfId="0" priority="6" operator="notBetween">
      <formula>$G115</formula>
      <formula>$H115</formula>
    </cfRule>
  </conditionalFormatting>
  <conditionalFormatting sqref="J116:Y116">
    <cfRule type="cellIs" dxfId="0" priority="5" operator="notBetween">
      <formula>$G116</formula>
      <formula>$H116</formula>
    </cfRule>
  </conditionalFormatting>
  <conditionalFormatting sqref="J117:Y117">
    <cfRule type="cellIs" dxfId="0" priority="8" operator="notBetween">
      <formula>$G117</formula>
      <formula>$H117</formula>
    </cfRule>
  </conditionalFormatting>
  <conditionalFormatting sqref="J118:Y118">
    <cfRule type="cellIs" dxfId="0" priority="7" operator="notBetween">
      <formula>$G118</formula>
      <formula>$H118</formula>
    </cfRule>
  </conditionalFormatting>
  <conditionalFormatting sqref="L24:L25">
    <cfRule type="cellIs" dxfId="0" priority="63" operator="notBetween">
      <formula>$G24</formula>
      <formula>$H24</formula>
    </cfRule>
  </conditionalFormatting>
  <conditionalFormatting sqref="L29:L31">
    <cfRule type="cellIs" dxfId="0" priority="59" operator="notBetween">
      <formula>$G29</formula>
      <formula>$H29</formula>
    </cfRule>
  </conditionalFormatting>
  <conditionalFormatting sqref="O24:O25">
    <cfRule type="cellIs" dxfId="0" priority="47" operator="notBetween">
      <formula>$G24</formula>
      <formula>$H24</formula>
    </cfRule>
  </conditionalFormatting>
  <conditionalFormatting sqref="O29:O31">
    <cfRule type="cellIs" dxfId="0" priority="43" operator="notBetween">
      <formula>$G29</formula>
      <formula>$H29</formula>
    </cfRule>
  </conditionalFormatting>
  <conditionalFormatting sqref="Q24:Q25">
    <cfRule type="cellIs" dxfId="0" priority="55" operator="notBetween">
      <formula>$G24</formula>
      <formula>$H24</formula>
    </cfRule>
  </conditionalFormatting>
  <conditionalFormatting sqref="Q29:Q31">
    <cfRule type="cellIs" dxfId="0" priority="51" operator="notBetween">
      <formula>$G29</formula>
      <formula>$H29</formula>
    </cfRule>
  </conditionalFormatting>
  <conditionalFormatting sqref="R9:R10">
    <cfRule type="cellIs" dxfId="0" priority="3" operator="notBetween">
      <formula>$F9</formula>
      <formula>$G9</formula>
    </cfRule>
  </conditionalFormatting>
  <conditionalFormatting sqref="R12:R14">
    <cfRule type="cellIs" dxfId="0" priority="2" operator="notBetween">
      <formula>$F12</formula>
      <formula>$G12</formula>
    </cfRule>
  </conditionalFormatting>
  <conditionalFormatting sqref="V7:Y8 J22:Y22 J26:Y26 J33:K33 M33:N33 P33 R33:Y33 J97">
    <cfRule type="cellIs" dxfId="0" priority="74" operator="notBetween">
      <formula>$G7</formula>
      <formula>$H7</formula>
    </cfRule>
  </conditionalFormatting>
  <conditionalFormatting sqref="J7:O8">
    <cfRule type="cellIs" dxfId="0" priority="34" operator="notBetween">
      <formula>$F7</formula>
      <formula>$G7</formula>
    </cfRule>
  </conditionalFormatting>
  <conditionalFormatting sqref="P7:U8">
    <cfRule type="cellIs" dxfId="0" priority="28" operator="notBetween">
      <formula>$F7</formula>
      <formula>$G7</formula>
    </cfRule>
  </conditionalFormatting>
  <conditionalFormatting sqref="J9:O10">
    <cfRule type="cellIs" dxfId="0" priority="33" operator="notBetween">
      <formula>$F9</formula>
      <formula>$G9</formula>
    </cfRule>
  </conditionalFormatting>
  <conditionalFormatting sqref="P9:Q10 S9:U10">
    <cfRule type="cellIs" dxfId="0" priority="27" operator="notBetween">
      <formula>$F9</formula>
      <formula>$G9</formula>
    </cfRule>
  </conditionalFormatting>
  <conditionalFormatting sqref="V9:Y10">
    <cfRule type="cellIs" dxfId="0" priority="41" operator="notBetween">
      <formula>$G9</formula>
      <formula>$H9</formula>
    </cfRule>
  </conditionalFormatting>
  <conditionalFormatting sqref="P11:Q11 S11:U11">
    <cfRule type="cellIs" dxfId="0" priority="25" operator="notBetween">
      <formula>$F11</formula>
      <formula>$G11</formula>
    </cfRule>
  </conditionalFormatting>
  <conditionalFormatting sqref="J12:O14">
    <cfRule type="cellIs" dxfId="0" priority="32" operator="notBetween">
      <formula>$F12</formula>
      <formula>$G12</formula>
    </cfRule>
  </conditionalFormatting>
  <conditionalFormatting sqref="P12:Q14 S12:U14">
    <cfRule type="cellIs" dxfId="0" priority="26" operator="notBetween">
      <formula>$F12</formula>
      <formula>$G12</formula>
    </cfRule>
  </conditionalFormatting>
  <conditionalFormatting sqref="V12:Y14">
    <cfRule type="cellIs" dxfId="0" priority="39" operator="notBetween">
      <formula>$G12</formula>
      <formula>$H12</formula>
    </cfRule>
  </conditionalFormatting>
  <conditionalFormatting sqref="J16:O18">
    <cfRule type="cellIs" dxfId="0" priority="30" operator="notBetween">
      <formula>$F16</formula>
      <formula>$G16</formula>
    </cfRule>
  </conditionalFormatting>
  <conditionalFormatting sqref="P16:U18">
    <cfRule type="cellIs" dxfId="0" priority="24" operator="notBetween">
      <formula>$F16</formula>
      <formula>$G16</formula>
    </cfRule>
  </conditionalFormatting>
  <conditionalFormatting sqref="V16:Y18">
    <cfRule type="cellIs" dxfId="0" priority="37" operator="notBetween">
      <formula>$G16</formula>
      <formula>$H16</formula>
    </cfRule>
  </conditionalFormatting>
  <conditionalFormatting sqref="J19:K19 M19:N19 P19 R19:Y19">
    <cfRule type="cellIs" dxfId="0" priority="69" operator="notBetween">
      <formula>$G19</formula>
      <formula>$H19</formula>
    </cfRule>
  </conditionalFormatting>
  <conditionalFormatting sqref="J20:K20 M20:N20 P20 R20:Y20">
    <cfRule type="cellIs" dxfId="0" priority="73" operator="notBetween">
      <formula>$G20</formula>
      <formula>$H20</formula>
    </cfRule>
  </conditionalFormatting>
  <conditionalFormatting sqref="J24:J25 J27:J31">
    <cfRule type="cellIs" dxfId="0" priority="70" operator="notBetween">
      <formula>$G24</formula>
      <formula>$H24</formula>
    </cfRule>
  </conditionalFormatting>
  <conditionalFormatting sqref="K24:K25 M24:N25 P24:P25 R24:Y25">
    <cfRule type="cellIs" dxfId="0" priority="72" operator="notBetween">
      <formula>$G24</formula>
      <formula>$H24</formula>
    </cfRule>
  </conditionalFormatting>
  <conditionalFormatting sqref="K27:Y28">
    <cfRule type="cellIs" dxfId="0" priority="40" operator="notBetween">
      <formula>$G27</formula>
      <formula>$H27</formula>
    </cfRule>
  </conditionalFormatting>
  <conditionalFormatting sqref="K29:K31 M29:N31 P29:P31 R29:Y31">
    <cfRule type="cellIs" dxfId="0" priority="67" operator="notBetween">
      <formula>$G29</formula>
      <formula>$H29</formula>
    </cfRule>
  </conditionalFormatting>
  <conditionalFormatting sqref="J32:K32 M32:N32 P32 R32:Y32">
    <cfRule type="cellIs" dxfId="0" priority="68" operator="notBetween">
      <formula>$G32</formula>
      <formula>$H32</formula>
    </cfRule>
  </conditionalFormatting>
  <conditionalFormatting sqref="J34:Y36">
    <cfRule type="cellIs" dxfId="0" priority="21" operator="notBetween">
      <formula>$G34</formula>
      <formula>$H34</formula>
    </cfRule>
  </conditionalFormatting>
  <conditionalFormatting sqref="K97 M97:N97 P97 R97:Y97">
    <cfRule type="cellIs" dxfId="0" priority="71" operator="notBetween">
      <formula>$G97</formula>
      <formula>$H97</formula>
    </cfRule>
  </conditionalFormatting>
  <conditionalFormatting sqref="J100:K100 M100:N100 P100 R100:Y100">
    <cfRule type="cellIs" dxfId="0" priority="66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E1" workbookViewId="0">
      <selection activeCell="O27" sqref="O27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58" t="s">
        <v>99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/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37" t="s">
        <v>100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 t="str">
        <f t="shared" si="0"/>
        <v>复测8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0.4971</v>
      </c>
      <c r="K7" s="51">
        <v>0.4921</v>
      </c>
      <c r="L7" s="51">
        <v>0.4975</v>
      </c>
      <c r="M7" s="51">
        <v>0.4962</v>
      </c>
      <c r="N7" s="51">
        <v>0.4929</v>
      </c>
      <c r="O7" s="51">
        <v>0.4936</v>
      </c>
      <c r="P7" s="51">
        <v>0.4944</v>
      </c>
      <c r="Q7" s="51">
        <v>0.496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0.5897</v>
      </c>
      <c r="K8" s="51">
        <v>0.5869</v>
      </c>
      <c r="L8" s="51">
        <v>0.596</v>
      </c>
      <c r="M8" s="51">
        <v>0.5883</v>
      </c>
      <c r="N8" s="51">
        <v>0.5996</v>
      </c>
      <c r="O8" s="51">
        <v>0.5981</v>
      </c>
      <c r="P8" s="51">
        <v>0.6013</v>
      </c>
      <c r="Q8" s="51">
        <v>0.5928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0.001</v>
      </c>
      <c r="K9" s="51">
        <v>0.0259</v>
      </c>
      <c r="L9" s="51">
        <v>0.0298</v>
      </c>
      <c r="M9" s="51">
        <v>0.0275</v>
      </c>
      <c r="N9" s="51">
        <v>0.0521</v>
      </c>
      <c r="O9" s="51">
        <v>0.0141</v>
      </c>
      <c r="P9" s="51">
        <v>0.0469</v>
      </c>
      <c r="Q9" s="51">
        <v>0.0051</v>
      </c>
      <c r="R9" s="51">
        <v>0.0044</v>
      </c>
      <c r="S9" s="51"/>
      <c r="T9" s="51"/>
      <c r="U9" s="51"/>
      <c r="V9" s="51"/>
      <c r="W9" s="51"/>
      <c r="X9" s="51"/>
      <c r="Y9" s="51"/>
      <c r="Z9" s="52">
        <f t="shared" ref="Z9:AO9" si="5">IF(J9="","",IF(J9&gt;($D9+$E9),(J9-$D9-$E9),IF(J9&lt;($D9+$F9),(J9-$D9-$F9),"√")))</f>
        <v>-0.029</v>
      </c>
      <c r="AA9" s="52">
        <f t="shared" si="5"/>
        <v>-0.0041</v>
      </c>
      <c r="AB9" s="52">
        <f t="shared" si="5"/>
        <v>-0.000200000000000002</v>
      </c>
      <c r="AC9" s="52">
        <f t="shared" si="5"/>
        <v>-0.0025</v>
      </c>
      <c r="AD9" s="52" t="str">
        <f t="shared" si="5"/>
        <v>√</v>
      </c>
      <c r="AE9" s="52">
        <f t="shared" si="5"/>
        <v>-0.0159</v>
      </c>
      <c r="AF9" s="52" t="str">
        <f t="shared" si="5"/>
        <v>√</v>
      </c>
      <c r="AG9" s="52">
        <f t="shared" si="5"/>
        <v>-0.0249</v>
      </c>
      <c r="AH9" s="52">
        <f t="shared" si="5"/>
        <v>-0.0256</v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0.0684</v>
      </c>
      <c r="K10" s="51">
        <v>0.0389</v>
      </c>
      <c r="L10" s="51">
        <v>0.046</v>
      </c>
      <c r="M10" s="51">
        <v>0.0495</v>
      </c>
      <c r="N10" s="51">
        <v>0.0271</v>
      </c>
      <c r="O10" s="51">
        <v>0.0542</v>
      </c>
      <c r="P10" s="51">
        <v>0.0269</v>
      </c>
      <c r="Q10" s="51">
        <v>0.0702</v>
      </c>
      <c r="R10" s="51">
        <v>0.0692</v>
      </c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>
        <f t="shared" si="6"/>
        <v>-0.0029</v>
      </c>
      <c r="AE10" s="52" t="str">
        <f t="shared" si="6"/>
        <v>√</v>
      </c>
      <c r="AF10" s="52">
        <f t="shared" si="6"/>
        <v>-0.0031</v>
      </c>
      <c r="AG10" s="52">
        <f t="shared" si="6"/>
        <v>0.000199999999999995</v>
      </c>
      <c r="AH10" s="52" t="str">
        <f t="shared" si="6"/>
        <v>√</v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0.0233</v>
      </c>
      <c r="K11" s="51">
        <v>0.0305</v>
      </c>
      <c r="L11" s="51">
        <v>0.0257</v>
      </c>
      <c r="M11" s="51">
        <v>0.0264</v>
      </c>
      <c r="N11" s="51">
        <v>0.0238</v>
      </c>
      <c r="O11" s="51">
        <v>0.0221</v>
      </c>
      <c r="P11" s="51">
        <v>0.0205</v>
      </c>
      <c r="Q11" s="51">
        <v>0.0257</v>
      </c>
      <c r="R11" s="51">
        <v>0.0245</v>
      </c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0.024</v>
      </c>
      <c r="K12" s="51">
        <v>0.0232</v>
      </c>
      <c r="L12" s="51">
        <v>0.0212</v>
      </c>
      <c r="M12" s="51">
        <v>0.0243</v>
      </c>
      <c r="N12" s="51">
        <v>0.0236</v>
      </c>
      <c r="O12" s="51">
        <v>0.0191</v>
      </c>
      <c r="P12" s="51">
        <v>0.0219</v>
      </c>
      <c r="Q12" s="51">
        <v>0.0261</v>
      </c>
      <c r="R12" s="51">
        <v>0.0249</v>
      </c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0.0205</v>
      </c>
      <c r="K13" s="51">
        <v>0.021</v>
      </c>
      <c r="L13" s="51">
        <v>0.0152</v>
      </c>
      <c r="M13" s="51">
        <v>0.0217</v>
      </c>
      <c r="N13" s="51">
        <v>0.0189</v>
      </c>
      <c r="O13" s="51">
        <v>0.0185</v>
      </c>
      <c r="P13" s="51">
        <v>0.0153</v>
      </c>
      <c r="Q13" s="51">
        <v>0.0272</v>
      </c>
      <c r="R13" s="51">
        <v>0.0258</v>
      </c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0.0279</v>
      </c>
      <c r="K14" s="51">
        <v>0.0231</v>
      </c>
      <c r="L14" s="51">
        <v>0.0275</v>
      </c>
      <c r="M14" s="51">
        <v>0.0235</v>
      </c>
      <c r="N14" s="51">
        <v>0.026</v>
      </c>
      <c r="O14" s="51">
        <v>0.0228</v>
      </c>
      <c r="P14" s="51">
        <v>0.0209</v>
      </c>
      <c r="Q14" s="51">
        <v>0.0239</v>
      </c>
      <c r="R14" s="51">
        <v>0.0217</v>
      </c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/>
      </c>
      <c r="AA15" s="52" t="str">
        <f t="shared" si="11"/>
        <v/>
      </c>
      <c r="AB15" s="52" t="str">
        <f t="shared" si="11"/>
        <v/>
      </c>
      <c r="AC15" s="52" t="str">
        <f t="shared" si="11"/>
        <v/>
      </c>
      <c r="AD15" s="52" t="str">
        <f t="shared" si="11"/>
        <v/>
      </c>
      <c r="AE15" s="52" t="str">
        <f t="shared" si="11"/>
        <v/>
      </c>
      <c r="AF15" s="52" t="str">
        <f t="shared" si="11"/>
        <v/>
      </c>
      <c r="AG15" s="52" t="str">
        <f t="shared" si="11"/>
        <v/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/>
      </c>
      <c r="AA16" s="52" t="str">
        <f t="shared" si="12"/>
        <v/>
      </c>
      <c r="AB16" s="52" t="str">
        <f t="shared" si="12"/>
        <v/>
      </c>
      <c r="AC16" s="52" t="str">
        <f t="shared" si="12"/>
        <v/>
      </c>
      <c r="AD16" s="52" t="str">
        <f t="shared" si="12"/>
        <v/>
      </c>
      <c r="AE16" s="52" t="str">
        <f t="shared" si="12"/>
        <v/>
      </c>
      <c r="AF16" s="52" t="str">
        <f t="shared" si="12"/>
        <v/>
      </c>
      <c r="AG16" s="52" t="str">
        <f t="shared" si="12"/>
        <v/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/>
      </c>
      <c r="AA17" s="52" t="str">
        <f t="shared" si="13"/>
        <v/>
      </c>
      <c r="AB17" s="52" t="str">
        <f t="shared" si="13"/>
        <v/>
      </c>
      <c r="AC17" s="52" t="str">
        <f t="shared" si="13"/>
        <v/>
      </c>
      <c r="AD17" s="52" t="str">
        <f t="shared" si="13"/>
        <v/>
      </c>
      <c r="AE17" s="52" t="str">
        <f t="shared" si="13"/>
        <v/>
      </c>
      <c r="AF17" s="52" t="str">
        <f t="shared" si="13"/>
        <v/>
      </c>
      <c r="AG17" s="52" t="str">
        <f t="shared" si="13"/>
        <v/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/>
      </c>
      <c r="AA18" s="52" t="str">
        <f t="shared" si="14"/>
        <v/>
      </c>
      <c r="AB18" s="52" t="str">
        <f t="shared" si="14"/>
        <v/>
      </c>
      <c r="AC18" s="52" t="str">
        <f t="shared" si="14"/>
        <v/>
      </c>
      <c r="AD18" s="52" t="str">
        <f t="shared" si="14"/>
        <v/>
      </c>
      <c r="AE18" s="52" t="str">
        <f t="shared" si="14"/>
        <v/>
      </c>
      <c r="AF18" s="52" t="str">
        <f t="shared" si="14"/>
        <v/>
      </c>
      <c r="AG18" s="52" t="str">
        <f t="shared" si="14"/>
        <v/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31" operator="notBetween">
      <formula>$F11</formula>
      <formula>$G11</formula>
    </cfRule>
  </conditionalFormatting>
  <conditionalFormatting sqref="R11">
    <cfRule type="cellIs" dxfId="0" priority="1" operator="notBetween">
      <formula>$F11</formula>
      <formula>$G11</formula>
    </cfRule>
  </conditionalFormatting>
  <conditionalFormatting sqref="V11:Y11">
    <cfRule type="cellIs" dxfId="0" priority="38" operator="notBetween">
      <formula>$G11</formula>
      <formula>$H11</formula>
    </cfRule>
  </conditionalFormatting>
  <conditionalFormatting sqref="J15:O15">
    <cfRule type="cellIs" dxfId="0" priority="29" operator="notBetween">
      <formula>$F15</formula>
      <formula>$G15</formula>
    </cfRule>
  </conditionalFormatting>
  <conditionalFormatting sqref="P15:U15">
    <cfRule type="cellIs" dxfId="0" priority="23" operator="notBetween">
      <formula>$F15</formula>
      <formula>$G15</formula>
    </cfRule>
  </conditionalFormatting>
  <conditionalFormatting sqref="V15:Y15">
    <cfRule type="cellIs" dxfId="0" priority="36" operator="notBetween">
      <formula>$G15</formula>
      <formula>$H15</formula>
    </cfRule>
  </conditionalFormatting>
  <conditionalFormatting sqref="L19">
    <cfRule type="cellIs" dxfId="0" priority="61" operator="notBetween">
      <formula>$G19</formula>
      <formula>$H19</formula>
    </cfRule>
  </conditionalFormatting>
  <conditionalFormatting sqref="O19">
    <cfRule type="cellIs" dxfId="0" priority="45" operator="notBetween">
      <formula>$G19</formula>
      <formula>$H19</formula>
    </cfRule>
  </conditionalFormatting>
  <conditionalFormatting sqref="Q19">
    <cfRule type="cellIs" dxfId="0" priority="53" operator="notBetween">
      <formula>$G19</formula>
      <formula>$H19</formula>
    </cfRule>
  </conditionalFormatting>
  <conditionalFormatting sqref="L20">
    <cfRule type="cellIs" dxfId="0" priority="64" operator="notBetween">
      <formula>$G20</formula>
      <formula>$H20</formula>
    </cfRule>
  </conditionalFormatting>
  <conditionalFormatting sqref="O20">
    <cfRule type="cellIs" dxfId="0" priority="48" operator="notBetween">
      <formula>$G20</formula>
      <formula>$H20</formula>
    </cfRule>
  </conditionalFormatting>
  <conditionalFormatting sqref="Q20">
    <cfRule type="cellIs" dxfId="0" priority="56" operator="notBetween">
      <formula>$G20</formula>
      <formula>$H20</formula>
    </cfRule>
  </conditionalFormatting>
  <conditionalFormatting sqref="J21:Y21">
    <cfRule type="cellIs" dxfId="0" priority="35" operator="notBetween">
      <formula>$G21</formula>
      <formula>$H21</formula>
    </cfRule>
  </conditionalFormatting>
  <conditionalFormatting sqref="J23:Y23">
    <cfRule type="cellIs" dxfId="0" priority="22" operator="notBetween">
      <formula>$F23</formula>
      <formula>$G23</formula>
    </cfRule>
  </conditionalFormatting>
  <conditionalFormatting sqref="L32">
    <cfRule type="cellIs" dxfId="0" priority="60" operator="notBetween">
      <formula>$G32</formula>
      <formula>$H32</formula>
    </cfRule>
  </conditionalFormatting>
  <conditionalFormatting sqref="O32">
    <cfRule type="cellIs" dxfId="0" priority="44" operator="notBetween">
      <formula>$G32</formula>
      <formula>$H32</formula>
    </cfRule>
  </conditionalFormatting>
  <conditionalFormatting sqref="Q32">
    <cfRule type="cellIs" dxfId="0" priority="52" operator="notBetween">
      <formula>$G32</formula>
      <formula>$H32</formula>
    </cfRule>
  </conditionalFormatting>
  <conditionalFormatting sqref="L33">
    <cfRule type="cellIs" dxfId="0" priority="65" operator="notBetween">
      <formula>$G33</formula>
      <formula>$H33</formula>
    </cfRule>
  </conditionalFormatting>
  <conditionalFormatting sqref="O33">
    <cfRule type="cellIs" dxfId="0" priority="49" operator="notBetween">
      <formula>$G33</formula>
      <formula>$H33</formula>
    </cfRule>
  </conditionalFormatting>
  <conditionalFormatting sqref="Q33">
    <cfRule type="cellIs" dxfId="0" priority="57" operator="notBetween">
      <formula>$G33</formula>
      <formula>$H33</formula>
    </cfRule>
  </conditionalFormatting>
  <conditionalFormatting sqref="J43:Y43">
    <cfRule type="cellIs" dxfId="0" priority="20" operator="notBetween">
      <formula>$G43</formula>
      <formula>$H43</formula>
    </cfRule>
  </conditionalFormatting>
  <conditionalFormatting sqref="J50:Y50">
    <cfRule type="cellIs" dxfId="0" priority="19" operator="notBetween">
      <formula>$G50</formula>
      <formula>$H50</formula>
    </cfRule>
  </conditionalFormatting>
  <conditionalFormatting sqref="J55:Y55">
    <cfRule type="cellIs" dxfId="0" priority="18" operator="notBetween">
      <formula>$G55</formula>
      <formula>$H55</formula>
    </cfRule>
  </conditionalFormatting>
  <conditionalFormatting sqref="J60:Y60">
    <cfRule type="cellIs" dxfId="0" priority="17" operator="notBetween">
      <formula>$G60</formula>
      <formula>$H60</formula>
    </cfRule>
  </conditionalFormatting>
  <conditionalFormatting sqref="J65:Y65">
    <cfRule type="cellIs" dxfId="0" priority="16" operator="notBetween">
      <formula>$G65</formula>
      <formula>$H65</formula>
    </cfRule>
  </conditionalFormatting>
  <conditionalFormatting sqref="J77:Y77">
    <cfRule type="cellIs" dxfId="0" priority="15" operator="notBetween">
      <formula>$G77</formula>
      <formula>$H77</formula>
    </cfRule>
  </conditionalFormatting>
  <conditionalFormatting sqref="J82:Y82">
    <cfRule type="cellIs" dxfId="0" priority="14" operator="notBetween">
      <formula>$G82</formula>
      <formula>$H82</formula>
    </cfRule>
  </conditionalFormatting>
  <conditionalFormatting sqref="J87:Y87">
    <cfRule type="cellIs" dxfId="0" priority="13" operator="notBetween">
      <formula>$G87</formula>
      <formula>$H87</formula>
    </cfRule>
  </conditionalFormatting>
  <conditionalFormatting sqref="J92:Y92">
    <cfRule type="cellIs" dxfId="0" priority="12" operator="notBetween">
      <formula>$G92</formula>
      <formula>$H92</formula>
    </cfRule>
  </conditionalFormatting>
  <conditionalFormatting sqref="L97">
    <cfRule type="cellIs" dxfId="0" priority="62" operator="notBetween">
      <formula>$G97</formula>
      <formula>$H97</formula>
    </cfRule>
  </conditionalFormatting>
  <conditionalFormatting sqref="O97">
    <cfRule type="cellIs" dxfId="0" priority="46" operator="notBetween">
      <formula>$G97</formula>
      <formula>$H97</formula>
    </cfRule>
  </conditionalFormatting>
  <conditionalFormatting sqref="Q97">
    <cfRule type="cellIs" dxfId="0" priority="54" operator="notBetween">
      <formula>$G97</formula>
      <formula>$H97</formula>
    </cfRule>
  </conditionalFormatting>
  <conditionalFormatting sqref="L100">
    <cfRule type="cellIs" dxfId="0" priority="58" operator="notBetween">
      <formula>$G100</formula>
      <formula>$H100</formula>
    </cfRule>
  </conditionalFormatting>
  <conditionalFormatting sqref="O100">
    <cfRule type="cellIs" dxfId="0" priority="42" operator="notBetween">
      <formula>$G100</formula>
      <formula>$H100</formula>
    </cfRule>
  </conditionalFormatting>
  <conditionalFormatting sqref="Q100">
    <cfRule type="cellIs" dxfId="0" priority="50" operator="notBetween">
      <formula>$G100</formula>
      <formula>$H100</formula>
    </cfRule>
  </conditionalFormatting>
  <conditionalFormatting sqref="J103:Y103">
    <cfRule type="cellIs" dxfId="0" priority="11" operator="notBetween">
      <formula>$G103</formula>
      <formula>$H103</formula>
    </cfRule>
  </conditionalFormatting>
  <conditionalFormatting sqref="J107:Y107">
    <cfRule type="cellIs" dxfId="0" priority="10" operator="notBetween">
      <formula>$G107</formula>
      <formula>$H107</formula>
    </cfRule>
  </conditionalFormatting>
  <conditionalFormatting sqref="J113:Y113">
    <cfRule type="cellIs" dxfId="0" priority="9" operator="notBetween">
      <formula>$G113</formula>
      <formula>$H113</formula>
    </cfRule>
  </conditionalFormatting>
  <conditionalFormatting sqref="J114:Y114">
    <cfRule type="cellIs" dxfId="0" priority="4" operator="notBetween">
      <formula>$G114</formula>
      <formula>$H114</formula>
    </cfRule>
  </conditionalFormatting>
  <conditionalFormatting sqref="J115:Y115">
    <cfRule type="cellIs" dxfId="0" priority="6" operator="notBetween">
      <formula>$G115</formula>
      <formula>$H115</formula>
    </cfRule>
  </conditionalFormatting>
  <conditionalFormatting sqref="J116:Y116">
    <cfRule type="cellIs" dxfId="0" priority="5" operator="notBetween">
      <formula>$G116</formula>
      <formula>$H116</formula>
    </cfRule>
  </conditionalFormatting>
  <conditionalFormatting sqref="J117:Y117">
    <cfRule type="cellIs" dxfId="0" priority="8" operator="notBetween">
      <formula>$G117</formula>
      <formula>$H117</formula>
    </cfRule>
  </conditionalFormatting>
  <conditionalFormatting sqref="J118:Y118">
    <cfRule type="cellIs" dxfId="0" priority="7" operator="notBetween">
      <formula>$G118</formula>
      <formula>$H118</formula>
    </cfRule>
  </conditionalFormatting>
  <conditionalFormatting sqref="L24:L25">
    <cfRule type="cellIs" dxfId="0" priority="63" operator="notBetween">
      <formula>$G24</formula>
      <formula>$H24</formula>
    </cfRule>
  </conditionalFormatting>
  <conditionalFormatting sqref="L29:L31">
    <cfRule type="cellIs" dxfId="0" priority="59" operator="notBetween">
      <formula>$G29</formula>
      <formula>$H29</formula>
    </cfRule>
  </conditionalFormatting>
  <conditionalFormatting sqref="O24:O25">
    <cfRule type="cellIs" dxfId="0" priority="47" operator="notBetween">
      <formula>$G24</formula>
      <formula>$H24</formula>
    </cfRule>
  </conditionalFormatting>
  <conditionalFormatting sqref="O29:O31">
    <cfRule type="cellIs" dxfId="0" priority="43" operator="notBetween">
      <formula>$G29</formula>
      <formula>$H29</formula>
    </cfRule>
  </conditionalFormatting>
  <conditionalFormatting sqref="Q24:Q25">
    <cfRule type="cellIs" dxfId="0" priority="55" operator="notBetween">
      <formula>$G24</formula>
      <formula>$H24</formula>
    </cfRule>
  </conditionalFormatting>
  <conditionalFormatting sqref="Q29:Q31">
    <cfRule type="cellIs" dxfId="0" priority="51" operator="notBetween">
      <formula>$G29</formula>
      <formula>$H29</formula>
    </cfRule>
  </conditionalFormatting>
  <conditionalFormatting sqref="R9:R10">
    <cfRule type="cellIs" dxfId="0" priority="3" operator="notBetween">
      <formula>$F9</formula>
      <formula>$G9</formula>
    </cfRule>
  </conditionalFormatting>
  <conditionalFormatting sqref="R12:R14">
    <cfRule type="cellIs" dxfId="0" priority="2" operator="notBetween">
      <formula>$F12</formula>
      <formula>$G12</formula>
    </cfRule>
  </conditionalFormatting>
  <conditionalFormatting sqref="V7:Y8 J22:Y22 J26:Y26 J33:K33 M33:N33 P33 R33:Y33 J97">
    <cfRule type="cellIs" dxfId="0" priority="74" operator="notBetween">
      <formula>$G7</formula>
      <formula>$H7</formula>
    </cfRule>
  </conditionalFormatting>
  <conditionalFormatting sqref="J7:O8">
    <cfRule type="cellIs" dxfId="0" priority="34" operator="notBetween">
      <formula>$F7</formula>
      <formula>$G7</formula>
    </cfRule>
  </conditionalFormatting>
  <conditionalFormatting sqref="P7:U8">
    <cfRule type="cellIs" dxfId="0" priority="28" operator="notBetween">
      <formula>$F7</formula>
      <formula>$G7</formula>
    </cfRule>
  </conditionalFormatting>
  <conditionalFormatting sqref="J9:O10">
    <cfRule type="cellIs" dxfId="0" priority="33" operator="notBetween">
      <formula>$F9</formula>
      <formula>$G9</formula>
    </cfRule>
  </conditionalFormatting>
  <conditionalFormatting sqref="P9:Q10 S9:U10">
    <cfRule type="cellIs" dxfId="0" priority="27" operator="notBetween">
      <formula>$F9</formula>
      <formula>$G9</formula>
    </cfRule>
  </conditionalFormatting>
  <conditionalFormatting sqref="V9:Y10">
    <cfRule type="cellIs" dxfId="0" priority="41" operator="notBetween">
      <formula>$G9</formula>
      <formula>$H9</formula>
    </cfRule>
  </conditionalFormatting>
  <conditionalFormatting sqref="P11:Q11 S11:U11">
    <cfRule type="cellIs" dxfId="0" priority="25" operator="notBetween">
      <formula>$F11</formula>
      <formula>$G11</formula>
    </cfRule>
  </conditionalFormatting>
  <conditionalFormatting sqref="J12:O14">
    <cfRule type="cellIs" dxfId="0" priority="32" operator="notBetween">
      <formula>$F12</formula>
      <formula>$G12</formula>
    </cfRule>
  </conditionalFormatting>
  <conditionalFormatting sqref="P12:Q14 S12:U14">
    <cfRule type="cellIs" dxfId="0" priority="26" operator="notBetween">
      <formula>$F12</formula>
      <formula>$G12</formula>
    </cfRule>
  </conditionalFormatting>
  <conditionalFormatting sqref="V12:Y14">
    <cfRule type="cellIs" dxfId="0" priority="39" operator="notBetween">
      <formula>$G12</formula>
      <formula>$H12</formula>
    </cfRule>
  </conditionalFormatting>
  <conditionalFormatting sqref="J16:O18">
    <cfRule type="cellIs" dxfId="0" priority="30" operator="notBetween">
      <formula>$F16</formula>
      <formula>$G16</formula>
    </cfRule>
  </conditionalFormatting>
  <conditionalFormatting sqref="P16:U18">
    <cfRule type="cellIs" dxfId="0" priority="24" operator="notBetween">
      <formula>$F16</formula>
      <formula>$G16</formula>
    </cfRule>
  </conditionalFormatting>
  <conditionalFormatting sqref="V16:Y18">
    <cfRule type="cellIs" dxfId="0" priority="37" operator="notBetween">
      <formula>$G16</formula>
      <formula>$H16</formula>
    </cfRule>
  </conditionalFormatting>
  <conditionalFormatting sqref="J19:K19 M19:N19 P19 R19:Y19">
    <cfRule type="cellIs" dxfId="0" priority="69" operator="notBetween">
      <formula>$G19</formula>
      <formula>$H19</formula>
    </cfRule>
  </conditionalFormatting>
  <conditionalFormatting sqref="J20:K20 M20:N20 P20 R20:Y20">
    <cfRule type="cellIs" dxfId="0" priority="73" operator="notBetween">
      <formula>$G20</formula>
      <formula>$H20</formula>
    </cfRule>
  </conditionalFormatting>
  <conditionalFormatting sqref="J24:J25 J27:J31">
    <cfRule type="cellIs" dxfId="0" priority="70" operator="notBetween">
      <formula>$G24</formula>
      <formula>$H24</formula>
    </cfRule>
  </conditionalFormatting>
  <conditionalFormatting sqref="K24:K25 M24:N25 P24:P25 R24:Y25">
    <cfRule type="cellIs" dxfId="0" priority="72" operator="notBetween">
      <formula>$G24</formula>
      <formula>$H24</formula>
    </cfRule>
  </conditionalFormatting>
  <conditionalFormatting sqref="K27:Y28">
    <cfRule type="cellIs" dxfId="0" priority="40" operator="notBetween">
      <formula>$G27</formula>
      <formula>$H27</formula>
    </cfRule>
  </conditionalFormatting>
  <conditionalFormatting sqref="K29:K31 M29:N31 P29:P31 R29:Y31">
    <cfRule type="cellIs" dxfId="0" priority="67" operator="notBetween">
      <formula>$G29</formula>
      <formula>$H29</formula>
    </cfRule>
  </conditionalFormatting>
  <conditionalFormatting sqref="J32:K32 M32:N32 P32 R32:Y32">
    <cfRule type="cellIs" dxfId="0" priority="68" operator="notBetween">
      <formula>$G32</formula>
      <formula>$H32</formula>
    </cfRule>
  </conditionalFormatting>
  <conditionalFormatting sqref="J34:Y36">
    <cfRule type="cellIs" dxfId="0" priority="21" operator="notBetween">
      <formula>$G34</formula>
      <formula>$H34</formula>
    </cfRule>
  </conditionalFormatting>
  <conditionalFormatting sqref="K97 M97:N97 P97 R97:Y97">
    <cfRule type="cellIs" dxfId="0" priority="71" operator="notBetween">
      <formula>$G97</formula>
      <formula>$H97</formula>
    </cfRule>
  </conditionalFormatting>
  <conditionalFormatting sqref="J100:K100 M100:N100 P100 R100:Y100">
    <cfRule type="cellIs" dxfId="0" priority="66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opLeftCell="R1" workbookViewId="0">
      <selection activeCell="W10" sqref="W10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58" t="s">
        <v>99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/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0.498</v>
      </c>
      <c r="K7" s="51">
        <v>0.5044</v>
      </c>
      <c r="L7" s="51">
        <v>0.5013</v>
      </c>
      <c r="M7" s="51">
        <v>0.503</v>
      </c>
      <c r="N7" s="51">
        <v>0.4986</v>
      </c>
      <c r="O7" s="51">
        <v>0.5033</v>
      </c>
      <c r="P7" s="51">
        <v>0.5045</v>
      </c>
      <c r="Q7" s="51">
        <v>0.4997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0.5901</v>
      </c>
      <c r="K8" s="51">
        <v>0.5911</v>
      </c>
      <c r="L8" s="51">
        <v>0.5973</v>
      </c>
      <c r="M8" s="51">
        <v>0.5968</v>
      </c>
      <c r="N8" s="51">
        <v>0.593</v>
      </c>
      <c r="O8" s="51">
        <v>0.5975</v>
      </c>
      <c r="P8" s="51">
        <v>0.5762</v>
      </c>
      <c r="Q8" s="51">
        <v>0.6033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0.0432</v>
      </c>
      <c r="K9" s="51">
        <v>0.0344</v>
      </c>
      <c r="L9" s="51">
        <v>0.0488</v>
      </c>
      <c r="M9" s="51">
        <v>0.031</v>
      </c>
      <c r="N9" s="51">
        <v>0.033</v>
      </c>
      <c r="O9" s="51">
        <v>0.0381</v>
      </c>
      <c r="P9" s="51">
        <v>0.0303</v>
      </c>
      <c r="Q9" s="51">
        <v>0.035</v>
      </c>
      <c r="R9" s="51"/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 t="str">
        <f t="shared" si="5"/>
        <v>√</v>
      </c>
      <c r="AB9" s="52" t="str">
        <f t="shared" si="5"/>
        <v>√</v>
      </c>
      <c r="AC9" s="52" t="str">
        <f t="shared" si="5"/>
        <v>√</v>
      </c>
      <c r="AD9" s="52" t="str">
        <f t="shared" si="5"/>
        <v>√</v>
      </c>
      <c r="AE9" s="52" t="str">
        <f t="shared" si="5"/>
        <v>√</v>
      </c>
      <c r="AF9" s="52" t="str">
        <f t="shared" si="5"/>
        <v>√</v>
      </c>
      <c r="AG9" s="52" t="str">
        <f t="shared" si="5"/>
        <v>√</v>
      </c>
      <c r="AH9" s="52" t="str">
        <f t="shared" si="5"/>
        <v/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0.0345</v>
      </c>
      <c r="K10" s="51">
        <v>0.0615</v>
      </c>
      <c r="L10" s="51">
        <v>0.0375</v>
      </c>
      <c r="M10" s="51">
        <v>0.0617</v>
      </c>
      <c r="N10" s="51">
        <v>0.0552</v>
      </c>
      <c r="O10" s="51">
        <v>0.0492</v>
      </c>
      <c r="P10" s="51">
        <v>0.0605</v>
      </c>
      <c r="Q10" s="51">
        <v>0.0378</v>
      </c>
      <c r="R10" s="51"/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 t="str">
        <f t="shared" si="6"/>
        <v>√</v>
      </c>
      <c r="AH10" s="52" t="str">
        <f t="shared" si="6"/>
        <v/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0.0219</v>
      </c>
      <c r="K11" s="51">
        <v>0.0238</v>
      </c>
      <c r="L11" s="51">
        <v>0.0239</v>
      </c>
      <c r="M11" s="51">
        <v>0.0252</v>
      </c>
      <c r="N11" s="51">
        <v>0.0258</v>
      </c>
      <c r="O11" s="51">
        <v>0.0263</v>
      </c>
      <c r="P11" s="51">
        <v>0.027</v>
      </c>
      <c r="Q11" s="51">
        <v>0.0281</v>
      </c>
      <c r="R11" s="51"/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/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0.0281</v>
      </c>
      <c r="K12" s="51">
        <v>0.0195</v>
      </c>
      <c r="L12" s="51">
        <v>0.0233</v>
      </c>
      <c r="M12" s="51">
        <v>0.0248</v>
      </c>
      <c r="N12" s="51">
        <v>0.0238</v>
      </c>
      <c r="O12" s="51">
        <v>0.0265</v>
      </c>
      <c r="P12" s="51">
        <v>0.022</v>
      </c>
      <c r="Q12" s="51">
        <v>0.0194</v>
      </c>
      <c r="R12" s="51"/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/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0.0193</v>
      </c>
      <c r="K13" s="51">
        <v>0.0172</v>
      </c>
      <c r="L13" s="51">
        <v>0.0245</v>
      </c>
      <c r="M13" s="51">
        <v>0.0152</v>
      </c>
      <c r="N13" s="51">
        <v>0.0161</v>
      </c>
      <c r="O13" s="51">
        <v>0.0176</v>
      </c>
      <c r="P13" s="51">
        <v>0.0173</v>
      </c>
      <c r="Q13" s="51">
        <v>0.017</v>
      </c>
      <c r="R13" s="51"/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/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0.0231</v>
      </c>
      <c r="K14" s="51">
        <v>0.027</v>
      </c>
      <c r="L14" s="51">
        <v>0.0203</v>
      </c>
      <c r="M14" s="51">
        <v>0.0192</v>
      </c>
      <c r="N14" s="51">
        <v>0.0225</v>
      </c>
      <c r="O14" s="51">
        <v>0.0199</v>
      </c>
      <c r="P14" s="51">
        <v>0.0207</v>
      </c>
      <c r="Q14" s="51">
        <v>0.0244</v>
      </c>
      <c r="R14" s="51"/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/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/>
      </c>
      <c r="AA15" s="52" t="str">
        <f t="shared" si="11"/>
        <v/>
      </c>
      <c r="AB15" s="52" t="str">
        <f t="shared" si="11"/>
        <v/>
      </c>
      <c r="AC15" s="52" t="str">
        <f t="shared" si="11"/>
        <v/>
      </c>
      <c r="AD15" s="52" t="str">
        <f t="shared" si="11"/>
        <v/>
      </c>
      <c r="AE15" s="52" t="str">
        <f t="shared" si="11"/>
        <v/>
      </c>
      <c r="AF15" s="52" t="str">
        <f t="shared" si="11"/>
        <v/>
      </c>
      <c r="AG15" s="52" t="str">
        <f t="shared" si="11"/>
        <v/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/>
      </c>
      <c r="AA16" s="52" t="str">
        <f t="shared" si="12"/>
        <v/>
      </c>
      <c r="AB16" s="52" t="str">
        <f t="shared" si="12"/>
        <v/>
      </c>
      <c r="AC16" s="52" t="str">
        <f t="shared" si="12"/>
        <v/>
      </c>
      <c r="AD16" s="52" t="str">
        <f t="shared" si="12"/>
        <v/>
      </c>
      <c r="AE16" s="52" t="str">
        <f t="shared" si="12"/>
        <v/>
      </c>
      <c r="AF16" s="52" t="str">
        <f t="shared" si="12"/>
        <v/>
      </c>
      <c r="AG16" s="52" t="str">
        <f t="shared" si="12"/>
        <v/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/>
      </c>
      <c r="AA17" s="52" t="str">
        <f t="shared" si="13"/>
        <v/>
      </c>
      <c r="AB17" s="52" t="str">
        <f t="shared" si="13"/>
        <v/>
      </c>
      <c r="AC17" s="52" t="str">
        <f t="shared" si="13"/>
        <v/>
      </c>
      <c r="AD17" s="52" t="str">
        <f t="shared" si="13"/>
        <v/>
      </c>
      <c r="AE17" s="52" t="str">
        <f t="shared" si="13"/>
        <v/>
      </c>
      <c r="AF17" s="52" t="str">
        <f t="shared" si="13"/>
        <v/>
      </c>
      <c r="AG17" s="52" t="str">
        <f t="shared" si="13"/>
        <v/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/>
      </c>
      <c r="AA18" s="52" t="str">
        <f t="shared" si="14"/>
        <v/>
      </c>
      <c r="AB18" s="52" t="str">
        <f t="shared" si="14"/>
        <v/>
      </c>
      <c r="AC18" s="52" t="str">
        <f t="shared" si="14"/>
        <v/>
      </c>
      <c r="AD18" s="52" t="str">
        <f t="shared" si="14"/>
        <v/>
      </c>
      <c r="AE18" s="52" t="str">
        <f t="shared" si="14"/>
        <v/>
      </c>
      <c r="AF18" s="52" t="str">
        <f t="shared" si="14"/>
        <v/>
      </c>
      <c r="AG18" s="52" t="str">
        <f t="shared" si="14"/>
        <v/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28" operator="notBetween">
      <formula>$F11</formula>
      <formula>$G11</formula>
    </cfRule>
  </conditionalFormatting>
  <conditionalFormatting sqref="P11:U11">
    <cfRule type="cellIs" dxfId="0" priority="22" operator="notBetween">
      <formula>$F11</formula>
      <formula>$G11</formula>
    </cfRule>
  </conditionalFormatting>
  <conditionalFormatting sqref="V11:Y11">
    <cfRule type="cellIs" dxfId="0" priority="35" operator="notBetween">
      <formula>$G11</formula>
      <formula>$H11</formula>
    </cfRule>
  </conditionalFormatting>
  <conditionalFormatting sqref="J15:O15">
    <cfRule type="cellIs" dxfId="0" priority="26" operator="notBetween">
      <formula>$F15</formula>
      <formula>$G15</formula>
    </cfRule>
  </conditionalFormatting>
  <conditionalFormatting sqref="P15:U15">
    <cfRule type="cellIs" dxfId="0" priority="20" operator="notBetween">
      <formula>$F15</formula>
      <formula>$G15</formula>
    </cfRule>
  </conditionalFormatting>
  <conditionalFormatting sqref="V15:Y15">
    <cfRule type="cellIs" dxfId="0" priority="33" operator="notBetween">
      <formula>$G15</formula>
      <formula>$H15</formula>
    </cfRule>
  </conditionalFormatting>
  <conditionalFormatting sqref="L19">
    <cfRule type="cellIs" dxfId="0" priority="58" operator="notBetween">
      <formula>$G19</formula>
      <formula>$H19</formula>
    </cfRule>
  </conditionalFormatting>
  <conditionalFormatting sqref="O19">
    <cfRule type="cellIs" dxfId="0" priority="42" operator="notBetween">
      <formula>$G19</formula>
      <formula>$H19</formula>
    </cfRule>
  </conditionalFormatting>
  <conditionalFormatting sqref="Q19">
    <cfRule type="cellIs" dxfId="0" priority="50" operator="notBetween">
      <formula>$G19</formula>
      <formula>$H19</formula>
    </cfRule>
  </conditionalFormatting>
  <conditionalFormatting sqref="L20">
    <cfRule type="cellIs" dxfId="0" priority="61" operator="notBetween">
      <formula>$G20</formula>
      <formula>$H20</formula>
    </cfRule>
  </conditionalFormatting>
  <conditionalFormatting sqref="O20">
    <cfRule type="cellIs" dxfId="0" priority="45" operator="notBetween">
      <formula>$G20</formula>
      <formula>$H20</formula>
    </cfRule>
  </conditionalFormatting>
  <conditionalFormatting sqref="Q20">
    <cfRule type="cellIs" dxfId="0" priority="53" operator="notBetween">
      <formula>$G20</formula>
      <formula>$H20</formula>
    </cfRule>
  </conditionalFormatting>
  <conditionalFormatting sqref="J21:Y21">
    <cfRule type="cellIs" dxfId="0" priority="32" operator="notBetween">
      <formula>$G21</formula>
      <formula>$H21</formula>
    </cfRule>
  </conditionalFormatting>
  <conditionalFormatting sqref="J23:Y23">
    <cfRule type="cellIs" dxfId="0" priority="19" operator="notBetween">
      <formula>$F23</formula>
      <formula>$G23</formula>
    </cfRule>
  </conditionalFormatting>
  <conditionalFormatting sqref="L32">
    <cfRule type="cellIs" dxfId="0" priority="57" operator="notBetween">
      <formula>$G32</formula>
      <formula>$H32</formula>
    </cfRule>
  </conditionalFormatting>
  <conditionalFormatting sqref="O32">
    <cfRule type="cellIs" dxfId="0" priority="41" operator="notBetween">
      <formula>$G32</formula>
      <formula>$H32</formula>
    </cfRule>
  </conditionalFormatting>
  <conditionalFormatting sqref="Q32">
    <cfRule type="cellIs" dxfId="0" priority="49" operator="notBetween">
      <formula>$G32</formula>
      <formula>$H32</formula>
    </cfRule>
  </conditionalFormatting>
  <conditionalFormatting sqref="L33">
    <cfRule type="cellIs" dxfId="0" priority="62" operator="notBetween">
      <formula>$G33</formula>
      <formula>$H33</formula>
    </cfRule>
  </conditionalFormatting>
  <conditionalFormatting sqref="O33">
    <cfRule type="cellIs" dxfId="0" priority="46" operator="notBetween">
      <formula>$G33</formula>
      <formula>$H33</formula>
    </cfRule>
  </conditionalFormatting>
  <conditionalFormatting sqref="Q33">
    <cfRule type="cellIs" dxfId="0" priority="54" operator="notBetween">
      <formula>$G33</formula>
      <formula>$H33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50:Y50">
    <cfRule type="cellIs" dxfId="0" priority="16" operator="notBetween">
      <formula>$G50</formula>
      <formula>$H50</formula>
    </cfRule>
  </conditionalFormatting>
  <conditionalFormatting sqref="J55:Y55">
    <cfRule type="cellIs" dxfId="0" priority="15" operator="notBetween">
      <formula>$G55</formula>
      <formula>$H55</formula>
    </cfRule>
  </conditionalFormatting>
  <conditionalFormatting sqref="J60:Y60">
    <cfRule type="cellIs" dxfId="0" priority="14" operator="notBetween">
      <formula>$G60</formula>
      <formula>$H60</formula>
    </cfRule>
  </conditionalFormatting>
  <conditionalFormatting sqref="J65:Y65">
    <cfRule type="cellIs" dxfId="0" priority="13" operator="notBetween">
      <formula>$G65</formula>
      <formula>$H65</formula>
    </cfRule>
  </conditionalFormatting>
  <conditionalFormatting sqref="J77:Y77">
    <cfRule type="cellIs" dxfId="0" priority="12" operator="notBetween">
      <formula>$G77</formula>
      <formula>$H77</formula>
    </cfRule>
  </conditionalFormatting>
  <conditionalFormatting sqref="J82:Y82">
    <cfRule type="cellIs" dxfId="0" priority="11" operator="notBetween">
      <formula>$G82</formula>
      <formula>$H82</formula>
    </cfRule>
  </conditionalFormatting>
  <conditionalFormatting sqref="J87:Y87">
    <cfRule type="cellIs" dxfId="0" priority="10" operator="notBetween">
      <formula>$G87</formula>
      <formula>$H87</formula>
    </cfRule>
  </conditionalFormatting>
  <conditionalFormatting sqref="J92:Y92">
    <cfRule type="cellIs" dxfId="0" priority="9" operator="notBetween">
      <formula>$G92</formula>
      <formula>$H92</formula>
    </cfRule>
  </conditionalFormatting>
  <conditionalFormatting sqref="L97">
    <cfRule type="cellIs" dxfId="0" priority="59" operator="notBetween">
      <formula>$G97</formula>
      <formula>$H97</formula>
    </cfRule>
  </conditionalFormatting>
  <conditionalFormatting sqref="O97">
    <cfRule type="cellIs" dxfId="0" priority="43" operator="notBetween">
      <formula>$G97</formula>
      <formula>$H97</formula>
    </cfRule>
  </conditionalFormatting>
  <conditionalFormatting sqref="Q97">
    <cfRule type="cellIs" dxfId="0" priority="51" operator="notBetween">
      <formula>$G97</formula>
      <formula>$H97</formula>
    </cfRule>
  </conditionalFormatting>
  <conditionalFormatting sqref="L100">
    <cfRule type="cellIs" dxfId="0" priority="55" operator="notBetween">
      <formula>$G100</formula>
      <formula>$H100</formula>
    </cfRule>
  </conditionalFormatting>
  <conditionalFormatting sqref="O100">
    <cfRule type="cellIs" dxfId="0" priority="39" operator="notBetween">
      <formula>$G100</formula>
      <formula>$H100</formula>
    </cfRule>
  </conditionalFormatting>
  <conditionalFormatting sqref="Q100">
    <cfRule type="cellIs" dxfId="0" priority="47" operator="notBetween">
      <formula>$G100</formula>
      <formula>$H100</formula>
    </cfRule>
  </conditionalFormatting>
  <conditionalFormatting sqref="J103:Y103">
    <cfRule type="cellIs" dxfId="0" priority="8" operator="notBetween">
      <formula>$G103</formula>
      <formula>$H103</formula>
    </cfRule>
  </conditionalFormatting>
  <conditionalFormatting sqref="J107:Y107">
    <cfRule type="cellIs" dxfId="0" priority="7" operator="notBetween">
      <formula>$G107</formula>
      <formula>$H107</formula>
    </cfRule>
  </conditionalFormatting>
  <conditionalFormatting sqref="J113:Y113">
    <cfRule type="cellIs" dxfId="0" priority="6" operator="notBetween">
      <formula>$G113</formula>
      <formula>$H113</formula>
    </cfRule>
  </conditionalFormatting>
  <conditionalFormatting sqref="J114:Y114">
    <cfRule type="cellIs" dxfId="0" priority="1" operator="notBetween">
      <formula>$G114</formula>
      <formula>$H114</formula>
    </cfRule>
  </conditionalFormatting>
  <conditionalFormatting sqref="J115:Y115">
    <cfRule type="cellIs" dxfId="0" priority="3" operator="notBetween">
      <formula>$G115</formula>
      <formula>$H115</formula>
    </cfRule>
  </conditionalFormatting>
  <conditionalFormatting sqref="J116:Y116">
    <cfRule type="cellIs" dxfId="0" priority="2" operator="notBetween">
      <formula>$G116</formula>
      <formula>$H116</formula>
    </cfRule>
  </conditionalFormatting>
  <conditionalFormatting sqref="J117:Y117">
    <cfRule type="cellIs" dxfId="0" priority="5" operator="notBetween">
      <formula>$G117</formula>
      <formula>$H117</formula>
    </cfRule>
  </conditionalFormatting>
  <conditionalFormatting sqref="J118:Y118">
    <cfRule type="cellIs" dxfId="0" priority="4" operator="notBetween">
      <formula>$G118</formula>
      <formula>$H118</formula>
    </cfRule>
  </conditionalFormatting>
  <conditionalFormatting sqref="L24:L25">
    <cfRule type="cellIs" dxfId="0" priority="60" operator="notBetween">
      <formula>$G24</formula>
      <formula>$H24</formula>
    </cfRule>
  </conditionalFormatting>
  <conditionalFormatting sqref="L29:L31">
    <cfRule type="cellIs" dxfId="0" priority="56" operator="notBetween">
      <formula>$G29</formula>
      <formula>$H29</formula>
    </cfRule>
  </conditionalFormatting>
  <conditionalFormatting sqref="O24:O25">
    <cfRule type="cellIs" dxfId="0" priority="44" operator="notBetween">
      <formula>$G24</formula>
      <formula>$H24</formula>
    </cfRule>
  </conditionalFormatting>
  <conditionalFormatting sqref="O29:O31">
    <cfRule type="cellIs" dxfId="0" priority="40" operator="notBetween">
      <formula>$G29</formula>
      <formula>$H29</formula>
    </cfRule>
  </conditionalFormatting>
  <conditionalFormatting sqref="Q24:Q25">
    <cfRule type="cellIs" dxfId="0" priority="52" operator="notBetween">
      <formula>$G24</formula>
      <formula>$H24</formula>
    </cfRule>
  </conditionalFormatting>
  <conditionalFormatting sqref="Q29:Q31">
    <cfRule type="cellIs" dxfId="0" priority="48" operator="notBetween">
      <formula>$G29</formula>
      <formula>$H29</formula>
    </cfRule>
  </conditionalFormatting>
  <conditionalFormatting sqref="V7:Y8 J22:Y22 J26:Y26 J33:K33 M33:N33 P33 R33:Y33 J97">
    <cfRule type="cellIs" dxfId="0" priority="71" operator="notBetween">
      <formula>$G7</formula>
      <formula>$H7</formula>
    </cfRule>
  </conditionalFormatting>
  <conditionalFormatting sqref="J7:O8">
    <cfRule type="cellIs" dxfId="0" priority="31" operator="notBetween">
      <formula>$F7</formula>
      <formula>$G7</formula>
    </cfRule>
  </conditionalFormatting>
  <conditionalFormatting sqref="P7:U8">
    <cfRule type="cellIs" dxfId="0" priority="25" operator="notBetween">
      <formula>$F7</formula>
      <formula>$G7</formula>
    </cfRule>
  </conditionalFormatting>
  <conditionalFormatting sqref="J9:O10">
    <cfRule type="cellIs" dxfId="0" priority="30" operator="notBetween">
      <formula>$F9</formula>
      <formula>$G9</formula>
    </cfRule>
  </conditionalFormatting>
  <conditionalFormatting sqref="P9:U10">
    <cfRule type="cellIs" dxfId="0" priority="24" operator="notBetween">
      <formula>$F9</formula>
      <formula>$G9</formula>
    </cfRule>
  </conditionalFormatting>
  <conditionalFormatting sqref="V9:Y10">
    <cfRule type="cellIs" dxfId="0" priority="38" operator="notBetween">
      <formula>$G9</formula>
      <formula>$H9</formula>
    </cfRule>
  </conditionalFormatting>
  <conditionalFormatting sqref="J12:O14">
    <cfRule type="cellIs" dxfId="0" priority="29" operator="notBetween">
      <formula>$F12</formula>
      <formula>$G12</formula>
    </cfRule>
  </conditionalFormatting>
  <conditionalFormatting sqref="P12:U14">
    <cfRule type="cellIs" dxfId="0" priority="23" operator="notBetween">
      <formula>$F12</formula>
      <formula>$G12</formula>
    </cfRule>
  </conditionalFormatting>
  <conditionalFormatting sqref="V12:Y14">
    <cfRule type="cellIs" dxfId="0" priority="36" operator="notBetween">
      <formula>$G12</formula>
      <formula>$H12</formula>
    </cfRule>
  </conditionalFormatting>
  <conditionalFormatting sqref="J16:O18">
    <cfRule type="cellIs" dxfId="0" priority="27" operator="notBetween">
      <formula>$F16</formula>
      <formula>$G16</formula>
    </cfRule>
  </conditionalFormatting>
  <conditionalFormatting sqref="P16:U18">
    <cfRule type="cellIs" dxfId="0" priority="21" operator="notBetween">
      <formula>$F16</formula>
      <formula>$G16</formula>
    </cfRule>
  </conditionalFormatting>
  <conditionalFormatting sqref="V16:Y18">
    <cfRule type="cellIs" dxfId="0" priority="34" operator="notBetween">
      <formula>$G16</formula>
      <formula>$H16</formula>
    </cfRule>
  </conditionalFormatting>
  <conditionalFormatting sqref="J19:K19 M19:N19 P19 R19:Y19">
    <cfRule type="cellIs" dxfId="0" priority="66" operator="notBetween">
      <formula>$G19</formula>
      <formula>$H19</formula>
    </cfRule>
  </conditionalFormatting>
  <conditionalFormatting sqref="J20:K20 M20:N20 P20 R20:Y20">
    <cfRule type="cellIs" dxfId="0" priority="70" operator="notBetween">
      <formula>$G20</formula>
      <formula>$H20</formula>
    </cfRule>
  </conditionalFormatting>
  <conditionalFormatting sqref="J24:J25 J27:J31">
    <cfRule type="cellIs" dxfId="0" priority="67" operator="notBetween">
      <formula>$G24</formula>
      <formula>$H24</formula>
    </cfRule>
  </conditionalFormatting>
  <conditionalFormatting sqref="K24:K25 M24:N25 P24:P25 R24:Y25">
    <cfRule type="cellIs" dxfId="0" priority="69" operator="notBetween">
      <formula>$G24</formula>
      <formula>$H24</formula>
    </cfRule>
  </conditionalFormatting>
  <conditionalFormatting sqref="K27:Y28">
    <cfRule type="cellIs" dxfId="0" priority="37" operator="notBetween">
      <formula>$G27</formula>
      <formula>$H27</formula>
    </cfRule>
  </conditionalFormatting>
  <conditionalFormatting sqref="K29:K31 M29:N31 P29:P31 R29:Y31">
    <cfRule type="cellIs" dxfId="0" priority="64" operator="notBetween">
      <formula>$G29</formula>
      <formula>$H29</formula>
    </cfRule>
  </conditionalFormatting>
  <conditionalFormatting sqref="J32:K32 M32:N32 P32 R32:Y32">
    <cfRule type="cellIs" dxfId="0" priority="65" operator="notBetween">
      <formula>$G32</formula>
      <formula>$H32</formula>
    </cfRule>
  </conditionalFormatting>
  <conditionalFormatting sqref="J34:Y36">
    <cfRule type="cellIs" dxfId="0" priority="18" operator="notBetween">
      <formula>$G34</formula>
      <formula>$H34</formula>
    </cfRule>
  </conditionalFormatting>
  <conditionalFormatting sqref="K97 M97:N97 P97 R97:Y97">
    <cfRule type="cellIs" dxfId="0" priority="68" operator="notBetween">
      <formula>$G97</formula>
      <formula>$H97</formula>
    </cfRule>
  </conditionalFormatting>
  <conditionalFormatting sqref="J100:K100 M100:N100 P100 R100:Y100">
    <cfRule type="cellIs" dxfId="0" priority="63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workbookViewId="0">
      <selection activeCell="AI11" sqref="AI11:AI12"/>
    </sheetView>
  </sheetViews>
  <sheetFormatPr defaultColWidth="9" defaultRowHeight="14.25"/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/>
      <c r="Z3" s="14"/>
      <c r="AA3" s="14"/>
      <c r="AB3" s="14"/>
      <c r="AC3" s="14"/>
      <c r="AD3" s="15"/>
      <c r="AE3" s="28" t="s">
        <v>11</v>
      </c>
      <c r="AF3" s="29"/>
      <c r="AG3" s="29"/>
      <c r="AH3" s="29"/>
      <c r="AI3" s="30"/>
      <c r="AJ3" s="28" t="s">
        <v>12</v>
      </c>
      <c r="AK3" s="29"/>
      <c r="AL3" s="29"/>
      <c r="AM3" s="30"/>
      <c r="AN3" s="28" t="s">
        <v>13</v>
      </c>
      <c r="AO3" s="30"/>
    </row>
    <row r="4" customHeight="1" spans="1:41">
      <c r="A4" s="31" t="s">
        <v>14</v>
      </c>
      <c r="B4" s="31" t="s">
        <v>15</v>
      </c>
      <c r="C4" s="32" t="s">
        <v>16</v>
      </c>
      <c r="D4" s="33" t="s">
        <v>17</v>
      </c>
      <c r="E4" s="34" t="s">
        <v>18</v>
      </c>
      <c r="F4" s="35" t="s">
        <v>19</v>
      </c>
      <c r="G4" s="35" t="s">
        <v>20</v>
      </c>
      <c r="H4" s="35" t="s">
        <v>21</v>
      </c>
      <c r="I4" s="36" t="s">
        <v>22</v>
      </c>
      <c r="J4" s="37" t="s">
        <v>23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24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25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26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37" t="s">
        <v>100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f t="shared" si="0"/>
        <v>6</v>
      </c>
      <c r="AF6" s="47">
        <f t="shared" si="0"/>
        <v>7</v>
      </c>
      <c r="AG6" s="47">
        <f t="shared" si="0"/>
        <v>8</v>
      </c>
      <c r="AH6" s="47" t="str">
        <f t="shared" si="0"/>
        <v>复测8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46185</v>
      </c>
      <c r="B7" s="49" t="s">
        <v>27</v>
      </c>
      <c r="C7" s="49" t="s">
        <v>28</v>
      </c>
      <c r="D7" s="50">
        <v>0.5</v>
      </c>
      <c r="E7" s="50">
        <v>0.03</v>
      </c>
      <c r="F7" s="50">
        <v>-0.03</v>
      </c>
      <c r="G7" s="50">
        <f t="shared" ref="G7:G70" si="1">D7+E7</f>
        <v>0.53</v>
      </c>
      <c r="H7" s="50">
        <f t="shared" ref="H7:H70" si="2">D7+F7</f>
        <v>0.47</v>
      </c>
      <c r="I7" s="50" t="s">
        <v>29</v>
      </c>
      <c r="J7" s="51">
        <v>0.4878</v>
      </c>
      <c r="K7" s="51">
        <v>0.4866</v>
      </c>
      <c r="L7" s="51">
        <v>0.4985</v>
      </c>
      <c r="M7" s="51">
        <v>0.4894</v>
      </c>
      <c r="N7" s="51">
        <v>0.4865</v>
      </c>
      <c r="O7" s="51">
        <v>0.4859</v>
      </c>
      <c r="P7" s="51">
        <v>0.4916</v>
      </c>
      <c r="Q7" s="51">
        <v>0.4968</v>
      </c>
      <c r="R7" s="51"/>
      <c r="S7" s="51"/>
      <c r="T7" s="51"/>
      <c r="U7" s="51"/>
      <c r="V7" s="51"/>
      <c r="W7" s="51"/>
      <c r="X7" s="51"/>
      <c r="Y7" s="51"/>
      <c r="Z7" s="52" t="str">
        <f t="shared" ref="Z7:AO7" si="3">IF(J7="","",IF(J7&gt;($D7+$E7),(J7-$D7-$E7),IF(J7&lt;($D7+$F7),(J7-$D7-$F7),"√")))</f>
        <v>√</v>
      </c>
      <c r="AA7" s="52" t="str">
        <f t="shared" si="3"/>
        <v>√</v>
      </c>
      <c r="AB7" s="52" t="str">
        <f t="shared" si="3"/>
        <v>√</v>
      </c>
      <c r="AC7" s="52" t="str">
        <f t="shared" si="3"/>
        <v>√</v>
      </c>
      <c r="AD7" s="52" t="str">
        <f t="shared" si="3"/>
        <v>√</v>
      </c>
      <c r="AE7" s="52" t="str">
        <f t="shared" si="3"/>
        <v>√</v>
      </c>
      <c r="AF7" s="52" t="str">
        <f t="shared" si="3"/>
        <v>√</v>
      </c>
      <c r="AG7" s="52" t="str">
        <f t="shared" si="3"/>
        <v>√</v>
      </c>
      <c r="AH7" s="52" t="str">
        <f t="shared" si="3"/>
        <v/>
      </c>
      <c r="AI7" s="52" t="str">
        <f t="shared" si="3"/>
        <v/>
      </c>
      <c r="AJ7" s="52" t="str">
        <f t="shared" si="3"/>
        <v/>
      </c>
      <c r="AK7" s="52" t="str">
        <f t="shared" si="3"/>
        <v/>
      </c>
      <c r="AL7" s="52" t="str">
        <f t="shared" si="3"/>
        <v/>
      </c>
      <c r="AM7" s="52" t="str">
        <f t="shared" si="3"/>
        <v/>
      </c>
      <c r="AN7" s="52" t="str">
        <f t="shared" si="3"/>
        <v/>
      </c>
      <c r="AO7" s="52" t="str">
        <f t="shared" si="3"/>
        <v/>
      </c>
    </row>
    <row r="8" ht="15" customHeight="1" spans="1:41">
      <c r="A8" s="48"/>
      <c r="B8" s="53" t="s">
        <v>30</v>
      </c>
      <c r="C8" s="54" t="s">
        <v>31</v>
      </c>
      <c r="D8" s="50">
        <v>0.59</v>
      </c>
      <c r="E8" s="50">
        <v>0.03</v>
      </c>
      <c r="F8" s="50">
        <v>-0.03</v>
      </c>
      <c r="G8" s="50">
        <f t="shared" si="1"/>
        <v>0.62</v>
      </c>
      <c r="H8" s="50">
        <f t="shared" si="2"/>
        <v>0.56</v>
      </c>
      <c r="I8" s="50" t="s">
        <v>29</v>
      </c>
      <c r="J8" s="51">
        <v>0.5911</v>
      </c>
      <c r="K8" s="51">
        <v>0.5965</v>
      </c>
      <c r="L8" s="51">
        <v>0.5994</v>
      </c>
      <c r="M8" s="51">
        <v>0.6052</v>
      </c>
      <c r="N8" s="51">
        <v>0.5856</v>
      </c>
      <c r="O8" s="51">
        <v>0.5958</v>
      </c>
      <c r="P8" s="51">
        <v>0.5788</v>
      </c>
      <c r="Q8" s="51">
        <v>0.5845</v>
      </c>
      <c r="R8" s="51"/>
      <c r="S8" s="51"/>
      <c r="T8" s="51"/>
      <c r="U8" s="51"/>
      <c r="V8" s="51"/>
      <c r="W8" s="51"/>
      <c r="X8" s="51"/>
      <c r="Y8" s="51"/>
      <c r="Z8" s="52" t="str">
        <f t="shared" ref="Z8:AO8" si="4">IF(J8="","",IF(J8&gt;($D8+$E8),(J8-$D8-$E8),IF(J8&lt;($D8+$F8),(J8-$D8-$F8),"√")))</f>
        <v>√</v>
      </c>
      <c r="AA8" s="52" t="str">
        <f t="shared" si="4"/>
        <v>√</v>
      </c>
      <c r="AB8" s="52" t="str">
        <f t="shared" si="4"/>
        <v>√</v>
      </c>
      <c r="AC8" s="52" t="str">
        <f t="shared" si="4"/>
        <v>√</v>
      </c>
      <c r="AD8" s="52" t="str">
        <f t="shared" si="4"/>
        <v>√</v>
      </c>
      <c r="AE8" s="52" t="str">
        <f t="shared" si="4"/>
        <v>√</v>
      </c>
      <c r="AF8" s="52" t="str">
        <f t="shared" si="4"/>
        <v>√</v>
      </c>
      <c r="AG8" s="52" t="str">
        <f t="shared" si="4"/>
        <v>√</v>
      </c>
      <c r="AH8" s="52" t="str">
        <f t="shared" si="4"/>
        <v/>
      </c>
      <c r="AI8" s="52" t="str">
        <f t="shared" si="4"/>
        <v/>
      </c>
      <c r="AJ8" s="52" t="str">
        <f t="shared" si="4"/>
        <v/>
      </c>
      <c r="AK8" s="52" t="str">
        <f t="shared" si="4"/>
        <v/>
      </c>
      <c r="AL8" s="52" t="str">
        <f t="shared" si="4"/>
        <v/>
      </c>
      <c r="AM8" s="52" t="str">
        <f t="shared" si="4"/>
        <v/>
      </c>
      <c r="AN8" s="52" t="str">
        <f t="shared" si="4"/>
        <v/>
      </c>
      <c r="AO8" s="52" t="str">
        <f t="shared" si="4"/>
        <v/>
      </c>
    </row>
    <row r="9" ht="15" customHeight="1" spans="1:41">
      <c r="A9" s="48"/>
      <c r="B9" s="53" t="s">
        <v>32</v>
      </c>
      <c r="C9" s="54"/>
      <c r="D9" s="50">
        <v>0.05</v>
      </c>
      <c r="E9" s="50">
        <v>0.02</v>
      </c>
      <c r="F9" s="50">
        <v>-0.02</v>
      </c>
      <c r="G9" s="50">
        <f t="shared" si="1"/>
        <v>0.07</v>
      </c>
      <c r="H9" s="50">
        <f t="shared" si="2"/>
        <v>0.03</v>
      </c>
      <c r="I9" s="50" t="s">
        <v>29</v>
      </c>
      <c r="J9" s="51">
        <v>0.0318</v>
      </c>
      <c r="K9" s="51">
        <v>0.0238</v>
      </c>
      <c r="L9" s="51">
        <v>0.0329</v>
      </c>
      <c r="M9" s="51">
        <v>0.0196</v>
      </c>
      <c r="N9" s="51">
        <v>0.016</v>
      </c>
      <c r="O9" s="51">
        <v>0.0066</v>
      </c>
      <c r="P9" s="51">
        <v>0.0207</v>
      </c>
      <c r="Q9" s="51">
        <v>0.0007</v>
      </c>
      <c r="R9" s="51">
        <v>0.0013</v>
      </c>
      <c r="S9" s="51"/>
      <c r="T9" s="51"/>
      <c r="U9" s="51"/>
      <c r="V9" s="51"/>
      <c r="W9" s="51"/>
      <c r="X9" s="51"/>
      <c r="Y9" s="51"/>
      <c r="Z9" s="52" t="str">
        <f t="shared" ref="Z9:AO9" si="5">IF(J9="","",IF(J9&gt;($D9+$E9),(J9-$D9-$E9),IF(J9&lt;($D9+$F9),(J9-$D9-$F9),"√")))</f>
        <v>√</v>
      </c>
      <c r="AA9" s="52">
        <f t="shared" si="5"/>
        <v>-0.0062</v>
      </c>
      <c r="AB9" s="52" t="str">
        <f t="shared" si="5"/>
        <v>√</v>
      </c>
      <c r="AC9" s="52">
        <f t="shared" si="5"/>
        <v>-0.0104</v>
      </c>
      <c r="AD9" s="52">
        <f t="shared" si="5"/>
        <v>-0.014</v>
      </c>
      <c r="AE9" s="52">
        <f t="shared" si="5"/>
        <v>-0.0234</v>
      </c>
      <c r="AF9" s="52">
        <f t="shared" si="5"/>
        <v>-0.0093</v>
      </c>
      <c r="AG9" s="52">
        <f t="shared" si="5"/>
        <v>-0.0293</v>
      </c>
      <c r="AH9" s="52">
        <f t="shared" si="5"/>
        <v>-0.0287</v>
      </c>
      <c r="AI9" s="52" t="str">
        <f t="shared" si="5"/>
        <v/>
      </c>
      <c r="AJ9" s="52" t="str">
        <f t="shared" si="5"/>
        <v/>
      </c>
      <c r="AK9" s="52" t="str">
        <f t="shared" si="5"/>
        <v/>
      </c>
      <c r="AL9" s="52" t="str">
        <f t="shared" si="5"/>
        <v/>
      </c>
      <c r="AM9" s="52" t="str">
        <f t="shared" si="5"/>
        <v/>
      </c>
      <c r="AN9" s="52" t="str">
        <f t="shared" si="5"/>
        <v/>
      </c>
      <c r="AO9" s="52" t="str">
        <f t="shared" si="5"/>
        <v/>
      </c>
    </row>
    <row r="10" ht="15" customHeight="1" spans="1:41">
      <c r="A10" s="48"/>
      <c r="B10" s="53" t="s">
        <v>33</v>
      </c>
      <c r="C10" s="54"/>
      <c r="D10" s="50">
        <v>0.05</v>
      </c>
      <c r="E10" s="50">
        <v>0.02</v>
      </c>
      <c r="F10" s="50">
        <v>-0.02</v>
      </c>
      <c r="G10" s="50">
        <f t="shared" si="1"/>
        <v>0.07</v>
      </c>
      <c r="H10" s="50">
        <f t="shared" si="2"/>
        <v>0.03</v>
      </c>
      <c r="I10" s="50" t="s">
        <v>29</v>
      </c>
      <c r="J10" s="51">
        <v>0.0497</v>
      </c>
      <c r="K10" s="51">
        <v>0.0555</v>
      </c>
      <c r="L10" s="51">
        <v>0.0514</v>
      </c>
      <c r="M10" s="51">
        <v>0.0597</v>
      </c>
      <c r="N10" s="51">
        <v>0.0613</v>
      </c>
      <c r="O10" s="51">
        <v>0.0651</v>
      </c>
      <c r="P10" s="51">
        <v>0.0512</v>
      </c>
      <c r="Q10" s="51">
        <v>0.0764</v>
      </c>
      <c r="R10" s="51">
        <v>0.0777</v>
      </c>
      <c r="S10" s="51"/>
      <c r="T10" s="51"/>
      <c r="U10" s="51"/>
      <c r="V10" s="51"/>
      <c r="W10" s="51"/>
      <c r="X10" s="51"/>
      <c r="Y10" s="51"/>
      <c r="Z10" s="52" t="str">
        <f t="shared" ref="Z10:AO10" si="6">IF(J10="","",IF(J10&gt;($D10+$E10),(J10-$D10-$E10),IF(J10&lt;($D10+$F10),(J10-$D10-$F10),"√")))</f>
        <v>√</v>
      </c>
      <c r="AA10" s="52" t="str">
        <f t="shared" si="6"/>
        <v>√</v>
      </c>
      <c r="AB10" s="52" t="str">
        <f t="shared" si="6"/>
        <v>√</v>
      </c>
      <c r="AC10" s="52" t="str">
        <f t="shared" si="6"/>
        <v>√</v>
      </c>
      <c r="AD10" s="52" t="str">
        <f t="shared" si="6"/>
        <v>√</v>
      </c>
      <c r="AE10" s="52" t="str">
        <f t="shared" si="6"/>
        <v>√</v>
      </c>
      <c r="AF10" s="52" t="str">
        <f t="shared" si="6"/>
        <v>√</v>
      </c>
      <c r="AG10" s="52">
        <f t="shared" si="6"/>
        <v>0.00639999999999999</v>
      </c>
      <c r="AH10" s="52">
        <f t="shared" si="6"/>
        <v>0.0077</v>
      </c>
      <c r="AI10" s="52" t="str">
        <f t="shared" si="6"/>
        <v/>
      </c>
      <c r="AJ10" s="52" t="str">
        <f t="shared" si="6"/>
        <v/>
      </c>
      <c r="AK10" s="52" t="str">
        <f t="shared" si="6"/>
        <v/>
      </c>
      <c r="AL10" s="52" t="str">
        <f t="shared" si="6"/>
        <v/>
      </c>
      <c r="AM10" s="52" t="str">
        <f t="shared" si="6"/>
        <v/>
      </c>
      <c r="AN10" s="52" t="str">
        <f t="shared" si="6"/>
        <v/>
      </c>
      <c r="AO10" s="52" t="str">
        <f t="shared" si="6"/>
        <v/>
      </c>
    </row>
    <row r="11" ht="15" customHeight="1" spans="1:41">
      <c r="A11" s="48"/>
      <c r="B11" s="53" t="s">
        <v>34</v>
      </c>
      <c r="C11" s="54"/>
      <c r="D11" s="50">
        <v>0.025</v>
      </c>
      <c r="E11" s="50">
        <v>0.01</v>
      </c>
      <c r="F11" s="50">
        <v>-0.01</v>
      </c>
      <c r="G11" s="50">
        <f t="shared" si="1"/>
        <v>0.035</v>
      </c>
      <c r="H11" s="50">
        <f t="shared" si="2"/>
        <v>0.015</v>
      </c>
      <c r="I11" s="50" t="s">
        <v>29</v>
      </c>
      <c r="J11" s="51">
        <v>0.0265</v>
      </c>
      <c r="K11" s="51">
        <v>0.0283</v>
      </c>
      <c r="L11" s="51">
        <v>0.0169</v>
      </c>
      <c r="M11" s="51">
        <v>0.0283</v>
      </c>
      <c r="N11" s="51">
        <v>0.0274</v>
      </c>
      <c r="O11" s="51">
        <v>0.0234</v>
      </c>
      <c r="P11" s="51">
        <v>0.0185</v>
      </c>
      <c r="Q11" s="51">
        <v>0.0258</v>
      </c>
      <c r="R11" s="51">
        <v>0.0269</v>
      </c>
      <c r="S11" s="51"/>
      <c r="T11" s="51"/>
      <c r="U11" s="51"/>
      <c r="V11" s="51"/>
      <c r="W11" s="51"/>
      <c r="X11" s="51"/>
      <c r="Y11" s="51"/>
      <c r="Z11" s="52" t="str">
        <f t="shared" ref="Z11:AO11" si="7">IF(J11="","",IF(J11&gt;($D11+$E11),(J11-$D11-$E11),IF(J11&lt;($D11+$F11),(J11-$D11-$F11),"√")))</f>
        <v>√</v>
      </c>
      <c r="AA11" s="52" t="str">
        <f t="shared" si="7"/>
        <v>√</v>
      </c>
      <c r="AB11" s="52" t="str">
        <f t="shared" si="7"/>
        <v>√</v>
      </c>
      <c r="AC11" s="52" t="str">
        <f t="shared" si="7"/>
        <v>√</v>
      </c>
      <c r="AD11" s="52" t="str">
        <f t="shared" si="7"/>
        <v>√</v>
      </c>
      <c r="AE11" s="52" t="str">
        <f t="shared" si="7"/>
        <v>√</v>
      </c>
      <c r="AF11" s="52" t="str">
        <f t="shared" si="7"/>
        <v>√</v>
      </c>
      <c r="AG11" s="52" t="str">
        <f t="shared" si="7"/>
        <v>√</v>
      </c>
      <c r="AH11" s="52" t="str">
        <f t="shared" si="7"/>
        <v>√</v>
      </c>
      <c r="AI11" s="52" t="str">
        <f t="shared" si="7"/>
        <v/>
      </c>
      <c r="AJ11" s="52" t="str">
        <f t="shared" si="7"/>
        <v/>
      </c>
      <c r="AK11" s="52" t="str">
        <f t="shared" si="7"/>
        <v/>
      </c>
      <c r="AL11" s="52" t="str">
        <f t="shared" si="7"/>
        <v/>
      </c>
      <c r="AM11" s="52" t="str">
        <f t="shared" si="7"/>
        <v/>
      </c>
      <c r="AN11" s="52" t="str">
        <f t="shared" si="7"/>
        <v/>
      </c>
      <c r="AO11" s="52" t="str">
        <f t="shared" si="7"/>
        <v/>
      </c>
    </row>
    <row r="12" ht="15" customHeight="1" spans="1:41">
      <c r="A12" s="48"/>
      <c r="B12" s="53" t="s">
        <v>35</v>
      </c>
      <c r="C12" s="54"/>
      <c r="D12" s="50">
        <v>0.025</v>
      </c>
      <c r="E12" s="50">
        <v>0.01</v>
      </c>
      <c r="F12" s="50">
        <v>-0.01</v>
      </c>
      <c r="G12" s="50">
        <f t="shared" si="1"/>
        <v>0.035</v>
      </c>
      <c r="H12" s="50">
        <f t="shared" si="2"/>
        <v>0.015</v>
      </c>
      <c r="I12" s="50" t="s">
        <v>29</v>
      </c>
      <c r="J12" s="51">
        <v>0.0266</v>
      </c>
      <c r="K12" s="51">
        <v>0.0215</v>
      </c>
      <c r="L12" s="51">
        <v>0.0295</v>
      </c>
      <c r="M12" s="51">
        <v>0.0219</v>
      </c>
      <c r="N12" s="51">
        <v>0.0264</v>
      </c>
      <c r="O12" s="51">
        <v>0.0213</v>
      </c>
      <c r="P12" s="51">
        <v>0.0216</v>
      </c>
      <c r="Q12" s="51">
        <v>0.0188</v>
      </c>
      <c r="R12" s="51">
        <v>0.0199</v>
      </c>
      <c r="S12" s="51"/>
      <c r="T12" s="51"/>
      <c r="U12" s="51"/>
      <c r="V12" s="51"/>
      <c r="W12" s="51"/>
      <c r="X12" s="51"/>
      <c r="Y12" s="51"/>
      <c r="Z12" s="52" t="str">
        <f t="shared" ref="Z12:AO12" si="8">IF(J12="","",IF(J12&gt;($D12+$E12),(J12-$D12-$E12),IF(J12&lt;($D12+$F12),(J12-$D12-$F12),"√")))</f>
        <v>√</v>
      </c>
      <c r="AA12" s="52" t="str">
        <f t="shared" si="8"/>
        <v>√</v>
      </c>
      <c r="AB12" s="52" t="str">
        <f t="shared" si="8"/>
        <v>√</v>
      </c>
      <c r="AC12" s="52" t="str">
        <f t="shared" si="8"/>
        <v>√</v>
      </c>
      <c r="AD12" s="52" t="str">
        <f t="shared" si="8"/>
        <v>√</v>
      </c>
      <c r="AE12" s="52" t="str">
        <f t="shared" si="8"/>
        <v>√</v>
      </c>
      <c r="AF12" s="52" t="str">
        <f t="shared" si="8"/>
        <v>√</v>
      </c>
      <c r="AG12" s="52" t="str">
        <f t="shared" si="8"/>
        <v>√</v>
      </c>
      <c r="AH12" s="52" t="str">
        <f t="shared" si="8"/>
        <v>√</v>
      </c>
      <c r="AI12" s="52" t="str">
        <f t="shared" si="8"/>
        <v/>
      </c>
      <c r="AJ12" s="52" t="str">
        <f t="shared" si="8"/>
        <v/>
      </c>
      <c r="AK12" s="52" t="str">
        <f t="shared" si="8"/>
        <v/>
      </c>
      <c r="AL12" s="52" t="str">
        <f t="shared" si="8"/>
        <v/>
      </c>
      <c r="AM12" s="52" t="str">
        <f t="shared" si="8"/>
        <v/>
      </c>
      <c r="AN12" s="52" t="str">
        <f t="shared" si="8"/>
        <v/>
      </c>
      <c r="AO12" s="52" t="str">
        <f t="shared" si="8"/>
        <v/>
      </c>
    </row>
    <row r="13" ht="15" customHeight="1" spans="1:41">
      <c r="A13" s="48"/>
      <c r="B13" s="53" t="s">
        <v>36</v>
      </c>
      <c r="C13" s="54"/>
      <c r="D13" s="50">
        <v>0.025</v>
      </c>
      <c r="E13" s="50">
        <v>0.01</v>
      </c>
      <c r="F13" s="50">
        <v>-0.01</v>
      </c>
      <c r="G13" s="50">
        <f t="shared" si="1"/>
        <v>0.035</v>
      </c>
      <c r="H13" s="50">
        <f t="shared" si="2"/>
        <v>0.015</v>
      </c>
      <c r="I13" s="50" t="s">
        <v>29</v>
      </c>
      <c r="J13" s="51">
        <v>0.0164</v>
      </c>
      <c r="K13" s="51">
        <v>0.0174</v>
      </c>
      <c r="L13" s="51">
        <v>0.0222</v>
      </c>
      <c r="M13" s="51">
        <v>0.0203</v>
      </c>
      <c r="N13" s="51">
        <v>0.0155</v>
      </c>
      <c r="O13" s="51">
        <v>0.029</v>
      </c>
      <c r="P13" s="51">
        <v>0.0188</v>
      </c>
      <c r="Q13" s="51">
        <v>0.0203</v>
      </c>
      <c r="R13" s="51">
        <v>0.0211</v>
      </c>
      <c r="S13" s="51"/>
      <c r="T13" s="51"/>
      <c r="U13" s="51"/>
      <c r="V13" s="51"/>
      <c r="W13" s="51"/>
      <c r="X13" s="51"/>
      <c r="Y13" s="51"/>
      <c r="Z13" s="52" t="str">
        <f t="shared" ref="Z13:AO13" si="9">IF(J13="","",IF(J13&gt;($D13+$E13),(J13-$D13-$E13),IF(J13&lt;($D13+$F13),(J13-$D13-$F13),"√")))</f>
        <v>√</v>
      </c>
      <c r="AA13" s="52" t="str">
        <f t="shared" si="9"/>
        <v>√</v>
      </c>
      <c r="AB13" s="52" t="str">
        <f t="shared" si="9"/>
        <v>√</v>
      </c>
      <c r="AC13" s="52" t="str">
        <f t="shared" si="9"/>
        <v>√</v>
      </c>
      <c r="AD13" s="52" t="str">
        <f t="shared" si="9"/>
        <v>√</v>
      </c>
      <c r="AE13" s="52" t="str">
        <f t="shared" si="9"/>
        <v>√</v>
      </c>
      <c r="AF13" s="52" t="str">
        <f t="shared" si="9"/>
        <v>√</v>
      </c>
      <c r="AG13" s="52" t="str">
        <f t="shared" si="9"/>
        <v>√</v>
      </c>
      <c r="AH13" s="52" t="str">
        <f t="shared" si="9"/>
        <v>√</v>
      </c>
      <c r="AI13" s="52" t="str">
        <f t="shared" si="9"/>
        <v/>
      </c>
      <c r="AJ13" s="52" t="str">
        <f t="shared" si="9"/>
        <v/>
      </c>
      <c r="AK13" s="52" t="str">
        <f t="shared" si="9"/>
        <v/>
      </c>
      <c r="AL13" s="52" t="str">
        <f t="shared" si="9"/>
        <v/>
      </c>
      <c r="AM13" s="52" t="str">
        <f t="shared" si="9"/>
        <v/>
      </c>
      <c r="AN13" s="52" t="str">
        <f t="shared" si="9"/>
        <v/>
      </c>
      <c r="AO13" s="52" t="str">
        <f t="shared" si="9"/>
        <v/>
      </c>
    </row>
    <row r="14" ht="15" customHeight="1" spans="1:41">
      <c r="A14" s="48"/>
      <c r="B14" s="53" t="s">
        <v>37</v>
      </c>
      <c r="C14" s="54"/>
      <c r="D14" s="50">
        <v>0.025</v>
      </c>
      <c r="E14" s="50">
        <v>0.01</v>
      </c>
      <c r="F14" s="50">
        <v>-0.01</v>
      </c>
      <c r="G14" s="50">
        <f t="shared" si="1"/>
        <v>0.035</v>
      </c>
      <c r="H14" s="50">
        <f t="shared" si="2"/>
        <v>0.015</v>
      </c>
      <c r="I14" s="50" t="s">
        <v>29</v>
      </c>
      <c r="J14" s="51">
        <v>0.022</v>
      </c>
      <c r="K14" s="51">
        <v>0.0257</v>
      </c>
      <c r="L14" s="51">
        <v>0.0209</v>
      </c>
      <c r="M14" s="51">
        <v>0.0261</v>
      </c>
      <c r="N14" s="51">
        <v>0.0252</v>
      </c>
      <c r="O14" s="51">
        <v>0.0272</v>
      </c>
      <c r="P14" s="51">
        <v>0.0242</v>
      </c>
      <c r="Q14" s="51">
        <v>0.0269</v>
      </c>
      <c r="R14" s="51">
        <v>0.0296</v>
      </c>
      <c r="S14" s="51"/>
      <c r="T14" s="51"/>
      <c r="U14" s="51"/>
      <c r="V14" s="51"/>
      <c r="W14" s="51"/>
      <c r="X14" s="51"/>
      <c r="Y14" s="51"/>
      <c r="Z14" s="52" t="str">
        <f t="shared" ref="Z14:AO14" si="10">IF(J14="","",IF(J14&gt;($D14+$E14),(J14-$D14-$E14),IF(J14&lt;($D14+$F14),(J14-$D14-$F14),"√")))</f>
        <v>√</v>
      </c>
      <c r="AA14" s="52" t="str">
        <f t="shared" si="10"/>
        <v>√</v>
      </c>
      <c r="AB14" s="52" t="str">
        <f t="shared" si="10"/>
        <v>√</v>
      </c>
      <c r="AC14" s="52" t="str">
        <f t="shared" si="10"/>
        <v>√</v>
      </c>
      <c r="AD14" s="52" t="str">
        <f t="shared" si="10"/>
        <v>√</v>
      </c>
      <c r="AE14" s="52" t="str">
        <f t="shared" si="10"/>
        <v>√</v>
      </c>
      <c r="AF14" s="52" t="str">
        <f t="shared" si="10"/>
        <v>√</v>
      </c>
      <c r="AG14" s="52" t="str">
        <f t="shared" si="10"/>
        <v>√</v>
      </c>
      <c r="AH14" s="52" t="str">
        <f t="shared" si="10"/>
        <v>√</v>
      </c>
      <c r="AI14" s="52" t="str">
        <f t="shared" si="10"/>
        <v/>
      </c>
      <c r="AJ14" s="52" t="str">
        <f t="shared" si="10"/>
        <v/>
      </c>
      <c r="AK14" s="52" t="str">
        <f t="shared" si="10"/>
        <v/>
      </c>
      <c r="AL14" s="52" t="str">
        <f t="shared" si="10"/>
        <v/>
      </c>
      <c r="AM14" s="52" t="str">
        <f t="shared" si="10"/>
        <v/>
      </c>
      <c r="AN14" s="52" t="str">
        <f t="shared" si="10"/>
        <v/>
      </c>
      <c r="AO14" s="52" t="str">
        <f t="shared" si="10"/>
        <v/>
      </c>
    </row>
    <row r="15" ht="15" customHeight="1" spans="1:41">
      <c r="A15" s="48"/>
      <c r="B15" s="53" t="s">
        <v>38</v>
      </c>
      <c r="C15" s="54"/>
      <c r="D15" s="50">
        <v>0.025</v>
      </c>
      <c r="E15" s="50">
        <v>0.01</v>
      </c>
      <c r="F15" s="50">
        <v>-0.01</v>
      </c>
      <c r="G15" s="50">
        <f t="shared" si="1"/>
        <v>0.035</v>
      </c>
      <c r="H15" s="50">
        <f t="shared" si="2"/>
        <v>0.015</v>
      </c>
      <c r="I15" s="50" t="s">
        <v>29</v>
      </c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2" t="str">
        <f t="shared" ref="Z15:AO15" si="11">IF(J15="","",IF(J15&gt;($D15+$E15),(J15-$D15-$E15),IF(J15&lt;($D15+$F15),(J15-$D15-$F15),"√")))</f>
        <v/>
      </c>
      <c r="AA15" s="52" t="str">
        <f t="shared" si="11"/>
        <v/>
      </c>
      <c r="AB15" s="52" t="str">
        <f t="shared" si="11"/>
        <v/>
      </c>
      <c r="AC15" s="52" t="str">
        <f t="shared" si="11"/>
        <v/>
      </c>
      <c r="AD15" s="52" t="str">
        <f t="shared" si="11"/>
        <v/>
      </c>
      <c r="AE15" s="52" t="str">
        <f t="shared" si="11"/>
        <v/>
      </c>
      <c r="AF15" s="52" t="str">
        <f t="shared" si="11"/>
        <v/>
      </c>
      <c r="AG15" s="52" t="str">
        <f t="shared" si="11"/>
        <v/>
      </c>
      <c r="AH15" s="52" t="str">
        <f t="shared" si="11"/>
        <v/>
      </c>
      <c r="AI15" s="52" t="str">
        <f t="shared" si="11"/>
        <v/>
      </c>
      <c r="AJ15" s="52" t="str">
        <f t="shared" si="11"/>
        <v/>
      </c>
      <c r="AK15" s="52" t="str">
        <f t="shared" si="11"/>
        <v/>
      </c>
      <c r="AL15" s="52" t="str">
        <f t="shared" si="11"/>
        <v/>
      </c>
      <c r="AM15" s="52" t="str">
        <f t="shared" si="11"/>
        <v/>
      </c>
      <c r="AN15" s="52" t="str">
        <f t="shared" si="11"/>
        <v/>
      </c>
      <c r="AO15" s="52" t="str">
        <f t="shared" si="11"/>
        <v/>
      </c>
    </row>
    <row r="16" ht="15" customHeight="1" spans="1:41">
      <c r="A16" s="48"/>
      <c r="B16" s="53" t="s">
        <v>39</v>
      </c>
      <c r="C16" s="54"/>
      <c r="D16" s="50">
        <v>0.025</v>
      </c>
      <c r="E16" s="50">
        <v>0.01</v>
      </c>
      <c r="F16" s="50">
        <v>-0.01</v>
      </c>
      <c r="G16" s="50">
        <f t="shared" si="1"/>
        <v>0.035</v>
      </c>
      <c r="H16" s="50">
        <f t="shared" si="2"/>
        <v>0.015</v>
      </c>
      <c r="I16" s="50" t="s">
        <v>29</v>
      </c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2" t="str">
        <f t="shared" ref="Z16:AO16" si="12">IF(J16="","",IF(J16&gt;($D16+$E16),(J16-$D16-$E16),IF(J16&lt;($D16+$F16),(J16-$D16-$F16),"√")))</f>
        <v/>
      </c>
      <c r="AA16" s="52" t="str">
        <f t="shared" si="12"/>
        <v/>
      </c>
      <c r="AB16" s="52" t="str">
        <f t="shared" si="12"/>
        <v/>
      </c>
      <c r="AC16" s="52" t="str">
        <f t="shared" si="12"/>
        <v/>
      </c>
      <c r="AD16" s="52" t="str">
        <f t="shared" si="12"/>
        <v/>
      </c>
      <c r="AE16" s="52" t="str">
        <f t="shared" si="12"/>
        <v/>
      </c>
      <c r="AF16" s="52" t="str">
        <f t="shared" si="12"/>
        <v/>
      </c>
      <c r="AG16" s="52" t="str">
        <f t="shared" si="12"/>
        <v/>
      </c>
      <c r="AH16" s="52" t="str">
        <f t="shared" si="12"/>
        <v/>
      </c>
      <c r="AI16" s="52" t="str">
        <f t="shared" si="12"/>
        <v/>
      </c>
      <c r="AJ16" s="52" t="str">
        <f t="shared" si="12"/>
        <v/>
      </c>
      <c r="AK16" s="52" t="str">
        <f t="shared" si="12"/>
        <v/>
      </c>
      <c r="AL16" s="52" t="str">
        <f t="shared" si="12"/>
        <v/>
      </c>
      <c r="AM16" s="52" t="str">
        <f t="shared" si="12"/>
        <v/>
      </c>
      <c r="AN16" s="52" t="str">
        <f t="shared" si="12"/>
        <v/>
      </c>
      <c r="AO16" s="52" t="str">
        <f t="shared" si="12"/>
        <v/>
      </c>
    </row>
    <row r="17" ht="15" customHeight="1" spans="1:41">
      <c r="A17" s="48"/>
      <c r="B17" s="53" t="s">
        <v>40</v>
      </c>
      <c r="C17" s="54"/>
      <c r="D17" s="50">
        <v>0.025</v>
      </c>
      <c r="E17" s="50">
        <v>0.01</v>
      </c>
      <c r="F17" s="50">
        <v>-0.01</v>
      </c>
      <c r="G17" s="50">
        <f t="shared" si="1"/>
        <v>0.035</v>
      </c>
      <c r="H17" s="50">
        <f t="shared" si="2"/>
        <v>0.015</v>
      </c>
      <c r="I17" s="50" t="s">
        <v>29</v>
      </c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2" t="str">
        <f t="shared" ref="Z17:AO17" si="13">IF(J17="","",IF(J17&gt;($D17+$E17),(J17-$D17-$E17),IF(J17&lt;($D17+$F17),(J17-$D17-$F17),"√")))</f>
        <v/>
      </c>
      <c r="AA17" s="52" t="str">
        <f t="shared" si="13"/>
        <v/>
      </c>
      <c r="AB17" s="52" t="str">
        <f t="shared" si="13"/>
        <v/>
      </c>
      <c r="AC17" s="52" t="str">
        <f t="shared" si="13"/>
        <v/>
      </c>
      <c r="AD17" s="52" t="str">
        <f t="shared" si="13"/>
        <v/>
      </c>
      <c r="AE17" s="52" t="str">
        <f t="shared" si="13"/>
        <v/>
      </c>
      <c r="AF17" s="52" t="str">
        <f t="shared" si="13"/>
        <v/>
      </c>
      <c r="AG17" s="52" t="str">
        <f t="shared" si="13"/>
        <v/>
      </c>
      <c r="AH17" s="52" t="str">
        <f t="shared" si="13"/>
        <v/>
      </c>
      <c r="AI17" s="52" t="str">
        <f t="shared" si="13"/>
        <v/>
      </c>
      <c r="AJ17" s="52" t="str">
        <f t="shared" si="13"/>
        <v/>
      </c>
      <c r="AK17" s="52" t="str">
        <f t="shared" si="13"/>
        <v/>
      </c>
      <c r="AL17" s="52" t="str">
        <f t="shared" si="13"/>
        <v/>
      </c>
      <c r="AM17" s="52" t="str">
        <f t="shared" si="13"/>
        <v/>
      </c>
      <c r="AN17" s="52" t="str">
        <f t="shared" si="13"/>
        <v/>
      </c>
      <c r="AO17" s="52" t="str">
        <f t="shared" si="13"/>
        <v/>
      </c>
    </row>
    <row r="18" ht="15" customHeight="1" spans="1:41">
      <c r="A18" s="48"/>
      <c r="B18" s="53" t="s">
        <v>41</v>
      </c>
      <c r="C18" s="54"/>
      <c r="D18" s="50">
        <v>0.025</v>
      </c>
      <c r="E18" s="50">
        <v>0.01</v>
      </c>
      <c r="F18" s="50">
        <v>-0.01</v>
      </c>
      <c r="G18" s="50">
        <f t="shared" si="1"/>
        <v>0.035</v>
      </c>
      <c r="H18" s="50">
        <f t="shared" si="2"/>
        <v>0.015</v>
      </c>
      <c r="I18" s="50" t="s">
        <v>29</v>
      </c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2" t="str">
        <f t="shared" ref="Z18:AO18" si="14">IF(J18="","",IF(J18&gt;($D18+$E18),(J18-$D18-$E18),IF(J18&lt;($D18+$F18),(J18-$D18-$F18),"√")))</f>
        <v/>
      </c>
      <c r="AA18" s="52" t="str">
        <f t="shared" si="14"/>
        <v/>
      </c>
      <c r="AB18" s="52" t="str">
        <f t="shared" si="14"/>
        <v/>
      </c>
      <c r="AC18" s="52" t="str">
        <f t="shared" si="14"/>
        <v/>
      </c>
      <c r="AD18" s="52" t="str">
        <f t="shared" si="14"/>
        <v/>
      </c>
      <c r="AE18" s="52" t="str">
        <f t="shared" si="14"/>
        <v/>
      </c>
      <c r="AF18" s="52" t="str">
        <f t="shared" si="14"/>
        <v/>
      </c>
      <c r="AG18" s="52" t="str">
        <f t="shared" si="14"/>
        <v/>
      </c>
      <c r="AH18" s="52" t="str">
        <f t="shared" si="14"/>
        <v/>
      </c>
      <c r="AI18" s="52" t="str">
        <f t="shared" si="14"/>
        <v/>
      </c>
      <c r="AJ18" s="52" t="str">
        <f t="shared" si="14"/>
        <v/>
      </c>
      <c r="AK18" s="52" t="str">
        <f t="shared" si="14"/>
        <v/>
      </c>
      <c r="AL18" s="52" t="str">
        <f t="shared" si="14"/>
        <v/>
      </c>
      <c r="AM18" s="52" t="str">
        <f t="shared" si="14"/>
        <v/>
      </c>
      <c r="AN18" s="52" t="str">
        <f t="shared" si="14"/>
        <v/>
      </c>
      <c r="AO18" s="52" t="str">
        <f t="shared" si="14"/>
        <v/>
      </c>
    </row>
    <row r="19" ht="15" customHeight="1" spans="1:41">
      <c r="A19" s="48"/>
      <c r="B19" s="53" t="s">
        <v>42</v>
      </c>
      <c r="C19" s="54"/>
      <c r="D19" s="50">
        <v>1.3</v>
      </c>
      <c r="E19" s="50">
        <v>0.03</v>
      </c>
      <c r="F19" s="50">
        <v>-0.03</v>
      </c>
      <c r="G19" s="50">
        <f t="shared" si="1"/>
        <v>1.33</v>
      </c>
      <c r="H19" s="50">
        <f t="shared" si="2"/>
        <v>1.27</v>
      </c>
      <c r="I19" s="50" t="s">
        <v>43</v>
      </c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2" t="str">
        <f t="shared" ref="Z19:AO19" si="15">IF(J19="","",IF(J19&gt;($D19+$E19),(J19-$D19-$E19),IF(J19&lt;($D19+$F19),(J19-$D19-$F19),"√")))</f>
        <v/>
      </c>
      <c r="AA19" s="52" t="str">
        <f t="shared" si="15"/>
        <v/>
      </c>
      <c r="AB19" s="52" t="str">
        <f t="shared" si="15"/>
        <v/>
      </c>
      <c r="AC19" s="52" t="str">
        <f t="shared" si="15"/>
        <v/>
      </c>
      <c r="AD19" s="52" t="str">
        <f t="shared" si="15"/>
        <v/>
      </c>
      <c r="AE19" s="52" t="str">
        <f t="shared" si="15"/>
        <v/>
      </c>
      <c r="AF19" s="52" t="str">
        <f t="shared" si="15"/>
        <v/>
      </c>
      <c r="AG19" s="52" t="str">
        <f t="shared" si="15"/>
        <v/>
      </c>
      <c r="AH19" s="52" t="str">
        <f t="shared" si="15"/>
        <v/>
      </c>
      <c r="AI19" s="52" t="str">
        <f t="shared" si="15"/>
        <v/>
      </c>
      <c r="AJ19" s="52" t="str">
        <f t="shared" si="15"/>
        <v/>
      </c>
      <c r="AK19" s="52" t="str">
        <f t="shared" si="15"/>
        <v/>
      </c>
      <c r="AL19" s="52" t="str">
        <f t="shared" si="15"/>
        <v/>
      </c>
      <c r="AM19" s="52" t="str">
        <f t="shared" si="15"/>
        <v/>
      </c>
      <c r="AN19" s="52" t="str">
        <f t="shared" si="15"/>
        <v/>
      </c>
      <c r="AO19" s="52" t="str">
        <f t="shared" si="15"/>
        <v/>
      </c>
    </row>
    <row r="20" ht="15" customHeight="1" spans="1:41">
      <c r="A20" s="48"/>
      <c r="B20" s="53" t="s">
        <v>44</v>
      </c>
      <c r="C20" s="54" t="s">
        <v>45</v>
      </c>
      <c r="D20" s="50">
        <v>186.04</v>
      </c>
      <c r="E20" s="50">
        <v>1</v>
      </c>
      <c r="F20" s="50">
        <v>-1</v>
      </c>
      <c r="G20" s="50">
        <f t="shared" si="1"/>
        <v>187.04</v>
      </c>
      <c r="H20" s="50">
        <f t="shared" si="2"/>
        <v>185.04</v>
      </c>
      <c r="I20" s="50" t="s">
        <v>43</v>
      </c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2" t="str">
        <f t="shared" ref="Z20:AO20" si="16">IF(J20="","",IF(J20&gt;($D20+$E20),(J20-$D20-$E20),IF(J20&lt;($D20+$F20),(J20-$D20-$F20),"√")))</f>
        <v/>
      </c>
      <c r="AA20" s="52" t="str">
        <f t="shared" si="16"/>
        <v/>
      </c>
      <c r="AB20" s="52" t="str">
        <f t="shared" si="16"/>
        <v/>
      </c>
      <c r="AC20" s="52" t="str">
        <f t="shared" si="16"/>
        <v/>
      </c>
      <c r="AD20" s="52" t="str">
        <f t="shared" si="16"/>
        <v/>
      </c>
      <c r="AE20" s="52" t="str">
        <f t="shared" si="16"/>
        <v/>
      </c>
      <c r="AF20" s="52" t="str">
        <f t="shared" si="16"/>
        <v/>
      </c>
      <c r="AG20" s="52" t="str">
        <f t="shared" si="16"/>
        <v/>
      </c>
      <c r="AH20" s="52" t="str">
        <f t="shared" si="16"/>
        <v/>
      </c>
      <c r="AI20" s="52" t="str">
        <f t="shared" si="16"/>
        <v/>
      </c>
      <c r="AJ20" s="52" t="str">
        <f t="shared" si="16"/>
        <v/>
      </c>
      <c r="AK20" s="52" t="str">
        <f t="shared" si="16"/>
        <v/>
      </c>
      <c r="AL20" s="52" t="str">
        <f t="shared" si="16"/>
        <v/>
      </c>
      <c r="AM20" s="52" t="str">
        <f t="shared" si="16"/>
        <v/>
      </c>
      <c r="AN20" s="52" t="str">
        <f t="shared" si="16"/>
        <v/>
      </c>
      <c r="AO20" s="52" t="str">
        <f t="shared" si="16"/>
        <v/>
      </c>
    </row>
    <row r="21" ht="15" customHeight="1" spans="1:41">
      <c r="A21" s="48"/>
      <c r="B21" s="49" t="s">
        <v>27</v>
      </c>
      <c r="C21" s="55" t="s">
        <v>46</v>
      </c>
      <c r="D21" s="50">
        <v>0.5</v>
      </c>
      <c r="E21" s="50">
        <v>0.03</v>
      </c>
      <c r="F21" s="50">
        <v>-0.03</v>
      </c>
      <c r="G21" s="50">
        <f t="shared" si="1"/>
        <v>0.53</v>
      </c>
      <c r="H21" s="50">
        <f t="shared" si="2"/>
        <v>0.47</v>
      </c>
      <c r="I21" s="50" t="s">
        <v>43</v>
      </c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2" t="str">
        <f t="shared" ref="Z21:AO21" si="17">IF(J21="","",IF(J21&gt;($D21+$E21),(J21-$D21-$E21),IF(J21&lt;($D21+$F21),(J21-$D21-$F21),"√")))</f>
        <v/>
      </c>
      <c r="AA21" s="52" t="str">
        <f t="shared" si="17"/>
        <v/>
      </c>
      <c r="AB21" s="52" t="str">
        <f t="shared" si="17"/>
        <v/>
      </c>
      <c r="AC21" s="52" t="str">
        <f t="shared" si="17"/>
        <v/>
      </c>
      <c r="AD21" s="52" t="str">
        <f t="shared" si="17"/>
        <v/>
      </c>
      <c r="AE21" s="52" t="str">
        <f t="shared" si="17"/>
        <v/>
      </c>
      <c r="AF21" s="52" t="str">
        <f t="shared" si="17"/>
        <v/>
      </c>
      <c r="AG21" s="52" t="str">
        <f t="shared" si="17"/>
        <v/>
      </c>
      <c r="AH21" s="52" t="str">
        <f t="shared" si="17"/>
        <v/>
      </c>
      <c r="AI21" s="52" t="str">
        <f t="shared" si="17"/>
        <v/>
      </c>
      <c r="AJ21" s="52" t="str">
        <f t="shared" si="17"/>
        <v/>
      </c>
      <c r="AK21" s="52" t="str">
        <f t="shared" si="17"/>
        <v/>
      </c>
      <c r="AL21" s="52" t="str">
        <f t="shared" si="17"/>
        <v/>
      </c>
      <c r="AM21" s="52" t="str">
        <f t="shared" si="17"/>
        <v/>
      </c>
      <c r="AN21" s="52" t="str">
        <f t="shared" si="17"/>
        <v/>
      </c>
      <c r="AO21" s="52" t="str">
        <f t="shared" si="17"/>
        <v/>
      </c>
    </row>
    <row r="22" ht="15" customHeight="1" spans="1:41">
      <c r="A22" s="48"/>
      <c r="B22" s="53" t="s">
        <v>47</v>
      </c>
      <c r="C22" s="54"/>
      <c r="D22" s="50">
        <v>1</v>
      </c>
      <c r="E22" s="50">
        <v>0.03</v>
      </c>
      <c r="F22" s="50">
        <v>-0.03</v>
      </c>
      <c r="G22" s="50">
        <f t="shared" si="1"/>
        <v>1.03</v>
      </c>
      <c r="H22" s="50">
        <f t="shared" si="2"/>
        <v>0.97</v>
      </c>
      <c r="I22" s="50" t="s">
        <v>43</v>
      </c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2" t="str">
        <f t="shared" ref="Z22:AO22" si="18">IF(J22="","",IF(J22&gt;($D22+$E22),(J22-$D22-$E22),IF(J22&lt;($D22+$F22),(J22-$D22-$F22),"√")))</f>
        <v/>
      </c>
      <c r="AA22" s="52" t="str">
        <f t="shared" si="18"/>
        <v/>
      </c>
      <c r="AB22" s="52" t="str">
        <f t="shared" si="18"/>
        <v/>
      </c>
      <c r="AC22" s="52" t="str">
        <f t="shared" si="18"/>
        <v/>
      </c>
      <c r="AD22" s="52" t="str">
        <f t="shared" si="18"/>
        <v/>
      </c>
      <c r="AE22" s="52" t="str">
        <f t="shared" si="18"/>
        <v/>
      </c>
      <c r="AF22" s="52" t="str">
        <f t="shared" si="18"/>
        <v/>
      </c>
      <c r="AG22" s="52" t="str">
        <f t="shared" si="18"/>
        <v/>
      </c>
      <c r="AH22" s="52" t="str">
        <f t="shared" si="18"/>
        <v/>
      </c>
      <c r="AI22" s="52" t="str">
        <f t="shared" si="18"/>
        <v/>
      </c>
      <c r="AJ22" s="52" t="str">
        <f t="shared" si="18"/>
        <v/>
      </c>
      <c r="AK22" s="52" t="str">
        <f t="shared" si="18"/>
        <v/>
      </c>
      <c r="AL22" s="52" t="str">
        <f t="shared" si="18"/>
        <v/>
      </c>
      <c r="AM22" s="52" t="str">
        <f t="shared" si="18"/>
        <v/>
      </c>
      <c r="AN22" s="52" t="str">
        <f t="shared" si="18"/>
        <v/>
      </c>
      <c r="AO22" s="52" t="str">
        <f t="shared" si="18"/>
        <v/>
      </c>
    </row>
    <row r="23" ht="15" customHeight="1" spans="1:41">
      <c r="A23" s="48"/>
      <c r="B23" s="53" t="s">
        <v>48</v>
      </c>
      <c r="C23" s="54"/>
      <c r="D23" s="50">
        <v>1.03</v>
      </c>
      <c r="E23" s="50">
        <v>0.03</v>
      </c>
      <c r="F23" s="50">
        <v>-0.03</v>
      </c>
      <c r="G23" s="50">
        <f t="shared" si="1"/>
        <v>1.06</v>
      </c>
      <c r="H23" s="50">
        <f t="shared" si="2"/>
        <v>1</v>
      </c>
      <c r="I23" s="50" t="s">
        <v>43</v>
      </c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2" t="str">
        <f t="shared" ref="Z23:AO23" si="19">IF(J23="","",IF(J23&gt;($D23+$E23),(J23-$D23-$E23),IF(J23&lt;($D23+$F23),(J23-$D23-$F23),"√")))</f>
        <v/>
      </c>
      <c r="AA23" s="52" t="str">
        <f t="shared" si="19"/>
        <v/>
      </c>
      <c r="AB23" s="52" t="str">
        <f t="shared" si="19"/>
        <v/>
      </c>
      <c r="AC23" s="52" t="str">
        <f t="shared" si="19"/>
        <v/>
      </c>
      <c r="AD23" s="52" t="str">
        <f t="shared" si="19"/>
        <v/>
      </c>
      <c r="AE23" s="52" t="str">
        <f t="shared" si="19"/>
        <v/>
      </c>
      <c r="AF23" s="52" t="str">
        <f t="shared" si="19"/>
        <v/>
      </c>
      <c r="AG23" s="52" t="str">
        <f t="shared" si="19"/>
        <v/>
      </c>
      <c r="AH23" s="52" t="str">
        <f t="shared" si="19"/>
        <v/>
      </c>
      <c r="AI23" s="52" t="str">
        <f t="shared" si="19"/>
        <v/>
      </c>
      <c r="AJ23" s="52" t="str">
        <f t="shared" si="19"/>
        <v/>
      </c>
      <c r="AK23" s="52" t="str">
        <f t="shared" si="19"/>
        <v/>
      </c>
      <c r="AL23" s="52" t="str">
        <f t="shared" si="19"/>
        <v/>
      </c>
      <c r="AM23" s="52" t="str">
        <f t="shared" si="19"/>
        <v/>
      </c>
      <c r="AN23" s="52" t="str">
        <f t="shared" si="19"/>
        <v/>
      </c>
      <c r="AO23" s="52" t="str">
        <f t="shared" si="19"/>
        <v/>
      </c>
    </row>
    <row r="24" ht="15" customHeight="1" spans="1:41">
      <c r="A24" s="48"/>
      <c r="B24" s="53" t="s">
        <v>49</v>
      </c>
      <c r="C24" s="54"/>
      <c r="D24" s="50">
        <v>0.89</v>
      </c>
      <c r="E24" s="50">
        <v>0.03</v>
      </c>
      <c r="F24" s="50">
        <v>-0.03</v>
      </c>
      <c r="G24" s="50">
        <f t="shared" si="1"/>
        <v>0.92</v>
      </c>
      <c r="H24" s="50">
        <f t="shared" si="2"/>
        <v>0.86</v>
      </c>
      <c r="I24" s="50" t="s">
        <v>43</v>
      </c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2" t="str">
        <f t="shared" ref="Z24:AO24" si="20">IF(J24="","",IF(J24&gt;($D24+$E24),(J24-$D24-$E24),IF(J24&lt;($D24+$F24),(J24-$D24-$F24),"√")))</f>
        <v/>
      </c>
      <c r="AA24" s="52" t="str">
        <f t="shared" si="20"/>
        <v/>
      </c>
      <c r="AB24" s="52" t="str">
        <f t="shared" si="20"/>
        <v/>
      </c>
      <c r="AC24" s="52" t="str">
        <f t="shared" si="20"/>
        <v/>
      </c>
      <c r="AD24" s="52" t="str">
        <f t="shared" si="20"/>
        <v/>
      </c>
      <c r="AE24" s="52" t="str">
        <f t="shared" si="20"/>
        <v/>
      </c>
      <c r="AF24" s="52" t="str">
        <f t="shared" si="20"/>
        <v/>
      </c>
      <c r="AG24" s="52" t="str">
        <f t="shared" si="20"/>
        <v/>
      </c>
      <c r="AH24" s="52" t="str">
        <f t="shared" si="20"/>
        <v/>
      </c>
      <c r="AI24" s="52" t="str">
        <f t="shared" si="20"/>
        <v/>
      </c>
      <c r="AJ24" s="52" t="str">
        <f t="shared" si="20"/>
        <v/>
      </c>
      <c r="AK24" s="52" t="str">
        <f t="shared" si="20"/>
        <v/>
      </c>
      <c r="AL24" s="52" t="str">
        <f t="shared" si="20"/>
        <v/>
      </c>
      <c r="AM24" s="52" t="str">
        <f t="shared" si="20"/>
        <v/>
      </c>
      <c r="AN24" s="52" t="str">
        <f t="shared" si="20"/>
        <v/>
      </c>
      <c r="AO24" s="52" t="str">
        <f t="shared" si="20"/>
        <v/>
      </c>
    </row>
    <row r="25" ht="15" customHeight="1" spans="1:41">
      <c r="A25" s="48"/>
      <c r="B25" s="53" t="s">
        <v>50</v>
      </c>
      <c r="C25" s="54"/>
      <c r="D25" s="50">
        <v>4.16</v>
      </c>
      <c r="E25" s="50">
        <v>0.05</v>
      </c>
      <c r="F25" s="50">
        <v>-0.05</v>
      </c>
      <c r="G25" s="50">
        <f t="shared" si="1"/>
        <v>4.21</v>
      </c>
      <c r="H25" s="50">
        <f t="shared" si="2"/>
        <v>4.11</v>
      </c>
      <c r="I25" s="50" t="s">
        <v>43</v>
      </c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2" t="str">
        <f t="shared" ref="Z25:AO25" si="21">IF(J25="","",IF(J25&gt;($D25+$E25),(J25-$D25-$E25),IF(J25&lt;($D25+$F25),(J25-$D25-$F25),"√")))</f>
        <v/>
      </c>
      <c r="AA25" s="52" t="str">
        <f t="shared" si="21"/>
        <v/>
      </c>
      <c r="AB25" s="52" t="str">
        <f t="shared" si="21"/>
        <v/>
      </c>
      <c r="AC25" s="52" t="str">
        <f t="shared" si="21"/>
        <v/>
      </c>
      <c r="AD25" s="52" t="str">
        <f t="shared" si="21"/>
        <v/>
      </c>
      <c r="AE25" s="52" t="str">
        <f t="shared" si="21"/>
        <v/>
      </c>
      <c r="AF25" s="52" t="str">
        <f t="shared" si="21"/>
        <v/>
      </c>
      <c r="AG25" s="52" t="str">
        <f t="shared" si="21"/>
        <v/>
      </c>
      <c r="AH25" s="52" t="str">
        <f t="shared" si="21"/>
        <v/>
      </c>
      <c r="AI25" s="52" t="str">
        <f t="shared" si="21"/>
        <v/>
      </c>
      <c r="AJ25" s="52" t="str">
        <f t="shared" si="21"/>
        <v/>
      </c>
      <c r="AK25" s="52" t="str">
        <f t="shared" si="21"/>
        <v/>
      </c>
      <c r="AL25" s="52" t="str">
        <f t="shared" si="21"/>
        <v/>
      </c>
      <c r="AM25" s="52" t="str">
        <f t="shared" si="21"/>
        <v/>
      </c>
      <c r="AN25" s="52" t="str">
        <f t="shared" si="21"/>
        <v/>
      </c>
      <c r="AO25" s="52" t="str">
        <f t="shared" si="21"/>
        <v/>
      </c>
    </row>
    <row r="26" ht="15" customHeight="1" spans="1:41">
      <c r="A26" s="48"/>
      <c r="B26" s="53" t="s">
        <v>51</v>
      </c>
      <c r="C26" s="54"/>
      <c r="D26" s="50">
        <v>4.19</v>
      </c>
      <c r="E26" s="50">
        <v>0.05</v>
      </c>
      <c r="F26" s="50">
        <v>-0.05</v>
      </c>
      <c r="G26" s="50">
        <f t="shared" si="1"/>
        <v>4.24</v>
      </c>
      <c r="H26" s="50">
        <f t="shared" si="2"/>
        <v>4.14</v>
      </c>
      <c r="I26" s="50" t="s">
        <v>43</v>
      </c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2" t="str">
        <f t="shared" ref="Z26:AO26" si="22">IF(J26="","",IF(J26&gt;($D26+$E26),(J26-$D26-$E26),IF(J26&lt;($D26+$F26),(J26-$D26-$F26),"√")))</f>
        <v/>
      </c>
      <c r="AA26" s="52" t="str">
        <f t="shared" si="22"/>
        <v/>
      </c>
      <c r="AB26" s="52" t="str">
        <f t="shared" si="22"/>
        <v/>
      </c>
      <c r="AC26" s="52" t="str">
        <f t="shared" si="22"/>
        <v/>
      </c>
      <c r="AD26" s="52" t="str">
        <f t="shared" si="22"/>
        <v/>
      </c>
      <c r="AE26" s="52" t="str">
        <f t="shared" si="22"/>
        <v/>
      </c>
      <c r="AF26" s="52" t="str">
        <f t="shared" si="22"/>
        <v/>
      </c>
      <c r="AG26" s="52" t="str">
        <f t="shared" si="22"/>
        <v/>
      </c>
      <c r="AH26" s="52" t="str">
        <f t="shared" si="22"/>
        <v/>
      </c>
      <c r="AI26" s="52" t="str">
        <f t="shared" si="22"/>
        <v/>
      </c>
      <c r="AJ26" s="52" t="str">
        <f t="shared" si="22"/>
        <v/>
      </c>
      <c r="AK26" s="52" t="str">
        <f t="shared" si="22"/>
        <v/>
      </c>
      <c r="AL26" s="52" t="str">
        <f t="shared" si="22"/>
        <v/>
      </c>
      <c r="AM26" s="52" t="str">
        <f t="shared" si="22"/>
        <v/>
      </c>
      <c r="AN26" s="52" t="str">
        <f t="shared" si="22"/>
        <v/>
      </c>
      <c r="AO26" s="52" t="str">
        <f t="shared" si="22"/>
        <v/>
      </c>
    </row>
    <row r="27" ht="15" customHeight="1" spans="1:41">
      <c r="A27" s="48"/>
      <c r="B27" s="53" t="s">
        <v>52</v>
      </c>
      <c r="C27" s="54"/>
      <c r="D27" s="50">
        <v>8.2</v>
      </c>
      <c r="E27" s="50">
        <v>0.05</v>
      </c>
      <c r="F27" s="50">
        <v>-0.05</v>
      </c>
      <c r="G27" s="50">
        <f t="shared" si="1"/>
        <v>8.25</v>
      </c>
      <c r="H27" s="50">
        <f t="shared" si="2"/>
        <v>8.15</v>
      </c>
      <c r="I27" s="50" t="s">
        <v>43</v>
      </c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2" t="str">
        <f t="shared" ref="Z27:AO27" si="23">IF(J27="","",IF(J27&gt;($D27+$E27),(J27-$D27-$E27),IF(J27&lt;($D27+$F27),(J27-$D27-$F27),"√")))</f>
        <v/>
      </c>
      <c r="AA27" s="52" t="str">
        <f t="shared" si="23"/>
        <v/>
      </c>
      <c r="AB27" s="52" t="str">
        <f t="shared" si="23"/>
        <v/>
      </c>
      <c r="AC27" s="52" t="str">
        <f t="shared" si="23"/>
        <v/>
      </c>
      <c r="AD27" s="52" t="str">
        <f t="shared" si="23"/>
        <v/>
      </c>
      <c r="AE27" s="52" t="str">
        <f t="shared" si="23"/>
        <v/>
      </c>
      <c r="AF27" s="52" t="str">
        <f t="shared" si="23"/>
        <v/>
      </c>
      <c r="AG27" s="52" t="str">
        <f t="shared" si="23"/>
        <v/>
      </c>
      <c r="AH27" s="52" t="str">
        <f t="shared" si="23"/>
        <v/>
      </c>
      <c r="AI27" s="52" t="str">
        <f t="shared" si="23"/>
        <v/>
      </c>
      <c r="AJ27" s="52" t="str">
        <f t="shared" si="23"/>
        <v/>
      </c>
      <c r="AK27" s="52" t="str">
        <f t="shared" si="23"/>
        <v/>
      </c>
      <c r="AL27" s="52" t="str">
        <f t="shared" si="23"/>
        <v/>
      </c>
      <c r="AM27" s="52" t="str">
        <f t="shared" si="23"/>
        <v/>
      </c>
      <c r="AN27" s="52" t="str">
        <f t="shared" si="23"/>
        <v/>
      </c>
      <c r="AO27" s="52" t="str">
        <f t="shared" si="23"/>
        <v/>
      </c>
    </row>
    <row r="28" ht="15" customHeight="1" spans="1:41">
      <c r="A28" s="48"/>
      <c r="B28" s="53" t="s">
        <v>53</v>
      </c>
      <c r="C28" s="54"/>
      <c r="D28" s="50">
        <v>2.69</v>
      </c>
      <c r="E28" s="50">
        <v>0.03</v>
      </c>
      <c r="F28" s="50">
        <v>-0.03</v>
      </c>
      <c r="G28" s="50">
        <f t="shared" si="1"/>
        <v>2.72</v>
      </c>
      <c r="H28" s="50">
        <f t="shared" si="2"/>
        <v>2.66</v>
      </c>
      <c r="I28" s="50" t="s">
        <v>43</v>
      </c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2" t="str">
        <f t="shared" ref="Z28:AO28" si="24">IF(J28="","",IF(J28&gt;($D28+$E28),(J28-$D28-$E28),IF(J28&lt;($D28+$F28),(J28-$D28-$F28),"√")))</f>
        <v/>
      </c>
      <c r="AA28" s="52" t="str">
        <f t="shared" si="24"/>
        <v/>
      </c>
      <c r="AB28" s="52" t="str">
        <f t="shared" si="24"/>
        <v/>
      </c>
      <c r="AC28" s="52" t="str">
        <f t="shared" si="24"/>
        <v/>
      </c>
      <c r="AD28" s="52" t="str">
        <f t="shared" si="24"/>
        <v/>
      </c>
      <c r="AE28" s="52" t="str">
        <f t="shared" si="24"/>
        <v/>
      </c>
      <c r="AF28" s="52" t="str">
        <f t="shared" si="24"/>
        <v/>
      </c>
      <c r="AG28" s="52" t="str">
        <f t="shared" si="24"/>
        <v/>
      </c>
      <c r="AH28" s="52" t="str">
        <f t="shared" si="24"/>
        <v/>
      </c>
      <c r="AI28" s="52" t="str">
        <f t="shared" si="24"/>
        <v/>
      </c>
      <c r="AJ28" s="52" t="str">
        <f t="shared" si="24"/>
        <v/>
      </c>
      <c r="AK28" s="52" t="str">
        <f t="shared" si="24"/>
        <v/>
      </c>
      <c r="AL28" s="52" t="str">
        <f t="shared" si="24"/>
        <v/>
      </c>
      <c r="AM28" s="52" t="str">
        <f t="shared" si="24"/>
        <v/>
      </c>
      <c r="AN28" s="52" t="str">
        <f t="shared" si="24"/>
        <v/>
      </c>
      <c r="AO28" s="52" t="str">
        <f t="shared" si="24"/>
        <v/>
      </c>
    </row>
    <row r="29" ht="15" customHeight="1" spans="1:41">
      <c r="A29" s="48"/>
      <c r="B29" s="53" t="s">
        <v>54</v>
      </c>
      <c r="C29" s="54"/>
      <c r="D29" s="50">
        <v>5.58</v>
      </c>
      <c r="E29" s="50">
        <v>0.03</v>
      </c>
      <c r="F29" s="50">
        <v>-0.03</v>
      </c>
      <c r="G29" s="50">
        <f t="shared" si="1"/>
        <v>5.61</v>
      </c>
      <c r="H29" s="50">
        <f t="shared" si="2"/>
        <v>5.55</v>
      </c>
      <c r="I29" s="50" t="s">
        <v>43</v>
      </c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2" t="str">
        <f t="shared" ref="Z29:AO29" si="25">IF(J29="","",IF(J29&gt;($D29+$E29),(J29-$D29-$E29),IF(J29&lt;($D29+$F29),(J29-$D29-$F29),"√")))</f>
        <v/>
      </c>
      <c r="AA29" s="52" t="str">
        <f t="shared" si="25"/>
        <v/>
      </c>
      <c r="AB29" s="52" t="str">
        <f t="shared" si="25"/>
        <v/>
      </c>
      <c r="AC29" s="52" t="str">
        <f t="shared" si="25"/>
        <v/>
      </c>
      <c r="AD29" s="52" t="str">
        <f t="shared" si="25"/>
        <v/>
      </c>
      <c r="AE29" s="52" t="str">
        <f t="shared" si="25"/>
        <v/>
      </c>
      <c r="AF29" s="52" t="str">
        <f t="shared" si="25"/>
        <v/>
      </c>
      <c r="AG29" s="52" t="str">
        <f t="shared" si="25"/>
        <v/>
      </c>
      <c r="AH29" s="52" t="str">
        <f t="shared" si="25"/>
        <v/>
      </c>
      <c r="AI29" s="52" t="str">
        <f t="shared" si="25"/>
        <v/>
      </c>
      <c r="AJ29" s="52" t="str">
        <f t="shared" si="25"/>
        <v/>
      </c>
      <c r="AK29" s="52" t="str">
        <f t="shared" si="25"/>
        <v/>
      </c>
      <c r="AL29" s="52" t="str">
        <f t="shared" si="25"/>
        <v/>
      </c>
      <c r="AM29" s="52" t="str">
        <f t="shared" si="25"/>
        <v/>
      </c>
      <c r="AN29" s="52" t="str">
        <f t="shared" si="25"/>
        <v/>
      </c>
      <c r="AO29" s="52" t="str">
        <f t="shared" si="25"/>
        <v/>
      </c>
    </row>
    <row r="30" ht="15" customHeight="1" spans="1:41">
      <c r="A30" s="48"/>
      <c r="B30" s="53" t="s">
        <v>55</v>
      </c>
      <c r="C30" s="54"/>
      <c r="D30" s="50">
        <v>0.4</v>
      </c>
      <c r="E30" s="50">
        <v>0.03</v>
      </c>
      <c r="F30" s="50">
        <v>-0.03</v>
      </c>
      <c r="G30" s="50">
        <f t="shared" si="1"/>
        <v>0.43</v>
      </c>
      <c r="H30" s="50">
        <f t="shared" si="2"/>
        <v>0.37</v>
      </c>
      <c r="I30" s="50" t="s">
        <v>43</v>
      </c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2" t="str">
        <f t="shared" ref="Z30:AO30" si="26">IF(J30="","",IF(J30&gt;($D30+$E30),(J30-$D30-$E30),IF(J30&lt;($D30+$F30),(J30-$D30-$F30),"√")))</f>
        <v/>
      </c>
      <c r="AA30" s="52" t="str">
        <f t="shared" si="26"/>
        <v/>
      </c>
      <c r="AB30" s="52" t="str">
        <f t="shared" si="26"/>
        <v/>
      </c>
      <c r="AC30" s="52" t="str">
        <f t="shared" si="26"/>
        <v/>
      </c>
      <c r="AD30" s="52" t="str">
        <f t="shared" si="26"/>
        <v/>
      </c>
      <c r="AE30" s="52" t="str">
        <f t="shared" si="26"/>
        <v/>
      </c>
      <c r="AF30" s="52" t="str">
        <f t="shared" si="26"/>
        <v/>
      </c>
      <c r="AG30" s="52" t="str">
        <f t="shared" si="26"/>
        <v/>
      </c>
      <c r="AH30" s="52" t="str">
        <f t="shared" si="26"/>
        <v/>
      </c>
      <c r="AI30" s="52" t="str">
        <f t="shared" si="26"/>
        <v/>
      </c>
      <c r="AJ30" s="52" t="str">
        <f t="shared" si="26"/>
        <v/>
      </c>
      <c r="AK30" s="52" t="str">
        <f t="shared" si="26"/>
        <v/>
      </c>
      <c r="AL30" s="52" t="str">
        <f t="shared" si="26"/>
        <v/>
      </c>
      <c r="AM30" s="52" t="str">
        <f t="shared" si="26"/>
        <v/>
      </c>
      <c r="AN30" s="52" t="str">
        <f t="shared" si="26"/>
        <v/>
      </c>
      <c r="AO30" s="52" t="str">
        <f t="shared" si="26"/>
        <v/>
      </c>
    </row>
    <row r="31" ht="15" customHeight="1" spans="1:41">
      <c r="A31" s="48"/>
      <c r="B31" s="53" t="s">
        <v>56</v>
      </c>
      <c r="C31" s="54"/>
      <c r="D31" s="50">
        <v>0.4</v>
      </c>
      <c r="E31" s="50">
        <v>0.03</v>
      </c>
      <c r="F31" s="50">
        <v>-0.03</v>
      </c>
      <c r="G31" s="50">
        <f t="shared" si="1"/>
        <v>0.43</v>
      </c>
      <c r="H31" s="50">
        <f t="shared" si="2"/>
        <v>0.37</v>
      </c>
      <c r="I31" s="50" t="s">
        <v>43</v>
      </c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2" t="str">
        <f t="shared" ref="Z31:AO31" si="27">IF(J31="","",IF(J31&gt;($D31+$E31),(J31-$D31-$E31),IF(J31&lt;($D31+$F31),(J31-$D31-$F31),"√")))</f>
        <v/>
      </c>
      <c r="AA31" s="52" t="str">
        <f t="shared" si="27"/>
        <v/>
      </c>
      <c r="AB31" s="52" t="str">
        <f t="shared" si="27"/>
        <v/>
      </c>
      <c r="AC31" s="52" t="str">
        <f t="shared" si="27"/>
        <v/>
      </c>
      <c r="AD31" s="52" t="str">
        <f t="shared" si="27"/>
        <v/>
      </c>
      <c r="AE31" s="52" t="str">
        <f t="shared" si="27"/>
        <v/>
      </c>
      <c r="AF31" s="52" t="str">
        <f t="shared" si="27"/>
        <v/>
      </c>
      <c r="AG31" s="52" t="str">
        <f t="shared" si="27"/>
        <v/>
      </c>
      <c r="AH31" s="52" t="str">
        <f t="shared" si="27"/>
        <v/>
      </c>
      <c r="AI31" s="52" t="str">
        <f t="shared" si="27"/>
        <v/>
      </c>
      <c r="AJ31" s="52" t="str">
        <f t="shared" si="27"/>
        <v/>
      </c>
      <c r="AK31" s="52" t="str">
        <f t="shared" si="27"/>
        <v/>
      </c>
      <c r="AL31" s="52" t="str">
        <f t="shared" si="27"/>
        <v/>
      </c>
      <c r="AM31" s="52" t="str">
        <f t="shared" si="27"/>
        <v/>
      </c>
      <c r="AN31" s="52" t="str">
        <f t="shared" si="27"/>
        <v/>
      </c>
      <c r="AO31" s="52" t="str">
        <f t="shared" si="27"/>
        <v/>
      </c>
    </row>
    <row r="32" ht="15" customHeight="1" spans="1:41">
      <c r="A32" s="48"/>
      <c r="B32" s="53" t="s">
        <v>57</v>
      </c>
      <c r="C32" s="54" t="s">
        <v>58</v>
      </c>
      <c r="D32" s="50">
        <v>3.34</v>
      </c>
      <c r="E32" s="50">
        <v>0.03</v>
      </c>
      <c r="F32" s="50">
        <v>-0.03</v>
      </c>
      <c r="G32" s="50">
        <f t="shared" si="1"/>
        <v>3.37</v>
      </c>
      <c r="H32" s="50">
        <f t="shared" si="2"/>
        <v>3.31</v>
      </c>
      <c r="I32" s="50" t="s">
        <v>43</v>
      </c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6" t="str">
        <f t="shared" ref="Z32:AO32" si="28">IF(J32="","",IF(J32&gt;($D32+$E32),(J32-$D32-$E32),IF(J32&lt;($D32+$F32),(J32-$D32-$F32),"√")))</f>
        <v/>
      </c>
      <c r="AA32" s="56" t="str">
        <f t="shared" si="28"/>
        <v/>
      </c>
      <c r="AB32" s="56" t="str">
        <f t="shared" si="28"/>
        <v/>
      </c>
      <c r="AC32" s="56" t="str">
        <f t="shared" si="28"/>
        <v/>
      </c>
      <c r="AD32" s="56" t="str">
        <f t="shared" si="28"/>
        <v/>
      </c>
      <c r="AE32" s="56" t="str">
        <f t="shared" si="28"/>
        <v/>
      </c>
      <c r="AF32" s="56" t="str">
        <f t="shared" si="28"/>
        <v/>
      </c>
      <c r="AG32" s="56" t="str">
        <f t="shared" si="28"/>
        <v/>
      </c>
      <c r="AH32" s="56" t="str">
        <f t="shared" si="28"/>
        <v/>
      </c>
      <c r="AI32" s="56" t="str">
        <f t="shared" si="28"/>
        <v/>
      </c>
      <c r="AJ32" s="56" t="str">
        <f t="shared" si="28"/>
        <v/>
      </c>
      <c r="AK32" s="56" t="str">
        <f t="shared" si="28"/>
        <v/>
      </c>
      <c r="AL32" s="56" t="str">
        <f t="shared" si="28"/>
        <v/>
      </c>
      <c r="AM32" s="56" t="str">
        <f t="shared" si="28"/>
        <v/>
      </c>
      <c r="AN32" s="56" t="str">
        <f t="shared" si="28"/>
        <v/>
      </c>
      <c r="AO32" s="56" t="str">
        <f t="shared" si="28"/>
        <v/>
      </c>
    </row>
    <row r="33" ht="15" customHeight="1" spans="1:41">
      <c r="A33" s="48"/>
      <c r="B33" s="53" t="s">
        <v>59</v>
      </c>
      <c r="C33" s="54" t="s">
        <v>60</v>
      </c>
      <c r="D33" s="50">
        <v>1.57</v>
      </c>
      <c r="E33" s="50">
        <v>0.03</v>
      </c>
      <c r="F33" s="50">
        <v>-0.03</v>
      </c>
      <c r="G33" s="50">
        <f t="shared" si="1"/>
        <v>1.6</v>
      </c>
      <c r="H33" s="50">
        <f t="shared" si="2"/>
        <v>1.54</v>
      </c>
      <c r="I33" s="50" t="s">
        <v>43</v>
      </c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2" t="str">
        <f t="shared" ref="Z33:AO33" si="29">IF(J33="","",IF(J33&gt;($D33+$E33),(J33-$D33-$E33),IF(J33&lt;($D33+$F33),(J33-$D33-$F33),"√")))</f>
        <v/>
      </c>
      <c r="AA33" s="52" t="str">
        <f t="shared" si="29"/>
        <v/>
      </c>
      <c r="AB33" s="52" t="str">
        <f t="shared" si="29"/>
        <v/>
      </c>
      <c r="AC33" s="52" t="str">
        <f t="shared" si="29"/>
        <v/>
      </c>
      <c r="AD33" s="52" t="str">
        <f t="shared" si="29"/>
        <v/>
      </c>
      <c r="AE33" s="52" t="str">
        <f t="shared" si="29"/>
        <v/>
      </c>
      <c r="AF33" s="52" t="str">
        <f t="shared" si="29"/>
        <v/>
      </c>
      <c r="AG33" s="52" t="str">
        <f t="shared" si="29"/>
        <v/>
      </c>
      <c r="AH33" s="52" t="str">
        <f t="shared" si="29"/>
        <v/>
      </c>
      <c r="AI33" s="52" t="str">
        <f t="shared" si="29"/>
        <v/>
      </c>
      <c r="AJ33" s="52" t="str">
        <f t="shared" si="29"/>
        <v/>
      </c>
      <c r="AK33" s="52" t="str">
        <f t="shared" si="29"/>
        <v/>
      </c>
      <c r="AL33" s="52" t="str">
        <f t="shared" si="29"/>
        <v/>
      </c>
      <c r="AM33" s="52" t="str">
        <f t="shared" si="29"/>
        <v/>
      </c>
      <c r="AN33" s="52" t="str">
        <f t="shared" si="29"/>
        <v/>
      </c>
      <c r="AO33" s="52" t="str">
        <f t="shared" si="29"/>
        <v/>
      </c>
    </row>
    <row r="34" ht="15" customHeight="1" spans="1:41">
      <c r="A34" s="48"/>
      <c r="B34" s="53" t="s">
        <v>61</v>
      </c>
      <c r="C34" s="54"/>
      <c r="D34" s="50">
        <v>1.17</v>
      </c>
      <c r="E34" s="50">
        <v>0.03</v>
      </c>
      <c r="F34" s="50">
        <v>-0.03</v>
      </c>
      <c r="G34" s="50">
        <f t="shared" si="1"/>
        <v>1.2</v>
      </c>
      <c r="H34" s="50">
        <f t="shared" si="2"/>
        <v>1.14</v>
      </c>
      <c r="I34" s="50" t="s">
        <v>43</v>
      </c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2" t="str">
        <f t="shared" ref="Z34:AO34" si="30">IF(J34="","",IF(J34&gt;($D34+$E34),(J34-$D34-$E34),IF(J34&lt;($D34+$F34),(J34-$D34-$F34),"√")))</f>
        <v/>
      </c>
      <c r="AA34" s="52" t="str">
        <f t="shared" si="30"/>
        <v/>
      </c>
      <c r="AB34" s="52" t="str">
        <f t="shared" si="30"/>
        <v/>
      </c>
      <c r="AC34" s="52" t="str">
        <f t="shared" si="30"/>
        <v/>
      </c>
      <c r="AD34" s="52" t="str">
        <f t="shared" si="30"/>
        <v/>
      </c>
      <c r="AE34" s="52" t="str">
        <f t="shared" si="30"/>
        <v/>
      </c>
      <c r="AF34" s="52" t="str">
        <f t="shared" si="30"/>
        <v/>
      </c>
      <c r="AG34" s="52" t="str">
        <f t="shared" si="30"/>
        <v/>
      </c>
      <c r="AH34" s="52" t="str">
        <f t="shared" si="30"/>
        <v/>
      </c>
      <c r="AI34" s="52" t="str">
        <f t="shared" si="30"/>
        <v/>
      </c>
      <c r="AJ34" s="52" t="str">
        <f t="shared" si="30"/>
        <v/>
      </c>
      <c r="AK34" s="52" t="str">
        <f t="shared" si="30"/>
        <v/>
      </c>
      <c r="AL34" s="52" t="str">
        <f t="shared" si="30"/>
        <v/>
      </c>
      <c r="AM34" s="52" t="str">
        <f t="shared" si="30"/>
        <v/>
      </c>
      <c r="AN34" s="52" t="str">
        <f t="shared" si="30"/>
        <v/>
      </c>
      <c r="AO34" s="52" t="str">
        <f t="shared" si="30"/>
        <v/>
      </c>
    </row>
    <row r="35" ht="15" customHeight="1" spans="1:41">
      <c r="A35" s="48"/>
      <c r="B35" s="53" t="s">
        <v>62</v>
      </c>
      <c r="C35" s="54"/>
      <c r="D35" s="50">
        <v>2.1</v>
      </c>
      <c r="E35" s="50">
        <v>0.03</v>
      </c>
      <c r="F35" s="50">
        <v>-0.03</v>
      </c>
      <c r="G35" s="50">
        <f t="shared" si="1"/>
        <v>2.13</v>
      </c>
      <c r="H35" s="50">
        <f t="shared" si="2"/>
        <v>2.07</v>
      </c>
      <c r="I35" s="50" t="s">
        <v>43</v>
      </c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2" t="str">
        <f t="shared" ref="Z35:AO35" si="31">IF(J35="","",IF(J35&gt;($D35+$E35),(J35-$D35-$E35),IF(J35&lt;($D35+$F35),(J35-$D35-$F35),"√")))</f>
        <v/>
      </c>
      <c r="AA35" s="52" t="str">
        <f t="shared" si="31"/>
        <v/>
      </c>
      <c r="AB35" s="52" t="str">
        <f t="shared" si="31"/>
        <v/>
      </c>
      <c r="AC35" s="52" t="str">
        <f t="shared" si="31"/>
        <v/>
      </c>
      <c r="AD35" s="52" t="str">
        <f t="shared" si="31"/>
        <v/>
      </c>
      <c r="AE35" s="52" t="str">
        <f t="shared" si="31"/>
        <v/>
      </c>
      <c r="AF35" s="52" t="str">
        <f t="shared" si="31"/>
        <v/>
      </c>
      <c r="AG35" s="52" t="str">
        <f t="shared" si="31"/>
        <v/>
      </c>
      <c r="AH35" s="52" t="str">
        <f t="shared" si="31"/>
        <v/>
      </c>
      <c r="AI35" s="52" t="str">
        <f t="shared" si="31"/>
        <v/>
      </c>
      <c r="AJ35" s="52" t="str">
        <f t="shared" si="31"/>
        <v/>
      </c>
      <c r="AK35" s="52" t="str">
        <f t="shared" si="31"/>
        <v/>
      </c>
      <c r="AL35" s="52" t="str">
        <f t="shared" si="31"/>
        <v/>
      </c>
      <c r="AM35" s="52" t="str">
        <f t="shared" si="31"/>
        <v/>
      </c>
      <c r="AN35" s="52" t="str">
        <f t="shared" si="31"/>
        <v/>
      </c>
      <c r="AO35" s="52" t="str">
        <f t="shared" si="31"/>
        <v/>
      </c>
    </row>
    <row r="36" ht="15" customHeight="1" spans="1:41">
      <c r="A36" s="48"/>
      <c r="B36" s="53" t="s">
        <v>63</v>
      </c>
      <c r="C36" s="54" t="s">
        <v>64</v>
      </c>
      <c r="D36" s="50">
        <v>0</v>
      </c>
      <c r="E36" s="50">
        <v>0.05</v>
      </c>
      <c r="F36" s="50">
        <v>0</v>
      </c>
      <c r="G36" s="50">
        <f t="shared" si="1"/>
        <v>0.05</v>
      </c>
      <c r="H36" s="50">
        <f t="shared" si="2"/>
        <v>0</v>
      </c>
      <c r="I36" s="50" t="s">
        <v>43</v>
      </c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2" t="str">
        <f t="shared" ref="Z36:AO36" si="32">IF(J36="","",IF(J36&gt;($D36+$E36),(J36-$D36-$E36),IF(J36&lt;($D36+$F36),(J36-$D36-$F36),"√")))</f>
        <v/>
      </c>
      <c r="AA36" s="52" t="str">
        <f t="shared" si="32"/>
        <v/>
      </c>
      <c r="AB36" s="52" t="str">
        <f t="shared" si="32"/>
        <v/>
      </c>
      <c r="AC36" s="52" t="str">
        <f t="shared" si="32"/>
        <v/>
      </c>
      <c r="AD36" s="52" t="str">
        <f t="shared" si="32"/>
        <v/>
      </c>
      <c r="AE36" s="52" t="str">
        <f t="shared" si="32"/>
        <v/>
      </c>
      <c r="AF36" s="52" t="str">
        <f t="shared" si="32"/>
        <v/>
      </c>
      <c r="AG36" s="52" t="str">
        <f t="shared" si="32"/>
        <v/>
      </c>
      <c r="AH36" s="52" t="str">
        <f t="shared" si="32"/>
        <v/>
      </c>
      <c r="AI36" s="52" t="str">
        <f t="shared" si="32"/>
        <v/>
      </c>
      <c r="AJ36" s="52" t="str">
        <f t="shared" si="32"/>
        <v/>
      </c>
      <c r="AK36" s="52" t="str">
        <f t="shared" si="32"/>
        <v/>
      </c>
      <c r="AL36" s="52" t="str">
        <f t="shared" si="32"/>
        <v/>
      </c>
      <c r="AM36" s="52" t="str">
        <f t="shared" si="32"/>
        <v/>
      </c>
      <c r="AN36" s="52" t="str">
        <f t="shared" si="32"/>
        <v/>
      </c>
      <c r="AO36" s="52" t="str">
        <f t="shared" si="32"/>
        <v/>
      </c>
    </row>
    <row r="37" ht="15" customHeight="1" spans="1:41">
      <c r="A37" s="48"/>
      <c r="B37" s="53">
        <v>1</v>
      </c>
      <c r="C37" s="54"/>
      <c r="D37" s="50"/>
      <c r="E37" s="50"/>
      <c r="F37" s="50"/>
      <c r="G37" s="50">
        <f t="shared" si="1"/>
        <v>0</v>
      </c>
      <c r="H37" s="50">
        <f t="shared" si="2"/>
        <v>0</v>
      </c>
      <c r="I37" s="50" t="s">
        <v>43</v>
      </c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52"/>
      <c r="AK37" s="52"/>
      <c r="AL37" s="52"/>
      <c r="AM37" s="52"/>
      <c r="AN37" s="52"/>
      <c r="AO37" s="52"/>
    </row>
    <row r="38" ht="15" customHeight="1" spans="1:41">
      <c r="A38" s="48"/>
      <c r="B38" s="53">
        <v>2</v>
      </c>
      <c r="C38" s="54"/>
      <c r="D38" s="50"/>
      <c r="E38" s="50"/>
      <c r="F38" s="50"/>
      <c r="G38" s="50">
        <f t="shared" si="1"/>
        <v>0</v>
      </c>
      <c r="H38" s="50">
        <f t="shared" si="2"/>
        <v>0</v>
      </c>
      <c r="I38" s="50" t="s">
        <v>43</v>
      </c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52"/>
      <c r="AK38" s="52"/>
      <c r="AL38" s="52"/>
      <c r="AM38" s="52"/>
      <c r="AN38" s="52"/>
      <c r="AO38" s="52"/>
    </row>
    <row r="39" ht="15" customHeight="1" spans="1:41">
      <c r="A39" s="48"/>
      <c r="B39" s="53">
        <v>3</v>
      </c>
      <c r="C39" s="54"/>
      <c r="D39" s="50"/>
      <c r="E39" s="50"/>
      <c r="F39" s="50"/>
      <c r="G39" s="50">
        <f t="shared" si="1"/>
        <v>0</v>
      </c>
      <c r="H39" s="50">
        <f t="shared" si="2"/>
        <v>0</v>
      </c>
      <c r="I39" s="50" t="s">
        <v>43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52"/>
      <c r="AK39" s="52"/>
      <c r="AL39" s="52"/>
      <c r="AM39" s="52"/>
      <c r="AN39" s="52"/>
      <c r="AO39" s="52"/>
    </row>
    <row r="40" ht="15" customHeight="1" spans="1:41">
      <c r="A40" s="48"/>
      <c r="B40" s="53">
        <v>4</v>
      </c>
      <c r="C40" s="54"/>
      <c r="D40" s="50"/>
      <c r="E40" s="50"/>
      <c r="F40" s="50"/>
      <c r="G40" s="50">
        <f t="shared" si="1"/>
        <v>0</v>
      </c>
      <c r="H40" s="50">
        <f t="shared" si="2"/>
        <v>0</v>
      </c>
      <c r="I40" s="50" t="s">
        <v>43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52"/>
      <c r="AK40" s="52"/>
      <c r="AL40" s="52"/>
      <c r="AM40" s="52"/>
      <c r="AN40" s="52"/>
      <c r="AO40" s="52"/>
    </row>
    <row r="41" ht="15" customHeight="1" spans="1:41">
      <c r="A41" s="48"/>
      <c r="B41" s="53">
        <v>5</v>
      </c>
      <c r="C41" s="54"/>
      <c r="D41" s="50"/>
      <c r="E41" s="50"/>
      <c r="F41" s="50"/>
      <c r="G41" s="50">
        <f t="shared" si="1"/>
        <v>0</v>
      </c>
      <c r="H41" s="50">
        <f t="shared" si="2"/>
        <v>0</v>
      </c>
      <c r="I41" s="50" t="s">
        <v>43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</row>
    <row r="42" ht="15" customHeight="1" spans="1:41">
      <c r="A42" s="48"/>
      <c r="B42" s="53">
        <v>6</v>
      </c>
      <c r="C42" s="54"/>
      <c r="D42" s="50"/>
      <c r="E42" s="50"/>
      <c r="F42" s="50"/>
      <c r="G42" s="50">
        <f t="shared" si="1"/>
        <v>0</v>
      </c>
      <c r="H42" s="50">
        <f t="shared" si="2"/>
        <v>0</v>
      </c>
      <c r="I42" s="50" t="s">
        <v>43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</row>
    <row r="43" ht="15" customHeight="1" spans="1:41">
      <c r="A43" s="48"/>
      <c r="B43" s="53" t="s">
        <v>65</v>
      </c>
      <c r="C43" s="54" t="s">
        <v>66</v>
      </c>
      <c r="D43" s="50">
        <v>0</v>
      </c>
      <c r="E43" s="50">
        <v>0.04</v>
      </c>
      <c r="F43" s="50">
        <v>0</v>
      </c>
      <c r="G43" s="50">
        <f t="shared" si="1"/>
        <v>0.04</v>
      </c>
      <c r="H43" s="50">
        <f t="shared" si="2"/>
        <v>0</v>
      </c>
      <c r="I43" s="50" t="s">
        <v>43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2" t="str">
        <f t="shared" ref="Z43:AO43" si="33">IF(J43="","",IF(J43&gt;($D43+$E43),(J43-$D43-$E43),IF(J43&lt;($D43+$F43),(J43-$D43-$F43),"√")))</f>
        <v/>
      </c>
      <c r="AA43" s="52" t="str">
        <f t="shared" si="33"/>
        <v/>
      </c>
      <c r="AB43" s="52" t="str">
        <f t="shared" si="33"/>
        <v/>
      </c>
      <c r="AC43" s="52" t="str">
        <f t="shared" si="33"/>
        <v/>
      </c>
      <c r="AD43" s="52" t="str">
        <f t="shared" si="33"/>
        <v/>
      </c>
      <c r="AE43" s="52" t="str">
        <f t="shared" si="33"/>
        <v/>
      </c>
      <c r="AF43" s="52" t="str">
        <f t="shared" si="33"/>
        <v/>
      </c>
      <c r="AG43" s="52" t="str">
        <f t="shared" si="33"/>
        <v/>
      </c>
      <c r="AH43" s="52" t="str">
        <f t="shared" si="33"/>
        <v/>
      </c>
      <c r="AI43" s="52" t="str">
        <f t="shared" si="33"/>
        <v/>
      </c>
      <c r="AJ43" s="52" t="str">
        <f t="shared" si="33"/>
        <v/>
      </c>
      <c r="AK43" s="52" t="str">
        <f t="shared" si="33"/>
        <v/>
      </c>
      <c r="AL43" s="52" t="str">
        <f t="shared" si="33"/>
        <v/>
      </c>
      <c r="AM43" s="52" t="str">
        <f t="shared" si="33"/>
        <v/>
      </c>
      <c r="AN43" s="52" t="str">
        <f t="shared" si="33"/>
        <v/>
      </c>
      <c r="AO43" s="52" t="str">
        <f t="shared" si="33"/>
        <v/>
      </c>
    </row>
    <row r="44" ht="15" customHeight="1" spans="1:41">
      <c r="A44" s="48"/>
      <c r="B44" s="53">
        <v>1</v>
      </c>
      <c r="C44" s="54"/>
      <c r="D44" s="50"/>
      <c r="E44" s="50"/>
      <c r="F44" s="50"/>
      <c r="G44" s="50">
        <f t="shared" si="1"/>
        <v>0</v>
      </c>
      <c r="H44" s="50">
        <f t="shared" si="2"/>
        <v>0</v>
      </c>
      <c r="I44" s="50" t="s">
        <v>43</v>
      </c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2"/>
      <c r="AL44" s="52"/>
      <c r="AM44" s="52"/>
      <c r="AN44" s="52"/>
      <c r="AO44" s="52"/>
    </row>
    <row r="45" ht="15" customHeight="1" spans="1:41">
      <c r="A45" s="48"/>
      <c r="B45" s="53">
        <v>2</v>
      </c>
      <c r="C45" s="54"/>
      <c r="D45" s="50"/>
      <c r="E45" s="50"/>
      <c r="F45" s="50"/>
      <c r="G45" s="50">
        <f t="shared" si="1"/>
        <v>0</v>
      </c>
      <c r="H45" s="50">
        <f t="shared" si="2"/>
        <v>0</v>
      </c>
      <c r="I45" s="50" t="s">
        <v>43</v>
      </c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2"/>
      <c r="AL45" s="52"/>
      <c r="AM45" s="52"/>
      <c r="AN45" s="52"/>
      <c r="AO45" s="52"/>
    </row>
    <row r="46" ht="15" customHeight="1" spans="1:41">
      <c r="A46" s="48"/>
      <c r="B46" s="53">
        <v>3</v>
      </c>
      <c r="C46" s="54"/>
      <c r="D46" s="50"/>
      <c r="E46" s="50"/>
      <c r="F46" s="50"/>
      <c r="G46" s="50">
        <f t="shared" si="1"/>
        <v>0</v>
      </c>
      <c r="H46" s="50">
        <f t="shared" si="2"/>
        <v>0</v>
      </c>
      <c r="I46" s="50" t="s">
        <v>43</v>
      </c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2"/>
      <c r="AL46" s="52"/>
      <c r="AM46" s="52"/>
      <c r="AN46" s="52"/>
      <c r="AO46" s="52"/>
    </row>
    <row r="47" ht="15" customHeight="1" spans="1:41">
      <c r="A47" s="48"/>
      <c r="B47" s="53">
        <v>4</v>
      </c>
      <c r="C47" s="54"/>
      <c r="D47" s="50"/>
      <c r="E47" s="50"/>
      <c r="F47" s="50"/>
      <c r="G47" s="50">
        <f t="shared" si="1"/>
        <v>0</v>
      </c>
      <c r="H47" s="50">
        <f t="shared" si="2"/>
        <v>0</v>
      </c>
      <c r="I47" s="50" t="s">
        <v>43</v>
      </c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2"/>
      <c r="AL47" s="52"/>
      <c r="AM47" s="52"/>
      <c r="AN47" s="52"/>
      <c r="AO47" s="52"/>
    </row>
    <row r="48" ht="15" customHeight="1" spans="1:41">
      <c r="A48" s="48"/>
      <c r="B48" s="53">
        <v>5</v>
      </c>
      <c r="C48" s="54"/>
      <c r="D48" s="50"/>
      <c r="E48" s="50"/>
      <c r="F48" s="50"/>
      <c r="G48" s="50">
        <f t="shared" si="1"/>
        <v>0</v>
      </c>
      <c r="H48" s="50">
        <f t="shared" si="2"/>
        <v>0</v>
      </c>
      <c r="I48" s="50" t="s">
        <v>43</v>
      </c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2"/>
      <c r="AL48" s="52"/>
      <c r="AM48" s="52"/>
      <c r="AN48" s="52"/>
      <c r="AO48" s="52"/>
    </row>
    <row r="49" ht="15" customHeight="1" spans="1:41">
      <c r="A49" s="48"/>
      <c r="B49" s="53">
        <v>6</v>
      </c>
      <c r="C49" s="54"/>
      <c r="D49" s="50"/>
      <c r="E49" s="50"/>
      <c r="F49" s="50"/>
      <c r="G49" s="50">
        <f t="shared" si="1"/>
        <v>0</v>
      </c>
      <c r="H49" s="50">
        <f t="shared" si="2"/>
        <v>0</v>
      </c>
      <c r="I49" s="50" t="s">
        <v>43</v>
      </c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2"/>
      <c r="AL49" s="52"/>
      <c r="AM49" s="52"/>
      <c r="AN49" s="52"/>
      <c r="AO49" s="52"/>
    </row>
    <row r="50" ht="15" customHeight="1" spans="1:41">
      <c r="A50" s="48"/>
      <c r="B50" s="53" t="s">
        <v>67</v>
      </c>
      <c r="C50" s="54" t="s">
        <v>68</v>
      </c>
      <c r="D50" s="50">
        <v>0</v>
      </c>
      <c r="E50" s="50">
        <v>0.03</v>
      </c>
      <c r="F50" s="50">
        <v>0</v>
      </c>
      <c r="G50" s="50">
        <f t="shared" si="1"/>
        <v>0.03</v>
      </c>
      <c r="H50" s="50">
        <f t="shared" si="2"/>
        <v>0</v>
      </c>
      <c r="I50" s="50" t="s">
        <v>43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2" t="str">
        <f t="shared" ref="Z50:AO50" si="34">IF(J50="","",IF(J50&gt;($D50+$E50),(J50-$D50-$E50),IF(J50&lt;($D50+$F50),(J50-$D50-$F50),"√")))</f>
        <v/>
      </c>
      <c r="AA50" s="52" t="str">
        <f t="shared" si="34"/>
        <v/>
      </c>
      <c r="AB50" s="52" t="str">
        <f t="shared" si="34"/>
        <v/>
      </c>
      <c r="AC50" s="52" t="str">
        <f t="shared" si="34"/>
        <v/>
      </c>
      <c r="AD50" s="52" t="str">
        <f t="shared" si="34"/>
        <v/>
      </c>
      <c r="AE50" s="52" t="str">
        <f t="shared" si="34"/>
        <v/>
      </c>
      <c r="AF50" s="52" t="str">
        <f t="shared" si="34"/>
        <v/>
      </c>
      <c r="AG50" s="52" t="str">
        <f t="shared" si="34"/>
        <v/>
      </c>
      <c r="AH50" s="52" t="str">
        <f t="shared" si="34"/>
        <v/>
      </c>
      <c r="AI50" s="52" t="str">
        <f t="shared" si="34"/>
        <v/>
      </c>
      <c r="AJ50" s="52" t="str">
        <f t="shared" si="34"/>
        <v/>
      </c>
      <c r="AK50" s="52" t="str">
        <f t="shared" si="34"/>
        <v/>
      </c>
      <c r="AL50" s="52" t="str">
        <f t="shared" si="34"/>
        <v/>
      </c>
      <c r="AM50" s="52" t="str">
        <f t="shared" si="34"/>
        <v/>
      </c>
      <c r="AN50" s="52" t="str">
        <f t="shared" si="34"/>
        <v/>
      </c>
      <c r="AO50" s="52" t="str">
        <f t="shared" si="34"/>
        <v/>
      </c>
    </row>
    <row r="51" ht="15" customHeight="1" spans="1:41">
      <c r="A51" s="48"/>
      <c r="B51" s="53">
        <v>1</v>
      </c>
      <c r="C51" s="54"/>
      <c r="D51" s="50"/>
      <c r="E51" s="50"/>
      <c r="F51" s="50"/>
      <c r="G51" s="50">
        <f t="shared" si="1"/>
        <v>0</v>
      </c>
      <c r="H51" s="50">
        <f t="shared" si="2"/>
        <v>0</v>
      </c>
      <c r="I51" s="50" t="s">
        <v>43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2"/>
      <c r="AL51" s="52"/>
      <c r="AM51" s="52"/>
      <c r="AN51" s="52"/>
      <c r="AO51" s="52"/>
    </row>
    <row r="52" ht="15" customHeight="1" spans="1:41">
      <c r="A52" s="48"/>
      <c r="B52" s="53">
        <v>2</v>
      </c>
      <c r="C52" s="54"/>
      <c r="D52" s="50"/>
      <c r="E52" s="50"/>
      <c r="F52" s="50"/>
      <c r="G52" s="50">
        <f t="shared" si="1"/>
        <v>0</v>
      </c>
      <c r="H52" s="50">
        <f t="shared" si="2"/>
        <v>0</v>
      </c>
      <c r="I52" s="50" t="s">
        <v>43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52"/>
    </row>
    <row r="53" ht="15" customHeight="1" spans="1:41">
      <c r="A53" s="48"/>
      <c r="B53" s="53">
        <v>3</v>
      </c>
      <c r="C53" s="54"/>
      <c r="D53" s="50"/>
      <c r="E53" s="50"/>
      <c r="F53" s="50"/>
      <c r="G53" s="50">
        <f t="shared" si="1"/>
        <v>0</v>
      </c>
      <c r="H53" s="50">
        <f t="shared" si="2"/>
        <v>0</v>
      </c>
      <c r="I53" s="50" t="s">
        <v>43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2"/>
      <c r="AL53" s="52"/>
      <c r="AM53" s="52"/>
      <c r="AN53" s="52"/>
      <c r="AO53" s="52"/>
    </row>
    <row r="54" ht="15" customHeight="1" spans="1:41">
      <c r="A54" s="48"/>
      <c r="B54" s="53">
        <v>4</v>
      </c>
      <c r="C54" s="54"/>
      <c r="D54" s="50"/>
      <c r="E54" s="50"/>
      <c r="F54" s="50"/>
      <c r="G54" s="50">
        <f t="shared" si="1"/>
        <v>0</v>
      </c>
      <c r="H54" s="50">
        <f t="shared" si="2"/>
        <v>0</v>
      </c>
      <c r="I54" s="50" t="s">
        <v>43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2"/>
      <c r="AL54" s="52"/>
      <c r="AM54" s="52"/>
      <c r="AN54" s="52"/>
      <c r="AO54" s="52"/>
    </row>
    <row r="55" ht="15" customHeight="1" spans="1:41">
      <c r="A55" s="48"/>
      <c r="B55" s="53" t="s">
        <v>69</v>
      </c>
      <c r="C55" s="54" t="s">
        <v>70</v>
      </c>
      <c r="D55" s="50">
        <v>0</v>
      </c>
      <c r="E55" s="50">
        <v>0.03</v>
      </c>
      <c r="F55" s="50">
        <v>0</v>
      </c>
      <c r="G55" s="50">
        <f t="shared" si="1"/>
        <v>0.03</v>
      </c>
      <c r="H55" s="50">
        <f t="shared" si="2"/>
        <v>0</v>
      </c>
      <c r="I55" s="50" t="s">
        <v>43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2" t="str">
        <f t="shared" ref="Z55:AO55" si="35">IF(J55="","",IF(J55&gt;($D55+$E55),(J55-$D55-$E55),IF(J55&lt;($D55+$F55),(J55-$D55-$F55),"√")))</f>
        <v/>
      </c>
      <c r="AA55" s="52" t="str">
        <f t="shared" si="35"/>
        <v/>
      </c>
      <c r="AB55" s="52" t="str">
        <f t="shared" si="35"/>
        <v/>
      </c>
      <c r="AC55" s="52" t="str">
        <f t="shared" si="35"/>
        <v/>
      </c>
      <c r="AD55" s="52" t="str">
        <f t="shared" si="35"/>
        <v/>
      </c>
      <c r="AE55" s="52" t="str">
        <f t="shared" si="35"/>
        <v/>
      </c>
      <c r="AF55" s="52" t="str">
        <f t="shared" si="35"/>
        <v/>
      </c>
      <c r="AG55" s="52" t="str">
        <f t="shared" si="35"/>
        <v/>
      </c>
      <c r="AH55" s="52" t="str">
        <f t="shared" si="35"/>
        <v/>
      </c>
      <c r="AI55" s="52" t="str">
        <f t="shared" si="35"/>
        <v/>
      </c>
      <c r="AJ55" s="52" t="str">
        <f t="shared" si="35"/>
        <v/>
      </c>
      <c r="AK55" s="52" t="str">
        <f t="shared" si="35"/>
        <v/>
      </c>
      <c r="AL55" s="52" t="str">
        <f t="shared" si="35"/>
        <v/>
      </c>
      <c r="AM55" s="52" t="str">
        <f t="shared" si="35"/>
        <v/>
      </c>
      <c r="AN55" s="52" t="str">
        <f t="shared" si="35"/>
        <v/>
      </c>
      <c r="AO55" s="52" t="str">
        <f t="shared" si="35"/>
        <v/>
      </c>
    </row>
    <row r="56" ht="15" customHeight="1" spans="1:41">
      <c r="A56" s="48"/>
      <c r="B56" s="53">
        <v>1</v>
      </c>
      <c r="C56" s="54"/>
      <c r="D56" s="50"/>
      <c r="E56" s="50"/>
      <c r="F56" s="50"/>
      <c r="G56" s="50">
        <f t="shared" si="1"/>
        <v>0</v>
      </c>
      <c r="H56" s="50">
        <f t="shared" si="2"/>
        <v>0</v>
      </c>
      <c r="I56" s="50" t="s">
        <v>43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2"/>
      <c r="AL56" s="52"/>
      <c r="AM56" s="52"/>
      <c r="AN56" s="52"/>
      <c r="AO56" s="52"/>
    </row>
    <row r="57" ht="15" customHeight="1" spans="1:41">
      <c r="A57" s="48"/>
      <c r="B57" s="53">
        <v>2</v>
      </c>
      <c r="C57" s="54"/>
      <c r="D57" s="50"/>
      <c r="E57" s="50"/>
      <c r="F57" s="50"/>
      <c r="G57" s="50">
        <f t="shared" si="1"/>
        <v>0</v>
      </c>
      <c r="H57" s="50">
        <f t="shared" si="2"/>
        <v>0</v>
      </c>
      <c r="I57" s="50" t="s">
        <v>43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2"/>
      <c r="AL57" s="52"/>
      <c r="AM57" s="52"/>
      <c r="AN57" s="52"/>
      <c r="AO57" s="52"/>
    </row>
    <row r="58" ht="15" customHeight="1" spans="1:41">
      <c r="A58" s="48"/>
      <c r="B58" s="53">
        <v>3</v>
      </c>
      <c r="C58" s="54"/>
      <c r="D58" s="50"/>
      <c r="E58" s="50"/>
      <c r="F58" s="50"/>
      <c r="G58" s="50">
        <f t="shared" si="1"/>
        <v>0</v>
      </c>
      <c r="H58" s="50">
        <f t="shared" si="2"/>
        <v>0</v>
      </c>
      <c r="I58" s="50" t="s">
        <v>43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2"/>
      <c r="AL58" s="52"/>
      <c r="AM58" s="52"/>
      <c r="AN58" s="52"/>
      <c r="AO58" s="52"/>
    </row>
    <row r="59" ht="15" customHeight="1" spans="1:41">
      <c r="A59" s="48"/>
      <c r="B59" s="53">
        <v>4</v>
      </c>
      <c r="C59" s="54"/>
      <c r="D59" s="50"/>
      <c r="E59" s="50"/>
      <c r="F59" s="50"/>
      <c r="G59" s="50">
        <f t="shared" si="1"/>
        <v>0</v>
      </c>
      <c r="H59" s="50">
        <f t="shared" si="2"/>
        <v>0</v>
      </c>
      <c r="I59" s="50" t="s">
        <v>43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2"/>
      <c r="AL59" s="52"/>
      <c r="AM59" s="52"/>
      <c r="AN59" s="52"/>
      <c r="AO59" s="52"/>
    </row>
    <row r="60" ht="15" customHeight="1" spans="1:41">
      <c r="A60" s="48"/>
      <c r="B60" s="53" t="s">
        <v>71</v>
      </c>
      <c r="C60" s="54" t="s">
        <v>70</v>
      </c>
      <c r="D60" s="50">
        <v>0</v>
      </c>
      <c r="E60" s="50">
        <v>0.03</v>
      </c>
      <c r="F60" s="50">
        <v>0</v>
      </c>
      <c r="G60" s="50">
        <f t="shared" si="1"/>
        <v>0.03</v>
      </c>
      <c r="H60" s="50">
        <f t="shared" si="2"/>
        <v>0</v>
      </c>
      <c r="I60" s="50" t="s">
        <v>43</v>
      </c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2" t="str">
        <f t="shared" ref="Z60:AO60" si="36">IF(J60="","",IF(J60&gt;($D60+$E60),(J60-$D60-$E60),IF(J60&lt;($D60+$F60),(J60-$D60-$F60),"√")))</f>
        <v/>
      </c>
      <c r="AA60" s="52" t="str">
        <f t="shared" si="36"/>
        <v/>
      </c>
      <c r="AB60" s="52" t="str">
        <f t="shared" si="36"/>
        <v/>
      </c>
      <c r="AC60" s="52" t="str">
        <f t="shared" si="36"/>
        <v/>
      </c>
      <c r="AD60" s="52" t="str">
        <f t="shared" si="36"/>
        <v/>
      </c>
      <c r="AE60" s="52" t="str">
        <f t="shared" si="36"/>
        <v/>
      </c>
      <c r="AF60" s="52" t="str">
        <f t="shared" si="36"/>
        <v/>
      </c>
      <c r="AG60" s="52" t="str">
        <f t="shared" si="36"/>
        <v/>
      </c>
      <c r="AH60" s="52" t="str">
        <f t="shared" si="36"/>
        <v/>
      </c>
      <c r="AI60" s="52" t="str">
        <f t="shared" si="36"/>
        <v/>
      </c>
      <c r="AJ60" s="52" t="str">
        <f t="shared" si="36"/>
        <v/>
      </c>
      <c r="AK60" s="52" t="str">
        <f t="shared" si="36"/>
        <v/>
      </c>
      <c r="AL60" s="52" t="str">
        <f t="shared" si="36"/>
        <v/>
      </c>
      <c r="AM60" s="52" t="str">
        <f t="shared" si="36"/>
        <v/>
      </c>
      <c r="AN60" s="52" t="str">
        <f t="shared" si="36"/>
        <v/>
      </c>
      <c r="AO60" s="52" t="str">
        <f t="shared" si="36"/>
        <v/>
      </c>
    </row>
    <row r="61" ht="15" customHeight="1" spans="1:41">
      <c r="A61" s="48"/>
      <c r="B61" s="53">
        <v>1</v>
      </c>
      <c r="C61" s="54"/>
      <c r="D61" s="50"/>
      <c r="E61" s="50"/>
      <c r="F61" s="50"/>
      <c r="G61" s="50">
        <f t="shared" si="1"/>
        <v>0</v>
      </c>
      <c r="H61" s="50">
        <f t="shared" si="2"/>
        <v>0</v>
      </c>
      <c r="I61" s="50" t="s">
        <v>43</v>
      </c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</row>
    <row r="62" ht="15" customHeight="1" spans="1:41">
      <c r="A62" s="48"/>
      <c r="B62" s="53">
        <v>2</v>
      </c>
      <c r="C62" s="54"/>
      <c r="D62" s="50"/>
      <c r="E62" s="50"/>
      <c r="F62" s="50"/>
      <c r="G62" s="50">
        <f t="shared" si="1"/>
        <v>0</v>
      </c>
      <c r="H62" s="50">
        <f t="shared" si="2"/>
        <v>0</v>
      </c>
      <c r="I62" s="50" t="s">
        <v>43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2"/>
      <c r="AL62" s="52"/>
      <c r="AM62" s="52"/>
      <c r="AN62" s="52"/>
      <c r="AO62" s="52"/>
    </row>
    <row r="63" ht="15" customHeight="1" spans="1:41">
      <c r="A63" s="48"/>
      <c r="B63" s="53">
        <v>3</v>
      </c>
      <c r="C63" s="54"/>
      <c r="D63" s="50"/>
      <c r="E63" s="50"/>
      <c r="F63" s="50"/>
      <c r="G63" s="50">
        <f t="shared" si="1"/>
        <v>0</v>
      </c>
      <c r="H63" s="50">
        <f t="shared" si="2"/>
        <v>0</v>
      </c>
      <c r="I63" s="50" t="s">
        <v>43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2"/>
      <c r="AL63" s="52"/>
      <c r="AM63" s="52"/>
      <c r="AN63" s="52"/>
      <c r="AO63" s="52"/>
    </row>
    <row r="64" ht="15" customHeight="1" spans="1:41">
      <c r="A64" s="48"/>
      <c r="B64" s="53">
        <v>4</v>
      </c>
      <c r="C64" s="54"/>
      <c r="D64" s="50"/>
      <c r="E64" s="50"/>
      <c r="F64" s="50"/>
      <c r="G64" s="50">
        <f t="shared" si="1"/>
        <v>0</v>
      </c>
      <c r="H64" s="50">
        <f t="shared" si="2"/>
        <v>0</v>
      </c>
      <c r="I64" s="50" t="s">
        <v>43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2"/>
      <c r="AL64" s="52"/>
      <c r="AM64" s="52"/>
      <c r="AN64" s="52"/>
      <c r="AO64" s="52"/>
    </row>
    <row r="65" ht="15" customHeight="1" spans="1:41">
      <c r="A65" s="48"/>
      <c r="B65" s="53" t="s">
        <v>72</v>
      </c>
      <c r="C65" s="54"/>
      <c r="D65" s="50">
        <v>0</v>
      </c>
      <c r="E65" s="50">
        <v>0.06</v>
      </c>
      <c r="F65" s="50">
        <v>0</v>
      </c>
      <c r="G65" s="50">
        <f t="shared" si="1"/>
        <v>0.06</v>
      </c>
      <c r="H65" s="50">
        <f t="shared" si="2"/>
        <v>0</v>
      </c>
      <c r="I65" s="50" t="s">
        <v>43</v>
      </c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2" t="str">
        <f t="shared" ref="Z65:AO65" si="37">IF(J65="","",IF(J65&gt;($D65+$E65),(J65-$D65-$E65),IF(J65&lt;($D65+$F65),(J65-$D65-$F65),"√")))</f>
        <v/>
      </c>
      <c r="AA65" s="52" t="str">
        <f t="shared" si="37"/>
        <v/>
      </c>
      <c r="AB65" s="52" t="str">
        <f t="shared" si="37"/>
        <v/>
      </c>
      <c r="AC65" s="52" t="str">
        <f t="shared" si="37"/>
        <v/>
      </c>
      <c r="AD65" s="52" t="str">
        <f t="shared" si="37"/>
        <v/>
      </c>
      <c r="AE65" s="52" t="str">
        <f t="shared" si="37"/>
        <v/>
      </c>
      <c r="AF65" s="52" t="str">
        <f t="shared" si="37"/>
        <v/>
      </c>
      <c r="AG65" s="52" t="str">
        <f t="shared" si="37"/>
        <v/>
      </c>
      <c r="AH65" s="52" t="str">
        <f t="shared" si="37"/>
        <v/>
      </c>
      <c r="AI65" s="52" t="str">
        <f t="shared" si="37"/>
        <v/>
      </c>
      <c r="AJ65" s="52" t="str">
        <f t="shared" si="37"/>
        <v/>
      </c>
      <c r="AK65" s="52" t="str">
        <f t="shared" si="37"/>
        <v/>
      </c>
      <c r="AL65" s="52" t="str">
        <f t="shared" si="37"/>
        <v/>
      </c>
      <c r="AM65" s="52" t="str">
        <f t="shared" si="37"/>
        <v/>
      </c>
      <c r="AN65" s="52" t="str">
        <f t="shared" si="37"/>
        <v/>
      </c>
      <c r="AO65" s="52" t="str">
        <f t="shared" si="37"/>
        <v/>
      </c>
    </row>
    <row r="66" ht="15" customHeight="1" spans="1:41">
      <c r="A66" s="48"/>
      <c r="B66" s="53">
        <v>1</v>
      </c>
      <c r="C66" s="54"/>
      <c r="D66" s="50"/>
      <c r="E66" s="50"/>
      <c r="F66" s="50"/>
      <c r="G66" s="50">
        <f t="shared" si="1"/>
        <v>0</v>
      </c>
      <c r="H66" s="50">
        <f t="shared" si="2"/>
        <v>0</v>
      </c>
      <c r="I66" s="50" t="s">
        <v>43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2"/>
      <c r="AL66" s="52"/>
      <c r="AM66" s="52"/>
      <c r="AN66" s="52"/>
      <c r="AO66" s="52"/>
    </row>
    <row r="67" ht="15" customHeight="1" spans="1:41">
      <c r="A67" s="48"/>
      <c r="B67" s="53">
        <v>2</v>
      </c>
      <c r="C67" s="54"/>
      <c r="D67" s="50"/>
      <c r="E67" s="50"/>
      <c r="F67" s="50"/>
      <c r="G67" s="50">
        <f t="shared" si="1"/>
        <v>0</v>
      </c>
      <c r="H67" s="50">
        <f t="shared" si="2"/>
        <v>0</v>
      </c>
      <c r="I67" s="50" t="s">
        <v>43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</row>
    <row r="68" ht="15" customHeight="1" spans="1:41">
      <c r="A68" s="48"/>
      <c r="B68" s="53">
        <v>3</v>
      </c>
      <c r="C68" s="54"/>
      <c r="D68" s="50"/>
      <c r="E68" s="50"/>
      <c r="F68" s="50"/>
      <c r="G68" s="50">
        <f t="shared" si="1"/>
        <v>0</v>
      </c>
      <c r="H68" s="50">
        <f t="shared" si="2"/>
        <v>0</v>
      </c>
      <c r="I68" s="50" t="s">
        <v>43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</row>
    <row r="69" ht="15" customHeight="1" spans="1:41">
      <c r="A69" s="48"/>
      <c r="B69" s="53">
        <v>4</v>
      </c>
      <c r="C69" s="54"/>
      <c r="D69" s="50"/>
      <c r="E69" s="50"/>
      <c r="F69" s="50"/>
      <c r="G69" s="50">
        <f t="shared" si="1"/>
        <v>0</v>
      </c>
      <c r="H69" s="50">
        <f t="shared" si="2"/>
        <v>0</v>
      </c>
      <c r="I69" s="50" t="s">
        <v>43</v>
      </c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</row>
    <row r="70" ht="15" customHeight="1" spans="1:41">
      <c r="A70" s="48"/>
      <c r="B70" s="53">
        <v>5</v>
      </c>
      <c r="C70" s="54"/>
      <c r="D70" s="50"/>
      <c r="E70" s="50"/>
      <c r="F70" s="50"/>
      <c r="G70" s="50">
        <f t="shared" si="1"/>
        <v>0</v>
      </c>
      <c r="H70" s="50">
        <f t="shared" si="2"/>
        <v>0</v>
      </c>
      <c r="I70" s="50" t="s">
        <v>43</v>
      </c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52"/>
    </row>
    <row r="71" ht="15" customHeight="1" spans="1:41">
      <c r="A71" s="48"/>
      <c r="B71" s="53">
        <v>6</v>
      </c>
      <c r="C71" s="54"/>
      <c r="D71" s="50"/>
      <c r="E71" s="50"/>
      <c r="F71" s="50"/>
      <c r="G71" s="50">
        <f t="shared" ref="G71:G118" si="38">D71+E71</f>
        <v>0</v>
      </c>
      <c r="H71" s="50">
        <f t="shared" ref="H71:H118" si="39">D71+F71</f>
        <v>0</v>
      </c>
      <c r="I71" s="50" t="s">
        <v>43</v>
      </c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52"/>
      <c r="AK71" s="52"/>
      <c r="AL71" s="52"/>
      <c r="AM71" s="52"/>
      <c r="AN71" s="52"/>
      <c r="AO71" s="52"/>
    </row>
    <row r="72" ht="15" customHeight="1" spans="1:41">
      <c r="A72" s="48"/>
      <c r="B72" s="53">
        <v>7</v>
      </c>
      <c r="C72" s="54"/>
      <c r="D72" s="50"/>
      <c r="E72" s="50"/>
      <c r="F72" s="50"/>
      <c r="G72" s="50">
        <f t="shared" si="38"/>
        <v>0</v>
      </c>
      <c r="H72" s="50">
        <f t="shared" si="39"/>
        <v>0</v>
      </c>
      <c r="I72" s="50" t="s">
        <v>43</v>
      </c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52"/>
    </row>
    <row r="73" ht="15" customHeight="1" spans="1:41">
      <c r="A73" s="48"/>
      <c r="B73" s="53">
        <v>8</v>
      </c>
      <c r="C73" s="54"/>
      <c r="D73" s="50"/>
      <c r="E73" s="50"/>
      <c r="F73" s="50"/>
      <c r="G73" s="50">
        <f t="shared" si="38"/>
        <v>0</v>
      </c>
      <c r="H73" s="50">
        <f t="shared" si="39"/>
        <v>0</v>
      </c>
      <c r="I73" s="50" t="s">
        <v>43</v>
      </c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52"/>
    </row>
    <row r="74" ht="15" customHeight="1" spans="1:41">
      <c r="A74" s="48"/>
      <c r="B74" s="53">
        <v>9</v>
      </c>
      <c r="C74" s="54"/>
      <c r="D74" s="50"/>
      <c r="E74" s="50"/>
      <c r="F74" s="50"/>
      <c r="G74" s="50">
        <f t="shared" si="38"/>
        <v>0</v>
      </c>
      <c r="H74" s="50">
        <f t="shared" si="39"/>
        <v>0</v>
      </c>
      <c r="I74" s="50" t="s">
        <v>43</v>
      </c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52"/>
      <c r="AK74" s="52"/>
      <c r="AL74" s="52"/>
      <c r="AM74" s="52"/>
      <c r="AN74" s="52"/>
      <c r="AO74" s="52"/>
    </row>
    <row r="75" ht="15" customHeight="1" spans="1:41">
      <c r="A75" s="48"/>
      <c r="B75" s="53">
        <v>10</v>
      </c>
      <c r="C75" s="54"/>
      <c r="D75" s="50"/>
      <c r="E75" s="50"/>
      <c r="F75" s="50"/>
      <c r="G75" s="50">
        <f t="shared" si="38"/>
        <v>0</v>
      </c>
      <c r="H75" s="50">
        <f t="shared" si="39"/>
        <v>0</v>
      </c>
      <c r="I75" s="50" t="s">
        <v>43</v>
      </c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52"/>
    </row>
    <row r="76" ht="15" customHeight="1" spans="1:41">
      <c r="A76" s="48"/>
      <c r="B76" s="53">
        <v>11</v>
      </c>
      <c r="C76" s="54"/>
      <c r="D76" s="50"/>
      <c r="E76" s="50"/>
      <c r="F76" s="50"/>
      <c r="G76" s="50">
        <f t="shared" si="38"/>
        <v>0</v>
      </c>
      <c r="H76" s="50">
        <f t="shared" si="39"/>
        <v>0</v>
      </c>
      <c r="I76" s="50" t="s">
        <v>43</v>
      </c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</row>
    <row r="77" ht="15" customHeight="1" spans="1:41">
      <c r="A77" s="48"/>
      <c r="B77" s="53" t="s">
        <v>73</v>
      </c>
      <c r="C77" s="54" t="s">
        <v>74</v>
      </c>
      <c r="D77" s="50">
        <v>0</v>
      </c>
      <c r="E77" s="50">
        <v>0.08</v>
      </c>
      <c r="F77" s="50">
        <v>0</v>
      </c>
      <c r="G77" s="50">
        <f t="shared" si="38"/>
        <v>0.08</v>
      </c>
      <c r="H77" s="50">
        <f t="shared" si="39"/>
        <v>0</v>
      </c>
      <c r="I77" s="50" t="s">
        <v>43</v>
      </c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2" t="str">
        <f t="shared" ref="Z77:AO77" si="40">IF(J77="","",IF(J77&gt;($D77+$E77),(J77-$D77-$E77),IF(J77&lt;($D77+$F77),(J77-$D77-$F77),"√")))</f>
        <v/>
      </c>
      <c r="AA77" s="52" t="str">
        <f t="shared" si="40"/>
        <v/>
      </c>
      <c r="AB77" s="52" t="str">
        <f t="shared" si="40"/>
        <v/>
      </c>
      <c r="AC77" s="52" t="str">
        <f t="shared" si="40"/>
        <v/>
      </c>
      <c r="AD77" s="52" t="str">
        <f t="shared" si="40"/>
        <v/>
      </c>
      <c r="AE77" s="52" t="str">
        <f t="shared" si="40"/>
        <v/>
      </c>
      <c r="AF77" s="52" t="str">
        <f t="shared" si="40"/>
        <v/>
      </c>
      <c r="AG77" s="52" t="str">
        <f t="shared" si="40"/>
        <v/>
      </c>
      <c r="AH77" s="52" t="str">
        <f t="shared" si="40"/>
        <v/>
      </c>
      <c r="AI77" s="52" t="str">
        <f t="shared" si="40"/>
        <v/>
      </c>
      <c r="AJ77" s="52" t="str">
        <f t="shared" si="40"/>
        <v/>
      </c>
      <c r="AK77" s="52" t="str">
        <f t="shared" si="40"/>
        <v/>
      </c>
      <c r="AL77" s="52" t="str">
        <f t="shared" si="40"/>
        <v/>
      </c>
      <c r="AM77" s="52" t="str">
        <f t="shared" si="40"/>
        <v/>
      </c>
      <c r="AN77" s="52" t="str">
        <f t="shared" si="40"/>
        <v/>
      </c>
      <c r="AO77" s="52" t="str">
        <f t="shared" si="40"/>
        <v/>
      </c>
    </row>
    <row r="78" ht="15" customHeight="1" spans="1:41">
      <c r="A78" s="48"/>
      <c r="B78" s="53">
        <v>1</v>
      </c>
      <c r="C78" s="54"/>
      <c r="D78" s="50"/>
      <c r="E78" s="50"/>
      <c r="F78" s="50"/>
      <c r="G78" s="50">
        <f t="shared" si="38"/>
        <v>0</v>
      </c>
      <c r="H78" s="50">
        <f t="shared" si="39"/>
        <v>0</v>
      </c>
      <c r="I78" s="50" t="s">
        <v>43</v>
      </c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52"/>
    </row>
    <row r="79" ht="15" customHeight="1" spans="1:41">
      <c r="A79" s="48"/>
      <c r="B79" s="53">
        <v>2</v>
      </c>
      <c r="C79" s="54"/>
      <c r="D79" s="50"/>
      <c r="E79" s="50"/>
      <c r="F79" s="50"/>
      <c r="G79" s="50">
        <f t="shared" si="38"/>
        <v>0</v>
      </c>
      <c r="H79" s="50">
        <f t="shared" si="39"/>
        <v>0</v>
      </c>
      <c r="I79" s="50" t="s">
        <v>43</v>
      </c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52"/>
    </row>
    <row r="80" ht="15" customHeight="1" spans="1:41">
      <c r="A80" s="48"/>
      <c r="B80" s="53">
        <v>3</v>
      </c>
      <c r="C80" s="54"/>
      <c r="D80" s="50"/>
      <c r="E80" s="50"/>
      <c r="F80" s="50"/>
      <c r="G80" s="50">
        <f t="shared" si="38"/>
        <v>0</v>
      </c>
      <c r="H80" s="50">
        <f t="shared" si="39"/>
        <v>0</v>
      </c>
      <c r="I80" s="50" t="s">
        <v>43</v>
      </c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52"/>
      <c r="AK80" s="52"/>
      <c r="AL80" s="52"/>
      <c r="AM80" s="52"/>
      <c r="AN80" s="52"/>
      <c r="AO80" s="52"/>
    </row>
    <row r="81" ht="15" customHeight="1" spans="1:41">
      <c r="A81" s="48"/>
      <c r="B81" s="53">
        <v>4</v>
      </c>
      <c r="C81" s="54"/>
      <c r="D81" s="50"/>
      <c r="E81" s="50"/>
      <c r="F81" s="50"/>
      <c r="G81" s="50">
        <f t="shared" si="38"/>
        <v>0</v>
      </c>
      <c r="H81" s="50">
        <f t="shared" si="39"/>
        <v>0</v>
      </c>
      <c r="I81" s="50" t="s">
        <v>43</v>
      </c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</row>
    <row r="82" ht="15" customHeight="1" spans="1:41">
      <c r="A82" s="48"/>
      <c r="B82" s="53" t="s">
        <v>75</v>
      </c>
      <c r="C82" s="54" t="s">
        <v>76</v>
      </c>
      <c r="D82" s="50">
        <v>0</v>
      </c>
      <c r="E82" s="50">
        <v>0.08</v>
      </c>
      <c r="F82" s="50">
        <v>0</v>
      </c>
      <c r="G82" s="50">
        <f t="shared" si="38"/>
        <v>0.08</v>
      </c>
      <c r="H82" s="50">
        <f t="shared" si="39"/>
        <v>0</v>
      </c>
      <c r="I82" s="50" t="s">
        <v>43</v>
      </c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2" t="str">
        <f t="shared" ref="Z82:AO82" si="41">IF(J82="","",IF(J82&gt;($D82+$E82),(J82-$D82-$E82),IF(J82&lt;($D82+$F82),(J82-$D82-$F82),"√")))</f>
        <v/>
      </c>
      <c r="AA82" s="52" t="str">
        <f t="shared" si="41"/>
        <v/>
      </c>
      <c r="AB82" s="52" t="str">
        <f t="shared" si="41"/>
        <v/>
      </c>
      <c r="AC82" s="52" t="str">
        <f t="shared" si="41"/>
        <v/>
      </c>
      <c r="AD82" s="52" t="str">
        <f t="shared" si="41"/>
        <v/>
      </c>
      <c r="AE82" s="52" t="str">
        <f t="shared" si="41"/>
        <v/>
      </c>
      <c r="AF82" s="52" t="str">
        <f t="shared" si="41"/>
        <v/>
      </c>
      <c r="AG82" s="52" t="str">
        <f t="shared" si="41"/>
        <v/>
      </c>
      <c r="AH82" s="52" t="str">
        <f t="shared" si="41"/>
        <v/>
      </c>
      <c r="AI82" s="52" t="str">
        <f t="shared" si="41"/>
        <v/>
      </c>
      <c r="AJ82" s="52" t="str">
        <f t="shared" si="41"/>
        <v/>
      </c>
      <c r="AK82" s="52" t="str">
        <f t="shared" si="41"/>
        <v/>
      </c>
      <c r="AL82" s="52" t="str">
        <f t="shared" si="41"/>
        <v/>
      </c>
      <c r="AM82" s="52" t="str">
        <f t="shared" si="41"/>
        <v/>
      </c>
      <c r="AN82" s="52" t="str">
        <f t="shared" si="41"/>
        <v/>
      </c>
      <c r="AO82" s="52" t="str">
        <f t="shared" si="41"/>
        <v/>
      </c>
    </row>
    <row r="83" ht="15" customHeight="1" spans="1:41">
      <c r="A83" s="48"/>
      <c r="B83" s="53">
        <v>1</v>
      </c>
      <c r="C83" s="54"/>
      <c r="D83" s="50"/>
      <c r="E83" s="50"/>
      <c r="F83" s="50"/>
      <c r="G83" s="50">
        <f t="shared" si="38"/>
        <v>0</v>
      </c>
      <c r="H83" s="50">
        <f t="shared" si="39"/>
        <v>0</v>
      </c>
      <c r="I83" s="50" t="s">
        <v>43</v>
      </c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</row>
    <row r="84" ht="15" customHeight="1" spans="1:41">
      <c r="A84" s="48"/>
      <c r="B84" s="53">
        <v>2</v>
      </c>
      <c r="C84" s="54"/>
      <c r="D84" s="50"/>
      <c r="E84" s="50"/>
      <c r="F84" s="50"/>
      <c r="G84" s="50">
        <f t="shared" si="38"/>
        <v>0</v>
      </c>
      <c r="H84" s="50">
        <f t="shared" si="39"/>
        <v>0</v>
      </c>
      <c r="I84" s="50" t="s">
        <v>43</v>
      </c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</row>
    <row r="85" ht="15" customHeight="1" spans="1:41">
      <c r="A85" s="48"/>
      <c r="B85" s="53">
        <v>3</v>
      </c>
      <c r="C85" s="54"/>
      <c r="D85" s="50"/>
      <c r="E85" s="50"/>
      <c r="F85" s="50"/>
      <c r="G85" s="50">
        <f t="shared" si="38"/>
        <v>0</v>
      </c>
      <c r="H85" s="50">
        <f t="shared" si="39"/>
        <v>0</v>
      </c>
      <c r="I85" s="50" t="s">
        <v>43</v>
      </c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</row>
    <row r="86" ht="15" customHeight="1" spans="1:41">
      <c r="A86" s="48"/>
      <c r="B86" s="53">
        <v>4</v>
      </c>
      <c r="C86" s="54"/>
      <c r="D86" s="50"/>
      <c r="E86" s="50"/>
      <c r="F86" s="50"/>
      <c r="G86" s="50">
        <f t="shared" si="38"/>
        <v>0</v>
      </c>
      <c r="H86" s="50">
        <f t="shared" si="39"/>
        <v>0</v>
      </c>
      <c r="I86" s="50" t="s">
        <v>43</v>
      </c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</row>
    <row r="87" ht="15" customHeight="1" spans="1:41">
      <c r="A87" s="48"/>
      <c r="B87" s="53" t="s">
        <v>77</v>
      </c>
      <c r="C87" s="54" t="s">
        <v>78</v>
      </c>
      <c r="D87" s="50">
        <v>0</v>
      </c>
      <c r="E87" s="50">
        <v>0.08</v>
      </c>
      <c r="F87" s="50">
        <v>0</v>
      </c>
      <c r="G87" s="50">
        <f t="shared" si="38"/>
        <v>0.08</v>
      </c>
      <c r="H87" s="50">
        <f t="shared" si="39"/>
        <v>0</v>
      </c>
      <c r="I87" s="50" t="s">
        <v>43</v>
      </c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2" t="str">
        <f t="shared" ref="Z87:AO87" si="42">IF(J87="","",IF(J87&gt;($D87+$E87),(J87-$D87-$E87),IF(J87&lt;($D87+$F87),(J87-$D87-$F87),"√")))</f>
        <v/>
      </c>
      <c r="AA87" s="52" t="str">
        <f t="shared" si="42"/>
        <v/>
      </c>
      <c r="AB87" s="52" t="str">
        <f t="shared" si="42"/>
        <v/>
      </c>
      <c r="AC87" s="52" t="str">
        <f t="shared" si="42"/>
        <v/>
      </c>
      <c r="AD87" s="52" t="str">
        <f t="shared" si="42"/>
        <v/>
      </c>
      <c r="AE87" s="52" t="str">
        <f t="shared" si="42"/>
        <v/>
      </c>
      <c r="AF87" s="52" t="str">
        <f t="shared" si="42"/>
        <v/>
      </c>
      <c r="AG87" s="52" t="str">
        <f t="shared" si="42"/>
        <v/>
      </c>
      <c r="AH87" s="52" t="str">
        <f t="shared" si="42"/>
        <v/>
      </c>
      <c r="AI87" s="52" t="str">
        <f t="shared" si="42"/>
        <v/>
      </c>
      <c r="AJ87" s="52" t="str">
        <f t="shared" si="42"/>
        <v/>
      </c>
      <c r="AK87" s="52" t="str">
        <f t="shared" si="42"/>
        <v/>
      </c>
      <c r="AL87" s="52" t="str">
        <f t="shared" si="42"/>
        <v/>
      </c>
      <c r="AM87" s="52" t="str">
        <f t="shared" si="42"/>
        <v/>
      </c>
      <c r="AN87" s="52" t="str">
        <f t="shared" si="42"/>
        <v/>
      </c>
      <c r="AO87" s="52" t="str">
        <f t="shared" si="42"/>
        <v/>
      </c>
    </row>
    <row r="88" ht="15" customHeight="1" spans="1:41">
      <c r="A88" s="48"/>
      <c r="B88" s="53">
        <v>1</v>
      </c>
      <c r="C88" s="54"/>
      <c r="D88" s="50"/>
      <c r="E88" s="50"/>
      <c r="F88" s="50"/>
      <c r="G88" s="50">
        <f t="shared" si="38"/>
        <v>0</v>
      </c>
      <c r="H88" s="50">
        <f t="shared" si="39"/>
        <v>0</v>
      </c>
      <c r="I88" s="50" t="s">
        <v>43</v>
      </c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52"/>
      <c r="AK88" s="52"/>
      <c r="AL88" s="52"/>
      <c r="AM88" s="52"/>
      <c r="AN88" s="52"/>
      <c r="AO88" s="52"/>
    </row>
    <row r="89" ht="15" customHeight="1" spans="1:41">
      <c r="A89" s="48"/>
      <c r="B89" s="53">
        <v>2</v>
      </c>
      <c r="C89" s="54"/>
      <c r="D89" s="50"/>
      <c r="E89" s="50"/>
      <c r="F89" s="50"/>
      <c r="G89" s="50">
        <f t="shared" si="38"/>
        <v>0</v>
      </c>
      <c r="H89" s="50">
        <f t="shared" si="39"/>
        <v>0</v>
      </c>
      <c r="I89" s="50" t="s">
        <v>43</v>
      </c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52"/>
      <c r="AK89" s="52"/>
      <c r="AL89" s="52"/>
      <c r="AM89" s="52"/>
      <c r="AN89" s="52"/>
      <c r="AO89" s="52"/>
    </row>
    <row r="90" ht="15" customHeight="1" spans="1:41">
      <c r="A90" s="48"/>
      <c r="B90" s="53">
        <v>3</v>
      </c>
      <c r="C90" s="54"/>
      <c r="D90" s="50"/>
      <c r="E90" s="50"/>
      <c r="F90" s="50"/>
      <c r="G90" s="50">
        <f t="shared" si="38"/>
        <v>0</v>
      </c>
      <c r="H90" s="50">
        <f t="shared" si="39"/>
        <v>0</v>
      </c>
      <c r="I90" s="50" t="s">
        <v>43</v>
      </c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52"/>
      <c r="AK90" s="52"/>
      <c r="AL90" s="52"/>
      <c r="AM90" s="52"/>
      <c r="AN90" s="52"/>
      <c r="AO90" s="52"/>
    </row>
    <row r="91" ht="15" customHeight="1" spans="1:41">
      <c r="A91" s="48"/>
      <c r="B91" s="53">
        <v>4</v>
      </c>
      <c r="C91" s="54"/>
      <c r="D91" s="50"/>
      <c r="E91" s="50"/>
      <c r="F91" s="50"/>
      <c r="G91" s="50">
        <f t="shared" si="38"/>
        <v>0</v>
      </c>
      <c r="H91" s="50">
        <f t="shared" si="39"/>
        <v>0</v>
      </c>
      <c r="I91" s="50" t="s">
        <v>43</v>
      </c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52"/>
      <c r="AK91" s="52"/>
      <c r="AL91" s="52"/>
      <c r="AM91" s="52"/>
      <c r="AN91" s="52"/>
      <c r="AO91" s="52"/>
    </row>
    <row r="92" ht="15" customHeight="1" spans="1:41">
      <c r="A92" s="48"/>
      <c r="B92" s="53" t="s">
        <v>79</v>
      </c>
      <c r="C92" s="54" t="s">
        <v>80</v>
      </c>
      <c r="D92" s="50">
        <v>0</v>
      </c>
      <c r="E92" s="50">
        <v>0.08</v>
      </c>
      <c r="F92" s="50">
        <v>0</v>
      </c>
      <c r="G92" s="50">
        <f t="shared" si="38"/>
        <v>0.08</v>
      </c>
      <c r="H92" s="50">
        <f t="shared" si="39"/>
        <v>0</v>
      </c>
      <c r="I92" s="50" t="s">
        <v>43</v>
      </c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2" t="str">
        <f t="shared" ref="Z92:AO92" si="43">IF(J92="","",IF(J92&gt;($D92+$E92),(J92-$D92-$E92),IF(J92&lt;($D92+$F92),(J92-$D92-$F92),"√")))</f>
        <v/>
      </c>
      <c r="AA92" s="52" t="str">
        <f t="shared" si="43"/>
        <v/>
      </c>
      <c r="AB92" s="52" t="str">
        <f t="shared" si="43"/>
        <v/>
      </c>
      <c r="AC92" s="52" t="str">
        <f t="shared" si="43"/>
        <v/>
      </c>
      <c r="AD92" s="52" t="str">
        <f t="shared" si="43"/>
        <v/>
      </c>
      <c r="AE92" s="52" t="str">
        <f t="shared" si="43"/>
        <v/>
      </c>
      <c r="AF92" s="52" t="str">
        <f t="shared" si="43"/>
        <v/>
      </c>
      <c r="AG92" s="52" t="str">
        <f t="shared" si="43"/>
        <v/>
      </c>
      <c r="AH92" s="52" t="str">
        <f t="shared" si="43"/>
        <v/>
      </c>
      <c r="AI92" s="52" t="str">
        <f t="shared" si="43"/>
        <v/>
      </c>
      <c r="AJ92" s="52" t="str">
        <f t="shared" si="43"/>
        <v/>
      </c>
      <c r="AK92" s="52" t="str">
        <f t="shared" si="43"/>
        <v/>
      </c>
      <c r="AL92" s="52" t="str">
        <f t="shared" si="43"/>
        <v/>
      </c>
      <c r="AM92" s="52" t="str">
        <f t="shared" si="43"/>
        <v/>
      </c>
      <c r="AN92" s="52" t="str">
        <f t="shared" si="43"/>
        <v/>
      </c>
      <c r="AO92" s="52" t="str">
        <f t="shared" si="43"/>
        <v/>
      </c>
    </row>
    <row r="93" ht="15" customHeight="1" spans="1:41">
      <c r="A93" s="48"/>
      <c r="B93" s="53">
        <v>1</v>
      </c>
      <c r="C93" s="54"/>
      <c r="D93" s="50"/>
      <c r="E93" s="50"/>
      <c r="F93" s="50"/>
      <c r="G93" s="50">
        <f t="shared" si="38"/>
        <v>0</v>
      </c>
      <c r="H93" s="50">
        <f t="shared" si="39"/>
        <v>0</v>
      </c>
      <c r="I93" s="50" t="s">
        <v>43</v>
      </c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</row>
    <row r="94" ht="15" customHeight="1" spans="1:41">
      <c r="A94" s="48"/>
      <c r="B94" s="53">
        <v>2</v>
      </c>
      <c r="C94" s="54"/>
      <c r="D94" s="50"/>
      <c r="E94" s="50"/>
      <c r="F94" s="50"/>
      <c r="G94" s="50">
        <f t="shared" si="38"/>
        <v>0</v>
      </c>
      <c r="H94" s="50">
        <f t="shared" si="39"/>
        <v>0</v>
      </c>
      <c r="I94" s="50" t="s">
        <v>43</v>
      </c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</row>
    <row r="95" ht="15" customHeight="1" spans="1:41">
      <c r="A95" s="48"/>
      <c r="B95" s="53">
        <v>3</v>
      </c>
      <c r="C95" s="54"/>
      <c r="D95" s="50"/>
      <c r="E95" s="50"/>
      <c r="F95" s="50"/>
      <c r="G95" s="50">
        <f t="shared" si="38"/>
        <v>0</v>
      </c>
      <c r="H95" s="50">
        <f t="shared" si="39"/>
        <v>0</v>
      </c>
      <c r="I95" s="50" t="s">
        <v>43</v>
      </c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52"/>
      <c r="AK95" s="52"/>
      <c r="AL95" s="52"/>
      <c r="AM95" s="52"/>
      <c r="AN95" s="52"/>
      <c r="AO95" s="52"/>
    </row>
    <row r="96" ht="15" customHeight="1" spans="1:41">
      <c r="A96" s="48"/>
      <c r="B96" s="53">
        <v>4</v>
      </c>
      <c r="C96" s="54"/>
      <c r="D96" s="50"/>
      <c r="E96" s="50"/>
      <c r="F96" s="50"/>
      <c r="G96" s="50">
        <f t="shared" si="38"/>
        <v>0</v>
      </c>
      <c r="H96" s="50">
        <f t="shared" si="39"/>
        <v>0</v>
      </c>
      <c r="I96" s="50" t="s">
        <v>43</v>
      </c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52"/>
      <c r="AK96" s="52"/>
      <c r="AL96" s="52"/>
      <c r="AM96" s="52"/>
      <c r="AN96" s="52"/>
      <c r="AO96" s="52"/>
    </row>
    <row r="97" ht="15" customHeight="1" spans="1:41">
      <c r="A97" s="48"/>
      <c r="B97" s="53" t="s">
        <v>81</v>
      </c>
      <c r="C97" s="54"/>
      <c r="D97" s="50">
        <v>0</v>
      </c>
      <c r="E97" s="50">
        <v>0.05</v>
      </c>
      <c r="F97" s="50">
        <v>0</v>
      </c>
      <c r="G97" s="50">
        <f t="shared" si="38"/>
        <v>0.05</v>
      </c>
      <c r="H97" s="50">
        <f t="shared" si="39"/>
        <v>0</v>
      </c>
      <c r="I97" s="50" t="s">
        <v>43</v>
      </c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2" t="str">
        <f t="shared" ref="Z97:AO97" si="44">IF(J97="","",IF(J97&gt;($D97+$E97),(J97-$D97-$E97),IF(J97&lt;($D97+$F97),(J97-$D97-$F97),"√")))</f>
        <v/>
      </c>
      <c r="AA97" s="52" t="str">
        <f t="shared" si="44"/>
        <v/>
      </c>
      <c r="AB97" s="52" t="str">
        <f t="shared" si="44"/>
        <v/>
      </c>
      <c r="AC97" s="52" t="str">
        <f t="shared" si="44"/>
        <v/>
      </c>
      <c r="AD97" s="52" t="str">
        <f t="shared" si="44"/>
        <v/>
      </c>
      <c r="AE97" s="52" t="str">
        <f t="shared" si="44"/>
        <v/>
      </c>
      <c r="AF97" s="52" t="str">
        <f t="shared" si="44"/>
        <v/>
      </c>
      <c r="AG97" s="52" t="str">
        <f t="shared" si="44"/>
        <v/>
      </c>
      <c r="AH97" s="52" t="str">
        <f t="shared" si="44"/>
        <v/>
      </c>
      <c r="AI97" s="52" t="str">
        <f t="shared" si="44"/>
        <v/>
      </c>
      <c r="AJ97" s="52" t="str">
        <f t="shared" si="44"/>
        <v/>
      </c>
      <c r="AK97" s="52" t="str">
        <f t="shared" si="44"/>
        <v/>
      </c>
      <c r="AL97" s="52" t="str">
        <f t="shared" si="44"/>
        <v/>
      </c>
      <c r="AM97" s="52" t="str">
        <f t="shared" si="44"/>
        <v/>
      </c>
      <c r="AN97" s="52" t="str">
        <f t="shared" si="44"/>
        <v/>
      </c>
      <c r="AO97" s="52" t="str">
        <f t="shared" si="44"/>
        <v/>
      </c>
    </row>
    <row r="98" ht="15" customHeight="1" spans="1:41">
      <c r="A98" s="48"/>
      <c r="B98" s="53" t="s">
        <v>82</v>
      </c>
      <c r="C98" s="54"/>
      <c r="D98" s="50"/>
      <c r="E98" s="50"/>
      <c r="F98" s="50"/>
      <c r="G98" s="50">
        <f t="shared" si="38"/>
        <v>0</v>
      </c>
      <c r="H98" s="50">
        <f t="shared" si="39"/>
        <v>0</v>
      </c>
      <c r="I98" s="50" t="s">
        <v>43</v>
      </c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52"/>
      <c r="AN98" s="52"/>
      <c r="AO98" s="52"/>
    </row>
    <row r="99" ht="15" customHeight="1" spans="1:41">
      <c r="A99" s="48"/>
      <c r="B99" s="53" t="s">
        <v>83</v>
      </c>
      <c r="C99" s="54"/>
      <c r="D99" s="50"/>
      <c r="E99" s="50"/>
      <c r="F99" s="50"/>
      <c r="G99" s="50">
        <f t="shared" si="38"/>
        <v>0</v>
      </c>
      <c r="H99" s="50">
        <f t="shared" si="39"/>
        <v>0</v>
      </c>
      <c r="I99" s="50" t="s">
        <v>43</v>
      </c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52"/>
      <c r="AK99" s="52"/>
      <c r="AL99" s="52"/>
      <c r="AM99" s="52"/>
      <c r="AN99" s="52"/>
      <c r="AO99" s="52"/>
    </row>
    <row r="100" ht="15" customHeight="1" spans="1:41">
      <c r="A100" s="48"/>
      <c r="B100" s="53" t="s">
        <v>84</v>
      </c>
      <c r="C100" s="54"/>
      <c r="D100" s="50">
        <v>0</v>
      </c>
      <c r="E100" s="50">
        <v>0.04</v>
      </c>
      <c r="F100" s="50">
        <v>0</v>
      </c>
      <c r="G100" s="50">
        <f t="shared" si="38"/>
        <v>0.04</v>
      </c>
      <c r="H100" s="50">
        <f t="shared" si="39"/>
        <v>0</v>
      </c>
      <c r="I100" s="50" t="s">
        <v>43</v>
      </c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2" t="str">
        <f t="shared" ref="Z100:AO100" si="45">IF(J100="","",IF(J100&gt;($D100+$E100),(J100-$D100-$E100),IF(J100&lt;($D100+$F100),(J100-$D100-$F100),"√")))</f>
        <v/>
      </c>
      <c r="AA100" s="52" t="str">
        <f t="shared" si="45"/>
        <v/>
      </c>
      <c r="AB100" s="52" t="str">
        <f t="shared" si="45"/>
        <v/>
      </c>
      <c r="AC100" s="52" t="str">
        <f t="shared" si="45"/>
        <v/>
      </c>
      <c r="AD100" s="52" t="str">
        <f t="shared" si="45"/>
        <v/>
      </c>
      <c r="AE100" s="52" t="str">
        <f t="shared" si="45"/>
        <v/>
      </c>
      <c r="AF100" s="52" t="str">
        <f t="shared" si="45"/>
        <v/>
      </c>
      <c r="AG100" s="52" t="str">
        <f t="shared" si="45"/>
        <v/>
      </c>
      <c r="AH100" s="52" t="str">
        <f t="shared" si="45"/>
        <v/>
      </c>
      <c r="AI100" s="52" t="str">
        <f t="shared" si="45"/>
        <v/>
      </c>
      <c r="AJ100" s="52" t="str">
        <f t="shared" si="45"/>
        <v/>
      </c>
      <c r="AK100" s="52" t="str">
        <f t="shared" si="45"/>
        <v/>
      </c>
      <c r="AL100" s="52" t="str">
        <f t="shared" si="45"/>
        <v/>
      </c>
      <c r="AM100" s="52" t="str">
        <f t="shared" si="45"/>
        <v/>
      </c>
      <c r="AN100" s="52" t="str">
        <f t="shared" si="45"/>
        <v/>
      </c>
      <c r="AO100" s="52" t="str">
        <f t="shared" si="45"/>
        <v/>
      </c>
    </row>
    <row r="101" ht="15" customHeight="1" spans="1:41">
      <c r="A101" s="48"/>
      <c r="B101" s="53">
        <v>1</v>
      </c>
      <c r="C101" s="54"/>
      <c r="D101" s="50"/>
      <c r="E101" s="50"/>
      <c r="F101" s="50"/>
      <c r="G101" s="50">
        <f t="shared" si="38"/>
        <v>0</v>
      </c>
      <c r="H101" s="50">
        <f t="shared" si="39"/>
        <v>0</v>
      </c>
      <c r="I101" s="50" t="s">
        <v>43</v>
      </c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2"/>
      <c r="AA101" s="52"/>
      <c r="AB101" s="52"/>
      <c r="AC101" s="52"/>
      <c r="AD101" s="52"/>
      <c r="AE101" s="52"/>
      <c r="AF101" s="52"/>
      <c r="AG101" s="52"/>
      <c r="AH101" s="52"/>
      <c r="AI101" s="52"/>
      <c r="AJ101" s="52"/>
      <c r="AK101" s="52"/>
      <c r="AL101" s="52"/>
      <c r="AM101" s="52"/>
      <c r="AN101" s="52"/>
      <c r="AO101" s="52"/>
    </row>
    <row r="102" ht="15" customHeight="1" spans="1:41">
      <c r="A102" s="48"/>
      <c r="B102" s="53">
        <v>2</v>
      </c>
      <c r="C102" s="54"/>
      <c r="D102" s="50"/>
      <c r="E102" s="50"/>
      <c r="F102" s="50"/>
      <c r="G102" s="50">
        <f t="shared" si="38"/>
        <v>0</v>
      </c>
      <c r="H102" s="50">
        <f t="shared" si="39"/>
        <v>0</v>
      </c>
      <c r="I102" s="50" t="s">
        <v>43</v>
      </c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2"/>
      <c r="AA102" s="52"/>
      <c r="AB102" s="52"/>
      <c r="AC102" s="52"/>
      <c r="AD102" s="52"/>
      <c r="AE102" s="52"/>
      <c r="AF102" s="52"/>
      <c r="AG102" s="52"/>
      <c r="AH102" s="52"/>
      <c r="AI102" s="52"/>
      <c r="AJ102" s="52"/>
      <c r="AK102" s="52"/>
      <c r="AL102" s="52"/>
      <c r="AM102" s="52"/>
      <c r="AN102" s="52"/>
      <c r="AO102" s="52"/>
    </row>
    <row r="103" ht="15.75" customHeight="1" spans="1:41">
      <c r="A103" s="48"/>
      <c r="B103" s="53" t="s">
        <v>85</v>
      </c>
      <c r="C103" s="54"/>
      <c r="D103" s="50">
        <v>0</v>
      </c>
      <c r="E103" s="50">
        <v>0.04</v>
      </c>
      <c r="F103" s="50">
        <v>0</v>
      </c>
      <c r="G103" s="50">
        <f t="shared" si="38"/>
        <v>0.04</v>
      </c>
      <c r="H103" s="50">
        <f t="shared" si="39"/>
        <v>0</v>
      </c>
      <c r="I103" s="50" t="s">
        <v>43</v>
      </c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2" t="str">
        <f t="shared" ref="Z103:AO103" si="46">IF(J103="","",IF(J103&gt;($D103+$E103),(J103-$D103-$E103),IF(J103&lt;($D103+$F103),(J103-$D103-$F103),"√")))</f>
        <v/>
      </c>
      <c r="AA103" s="52" t="str">
        <f t="shared" si="46"/>
        <v/>
      </c>
      <c r="AB103" s="52" t="str">
        <f t="shared" si="46"/>
        <v/>
      </c>
      <c r="AC103" s="52" t="str">
        <f t="shared" si="46"/>
        <v/>
      </c>
      <c r="AD103" s="52" t="str">
        <f t="shared" si="46"/>
        <v/>
      </c>
      <c r="AE103" s="52" t="str">
        <f t="shared" si="46"/>
        <v/>
      </c>
      <c r="AF103" s="52" t="str">
        <f t="shared" si="46"/>
        <v/>
      </c>
      <c r="AG103" s="52" t="str">
        <f t="shared" si="46"/>
        <v/>
      </c>
      <c r="AH103" s="52" t="str">
        <f t="shared" si="46"/>
        <v/>
      </c>
      <c r="AI103" s="52" t="str">
        <f t="shared" si="46"/>
        <v/>
      </c>
      <c r="AJ103" s="52" t="str">
        <f t="shared" si="46"/>
        <v/>
      </c>
      <c r="AK103" s="52" t="str">
        <f t="shared" si="46"/>
        <v/>
      </c>
      <c r="AL103" s="52" t="str">
        <f t="shared" si="46"/>
        <v/>
      </c>
      <c r="AM103" s="52" t="str">
        <f t="shared" si="46"/>
        <v/>
      </c>
      <c r="AN103" s="52" t="str">
        <f t="shared" si="46"/>
        <v/>
      </c>
      <c r="AO103" s="52" t="str">
        <f t="shared" si="46"/>
        <v/>
      </c>
    </row>
    <row r="104" ht="15" customHeight="1" spans="1:41">
      <c r="A104" s="48"/>
      <c r="B104" s="53">
        <v>1</v>
      </c>
      <c r="C104" s="54"/>
      <c r="D104" s="50"/>
      <c r="E104" s="50"/>
      <c r="F104" s="50"/>
      <c r="G104" s="50">
        <f t="shared" si="38"/>
        <v>0</v>
      </c>
      <c r="H104" s="50">
        <f t="shared" si="39"/>
        <v>0</v>
      </c>
      <c r="I104" s="50" t="s">
        <v>43</v>
      </c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2"/>
      <c r="AA104" s="52"/>
      <c r="AB104" s="52"/>
      <c r="AC104" s="52"/>
      <c r="AD104" s="52"/>
      <c r="AE104" s="52"/>
      <c r="AF104" s="52"/>
      <c r="AG104" s="52"/>
      <c r="AH104" s="52"/>
      <c r="AI104" s="52"/>
      <c r="AJ104" s="52"/>
      <c r="AK104" s="52"/>
      <c r="AL104" s="52"/>
      <c r="AM104" s="52"/>
      <c r="AN104" s="52"/>
      <c r="AO104" s="52"/>
    </row>
    <row r="105" ht="15.75" customHeight="1" spans="1:41">
      <c r="A105" s="48"/>
      <c r="B105" s="53">
        <v>2</v>
      </c>
      <c r="C105" s="54"/>
      <c r="D105" s="50"/>
      <c r="E105" s="50"/>
      <c r="F105" s="50"/>
      <c r="G105" s="50">
        <f t="shared" si="38"/>
        <v>0</v>
      </c>
      <c r="H105" s="50">
        <f t="shared" si="39"/>
        <v>0</v>
      </c>
      <c r="I105" s="50" t="s">
        <v>43</v>
      </c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2"/>
      <c r="AA105" s="52"/>
      <c r="AB105" s="52"/>
      <c r="AC105" s="52"/>
      <c r="AD105" s="52"/>
      <c r="AE105" s="52"/>
      <c r="AF105" s="52"/>
      <c r="AG105" s="52"/>
      <c r="AH105" s="52"/>
      <c r="AI105" s="52"/>
      <c r="AJ105" s="52"/>
      <c r="AK105" s="52"/>
      <c r="AL105" s="52"/>
      <c r="AM105" s="52"/>
      <c r="AN105" s="52"/>
      <c r="AO105" s="52"/>
    </row>
    <row r="106" ht="15.75" customHeight="1" spans="1:41">
      <c r="A106" s="48"/>
      <c r="B106" s="53">
        <v>3</v>
      </c>
      <c r="C106" s="54"/>
      <c r="D106" s="50"/>
      <c r="E106" s="50"/>
      <c r="F106" s="50"/>
      <c r="G106" s="50">
        <f t="shared" si="38"/>
        <v>0</v>
      </c>
      <c r="H106" s="50">
        <f t="shared" si="39"/>
        <v>0</v>
      </c>
      <c r="I106" s="50" t="s">
        <v>43</v>
      </c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2"/>
      <c r="AA106" s="52"/>
      <c r="AB106" s="52"/>
      <c r="AC106" s="52"/>
      <c r="AD106" s="52"/>
      <c r="AE106" s="52"/>
      <c r="AF106" s="52"/>
      <c r="AG106" s="52"/>
      <c r="AH106" s="52"/>
      <c r="AI106" s="52"/>
      <c r="AJ106" s="52"/>
      <c r="AK106" s="52"/>
      <c r="AL106" s="52"/>
      <c r="AM106" s="52"/>
      <c r="AN106" s="52"/>
      <c r="AO106" s="52"/>
    </row>
    <row r="107" ht="15.75" customHeight="1" spans="1:41">
      <c r="A107" s="48"/>
      <c r="B107" s="53" t="s">
        <v>86</v>
      </c>
      <c r="C107" s="54" t="s">
        <v>87</v>
      </c>
      <c r="D107" s="50">
        <v>0</v>
      </c>
      <c r="E107" s="50">
        <v>0.05</v>
      </c>
      <c r="F107" s="50">
        <v>0</v>
      </c>
      <c r="G107" s="50">
        <f t="shared" si="38"/>
        <v>0.05</v>
      </c>
      <c r="H107" s="50">
        <f t="shared" si="39"/>
        <v>0</v>
      </c>
      <c r="I107" s="50" t="s">
        <v>43</v>
      </c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2" t="str">
        <f t="shared" ref="Z107:AO107" si="47">IF(J107="","",IF(J107&gt;($D107+$E107),(J107-$D107-$E107),IF(J107&lt;($D107+$F107),(J107-$D107-$F107),"√")))</f>
        <v/>
      </c>
      <c r="AA107" s="52" t="str">
        <f t="shared" si="47"/>
        <v/>
      </c>
      <c r="AB107" s="52" t="str">
        <f t="shared" si="47"/>
        <v/>
      </c>
      <c r="AC107" s="52" t="str">
        <f t="shared" si="47"/>
        <v/>
      </c>
      <c r="AD107" s="52" t="str">
        <f t="shared" si="47"/>
        <v/>
      </c>
      <c r="AE107" s="52" t="str">
        <f t="shared" si="47"/>
        <v/>
      </c>
      <c r="AF107" s="52" t="str">
        <f t="shared" si="47"/>
        <v/>
      </c>
      <c r="AG107" s="52" t="str">
        <f t="shared" si="47"/>
        <v/>
      </c>
      <c r="AH107" s="52" t="str">
        <f t="shared" si="47"/>
        <v/>
      </c>
      <c r="AI107" s="52" t="str">
        <f t="shared" si="47"/>
        <v/>
      </c>
      <c r="AJ107" s="52" t="str">
        <f t="shared" si="47"/>
        <v/>
      </c>
      <c r="AK107" s="52" t="str">
        <f t="shared" si="47"/>
        <v/>
      </c>
      <c r="AL107" s="52" t="str">
        <f t="shared" si="47"/>
        <v/>
      </c>
      <c r="AM107" s="52" t="str">
        <f t="shared" si="47"/>
        <v/>
      </c>
      <c r="AN107" s="52" t="str">
        <f t="shared" si="47"/>
        <v/>
      </c>
      <c r="AO107" s="52" t="str">
        <f t="shared" si="47"/>
        <v/>
      </c>
    </row>
    <row r="108" ht="15.75" customHeight="1" spans="1:41">
      <c r="A108" s="48"/>
      <c r="B108" s="53">
        <v>1</v>
      </c>
      <c r="C108" s="54"/>
      <c r="D108" s="50"/>
      <c r="E108" s="50"/>
      <c r="F108" s="50"/>
      <c r="G108" s="50">
        <f t="shared" si="38"/>
        <v>0</v>
      </c>
      <c r="H108" s="50">
        <f t="shared" si="39"/>
        <v>0</v>
      </c>
      <c r="I108" s="50" t="s">
        <v>43</v>
      </c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2"/>
      <c r="AA108" s="52"/>
      <c r="AB108" s="52"/>
      <c r="AC108" s="52"/>
      <c r="AD108" s="52"/>
      <c r="AE108" s="52"/>
      <c r="AF108" s="52"/>
      <c r="AG108" s="52"/>
      <c r="AH108" s="52"/>
      <c r="AI108" s="52"/>
      <c r="AJ108" s="52"/>
      <c r="AK108" s="52"/>
      <c r="AL108" s="52"/>
      <c r="AM108" s="52"/>
      <c r="AN108" s="52"/>
      <c r="AO108" s="52"/>
    </row>
    <row r="109" ht="15.75" customHeight="1" spans="1:41">
      <c r="A109" s="48"/>
      <c r="B109" s="53">
        <v>2</v>
      </c>
      <c r="C109" s="54"/>
      <c r="D109" s="50"/>
      <c r="E109" s="50"/>
      <c r="F109" s="50"/>
      <c r="G109" s="50">
        <f t="shared" si="38"/>
        <v>0</v>
      </c>
      <c r="H109" s="50">
        <f t="shared" si="39"/>
        <v>0</v>
      </c>
      <c r="I109" s="50" t="s">
        <v>43</v>
      </c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2"/>
      <c r="AA109" s="52"/>
      <c r="AB109" s="52"/>
      <c r="AC109" s="52"/>
      <c r="AD109" s="52"/>
      <c r="AE109" s="52"/>
      <c r="AF109" s="52"/>
      <c r="AG109" s="52"/>
      <c r="AH109" s="52"/>
      <c r="AI109" s="52"/>
      <c r="AJ109" s="52"/>
      <c r="AK109" s="52"/>
      <c r="AL109" s="52"/>
      <c r="AM109" s="52"/>
      <c r="AN109" s="52"/>
      <c r="AO109" s="52"/>
    </row>
    <row r="110" ht="15.75" customHeight="1" spans="1:41">
      <c r="A110" s="48"/>
      <c r="B110" s="53">
        <v>3</v>
      </c>
      <c r="C110" s="54"/>
      <c r="D110" s="50"/>
      <c r="E110" s="50"/>
      <c r="F110" s="50"/>
      <c r="G110" s="50">
        <f t="shared" si="38"/>
        <v>0</v>
      </c>
      <c r="H110" s="50">
        <f t="shared" si="39"/>
        <v>0</v>
      </c>
      <c r="I110" s="50" t="s">
        <v>43</v>
      </c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2"/>
      <c r="AA110" s="52"/>
      <c r="AB110" s="52"/>
      <c r="AC110" s="52"/>
      <c r="AD110" s="52"/>
      <c r="AE110" s="52"/>
      <c r="AF110" s="52"/>
      <c r="AG110" s="52"/>
      <c r="AH110" s="52"/>
      <c r="AI110" s="52"/>
      <c r="AJ110" s="52"/>
      <c r="AK110" s="52"/>
      <c r="AL110" s="52"/>
      <c r="AM110" s="52"/>
      <c r="AN110" s="52"/>
      <c r="AO110" s="52"/>
    </row>
    <row r="111" ht="15.75" customHeight="1" spans="1:41">
      <c r="A111" s="48"/>
      <c r="B111" s="53">
        <v>4</v>
      </c>
      <c r="C111" s="54"/>
      <c r="D111" s="50"/>
      <c r="E111" s="50"/>
      <c r="F111" s="50"/>
      <c r="G111" s="50">
        <f t="shared" si="38"/>
        <v>0</v>
      </c>
      <c r="H111" s="50">
        <f t="shared" si="39"/>
        <v>0</v>
      </c>
      <c r="I111" s="50" t="s">
        <v>43</v>
      </c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2"/>
      <c r="AA111" s="52"/>
      <c r="AB111" s="52"/>
      <c r="AC111" s="52"/>
      <c r="AD111" s="52"/>
      <c r="AE111" s="52"/>
      <c r="AF111" s="52"/>
      <c r="AG111" s="52"/>
      <c r="AH111" s="52"/>
      <c r="AI111" s="52"/>
      <c r="AJ111" s="52"/>
      <c r="AK111" s="52"/>
      <c r="AL111" s="52"/>
      <c r="AM111" s="52"/>
      <c r="AN111" s="52"/>
      <c r="AO111" s="52"/>
    </row>
    <row r="112" ht="15.75" customHeight="1" spans="1:41">
      <c r="A112" s="48"/>
      <c r="B112" s="53">
        <v>5</v>
      </c>
      <c r="C112" s="54"/>
      <c r="D112" s="50"/>
      <c r="E112" s="50"/>
      <c r="F112" s="50"/>
      <c r="G112" s="50">
        <f t="shared" si="38"/>
        <v>0</v>
      </c>
      <c r="H112" s="50">
        <f t="shared" si="39"/>
        <v>0</v>
      </c>
      <c r="I112" s="50" t="s">
        <v>43</v>
      </c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2"/>
      <c r="AA112" s="52"/>
      <c r="AB112" s="52"/>
      <c r="AC112" s="52"/>
      <c r="AD112" s="52"/>
      <c r="AE112" s="52"/>
      <c r="AF112" s="52"/>
      <c r="AG112" s="52"/>
      <c r="AH112" s="52"/>
      <c r="AI112" s="52"/>
      <c r="AJ112" s="52"/>
      <c r="AK112" s="52"/>
      <c r="AL112" s="52"/>
      <c r="AM112" s="52"/>
      <c r="AN112" s="52"/>
      <c r="AO112" s="52"/>
    </row>
    <row r="113" ht="15.75" customHeight="1" spans="1:41">
      <c r="A113" s="48"/>
      <c r="B113" s="53" t="s">
        <v>88</v>
      </c>
      <c r="C113" s="54" t="s">
        <v>89</v>
      </c>
      <c r="D113" s="50">
        <v>0.915</v>
      </c>
      <c r="E113" s="50">
        <v>0.015</v>
      </c>
      <c r="F113" s="50">
        <v>-0.01</v>
      </c>
      <c r="G113" s="50">
        <f t="shared" si="38"/>
        <v>0.93</v>
      </c>
      <c r="H113" s="50">
        <f t="shared" si="39"/>
        <v>0.905</v>
      </c>
      <c r="I113" s="50" t="s">
        <v>90</v>
      </c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2" t="str">
        <f t="shared" ref="Z113:AO113" si="48">IF(J113="","",IF(J113&gt;($D113+$E113),(J113-$D113-$E113),IF(J113&lt;($D113+$F113),(J113-$D113-$F113),"√")))</f>
        <v/>
      </c>
      <c r="AA113" s="52" t="str">
        <f t="shared" si="48"/>
        <v/>
      </c>
      <c r="AB113" s="52" t="str">
        <f t="shared" si="48"/>
        <v/>
      </c>
      <c r="AC113" s="52" t="str">
        <f t="shared" si="48"/>
        <v/>
      </c>
      <c r="AD113" s="52" t="str">
        <f t="shared" si="48"/>
        <v/>
      </c>
      <c r="AE113" s="52" t="str">
        <f t="shared" si="48"/>
        <v/>
      </c>
      <c r="AF113" s="52" t="str">
        <f t="shared" si="48"/>
        <v/>
      </c>
      <c r="AG113" s="52" t="str">
        <f t="shared" si="48"/>
        <v/>
      </c>
      <c r="AH113" s="52" t="str">
        <f t="shared" si="48"/>
        <v/>
      </c>
      <c r="AI113" s="52" t="str">
        <f t="shared" si="48"/>
        <v/>
      </c>
      <c r="AJ113" s="52" t="str">
        <f t="shared" si="48"/>
        <v/>
      </c>
      <c r="AK113" s="52" t="str">
        <f t="shared" si="48"/>
        <v/>
      </c>
      <c r="AL113" s="52" t="str">
        <f t="shared" si="48"/>
        <v/>
      </c>
      <c r="AM113" s="52" t="str">
        <f t="shared" si="48"/>
        <v/>
      </c>
      <c r="AN113" s="52" t="str">
        <f t="shared" si="48"/>
        <v/>
      </c>
      <c r="AO113" s="52" t="str">
        <f t="shared" si="48"/>
        <v/>
      </c>
    </row>
    <row r="114" ht="15.75" customHeight="1" spans="1:41">
      <c r="A114" s="48"/>
      <c r="B114" s="53" t="s">
        <v>91</v>
      </c>
      <c r="C114" s="54"/>
      <c r="D114" s="50">
        <v>0.65</v>
      </c>
      <c r="E114" s="50">
        <v>0.03</v>
      </c>
      <c r="F114" s="50">
        <v>-0.03</v>
      </c>
      <c r="G114" s="50">
        <f t="shared" si="38"/>
        <v>0.68</v>
      </c>
      <c r="H114" s="50">
        <f t="shared" si="39"/>
        <v>0.62</v>
      </c>
      <c r="I114" s="50" t="s">
        <v>92</v>
      </c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2" t="str">
        <f t="shared" ref="Z114:AO114" si="49">IF(J114="","",IF(J114&gt;($D114+$E114),(J114-$D114-$E114),IF(J114&lt;($D114+$F114),(J114-$D114-$F114),"√")))</f>
        <v/>
      </c>
      <c r="AA114" s="52" t="str">
        <f t="shared" si="49"/>
        <v/>
      </c>
      <c r="AB114" s="52" t="str">
        <f t="shared" si="49"/>
        <v/>
      </c>
      <c r="AC114" s="52" t="str">
        <f t="shared" si="49"/>
        <v/>
      </c>
      <c r="AD114" s="52" t="str">
        <f t="shared" si="49"/>
        <v/>
      </c>
      <c r="AE114" s="52" t="str">
        <f t="shared" si="49"/>
        <v/>
      </c>
      <c r="AF114" s="52" t="str">
        <f t="shared" si="49"/>
        <v/>
      </c>
      <c r="AG114" s="52" t="str">
        <f t="shared" si="49"/>
        <v/>
      </c>
      <c r="AH114" s="52" t="str">
        <f t="shared" si="49"/>
        <v/>
      </c>
      <c r="AI114" s="52" t="str">
        <f t="shared" si="49"/>
        <v/>
      </c>
      <c r="AJ114" s="52" t="str">
        <f t="shared" si="49"/>
        <v/>
      </c>
      <c r="AK114" s="52" t="str">
        <f t="shared" si="49"/>
        <v/>
      </c>
      <c r="AL114" s="52" t="str">
        <f t="shared" si="49"/>
        <v/>
      </c>
      <c r="AM114" s="52" t="str">
        <f t="shared" si="49"/>
        <v/>
      </c>
      <c r="AN114" s="52" t="str">
        <f t="shared" si="49"/>
        <v/>
      </c>
      <c r="AO114" s="52" t="str">
        <f t="shared" si="49"/>
        <v/>
      </c>
    </row>
    <row r="115" ht="15.75" customHeight="1" spans="1:41">
      <c r="A115" s="48"/>
      <c r="B115" s="53" t="s">
        <v>93</v>
      </c>
      <c r="C115" s="54"/>
      <c r="D115" s="50">
        <v>0.65</v>
      </c>
      <c r="E115" s="50">
        <v>0.05</v>
      </c>
      <c r="F115" s="50">
        <v>-0.05</v>
      </c>
      <c r="G115" s="50">
        <f t="shared" si="38"/>
        <v>0.7</v>
      </c>
      <c r="H115" s="50">
        <f t="shared" si="39"/>
        <v>0.6</v>
      </c>
      <c r="I115" s="50" t="s">
        <v>92</v>
      </c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2" t="str">
        <f t="shared" ref="Z115:AO115" si="50">IF(J115="","",IF(J115&gt;($D115+$E115),(J115-$D115-$E115),IF(J115&lt;($D115+$F115),(J115-$D115-$F115),"√")))</f>
        <v/>
      </c>
      <c r="AA115" s="52" t="str">
        <f t="shared" si="50"/>
        <v/>
      </c>
      <c r="AB115" s="52" t="str">
        <f t="shared" si="50"/>
        <v/>
      </c>
      <c r="AC115" s="52" t="str">
        <f t="shared" si="50"/>
        <v/>
      </c>
      <c r="AD115" s="52" t="str">
        <f t="shared" si="50"/>
        <v/>
      </c>
      <c r="AE115" s="52" t="str">
        <f t="shared" si="50"/>
        <v/>
      </c>
      <c r="AF115" s="52" t="str">
        <f t="shared" si="50"/>
        <v/>
      </c>
      <c r="AG115" s="52" t="str">
        <f t="shared" si="50"/>
        <v/>
      </c>
      <c r="AH115" s="52" t="str">
        <f t="shared" si="50"/>
        <v/>
      </c>
      <c r="AI115" s="52" t="str">
        <f t="shared" si="50"/>
        <v/>
      </c>
      <c r="AJ115" s="52" t="str">
        <f t="shared" si="50"/>
        <v/>
      </c>
      <c r="AK115" s="52" t="str">
        <f t="shared" si="50"/>
        <v/>
      </c>
      <c r="AL115" s="52" t="str">
        <f t="shared" si="50"/>
        <v/>
      </c>
      <c r="AM115" s="52" t="str">
        <f t="shared" si="50"/>
        <v/>
      </c>
      <c r="AN115" s="52" t="str">
        <f t="shared" si="50"/>
        <v/>
      </c>
      <c r="AO115" s="52" t="str">
        <f t="shared" si="50"/>
        <v/>
      </c>
    </row>
    <row r="116" ht="15.75" customHeight="1" spans="1:41">
      <c r="A116" s="48"/>
      <c r="B116" s="53" t="s">
        <v>94</v>
      </c>
      <c r="C116" s="54"/>
      <c r="D116" s="50">
        <v>0.65</v>
      </c>
      <c r="E116" s="50">
        <v>0.05</v>
      </c>
      <c r="F116" s="50">
        <v>-0.05</v>
      </c>
      <c r="G116" s="50">
        <f t="shared" si="38"/>
        <v>0.7</v>
      </c>
      <c r="H116" s="50">
        <f t="shared" si="39"/>
        <v>0.6</v>
      </c>
      <c r="I116" s="50" t="s">
        <v>92</v>
      </c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2" t="str">
        <f t="shared" ref="Z116:AO116" si="51">IF(J116="","",IF(J116&gt;($D116+$E116),(J116-$D116-$E116),IF(J116&lt;($D116+$F116),(J116-$D116-$F116),"√")))</f>
        <v/>
      </c>
      <c r="AA116" s="52" t="str">
        <f t="shared" si="51"/>
        <v/>
      </c>
      <c r="AB116" s="52" t="str">
        <f t="shared" si="51"/>
        <v/>
      </c>
      <c r="AC116" s="52" t="str">
        <f t="shared" si="51"/>
        <v/>
      </c>
      <c r="AD116" s="52" t="str">
        <f t="shared" si="51"/>
        <v/>
      </c>
      <c r="AE116" s="52" t="str">
        <f t="shared" si="51"/>
        <v/>
      </c>
      <c r="AF116" s="52" t="str">
        <f t="shared" si="51"/>
        <v/>
      </c>
      <c r="AG116" s="52" t="str">
        <f t="shared" si="51"/>
        <v/>
      </c>
      <c r="AH116" s="52" t="str">
        <f t="shared" si="51"/>
        <v/>
      </c>
      <c r="AI116" s="52" t="str">
        <f t="shared" si="51"/>
        <v/>
      </c>
      <c r="AJ116" s="52" t="str">
        <f t="shared" si="51"/>
        <v/>
      </c>
      <c r="AK116" s="52" t="str">
        <f t="shared" si="51"/>
        <v/>
      </c>
      <c r="AL116" s="52" t="str">
        <f t="shared" si="51"/>
        <v/>
      </c>
      <c r="AM116" s="52" t="str">
        <f t="shared" si="51"/>
        <v/>
      </c>
      <c r="AN116" s="52" t="str">
        <f t="shared" si="51"/>
        <v/>
      </c>
      <c r="AO116" s="52" t="str">
        <f t="shared" si="51"/>
        <v/>
      </c>
    </row>
    <row r="117" ht="15.75" customHeight="1" spans="1:41">
      <c r="A117" s="48"/>
      <c r="B117" s="53" t="s">
        <v>95</v>
      </c>
      <c r="C117" s="54" t="s">
        <v>96</v>
      </c>
      <c r="D117" s="50">
        <v>0.4</v>
      </c>
      <c r="E117" s="50">
        <v>0.03</v>
      </c>
      <c r="F117" s="50">
        <v>-0.03</v>
      </c>
      <c r="G117" s="50">
        <f t="shared" si="38"/>
        <v>0.43</v>
      </c>
      <c r="H117" s="50">
        <f t="shared" si="39"/>
        <v>0.37</v>
      </c>
      <c r="I117" s="50" t="s">
        <v>92</v>
      </c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2" t="str">
        <f t="shared" ref="Z117:AO117" si="52">IF(J117="","",IF(J117&gt;($D117+$E117),(J117-$D117-$E117),IF(J117&lt;($D117+$F117),(J117-$D117-$F117),"√")))</f>
        <v/>
      </c>
      <c r="AA117" s="52" t="str">
        <f t="shared" si="52"/>
        <v/>
      </c>
      <c r="AB117" s="52" t="str">
        <f t="shared" si="52"/>
        <v/>
      </c>
      <c r="AC117" s="52" t="str">
        <f t="shared" si="52"/>
        <v/>
      </c>
      <c r="AD117" s="52" t="str">
        <f t="shared" si="52"/>
        <v/>
      </c>
      <c r="AE117" s="52" t="str">
        <f t="shared" si="52"/>
        <v/>
      </c>
      <c r="AF117" s="52" t="str">
        <f t="shared" si="52"/>
        <v/>
      </c>
      <c r="AG117" s="52" t="str">
        <f t="shared" si="52"/>
        <v/>
      </c>
      <c r="AH117" s="52" t="str">
        <f t="shared" si="52"/>
        <v/>
      </c>
      <c r="AI117" s="52" t="str">
        <f t="shared" si="52"/>
        <v/>
      </c>
      <c r="AJ117" s="52" t="str">
        <f t="shared" si="52"/>
        <v/>
      </c>
      <c r="AK117" s="52" t="str">
        <f t="shared" si="52"/>
        <v/>
      </c>
      <c r="AL117" s="52" t="str">
        <f t="shared" si="52"/>
        <v/>
      </c>
      <c r="AM117" s="52" t="str">
        <f t="shared" si="52"/>
        <v/>
      </c>
      <c r="AN117" s="52" t="str">
        <f t="shared" si="52"/>
        <v/>
      </c>
      <c r="AO117" s="52" t="str">
        <f t="shared" si="52"/>
        <v/>
      </c>
    </row>
    <row r="118" ht="15.75" customHeight="1" spans="1:41">
      <c r="A118" s="48"/>
      <c r="B118" s="53" t="s">
        <v>97</v>
      </c>
      <c r="C118" s="54" t="s">
        <v>96</v>
      </c>
      <c r="D118" s="50">
        <v>0.4</v>
      </c>
      <c r="E118" s="50">
        <v>0.03</v>
      </c>
      <c r="F118" s="50">
        <v>-0.03</v>
      </c>
      <c r="G118" s="50">
        <f t="shared" si="38"/>
        <v>0.43</v>
      </c>
      <c r="H118" s="50">
        <f t="shared" si="39"/>
        <v>0.37</v>
      </c>
      <c r="I118" s="50" t="s">
        <v>92</v>
      </c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2" t="str">
        <f t="shared" ref="Z118:AO118" si="53">IF(J118="","",IF(J118&gt;($D118+$E118),(J118-$D118-$E118),IF(J118&lt;($D118+$F118),(J118-$D118-$F118),"√")))</f>
        <v/>
      </c>
      <c r="AA118" s="52" t="str">
        <f t="shared" si="53"/>
        <v/>
      </c>
      <c r="AB118" s="52" t="str">
        <f t="shared" si="53"/>
        <v/>
      </c>
      <c r="AC118" s="52" t="str">
        <f t="shared" si="53"/>
        <v/>
      </c>
      <c r="AD118" s="52" t="str">
        <f t="shared" si="53"/>
        <v/>
      </c>
      <c r="AE118" s="52" t="str">
        <f t="shared" si="53"/>
        <v/>
      </c>
      <c r="AF118" s="52" t="str">
        <f t="shared" si="53"/>
        <v/>
      </c>
      <c r="AG118" s="52" t="str">
        <f t="shared" si="53"/>
        <v/>
      </c>
      <c r="AH118" s="52" t="str">
        <f t="shared" si="53"/>
        <v/>
      </c>
      <c r="AI118" s="52" t="str">
        <f t="shared" si="53"/>
        <v/>
      </c>
      <c r="AJ118" s="52" t="str">
        <f t="shared" si="53"/>
        <v/>
      </c>
      <c r="AK118" s="52" t="str">
        <f t="shared" si="53"/>
        <v/>
      </c>
      <c r="AL118" s="52" t="str">
        <f t="shared" si="53"/>
        <v/>
      </c>
      <c r="AM118" s="52" t="str">
        <f t="shared" si="53"/>
        <v/>
      </c>
      <c r="AN118" s="52" t="str">
        <f t="shared" si="53"/>
        <v/>
      </c>
      <c r="AO118" s="52" t="str">
        <f t="shared" si="53"/>
        <v/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18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1:O11">
    <cfRule type="cellIs" dxfId="0" priority="31" operator="notBetween">
      <formula>$F11</formula>
      <formula>$G11</formula>
    </cfRule>
  </conditionalFormatting>
  <conditionalFormatting sqref="R11">
    <cfRule type="cellIs" dxfId="0" priority="1" operator="notBetween">
      <formula>$F11</formula>
      <formula>$G11</formula>
    </cfRule>
  </conditionalFormatting>
  <conditionalFormatting sqref="V11:Y11">
    <cfRule type="cellIs" dxfId="0" priority="38" operator="notBetween">
      <formula>$G11</formula>
      <formula>$H11</formula>
    </cfRule>
  </conditionalFormatting>
  <conditionalFormatting sqref="J15:O15">
    <cfRule type="cellIs" dxfId="0" priority="29" operator="notBetween">
      <formula>$F15</formula>
      <formula>$G15</formula>
    </cfRule>
  </conditionalFormatting>
  <conditionalFormatting sqref="P15:U15">
    <cfRule type="cellIs" dxfId="0" priority="23" operator="notBetween">
      <formula>$F15</formula>
      <formula>$G15</formula>
    </cfRule>
  </conditionalFormatting>
  <conditionalFormatting sqref="V15:Y15">
    <cfRule type="cellIs" dxfId="0" priority="36" operator="notBetween">
      <formula>$G15</formula>
      <formula>$H15</formula>
    </cfRule>
  </conditionalFormatting>
  <conditionalFormatting sqref="L19">
    <cfRule type="cellIs" dxfId="0" priority="61" operator="notBetween">
      <formula>$G19</formula>
      <formula>$H19</formula>
    </cfRule>
  </conditionalFormatting>
  <conditionalFormatting sqref="O19">
    <cfRule type="cellIs" dxfId="0" priority="45" operator="notBetween">
      <formula>$G19</formula>
      <formula>$H19</formula>
    </cfRule>
  </conditionalFormatting>
  <conditionalFormatting sqref="Q19">
    <cfRule type="cellIs" dxfId="0" priority="53" operator="notBetween">
      <formula>$G19</formula>
      <formula>$H19</formula>
    </cfRule>
  </conditionalFormatting>
  <conditionalFormatting sqref="L20">
    <cfRule type="cellIs" dxfId="0" priority="64" operator="notBetween">
      <formula>$G20</formula>
      <formula>$H20</formula>
    </cfRule>
  </conditionalFormatting>
  <conditionalFormatting sqref="O20">
    <cfRule type="cellIs" dxfId="0" priority="48" operator="notBetween">
      <formula>$G20</formula>
      <formula>$H20</formula>
    </cfRule>
  </conditionalFormatting>
  <conditionalFormatting sqref="Q20">
    <cfRule type="cellIs" dxfId="0" priority="56" operator="notBetween">
      <formula>$G20</formula>
      <formula>$H20</formula>
    </cfRule>
  </conditionalFormatting>
  <conditionalFormatting sqref="J21:Y21">
    <cfRule type="cellIs" dxfId="0" priority="35" operator="notBetween">
      <formula>$G21</formula>
      <formula>$H21</formula>
    </cfRule>
  </conditionalFormatting>
  <conditionalFormatting sqref="J23:Y23">
    <cfRule type="cellIs" dxfId="0" priority="22" operator="notBetween">
      <formula>$F23</formula>
      <formula>$G23</formula>
    </cfRule>
  </conditionalFormatting>
  <conditionalFormatting sqref="L32">
    <cfRule type="cellIs" dxfId="0" priority="60" operator="notBetween">
      <formula>$G32</formula>
      <formula>$H32</formula>
    </cfRule>
  </conditionalFormatting>
  <conditionalFormatting sqref="O32">
    <cfRule type="cellIs" dxfId="0" priority="44" operator="notBetween">
      <formula>$G32</formula>
      <formula>$H32</formula>
    </cfRule>
  </conditionalFormatting>
  <conditionalFormatting sqref="Q32">
    <cfRule type="cellIs" dxfId="0" priority="52" operator="notBetween">
      <formula>$G32</formula>
      <formula>$H32</formula>
    </cfRule>
  </conditionalFormatting>
  <conditionalFormatting sqref="L33">
    <cfRule type="cellIs" dxfId="0" priority="65" operator="notBetween">
      <formula>$G33</formula>
      <formula>$H33</formula>
    </cfRule>
  </conditionalFormatting>
  <conditionalFormatting sqref="O33">
    <cfRule type="cellIs" dxfId="0" priority="49" operator="notBetween">
      <formula>$G33</formula>
      <formula>$H33</formula>
    </cfRule>
  </conditionalFormatting>
  <conditionalFormatting sqref="Q33">
    <cfRule type="cellIs" dxfId="0" priority="57" operator="notBetween">
      <formula>$G33</formula>
      <formula>$H33</formula>
    </cfRule>
  </conditionalFormatting>
  <conditionalFormatting sqref="J43:Y43">
    <cfRule type="cellIs" dxfId="0" priority="20" operator="notBetween">
      <formula>$G43</formula>
      <formula>$H43</formula>
    </cfRule>
  </conditionalFormatting>
  <conditionalFormatting sqref="J50:Y50">
    <cfRule type="cellIs" dxfId="0" priority="19" operator="notBetween">
      <formula>$G50</formula>
      <formula>$H50</formula>
    </cfRule>
  </conditionalFormatting>
  <conditionalFormatting sqref="J55:Y55">
    <cfRule type="cellIs" dxfId="0" priority="18" operator="notBetween">
      <formula>$G55</formula>
      <formula>$H55</formula>
    </cfRule>
  </conditionalFormatting>
  <conditionalFormatting sqref="J60:Y60">
    <cfRule type="cellIs" dxfId="0" priority="17" operator="notBetween">
      <formula>$G60</formula>
      <formula>$H60</formula>
    </cfRule>
  </conditionalFormatting>
  <conditionalFormatting sqref="J65:Y65">
    <cfRule type="cellIs" dxfId="0" priority="16" operator="notBetween">
      <formula>$G65</formula>
      <formula>$H65</formula>
    </cfRule>
  </conditionalFormatting>
  <conditionalFormatting sqref="J77:Y77">
    <cfRule type="cellIs" dxfId="0" priority="15" operator="notBetween">
      <formula>$G77</formula>
      <formula>$H77</formula>
    </cfRule>
  </conditionalFormatting>
  <conditionalFormatting sqref="J82:Y82">
    <cfRule type="cellIs" dxfId="0" priority="14" operator="notBetween">
      <formula>$G82</formula>
      <formula>$H82</formula>
    </cfRule>
  </conditionalFormatting>
  <conditionalFormatting sqref="J87:Y87">
    <cfRule type="cellIs" dxfId="0" priority="13" operator="notBetween">
      <formula>$G87</formula>
      <formula>$H87</formula>
    </cfRule>
  </conditionalFormatting>
  <conditionalFormatting sqref="J92:Y92">
    <cfRule type="cellIs" dxfId="0" priority="12" operator="notBetween">
      <formula>$G92</formula>
      <formula>$H92</formula>
    </cfRule>
  </conditionalFormatting>
  <conditionalFormatting sqref="L97">
    <cfRule type="cellIs" dxfId="0" priority="62" operator="notBetween">
      <formula>$G97</formula>
      <formula>$H97</formula>
    </cfRule>
  </conditionalFormatting>
  <conditionalFormatting sqref="O97">
    <cfRule type="cellIs" dxfId="0" priority="46" operator="notBetween">
      <formula>$G97</formula>
      <formula>$H97</formula>
    </cfRule>
  </conditionalFormatting>
  <conditionalFormatting sqref="Q97">
    <cfRule type="cellIs" dxfId="0" priority="54" operator="notBetween">
      <formula>$G97</formula>
      <formula>$H97</formula>
    </cfRule>
  </conditionalFormatting>
  <conditionalFormatting sqref="L100">
    <cfRule type="cellIs" dxfId="0" priority="58" operator="notBetween">
      <formula>$G100</formula>
      <formula>$H100</formula>
    </cfRule>
  </conditionalFormatting>
  <conditionalFormatting sqref="O100">
    <cfRule type="cellIs" dxfId="0" priority="42" operator="notBetween">
      <formula>$G100</formula>
      <formula>$H100</formula>
    </cfRule>
  </conditionalFormatting>
  <conditionalFormatting sqref="Q100">
    <cfRule type="cellIs" dxfId="0" priority="50" operator="notBetween">
      <formula>$G100</formula>
      <formula>$H100</formula>
    </cfRule>
  </conditionalFormatting>
  <conditionalFormatting sqref="J103:Y103">
    <cfRule type="cellIs" dxfId="0" priority="11" operator="notBetween">
      <formula>$G103</formula>
      <formula>$H103</formula>
    </cfRule>
  </conditionalFormatting>
  <conditionalFormatting sqref="J107:Y107">
    <cfRule type="cellIs" dxfId="0" priority="10" operator="notBetween">
      <formula>$G107</formula>
      <formula>$H107</formula>
    </cfRule>
  </conditionalFormatting>
  <conditionalFormatting sqref="J113:Y113">
    <cfRule type="cellIs" dxfId="0" priority="9" operator="notBetween">
      <formula>$G113</formula>
      <formula>$H113</formula>
    </cfRule>
  </conditionalFormatting>
  <conditionalFormatting sqref="J114:Y114">
    <cfRule type="cellIs" dxfId="0" priority="4" operator="notBetween">
      <formula>$G114</formula>
      <formula>$H114</formula>
    </cfRule>
  </conditionalFormatting>
  <conditionalFormatting sqref="J115:Y115">
    <cfRule type="cellIs" dxfId="0" priority="6" operator="notBetween">
      <formula>$G115</formula>
      <formula>$H115</formula>
    </cfRule>
  </conditionalFormatting>
  <conditionalFormatting sqref="J116:Y116">
    <cfRule type="cellIs" dxfId="0" priority="5" operator="notBetween">
      <formula>$G116</formula>
      <formula>$H116</formula>
    </cfRule>
  </conditionalFormatting>
  <conditionalFormatting sqref="J117:Y117">
    <cfRule type="cellIs" dxfId="0" priority="8" operator="notBetween">
      <formula>$G117</formula>
      <formula>$H117</formula>
    </cfRule>
  </conditionalFormatting>
  <conditionalFormatting sqref="J118:Y118">
    <cfRule type="cellIs" dxfId="0" priority="7" operator="notBetween">
      <formula>$G118</formula>
      <formula>$H118</formula>
    </cfRule>
  </conditionalFormatting>
  <conditionalFormatting sqref="L24:L25">
    <cfRule type="cellIs" dxfId="0" priority="63" operator="notBetween">
      <formula>$G24</formula>
      <formula>$H24</formula>
    </cfRule>
  </conditionalFormatting>
  <conditionalFormatting sqref="L29:L31">
    <cfRule type="cellIs" dxfId="0" priority="59" operator="notBetween">
      <formula>$G29</formula>
      <formula>$H29</formula>
    </cfRule>
  </conditionalFormatting>
  <conditionalFormatting sqref="O24:O25">
    <cfRule type="cellIs" dxfId="0" priority="47" operator="notBetween">
      <formula>$G24</formula>
      <formula>$H24</formula>
    </cfRule>
  </conditionalFormatting>
  <conditionalFormatting sqref="O29:O31">
    <cfRule type="cellIs" dxfId="0" priority="43" operator="notBetween">
      <formula>$G29</formula>
      <formula>$H29</formula>
    </cfRule>
  </conditionalFormatting>
  <conditionalFormatting sqref="Q24:Q25">
    <cfRule type="cellIs" dxfId="0" priority="55" operator="notBetween">
      <formula>$G24</formula>
      <formula>$H24</formula>
    </cfRule>
  </conditionalFormatting>
  <conditionalFormatting sqref="Q29:Q31">
    <cfRule type="cellIs" dxfId="0" priority="51" operator="notBetween">
      <formula>$G29</formula>
      <formula>$H29</formula>
    </cfRule>
  </conditionalFormatting>
  <conditionalFormatting sqref="R9:R10">
    <cfRule type="cellIs" dxfId="0" priority="3" operator="notBetween">
      <formula>$F9</formula>
      <formula>$G9</formula>
    </cfRule>
  </conditionalFormatting>
  <conditionalFormatting sqref="R12:R14">
    <cfRule type="cellIs" dxfId="0" priority="2" operator="notBetween">
      <formula>$F12</formula>
      <formula>$G12</formula>
    </cfRule>
  </conditionalFormatting>
  <conditionalFormatting sqref="V7:Y8 J22:Y22 J26:Y26 J33:K33 M33:N33 P33 R33:Y33 J97">
    <cfRule type="cellIs" dxfId="0" priority="74" operator="notBetween">
      <formula>$G7</formula>
      <formula>$H7</formula>
    </cfRule>
  </conditionalFormatting>
  <conditionalFormatting sqref="J7:O8">
    <cfRule type="cellIs" dxfId="0" priority="34" operator="notBetween">
      <formula>$F7</formula>
      <formula>$G7</formula>
    </cfRule>
  </conditionalFormatting>
  <conditionalFormatting sqref="P7:U8">
    <cfRule type="cellIs" dxfId="0" priority="28" operator="notBetween">
      <formula>$F7</formula>
      <formula>$G7</formula>
    </cfRule>
  </conditionalFormatting>
  <conditionalFormatting sqref="J9:O10">
    <cfRule type="cellIs" dxfId="0" priority="33" operator="notBetween">
      <formula>$F9</formula>
      <formula>$G9</formula>
    </cfRule>
  </conditionalFormatting>
  <conditionalFormatting sqref="P9:Q10 S9:U10">
    <cfRule type="cellIs" dxfId="0" priority="27" operator="notBetween">
      <formula>$F9</formula>
      <formula>$G9</formula>
    </cfRule>
  </conditionalFormatting>
  <conditionalFormatting sqref="V9:Y10">
    <cfRule type="cellIs" dxfId="0" priority="41" operator="notBetween">
      <formula>$G9</formula>
      <formula>$H9</formula>
    </cfRule>
  </conditionalFormatting>
  <conditionalFormatting sqref="P11:Q11 S11:U11">
    <cfRule type="cellIs" dxfId="0" priority="25" operator="notBetween">
      <formula>$F11</formula>
      <formula>$G11</formula>
    </cfRule>
  </conditionalFormatting>
  <conditionalFormatting sqref="J12:O14">
    <cfRule type="cellIs" dxfId="0" priority="32" operator="notBetween">
      <formula>$F12</formula>
      <formula>$G12</formula>
    </cfRule>
  </conditionalFormatting>
  <conditionalFormatting sqref="P12:Q14 S12:U14">
    <cfRule type="cellIs" dxfId="0" priority="26" operator="notBetween">
      <formula>$F12</formula>
      <formula>$G12</formula>
    </cfRule>
  </conditionalFormatting>
  <conditionalFormatting sqref="V12:Y14">
    <cfRule type="cellIs" dxfId="0" priority="39" operator="notBetween">
      <formula>$G12</formula>
      <formula>$H12</formula>
    </cfRule>
  </conditionalFormatting>
  <conditionalFormatting sqref="J16:O18">
    <cfRule type="cellIs" dxfId="0" priority="30" operator="notBetween">
      <formula>$F16</formula>
      <formula>$G16</formula>
    </cfRule>
  </conditionalFormatting>
  <conditionalFormatting sqref="P16:U18">
    <cfRule type="cellIs" dxfId="0" priority="24" operator="notBetween">
      <formula>$F16</formula>
      <formula>$G16</formula>
    </cfRule>
  </conditionalFormatting>
  <conditionalFormatting sqref="V16:Y18">
    <cfRule type="cellIs" dxfId="0" priority="37" operator="notBetween">
      <formula>$G16</formula>
      <formula>$H16</formula>
    </cfRule>
  </conditionalFormatting>
  <conditionalFormatting sqref="J19:K19 M19:N19 P19 R19:Y19">
    <cfRule type="cellIs" dxfId="0" priority="69" operator="notBetween">
      <formula>$G19</formula>
      <formula>$H19</formula>
    </cfRule>
  </conditionalFormatting>
  <conditionalFormatting sqref="J20:K20 M20:N20 P20 R20:Y20">
    <cfRule type="cellIs" dxfId="0" priority="73" operator="notBetween">
      <formula>$G20</formula>
      <formula>$H20</formula>
    </cfRule>
  </conditionalFormatting>
  <conditionalFormatting sqref="J24:J25 J27:J31">
    <cfRule type="cellIs" dxfId="0" priority="70" operator="notBetween">
      <formula>$G24</formula>
      <formula>$H24</formula>
    </cfRule>
  </conditionalFormatting>
  <conditionalFormatting sqref="K24:K25 M24:N25 P24:P25 R24:Y25">
    <cfRule type="cellIs" dxfId="0" priority="72" operator="notBetween">
      <formula>$G24</formula>
      <formula>$H24</formula>
    </cfRule>
  </conditionalFormatting>
  <conditionalFormatting sqref="K27:Y28">
    <cfRule type="cellIs" dxfId="0" priority="40" operator="notBetween">
      <formula>$G27</formula>
      <formula>$H27</formula>
    </cfRule>
  </conditionalFormatting>
  <conditionalFormatting sqref="K29:K31 M29:N31 P29:P31 R29:Y31">
    <cfRule type="cellIs" dxfId="0" priority="67" operator="notBetween">
      <formula>$G29</formula>
      <formula>$H29</formula>
    </cfRule>
  </conditionalFormatting>
  <conditionalFormatting sqref="J32:K32 M32:N32 P32 R32:Y32">
    <cfRule type="cellIs" dxfId="0" priority="68" operator="notBetween">
      <formula>$G32</formula>
      <formula>$H32</formula>
    </cfRule>
  </conditionalFormatting>
  <conditionalFormatting sqref="J34:Y36">
    <cfRule type="cellIs" dxfId="0" priority="21" operator="notBetween">
      <formula>$G34</formula>
      <formula>$H34</formula>
    </cfRule>
  </conditionalFormatting>
  <conditionalFormatting sqref="K97 M97:N97 P97 R97:Y97">
    <cfRule type="cellIs" dxfId="0" priority="71" operator="notBetween">
      <formula>$G97</formula>
      <formula>$H97</formula>
    </cfRule>
  </conditionalFormatting>
  <conditionalFormatting sqref="J100:K100 M100:N100 P100 R100:Y100">
    <cfRule type="cellIs" dxfId="0" priority="66" operator="notBetween">
      <formula>$G100</formula>
      <formula>$H100</formula>
    </cfRule>
  </conditionalFormatting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2026-06-12T16:59:31Z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