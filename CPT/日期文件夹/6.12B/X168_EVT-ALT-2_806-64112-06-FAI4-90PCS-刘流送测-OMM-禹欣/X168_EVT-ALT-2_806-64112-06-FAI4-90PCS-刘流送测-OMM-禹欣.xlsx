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1" sheetId="8" r:id="rId1"/>
    <sheet name="2" sheetId="10" r:id="rId2"/>
    <sheet name="3" sheetId="11" r:id="rId3"/>
    <sheet name="4" sheetId="12" r:id="rId4"/>
    <sheet name="5" sheetId="13" r:id="rId5"/>
    <sheet name="6" sheetId="14" r:id="rId6"/>
    <sheet name="7" sheetId="15" r:id="rId7"/>
    <sheet name="8" sheetId="16" r:id="rId8"/>
    <sheet name="9" sheetId="18" r:id="rId9"/>
  </sheets>
  <definedNames>
    <definedName name="_xlnm.Print_Area" localSheetId="0">'1'!$B$1:$AE$6</definedName>
    <definedName name="_xlnm.Print_Titles" localSheetId="0">'1'!$1:$6</definedName>
    <definedName name="_xlnm.Print_Area" localSheetId="1">'2'!$B$1:$AE$6</definedName>
    <definedName name="_xlnm.Print_Titles" localSheetId="1">'2'!$1:$6</definedName>
    <definedName name="_xlnm.Print_Area" localSheetId="2">'3'!$B$1:$AE$6</definedName>
    <definedName name="_xlnm.Print_Titles" localSheetId="2">'3'!$1:$6</definedName>
    <definedName name="_xlnm.Print_Area" localSheetId="3">'4'!$B$1:$AE$6</definedName>
    <definedName name="_xlnm.Print_Titles" localSheetId="3">'4'!$1:$6</definedName>
    <definedName name="_xlnm.Print_Area" localSheetId="4">'5'!$B$1:$AE$6</definedName>
    <definedName name="_xlnm.Print_Titles" localSheetId="4">'5'!$1:$6</definedName>
    <definedName name="_xlnm.Print_Area" localSheetId="5">'6'!$B$1:$AE$6</definedName>
    <definedName name="_xlnm.Print_Titles" localSheetId="5">'6'!$1:$6</definedName>
    <definedName name="_xlnm.Print_Area" localSheetId="6">'7'!$B$1:$AE$6</definedName>
    <definedName name="_xlnm.Print_Titles" localSheetId="6">'7'!$1:$6</definedName>
    <definedName name="_xlnm.Print_Area" localSheetId="7">'8'!$B$1:$AE$6</definedName>
    <definedName name="_xlnm.Print_Titles" localSheetId="7">'8'!$1:$6</definedName>
    <definedName name="_xlnm.Print_Area" localSheetId="8">'9'!$B$1:$AE$6</definedName>
    <definedName name="_xlnm.Print_Titles" localSheetId="8">'9'!$1:$6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<sst xmlns="http://schemas.openxmlformats.org/spreadsheetml/2006/main" count="252" uniqueCount="28">
  <si>
    <t>安徽中耀智能科技有限公司首件尺寸报告</t>
  </si>
  <si>
    <t>料号</t>
  </si>
  <si>
    <t>806-64112</t>
  </si>
  <si>
    <t>工单号</t>
  </si>
  <si>
    <t>工站</t>
  </si>
  <si>
    <t>送测机台号</t>
  </si>
  <si>
    <t>测量机台号</t>
  </si>
  <si>
    <t>测量人员</t>
  </si>
  <si>
    <t>审核</t>
  </si>
  <si>
    <t xml:space="preserve"> 开发</t>
  </si>
  <si>
    <t>OMM5#</t>
  </si>
  <si>
    <t>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</si>
  <si>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</si>
  <si>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</si>
  <si>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</si>
  <si>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</si>
  <si>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</si>
  <si>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</si>
  <si>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</si>
  <si>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</si>
  <si>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</si>
  <si>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</si>
  <si>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</si>
  <si>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</si>
  <si>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</si>
  <si>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</si>
  <si>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FAI4</t>
  </si>
  <si>
    <t>OMM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</si>
</sst>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sz val="11"/>
      <name val="Calibr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6805932798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17" applyNumberFormat="0" applyAlignment="0" applyProtection="0">
      <alignment vertical="center"/>
    </xf>
    <xf numFmtId="0" fontId="23" fillId="6" borderId="18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25" fillId="7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</cellStyleXfs>
  <cellXfs count="62">
    <xf numFmtId="0" fontId="0" fillId="0" borderId="0" xfId="0">
      <alignment vertical="center"/>
    </xf>
    <xf numFmtId="0" fontId="0" fillId="0" borderId="0" xfId="0" applyFont="1" applyFill="1" applyBorder="1" applyAlignment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/>
    </xf>
    <xf numFmtId="0" fontId="10" fillId="0" borderId="1" xfId="59" applyFont="1" applyFill="1" applyBorder="1" applyAlignment="1">
      <alignment horizontal="center" vertical="center"/>
    </xf>
    <xf numFmtId="0" fontId="10" fillId="0" borderId="1" xfId="59" applyFont="1" applyBorder="1" applyAlignment="1">
      <alignment horizontal="center" vertical="center"/>
    </xf>
    <xf numFmtId="177" fontId="11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left" vertical="center"/>
    </xf>
    <xf numFmtId="0" fontId="0" fillId="0" borderId="7" xfId="0" applyFont="1" applyFill="1" applyBorder="1" applyAlignment="1">
      <alignment horizontal="left" vertical="center"/>
    </xf>
    <xf numFmtId="0" fontId="0" fillId="0" borderId="5" xfId="0" applyFont="1" applyFill="1" applyBorder="1" applyAlignment="1">
      <alignment horizontal="right" vertical="center"/>
    </xf>
    <xf numFmtId="0" fontId="0" fillId="0" borderId="7" xfId="0" applyFont="1" applyFill="1" applyBorder="1" applyAlignment="1">
      <alignment horizontal="right" vertical="center"/>
    </xf>
    <xf numFmtId="0" fontId="13" fillId="0" borderId="0" xfId="0" applyFont="1" applyFill="1" applyAlignment="1"/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2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2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2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2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2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2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2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2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9"/>
  <sheetViews>
    <sheetView tabSelected="1" workbookViewId="0">
      <selection activeCell="C11" sqref="C11"/>
    </sheetView>
  </sheetViews>
  <sheetFormatPr defaultColWidth="9" defaultRowHeight="14.25"/>
  <cols>
    <col min="1" max="41" width="9.25" customWidth="1"/>
  </cols>
  <sheetData>
    <row r="1" ht="70.5" customHeight="1" spans="1:4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15" customHeight="1" spans="1:41">
      <c r="A2" s="3" t="s">
        <v>1</v>
      </c>
      <c r="B2" s="4" t="s">
        <v>2</v>
      </c>
      <c r="C2" s="5"/>
      <c r="D2" s="5"/>
      <c r="E2" s="5"/>
      <c r="F2" s="5"/>
      <c r="G2" s="6"/>
      <c r="H2" s="7" t="s">
        <v>3</v>
      </c>
      <c r="I2" s="8"/>
      <c r="J2" s="8"/>
      <c r="K2" s="9"/>
      <c r="L2" s="10"/>
      <c r="M2" s="10"/>
      <c r="N2" s="10"/>
      <c r="O2" s="10"/>
      <c r="P2" s="10"/>
      <c r="Q2" s="10"/>
      <c r="R2" s="10"/>
      <c r="S2" s="11" t="s">
        <v>4</v>
      </c>
      <c r="T2" s="12"/>
      <c r="U2" s="12"/>
      <c r="V2" s="12"/>
      <c r="W2" s="12"/>
      <c r="X2" s="13"/>
      <c r="Y2" s="14" t="s">
        <v>5</v>
      </c>
      <c r="Z2" s="15"/>
      <c r="AA2" s="15"/>
      <c r="AB2" s="15"/>
      <c r="AC2" s="15"/>
      <c r="AD2" s="16"/>
      <c r="AE2" s="14" t="s">
        <v>6</v>
      </c>
      <c r="AF2" s="15"/>
      <c r="AG2" s="15"/>
      <c r="AH2" s="15"/>
      <c r="AI2" s="16"/>
      <c r="AJ2" s="17" t="s">
        <v>7</v>
      </c>
      <c r="AK2" s="18"/>
      <c r="AL2" s="18"/>
      <c r="AM2" s="19"/>
      <c r="AN2" s="17" t="s">
        <v>8</v>
      </c>
      <c r="AO2" s="19"/>
    </row>
    <row r="3" ht="15" customHeight="1" spans="1:41">
      <c r="A3" s="3"/>
      <c r="B3" s="20"/>
      <c r="C3" s="21"/>
      <c r="D3" s="21"/>
      <c r="E3" s="21"/>
      <c r="F3" s="21"/>
      <c r="G3" s="22"/>
      <c r="H3" s="23"/>
      <c r="I3" s="24"/>
      <c r="J3" s="24"/>
      <c r="K3" s="25"/>
      <c r="L3" s="10"/>
      <c r="M3" s="10"/>
      <c r="N3" s="10"/>
      <c r="O3" s="10"/>
      <c r="P3" s="10"/>
      <c r="Q3" s="10"/>
      <c r="R3" s="10"/>
      <c r="S3" s="26" t="s">
        <v>9</v>
      </c>
      <c r="T3" s="27"/>
      <c r="U3" s="27"/>
      <c r="V3" s="27"/>
      <c r="W3" s="27"/>
      <c r="X3" s="28"/>
      <c r="Y3" s="14"/>
      <c r="Z3" s="15"/>
      <c r="AA3" s="15"/>
      <c r="AB3" s="15"/>
      <c r="AC3" s="15"/>
      <c r="AD3" s="16"/>
      <c r="AE3" s="29" t="s">
        <v>10</v>
      </c>
      <c r="AF3" s="30"/>
      <c r="AG3" s="30"/>
      <c r="AH3" s="30"/>
      <c r="AI3" s="31"/>
      <c r="AJ3" s="29" t="s">
        <v>11</v>
      </c>
      <c r="AK3" s="30"/>
      <c r="AL3" s="30"/>
      <c r="AM3" s="31"/>
      <c r="AN3" s="29" t="s">
        <v>12</v>
      </c>
      <c r="AO3" s="31"/>
    </row>
    <row r="4" customHeight="1" spans="1:41">
      <c r="A4" s="32" t="s">
        <v>13</v>
      </c>
      <c r="B4" s="32" t="s">
        <v>14</v>
      </c>
      <c r="C4" s="33" t="s">
        <v>15</v>
      </c>
      <c r="D4" s="34" t="s">
        <v>16</v>
      </c>
      <c r="E4" s="35" t="s">
        <v>17</v>
      </c>
      <c r="F4" s="36" t="s">
        <v>18</v>
      </c>
      <c r="G4" s="36" t="s">
        <v>19</v>
      </c>
      <c r="H4" s="36" t="s">
        <v>20</v>
      </c>
      <c r="I4" s="37" t="s">
        <v>21</v>
      </c>
      <c r="J4" s="38" t="s">
        <v>22</v>
      </c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9" t="s">
        <v>23</v>
      </c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1"/>
    </row>
    <row r="5" ht="13.5" customHeight="1" spans="1:41">
      <c r="A5" s="42"/>
      <c r="B5" s="43"/>
      <c r="C5" s="44"/>
      <c r="D5" s="34"/>
      <c r="E5" s="35"/>
      <c r="F5" s="36"/>
      <c r="G5" s="36"/>
      <c r="H5" s="36"/>
      <c r="I5" s="34"/>
      <c r="J5" s="38" t="s">
        <v>24</v>
      </c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45" t="s">
        <v>25</v>
      </c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</row>
    <row r="6" customHeight="1" spans="1:41">
      <c r="A6" s="42"/>
      <c r="B6" s="43"/>
      <c r="C6" s="46"/>
      <c r="D6" s="34"/>
      <c r="E6" s="35"/>
      <c r="F6" s="36"/>
      <c r="G6" s="36"/>
      <c r="H6" s="36"/>
      <c r="I6" s="34"/>
      <c r="J6" s="47">
        <v>1</v>
      </c>
      <c r="K6" s="47">
        <v>2</v>
      </c>
      <c r="L6" s="47">
        <v>3</v>
      </c>
      <c r="M6" s="47">
        <v>4</v>
      </c>
      <c r="N6" s="47">
        <v>5</v>
      </c>
      <c r="O6" s="47">
        <v>6</v>
      </c>
      <c r="P6" s="47">
        <v>7</v>
      </c>
      <c r="Q6" s="47">
        <v>8</v>
      </c>
      <c r="R6" s="47">
        <v>9</v>
      </c>
      <c r="S6" s="47">
        <v>10</v>
      </c>
      <c r="T6" s="47">
        <v>11</v>
      </c>
      <c r="U6" s="47">
        <v>12</v>
      </c>
      <c r="V6" s="47">
        <v>13</v>
      </c>
      <c r="W6" s="47">
        <v>14</v>
      </c>
      <c r="X6" s="47">
        <v>15</v>
      </c>
      <c r="Y6" s="47">
        <v>16</v>
      </c>
      <c r="Z6" s="48">
        <f t="shared" ref="Z6:AO6" si="0">J6</f>
        <v>1</v>
      </c>
      <c r="AA6" s="48">
        <f t="shared" si="0"/>
        <v>2</v>
      </c>
      <c r="AB6" s="48">
        <f t="shared" si="0"/>
        <v>3</v>
      </c>
      <c r="AC6" s="48">
        <f t="shared" si="0"/>
        <v>4</v>
      </c>
      <c r="AD6" s="48">
        <f t="shared" si="0"/>
        <v>5</v>
      </c>
      <c r="AE6" s="48">
        <f t="shared" si="0"/>
        <v>6</v>
      </c>
      <c r="AF6" s="48">
        <f t="shared" si="0"/>
        <v>7</v>
      </c>
      <c r="AG6" s="48">
        <f t="shared" si="0"/>
        <v>8</v>
      </c>
      <c r="AH6" s="48">
        <f t="shared" si="0"/>
        <v>9</v>
      </c>
      <c r="AI6" s="48">
        <f t="shared" si="0"/>
        <v>10</v>
      </c>
      <c r="AJ6" s="48">
        <f t="shared" si="0"/>
        <v>11</v>
      </c>
      <c r="AK6" s="48">
        <f t="shared" si="0"/>
        <v>12</v>
      </c>
      <c r="AL6" s="48">
        <f t="shared" si="0"/>
        <v>13</v>
      </c>
      <c r="AM6" s="48">
        <f t="shared" si="0"/>
        <v>14</v>
      </c>
      <c r="AN6" s="48">
        <f t="shared" si="0"/>
        <v>15</v>
      </c>
      <c r="AO6" s="48">
        <f t="shared" si="0"/>
        <v>16</v>
      </c>
    </row>
    <row r="7" ht="15" customHeight="1" spans="1:41">
      <c r="A7" s="49">
        <v>46185</v>
      </c>
      <c r="B7" s="50" t="s">
        <v>26</v>
      </c>
      <c r="C7" s="51"/>
      <c r="D7" s="51">
        <v>5.39</v>
      </c>
      <c r="E7" s="51">
        <v>0.015</v>
      </c>
      <c r="F7" s="51">
        <v>-0.015</v>
      </c>
      <c r="G7" s="51">
        <f>E7+D7</f>
        <v>5.405</v>
      </c>
      <c r="H7" s="51">
        <f>F7+D7</f>
        <v>5.375</v>
      </c>
      <c r="I7" s="51" t="s">
        <v>27</v>
      </c>
      <c r="J7" s="52">
        <v>5.3859</v>
      </c>
      <c r="K7" s="52">
        <v>5.3928</v>
      </c>
      <c r="L7" s="52">
        <v>5.3945</v>
      </c>
      <c r="M7" s="52">
        <v>5.3936</v>
      </c>
      <c r="N7" s="52">
        <v>5.3969</v>
      </c>
      <c r="O7" s="52">
        <v>5.3875</v>
      </c>
      <c r="P7" s="52">
        <v>5.3951</v>
      </c>
      <c r="Q7" s="52">
        <v>5.3913</v>
      </c>
      <c r="R7" s="52">
        <v>5.3965</v>
      </c>
      <c r="S7" s="52">
        <v>5.3963</v>
      </c>
      <c r="T7" s="52"/>
      <c r="U7" s="52"/>
      <c r="V7" s="52"/>
      <c r="W7" s="52"/>
      <c r="X7" s="52"/>
      <c r="Y7" s="52"/>
      <c r="Z7" s="53" t="str">
        <f t="shared" ref="Z7:AO7" si="1">IF(J7="","",IF(J7&gt;($D7+$E7),(J7-$D7-$E7),IF(J7&lt;($D7+$F7),(J7-$D7-$F7),"√")))</f>
        <v>√</v>
      </c>
      <c r="AA7" s="53" t="str">
        <f t="shared" si="1"/>
        <v>√</v>
      </c>
      <c r="AB7" s="53" t="str">
        <f t="shared" si="1"/>
        <v>√</v>
      </c>
      <c r="AC7" s="53" t="str">
        <f t="shared" si="1"/>
        <v>√</v>
      </c>
      <c r="AD7" s="53" t="str">
        <f t="shared" si="1"/>
        <v>√</v>
      </c>
      <c r="AE7" s="53" t="str">
        <f t="shared" si="1"/>
        <v>√</v>
      </c>
      <c r="AF7" s="53" t="str">
        <f t="shared" si="1"/>
        <v>√</v>
      </c>
      <c r="AG7" s="53" t="str">
        <f t="shared" si="1"/>
        <v>√</v>
      </c>
      <c r="AH7" s="53" t="str">
        <f t="shared" si="1"/>
        <v>√</v>
      </c>
      <c r="AI7" s="53" t="str">
        <f t="shared" si="1"/>
        <v>√</v>
      </c>
      <c r="AJ7" s="53" t="str">
        <f t="shared" si="1"/>
        <v/>
      </c>
      <c r="AK7" s="53" t="str">
        <f t="shared" si="1"/>
        <v/>
      </c>
      <c r="AL7" s="53" t="str">
        <f t="shared" si="1"/>
        <v/>
      </c>
      <c r="AM7" s="53" t="str">
        <f t="shared" si="1"/>
        <v/>
      </c>
      <c r="AN7" s="53" t="str">
        <f t="shared" si="1"/>
        <v/>
      </c>
      <c r="AO7" s="53" t="str">
        <f t="shared" si="1"/>
        <v/>
      </c>
    </row>
    <row r="8" ht="15" spans="1:41">
      <c r="A8" s="61"/>
    </row>
    <row r="9" ht="15" spans="1:41">
      <c r="A9" s="61"/>
    </row>
  </sheetData>
  <mergeCells count="28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H2:K3"/>
    <mergeCell ref="L2:R3"/>
    <mergeCell ref="B2:G3"/>
  </mergeCells>
  <conditionalFormatting sqref="J7:Y7">
    <cfRule type="cellIs" dxfId="0" priority="49" operator="notBetween">
      <formula>$G7</formula>
      <formula>$H7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Z7:AN7" emptyCellReferenc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9"/>
  <sheetViews>
    <sheetView workbookViewId="0">
      <selection activeCell="D16" sqref="D16"/>
    </sheetView>
  </sheetViews>
  <sheetFormatPr defaultColWidth="9" defaultRowHeight="14.25"/>
  <cols>
    <col min="1" max="41" width="9.25" customWidth="1"/>
  </cols>
  <sheetData>
    <row r="1" ht="70.5" customHeight="1" spans="1:4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15" customHeight="1" spans="1:41">
      <c r="A2" s="3" t="s">
        <v>1</v>
      </c>
      <c r="B2" s="4" t="s">
        <v>2</v>
      </c>
      <c r="C2" s="5"/>
      <c r="D2" s="5"/>
      <c r="E2" s="5"/>
      <c r="F2" s="5"/>
      <c r="G2" s="6"/>
      <c r="H2" s="7" t="s">
        <v>3</v>
      </c>
      <c r="I2" s="8"/>
      <c r="J2" s="8"/>
      <c r="K2" s="9"/>
      <c r="L2" s="10"/>
      <c r="M2" s="10"/>
      <c r="N2" s="10"/>
      <c r="O2" s="10"/>
      <c r="P2" s="10"/>
      <c r="Q2" s="10"/>
      <c r="R2" s="10"/>
      <c r="S2" s="11" t="s">
        <v>4</v>
      </c>
      <c r="T2" s="12"/>
      <c r="U2" s="12"/>
      <c r="V2" s="12"/>
      <c r="W2" s="12"/>
      <c r="X2" s="13"/>
      <c r="Y2" s="14" t="s">
        <v>5</v>
      </c>
      <c r="Z2" s="15"/>
      <c r="AA2" s="15"/>
      <c r="AB2" s="15"/>
      <c r="AC2" s="15"/>
      <c r="AD2" s="16"/>
      <c r="AE2" s="14" t="s">
        <v>6</v>
      </c>
      <c r="AF2" s="15"/>
      <c r="AG2" s="15"/>
      <c r="AH2" s="15"/>
      <c r="AI2" s="16"/>
      <c r="AJ2" s="17" t="s">
        <v>7</v>
      </c>
      <c r="AK2" s="18"/>
      <c r="AL2" s="18"/>
      <c r="AM2" s="19"/>
      <c r="AN2" s="17" t="s">
        <v>8</v>
      </c>
      <c r="AO2" s="19"/>
    </row>
    <row r="3" ht="15" customHeight="1" spans="1:41">
      <c r="A3" s="3"/>
      <c r="B3" s="20"/>
      <c r="C3" s="21"/>
      <c r="D3" s="21"/>
      <c r="E3" s="21"/>
      <c r="F3" s="21"/>
      <c r="G3" s="22"/>
      <c r="H3" s="23"/>
      <c r="I3" s="24"/>
      <c r="J3" s="24"/>
      <c r="K3" s="25"/>
      <c r="L3" s="10"/>
      <c r="M3" s="10"/>
      <c r="N3" s="10"/>
      <c r="O3" s="10"/>
      <c r="P3" s="10"/>
      <c r="Q3" s="10"/>
      <c r="R3" s="10"/>
      <c r="S3" s="26" t="s">
        <v>9</v>
      </c>
      <c r="T3" s="27"/>
      <c r="U3" s="27"/>
      <c r="V3" s="27"/>
      <c r="W3" s="27"/>
      <c r="X3" s="28"/>
      <c r="Y3" s="14"/>
      <c r="Z3" s="15"/>
      <c r="AA3" s="15"/>
      <c r="AB3" s="15"/>
      <c r="AC3" s="15"/>
      <c r="AD3" s="16"/>
      <c r="AE3" s="29" t="s">
        <v>10</v>
      </c>
      <c r="AF3" s="30"/>
      <c r="AG3" s="30"/>
      <c r="AH3" s="30"/>
      <c r="AI3" s="31"/>
      <c r="AJ3" s="29" t="s">
        <v>11</v>
      </c>
      <c r="AK3" s="30"/>
      <c r="AL3" s="30"/>
      <c r="AM3" s="31"/>
      <c r="AN3" s="29" t="s">
        <v>12</v>
      </c>
      <c r="AO3" s="31"/>
    </row>
    <row r="4" customHeight="1" spans="1:41">
      <c r="A4" s="32" t="s">
        <v>13</v>
      </c>
      <c r="B4" s="32" t="s">
        <v>14</v>
      </c>
      <c r="C4" s="33" t="s">
        <v>15</v>
      </c>
      <c r="D4" s="34" t="s">
        <v>16</v>
      </c>
      <c r="E4" s="35" t="s">
        <v>17</v>
      </c>
      <c r="F4" s="36" t="s">
        <v>18</v>
      </c>
      <c r="G4" s="36" t="s">
        <v>19</v>
      </c>
      <c r="H4" s="36" t="s">
        <v>20</v>
      </c>
      <c r="I4" s="37" t="s">
        <v>21</v>
      </c>
      <c r="J4" s="38" t="s">
        <v>22</v>
      </c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9" t="s">
        <v>23</v>
      </c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1"/>
    </row>
    <row r="5" ht="13.5" customHeight="1" spans="1:41">
      <c r="A5" s="42"/>
      <c r="B5" s="43"/>
      <c r="C5" s="44"/>
      <c r="D5" s="34"/>
      <c r="E5" s="35"/>
      <c r="F5" s="36"/>
      <c r="G5" s="36"/>
      <c r="H5" s="36"/>
      <c r="I5" s="34"/>
      <c r="J5" s="38" t="s">
        <v>24</v>
      </c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45" t="s">
        <v>25</v>
      </c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</row>
    <row r="6" customHeight="1" spans="1:41">
      <c r="A6" s="42"/>
      <c r="B6" s="43"/>
      <c r="C6" s="46"/>
      <c r="D6" s="34"/>
      <c r="E6" s="35"/>
      <c r="F6" s="36"/>
      <c r="G6" s="36"/>
      <c r="H6" s="36"/>
      <c r="I6" s="34"/>
      <c r="J6" s="47">
        <v>1</v>
      </c>
      <c r="K6" s="47">
        <v>2</v>
      </c>
      <c r="L6" s="47">
        <v>3</v>
      </c>
      <c r="M6" s="47">
        <v>4</v>
      </c>
      <c r="N6" s="47">
        <v>5</v>
      </c>
      <c r="O6" s="47">
        <v>6</v>
      </c>
      <c r="P6" s="47">
        <v>7</v>
      </c>
      <c r="Q6" s="47">
        <v>8</v>
      </c>
      <c r="R6" s="47">
        <v>9</v>
      </c>
      <c r="S6" s="47">
        <v>10</v>
      </c>
      <c r="T6" s="47">
        <v>11</v>
      </c>
      <c r="U6" s="47">
        <v>12</v>
      </c>
      <c r="V6" s="47">
        <v>13</v>
      </c>
      <c r="W6" s="47">
        <v>14</v>
      </c>
      <c r="X6" s="47">
        <v>15</v>
      </c>
      <c r="Y6" s="47">
        <v>16</v>
      </c>
      <c r="Z6" s="48">
        <f t="shared" ref="Z6:AO6" si="0">J6</f>
        <v>1</v>
      </c>
      <c r="AA6" s="48">
        <f t="shared" si="0"/>
        <v>2</v>
      </c>
      <c r="AB6" s="48">
        <f t="shared" si="0"/>
        <v>3</v>
      </c>
      <c r="AC6" s="48">
        <f t="shared" si="0"/>
        <v>4</v>
      </c>
      <c r="AD6" s="48">
        <f t="shared" si="0"/>
        <v>5</v>
      </c>
      <c r="AE6" s="48">
        <f t="shared" si="0"/>
        <v>6</v>
      </c>
      <c r="AF6" s="48">
        <f t="shared" si="0"/>
        <v>7</v>
      </c>
      <c r="AG6" s="48">
        <f t="shared" si="0"/>
        <v>8</v>
      </c>
      <c r="AH6" s="48">
        <f t="shared" si="0"/>
        <v>9</v>
      </c>
      <c r="AI6" s="48">
        <f t="shared" si="0"/>
        <v>10</v>
      </c>
      <c r="AJ6" s="48">
        <f t="shared" si="0"/>
        <v>11</v>
      </c>
      <c r="AK6" s="48">
        <f t="shared" si="0"/>
        <v>12</v>
      </c>
      <c r="AL6" s="48">
        <f t="shared" si="0"/>
        <v>13</v>
      </c>
      <c r="AM6" s="48">
        <f t="shared" si="0"/>
        <v>14</v>
      </c>
      <c r="AN6" s="48">
        <f t="shared" si="0"/>
        <v>15</v>
      </c>
      <c r="AO6" s="48">
        <f t="shared" si="0"/>
        <v>16</v>
      </c>
    </row>
    <row r="7" ht="15" customHeight="1" spans="1:41">
      <c r="A7" s="49">
        <v>46185</v>
      </c>
      <c r="B7" s="50" t="s">
        <v>26</v>
      </c>
      <c r="C7" s="51"/>
      <c r="D7" s="51">
        <v>5.39</v>
      </c>
      <c r="E7" s="51">
        <v>0.015</v>
      </c>
      <c r="F7" s="51">
        <v>-0.015</v>
      </c>
      <c r="G7" s="51">
        <f>E7+D7</f>
        <v>5.405</v>
      </c>
      <c r="H7" s="51">
        <f>F7+D7</f>
        <v>5.375</v>
      </c>
      <c r="I7" s="51" t="s">
        <v>27</v>
      </c>
      <c r="J7" s="52">
        <v>5.3956</v>
      </c>
      <c r="K7" s="52">
        <v>5.3985</v>
      </c>
      <c r="L7" s="52">
        <v>5.3856</v>
      </c>
      <c r="M7" s="52">
        <v>5.3952</v>
      </c>
      <c r="N7" s="52">
        <v>5.3998</v>
      </c>
      <c r="O7" s="52">
        <v>5.3935</v>
      </c>
      <c r="P7" s="52">
        <v>5.3972</v>
      </c>
      <c r="Q7" s="52">
        <v>5.3916</v>
      </c>
      <c r="R7" s="52">
        <v>5.3982</v>
      </c>
      <c r="S7" s="52">
        <v>5.3848</v>
      </c>
      <c r="T7" s="52"/>
      <c r="U7" s="52"/>
      <c r="V7" s="52"/>
      <c r="W7" s="52"/>
      <c r="X7" s="52"/>
      <c r="Y7" s="52"/>
      <c r="Z7" s="53" t="str">
        <f t="shared" ref="Z7:AO7" si="1">IF(J7="","",IF(J7&gt;($D7+$E7),(J7-$D7-$E7),IF(J7&lt;($D7+$F7),(J7-$D7-$F7),"√")))</f>
        <v>√</v>
      </c>
      <c r="AA7" s="53" t="str">
        <f t="shared" si="1"/>
        <v>√</v>
      </c>
      <c r="AB7" s="53" t="str">
        <f t="shared" si="1"/>
        <v>√</v>
      </c>
      <c r="AC7" s="53" t="str">
        <f t="shared" si="1"/>
        <v>√</v>
      </c>
      <c r="AD7" s="53" t="str">
        <f t="shared" si="1"/>
        <v>√</v>
      </c>
      <c r="AE7" s="53" t="str">
        <f t="shared" si="1"/>
        <v>√</v>
      </c>
      <c r="AF7" s="53" t="str">
        <f t="shared" si="1"/>
        <v>√</v>
      </c>
      <c r="AG7" s="53" t="str">
        <f t="shared" si="1"/>
        <v>√</v>
      </c>
      <c r="AH7" s="53" t="str">
        <f t="shared" si="1"/>
        <v>√</v>
      </c>
      <c r="AI7" s="53" t="str">
        <f t="shared" si="1"/>
        <v>√</v>
      </c>
      <c r="AJ7" s="53" t="str">
        <f t="shared" si="1"/>
        <v/>
      </c>
      <c r="AK7" s="53" t="str">
        <f t="shared" si="1"/>
        <v/>
      </c>
      <c r="AL7" s="53" t="str">
        <f t="shared" si="1"/>
        <v/>
      </c>
      <c r="AM7" s="53" t="str">
        <f t="shared" si="1"/>
        <v/>
      </c>
      <c r="AN7" s="53" t="str">
        <f t="shared" si="1"/>
        <v/>
      </c>
      <c r="AO7" s="53" t="str">
        <f t="shared" si="1"/>
        <v/>
      </c>
    </row>
    <row r="8" ht="15" spans="1:41">
      <c r="A8" s="61"/>
    </row>
    <row r="9" ht="15" spans="1:41">
      <c r="A9" s="61"/>
    </row>
  </sheetData>
  <mergeCells count="28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7:Y7">
    <cfRule type="cellIs" dxfId="0" priority="27" operator="notBetween">
      <formula>$G7</formula>
      <formula>$H7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9"/>
  <sheetViews>
    <sheetView workbookViewId="0">
      <selection activeCell="D14" sqref="D14"/>
    </sheetView>
  </sheetViews>
  <sheetFormatPr defaultColWidth="9" defaultRowHeight="14.25"/>
  <cols>
    <col min="1" max="41" width="9.25" customWidth="1"/>
  </cols>
  <sheetData>
    <row r="1" ht="70.5" customHeight="1" spans="1:4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15" customHeight="1" spans="1:41">
      <c r="A2" s="3" t="s">
        <v>1</v>
      </c>
      <c r="B2" s="4" t="s">
        <v>2</v>
      </c>
      <c r="C2" s="5"/>
      <c r="D2" s="5"/>
      <c r="E2" s="5"/>
      <c r="F2" s="5"/>
      <c r="G2" s="6"/>
      <c r="H2" s="7" t="s">
        <v>3</v>
      </c>
      <c r="I2" s="8"/>
      <c r="J2" s="8"/>
      <c r="K2" s="9"/>
      <c r="L2" s="10"/>
      <c r="M2" s="10"/>
      <c r="N2" s="10"/>
      <c r="O2" s="10"/>
      <c r="P2" s="10"/>
      <c r="Q2" s="10"/>
      <c r="R2" s="10"/>
      <c r="S2" s="11" t="s">
        <v>4</v>
      </c>
      <c r="T2" s="12"/>
      <c r="U2" s="12"/>
      <c r="V2" s="12"/>
      <c r="W2" s="12"/>
      <c r="X2" s="13"/>
      <c r="Y2" s="14" t="s">
        <v>5</v>
      </c>
      <c r="Z2" s="15"/>
      <c r="AA2" s="15"/>
      <c r="AB2" s="15"/>
      <c r="AC2" s="15"/>
      <c r="AD2" s="16"/>
      <c r="AE2" s="14" t="s">
        <v>6</v>
      </c>
      <c r="AF2" s="15"/>
      <c r="AG2" s="15"/>
      <c r="AH2" s="15"/>
      <c r="AI2" s="16"/>
      <c r="AJ2" s="17" t="s">
        <v>7</v>
      </c>
      <c r="AK2" s="18"/>
      <c r="AL2" s="18"/>
      <c r="AM2" s="19"/>
      <c r="AN2" s="17" t="s">
        <v>8</v>
      </c>
      <c r="AO2" s="19"/>
    </row>
    <row r="3" ht="15" customHeight="1" spans="1:41">
      <c r="A3" s="3"/>
      <c r="B3" s="20"/>
      <c r="C3" s="21"/>
      <c r="D3" s="21"/>
      <c r="E3" s="21"/>
      <c r="F3" s="21"/>
      <c r="G3" s="22"/>
      <c r="H3" s="23"/>
      <c r="I3" s="24"/>
      <c r="J3" s="24"/>
      <c r="K3" s="25"/>
      <c r="L3" s="10"/>
      <c r="M3" s="10"/>
      <c r="N3" s="10"/>
      <c r="O3" s="10"/>
      <c r="P3" s="10"/>
      <c r="Q3" s="10"/>
      <c r="R3" s="10"/>
      <c r="S3" s="26" t="s">
        <v>9</v>
      </c>
      <c r="T3" s="27"/>
      <c r="U3" s="27"/>
      <c r="V3" s="27"/>
      <c r="W3" s="27"/>
      <c r="X3" s="28"/>
      <c r="Y3" s="14"/>
      <c r="Z3" s="15"/>
      <c r="AA3" s="15"/>
      <c r="AB3" s="15"/>
      <c r="AC3" s="15"/>
      <c r="AD3" s="16"/>
      <c r="AE3" s="29" t="s">
        <v>10</v>
      </c>
      <c r="AF3" s="30"/>
      <c r="AG3" s="30"/>
      <c r="AH3" s="30"/>
      <c r="AI3" s="31"/>
      <c r="AJ3" s="29" t="s">
        <v>11</v>
      </c>
      <c r="AK3" s="30"/>
      <c r="AL3" s="30"/>
      <c r="AM3" s="31"/>
      <c r="AN3" s="29" t="s">
        <v>12</v>
      </c>
      <c r="AO3" s="31"/>
    </row>
    <row r="4" customHeight="1" spans="1:41">
      <c r="A4" s="32" t="s">
        <v>13</v>
      </c>
      <c r="B4" s="32" t="s">
        <v>14</v>
      </c>
      <c r="C4" s="33" t="s">
        <v>15</v>
      </c>
      <c r="D4" s="34" t="s">
        <v>16</v>
      </c>
      <c r="E4" s="35" t="s">
        <v>17</v>
      </c>
      <c r="F4" s="36" t="s">
        <v>18</v>
      </c>
      <c r="G4" s="36" t="s">
        <v>19</v>
      </c>
      <c r="H4" s="36" t="s">
        <v>20</v>
      </c>
      <c r="I4" s="37" t="s">
        <v>21</v>
      </c>
      <c r="J4" s="38" t="s">
        <v>22</v>
      </c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9" t="s">
        <v>23</v>
      </c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1"/>
    </row>
    <row r="5" ht="13.5" customHeight="1" spans="1:41">
      <c r="A5" s="42"/>
      <c r="B5" s="43"/>
      <c r="C5" s="44"/>
      <c r="D5" s="34"/>
      <c r="E5" s="35"/>
      <c r="F5" s="36"/>
      <c r="G5" s="36"/>
      <c r="H5" s="36"/>
      <c r="I5" s="34"/>
      <c r="J5" s="38" t="s">
        <v>24</v>
      </c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45" t="s">
        <v>25</v>
      </c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</row>
    <row r="6" customHeight="1" spans="1:41">
      <c r="A6" s="42"/>
      <c r="B6" s="43"/>
      <c r="C6" s="46"/>
      <c r="D6" s="34"/>
      <c r="E6" s="35"/>
      <c r="F6" s="36"/>
      <c r="G6" s="36"/>
      <c r="H6" s="36"/>
      <c r="I6" s="34"/>
      <c r="J6" s="47">
        <v>1</v>
      </c>
      <c r="K6" s="47">
        <v>2</v>
      </c>
      <c r="L6" s="47">
        <v>3</v>
      </c>
      <c r="M6" s="47">
        <v>4</v>
      </c>
      <c r="N6" s="47">
        <v>5</v>
      </c>
      <c r="O6" s="47">
        <v>6</v>
      </c>
      <c r="P6" s="47">
        <v>7</v>
      </c>
      <c r="Q6" s="47">
        <v>8</v>
      </c>
      <c r="R6" s="47">
        <v>9</v>
      </c>
      <c r="S6" s="47">
        <v>10</v>
      </c>
      <c r="T6" s="47">
        <v>11</v>
      </c>
      <c r="U6" s="47">
        <v>12</v>
      </c>
      <c r="V6" s="47">
        <v>13</v>
      </c>
      <c r="W6" s="47">
        <v>14</v>
      </c>
      <c r="X6" s="47">
        <v>15</v>
      </c>
      <c r="Y6" s="47">
        <v>16</v>
      </c>
      <c r="Z6" s="48">
        <f t="shared" ref="Z6:AO6" si="0">J6</f>
        <v>1</v>
      </c>
      <c r="AA6" s="48">
        <f t="shared" si="0"/>
        <v>2</v>
      </c>
      <c r="AB6" s="48">
        <f t="shared" si="0"/>
        <v>3</v>
      </c>
      <c r="AC6" s="48">
        <f t="shared" si="0"/>
        <v>4</v>
      </c>
      <c r="AD6" s="48">
        <f t="shared" si="0"/>
        <v>5</v>
      </c>
      <c r="AE6" s="48">
        <f t="shared" si="0"/>
        <v>6</v>
      </c>
      <c r="AF6" s="48">
        <f t="shared" si="0"/>
        <v>7</v>
      </c>
      <c r="AG6" s="48">
        <f t="shared" si="0"/>
        <v>8</v>
      </c>
      <c r="AH6" s="48">
        <f t="shared" si="0"/>
        <v>9</v>
      </c>
      <c r="AI6" s="48">
        <f t="shared" si="0"/>
        <v>10</v>
      </c>
      <c r="AJ6" s="48">
        <f t="shared" si="0"/>
        <v>11</v>
      </c>
      <c r="AK6" s="48">
        <f t="shared" si="0"/>
        <v>12</v>
      </c>
      <c r="AL6" s="48">
        <f t="shared" si="0"/>
        <v>13</v>
      </c>
      <c r="AM6" s="48">
        <f t="shared" si="0"/>
        <v>14</v>
      </c>
      <c r="AN6" s="48">
        <f t="shared" si="0"/>
        <v>15</v>
      </c>
      <c r="AO6" s="48">
        <f t="shared" si="0"/>
        <v>16</v>
      </c>
    </row>
    <row r="7" ht="15" customHeight="1" spans="1:41">
      <c r="A7" s="49">
        <v>46185</v>
      </c>
      <c r="B7" s="50" t="s">
        <v>26</v>
      </c>
      <c r="C7" s="51"/>
      <c r="D7" s="51">
        <v>5.39</v>
      </c>
      <c r="E7" s="51">
        <v>0.015</v>
      </c>
      <c r="F7" s="51">
        <v>-0.015</v>
      </c>
      <c r="G7" s="51">
        <f>E7+D7</f>
        <v>5.405</v>
      </c>
      <c r="H7" s="51">
        <f>F7+D7</f>
        <v>5.375</v>
      </c>
      <c r="I7" s="51" t="s">
        <v>27</v>
      </c>
      <c r="J7" s="52">
        <v>5.3867</v>
      </c>
      <c r="K7" s="52">
        <v>5.3961</v>
      </c>
      <c r="L7" s="52">
        <v>5.3992</v>
      </c>
      <c r="M7" s="52">
        <v>5.3954</v>
      </c>
      <c r="N7" s="52">
        <v>5.387</v>
      </c>
      <c r="O7" s="52">
        <v>5.398</v>
      </c>
      <c r="P7" s="52">
        <v>5.3914</v>
      </c>
      <c r="Q7" s="52">
        <v>5.3937</v>
      </c>
      <c r="R7" s="52">
        <v>5.3942</v>
      </c>
      <c r="S7" s="52">
        <v>5.3913</v>
      </c>
      <c r="T7" s="52"/>
      <c r="U7" s="52"/>
      <c r="V7" s="52"/>
      <c r="W7" s="52"/>
      <c r="X7" s="52"/>
      <c r="Y7" s="52"/>
      <c r="Z7" s="53" t="str">
        <f t="shared" ref="Z7:AO7" si="1">IF(J7="","",IF(J7&gt;($D7+$E7),(J7-$D7-$E7),IF(J7&lt;($D7+$F7),(J7-$D7-$F7),"√")))</f>
        <v>√</v>
      </c>
      <c r="AA7" s="53" t="str">
        <f t="shared" si="1"/>
        <v>√</v>
      </c>
      <c r="AB7" s="53" t="str">
        <f t="shared" si="1"/>
        <v>√</v>
      </c>
      <c r="AC7" s="53" t="str">
        <f t="shared" si="1"/>
        <v>√</v>
      </c>
      <c r="AD7" s="53" t="str">
        <f t="shared" si="1"/>
        <v>√</v>
      </c>
      <c r="AE7" s="53" t="str">
        <f t="shared" si="1"/>
        <v>√</v>
      </c>
      <c r="AF7" s="53" t="str">
        <f t="shared" si="1"/>
        <v>√</v>
      </c>
      <c r="AG7" s="53" t="str">
        <f t="shared" si="1"/>
        <v>√</v>
      </c>
      <c r="AH7" s="53" t="str">
        <f t="shared" si="1"/>
        <v>√</v>
      </c>
      <c r="AI7" s="53" t="str">
        <f t="shared" si="1"/>
        <v>√</v>
      </c>
      <c r="AJ7" s="53" t="str">
        <f t="shared" si="1"/>
        <v/>
      </c>
      <c r="AK7" s="53" t="str">
        <f t="shared" si="1"/>
        <v/>
      </c>
      <c r="AL7" s="53" t="str">
        <f t="shared" si="1"/>
        <v/>
      </c>
      <c r="AM7" s="53" t="str">
        <f t="shared" si="1"/>
        <v/>
      </c>
      <c r="AN7" s="53" t="str">
        <f t="shared" si="1"/>
        <v/>
      </c>
      <c r="AO7" s="53" t="str">
        <f t="shared" si="1"/>
        <v/>
      </c>
    </row>
    <row r="8" ht="15" spans="1:41">
      <c r="A8" s="61"/>
    </row>
    <row r="9" ht="15" spans="1:41">
      <c r="A9" s="61"/>
    </row>
  </sheetData>
  <mergeCells count="28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7:Y7">
    <cfRule type="cellIs" dxfId="0" priority="27" operator="notBetween">
      <formula>$G7</formula>
      <formula>$H7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9"/>
  <sheetViews>
    <sheetView workbookViewId="0">
      <selection activeCell="A8" sqref="A8"/>
    </sheetView>
  </sheetViews>
  <sheetFormatPr defaultColWidth="9" defaultRowHeight="14.25"/>
  <cols>
    <col min="1" max="41" width="9.25" customWidth="1"/>
  </cols>
  <sheetData>
    <row r="1" ht="70.5" customHeight="1" spans="1:4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15" customHeight="1" spans="1:41">
      <c r="A2" s="3" t="s">
        <v>1</v>
      </c>
      <c r="B2" s="4" t="s">
        <v>2</v>
      </c>
      <c r="C2" s="5"/>
      <c r="D2" s="5"/>
      <c r="E2" s="5"/>
      <c r="F2" s="5"/>
      <c r="G2" s="6"/>
      <c r="H2" s="7" t="s">
        <v>3</v>
      </c>
      <c r="I2" s="8"/>
      <c r="J2" s="8"/>
      <c r="K2" s="9"/>
      <c r="L2" s="10"/>
      <c r="M2" s="10"/>
      <c r="N2" s="10"/>
      <c r="O2" s="10"/>
      <c r="P2" s="10"/>
      <c r="Q2" s="10"/>
      <c r="R2" s="10"/>
      <c r="S2" s="11" t="s">
        <v>4</v>
      </c>
      <c r="T2" s="12"/>
      <c r="U2" s="12"/>
      <c r="V2" s="12"/>
      <c r="W2" s="12"/>
      <c r="X2" s="13"/>
      <c r="Y2" s="14" t="s">
        <v>5</v>
      </c>
      <c r="Z2" s="15"/>
      <c r="AA2" s="15"/>
      <c r="AB2" s="15"/>
      <c r="AC2" s="15"/>
      <c r="AD2" s="16"/>
      <c r="AE2" s="14" t="s">
        <v>6</v>
      </c>
      <c r="AF2" s="15"/>
      <c r="AG2" s="15"/>
      <c r="AH2" s="15"/>
      <c r="AI2" s="16"/>
      <c r="AJ2" s="17" t="s">
        <v>7</v>
      </c>
      <c r="AK2" s="18"/>
      <c r="AL2" s="18"/>
      <c r="AM2" s="19"/>
      <c r="AN2" s="17" t="s">
        <v>8</v>
      </c>
      <c r="AO2" s="19"/>
    </row>
    <row r="3" ht="15" customHeight="1" spans="1:41">
      <c r="A3" s="3"/>
      <c r="B3" s="20"/>
      <c r="C3" s="21"/>
      <c r="D3" s="21"/>
      <c r="E3" s="21"/>
      <c r="F3" s="21"/>
      <c r="G3" s="22"/>
      <c r="H3" s="23"/>
      <c r="I3" s="24"/>
      <c r="J3" s="24"/>
      <c r="K3" s="25"/>
      <c r="L3" s="10"/>
      <c r="M3" s="10"/>
      <c r="N3" s="10"/>
      <c r="O3" s="10"/>
      <c r="P3" s="10"/>
      <c r="Q3" s="10"/>
      <c r="R3" s="10"/>
      <c r="S3" s="26" t="s">
        <v>9</v>
      </c>
      <c r="T3" s="27"/>
      <c r="U3" s="27"/>
      <c r="V3" s="27"/>
      <c r="W3" s="27"/>
      <c r="X3" s="28"/>
      <c r="Y3" s="14"/>
      <c r="Z3" s="15"/>
      <c r="AA3" s="15"/>
      <c r="AB3" s="15"/>
      <c r="AC3" s="15"/>
      <c r="AD3" s="16"/>
      <c r="AE3" s="29" t="s">
        <v>10</v>
      </c>
      <c r="AF3" s="30"/>
      <c r="AG3" s="30"/>
      <c r="AH3" s="30"/>
      <c r="AI3" s="31"/>
      <c r="AJ3" s="29" t="s">
        <v>11</v>
      </c>
      <c r="AK3" s="30"/>
      <c r="AL3" s="30"/>
      <c r="AM3" s="31"/>
      <c r="AN3" s="29" t="s">
        <v>12</v>
      </c>
      <c r="AO3" s="31"/>
    </row>
    <row r="4" customHeight="1" spans="1:41">
      <c r="A4" s="32" t="s">
        <v>13</v>
      </c>
      <c r="B4" s="32" t="s">
        <v>14</v>
      </c>
      <c r="C4" s="33" t="s">
        <v>15</v>
      </c>
      <c r="D4" s="34" t="s">
        <v>16</v>
      </c>
      <c r="E4" s="35" t="s">
        <v>17</v>
      </c>
      <c r="F4" s="36" t="s">
        <v>18</v>
      </c>
      <c r="G4" s="36" t="s">
        <v>19</v>
      </c>
      <c r="H4" s="36" t="s">
        <v>20</v>
      </c>
      <c r="I4" s="37" t="s">
        <v>21</v>
      </c>
      <c r="J4" s="38" t="s">
        <v>22</v>
      </c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9" t="s">
        <v>23</v>
      </c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1"/>
    </row>
    <row r="5" ht="13.5" customHeight="1" spans="1:41">
      <c r="A5" s="42"/>
      <c r="B5" s="43"/>
      <c r="C5" s="44"/>
      <c r="D5" s="34"/>
      <c r="E5" s="35"/>
      <c r="F5" s="36"/>
      <c r="G5" s="36"/>
      <c r="H5" s="36"/>
      <c r="I5" s="34"/>
      <c r="J5" s="38" t="s">
        <v>24</v>
      </c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45" t="s">
        <v>25</v>
      </c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</row>
    <row r="6" customHeight="1" spans="1:41">
      <c r="A6" s="42"/>
      <c r="B6" s="43"/>
      <c r="C6" s="46"/>
      <c r="D6" s="34"/>
      <c r="E6" s="35"/>
      <c r="F6" s="36"/>
      <c r="G6" s="36"/>
      <c r="H6" s="36"/>
      <c r="I6" s="34"/>
      <c r="J6" s="47">
        <v>1</v>
      </c>
      <c r="K6" s="47">
        <v>2</v>
      </c>
      <c r="L6" s="47">
        <v>3</v>
      </c>
      <c r="M6" s="47">
        <v>4</v>
      </c>
      <c r="N6" s="47">
        <v>5</v>
      </c>
      <c r="O6" s="47">
        <v>6</v>
      </c>
      <c r="P6" s="47">
        <v>7</v>
      </c>
      <c r="Q6" s="47">
        <v>8</v>
      </c>
      <c r="R6" s="47">
        <v>9</v>
      </c>
      <c r="S6" s="47">
        <v>10</v>
      </c>
      <c r="T6" s="47">
        <v>11</v>
      </c>
      <c r="U6" s="47">
        <v>12</v>
      </c>
      <c r="V6" s="47">
        <v>13</v>
      </c>
      <c r="W6" s="47">
        <v>14</v>
      </c>
      <c r="X6" s="47">
        <v>15</v>
      </c>
      <c r="Y6" s="47">
        <v>16</v>
      </c>
      <c r="Z6" s="48">
        <f t="shared" ref="Z6:AO6" si="0">J6</f>
        <v>1</v>
      </c>
      <c r="AA6" s="48">
        <f t="shared" si="0"/>
        <v>2</v>
      </c>
      <c r="AB6" s="48">
        <f t="shared" si="0"/>
        <v>3</v>
      </c>
      <c r="AC6" s="48">
        <f t="shared" si="0"/>
        <v>4</v>
      </c>
      <c r="AD6" s="48">
        <f t="shared" si="0"/>
        <v>5</v>
      </c>
      <c r="AE6" s="48">
        <f t="shared" si="0"/>
        <v>6</v>
      </c>
      <c r="AF6" s="48">
        <f t="shared" si="0"/>
        <v>7</v>
      </c>
      <c r="AG6" s="48">
        <f t="shared" si="0"/>
        <v>8</v>
      </c>
      <c r="AH6" s="48">
        <f t="shared" si="0"/>
        <v>9</v>
      </c>
      <c r="AI6" s="48">
        <f t="shared" si="0"/>
        <v>10</v>
      </c>
      <c r="AJ6" s="48">
        <f t="shared" si="0"/>
        <v>11</v>
      </c>
      <c r="AK6" s="48">
        <f t="shared" si="0"/>
        <v>12</v>
      </c>
      <c r="AL6" s="48">
        <f t="shared" si="0"/>
        <v>13</v>
      </c>
      <c r="AM6" s="48">
        <f t="shared" si="0"/>
        <v>14</v>
      </c>
      <c r="AN6" s="48">
        <f t="shared" si="0"/>
        <v>15</v>
      </c>
      <c r="AO6" s="48">
        <f t="shared" si="0"/>
        <v>16</v>
      </c>
    </row>
    <row r="7" ht="15" customHeight="1" spans="1:41">
      <c r="A7" s="49">
        <v>46185</v>
      </c>
      <c r="B7" s="50" t="s">
        <v>26</v>
      </c>
      <c r="C7" s="51"/>
      <c r="D7" s="51">
        <v>5.39</v>
      </c>
      <c r="E7" s="51">
        <v>0.015</v>
      </c>
      <c r="F7" s="51">
        <v>-0.015</v>
      </c>
      <c r="G7" s="51">
        <f>E7+D7</f>
        <v>5.405</v>
      </c>
      <c r="H7" s="51">
        <f>F7+D7</f>
        <v>5.375</v>
      </c>
      <c r="I7" s="51" t="s">
        <v>27</v>
      </c>
      <c r="J7" s="52">
        <v>5.3944</v>
      </c>
      <c r="K7" s="52">
        <v>5.3901</v>
      </c>
      <c r="L7" s="52">
        <v>5.4001</v>
      </c>
      <c r="M7" s="52">
        <v>5.3914</v>
      </c>
      <c r="N7" s="52">
        <v>5.3918</v>
      </c>
      <c r="O7" s="52">
        <v>5.3931</v>
      </c>
      <c r="P7" s="52">
        <v>5.3931</v>
      </c>
      <c r="Q7" s="52">
        <v>5.3931</v>
      </c>
      <c r="R7" s="52">
        <v>5.3931</v>
      </c>
      <c r="S7" s="52">
        <v>5.3931</v>
      </c>
      <c r="T7" s="52"/>
      <c r="U7" s="52"/>
      <c r="V7" s="52"/>
      <c r="W7" s="52"/>
      <c r="X7" s="52"/>
      <c r="Y7" s="52"/>
      <c r="Z7" s="53" t="str">
        <f t="shared" ref="Z7:AO7" si="1">IF(J7="","",IF(J7&gt;($D7+$E7),(J7-$D7-$E7),IF(J7&lt;($D7+$F7),(J7-$D7-$F7),"√")))</f>
        <v>√</v>
      </c>
      <c r="AA7" s="53" t="str">
        <f t="shared" si="1"/>
        <v>√</v>
      </c>
      <c r="AB7" s="53" t="str">
        <f t="shared" si="1"/>
        <v>√</v>
      </c>
      <c r="AC7" s="53" t="str">
        <f t="shared" si="1"/>
        <v>√</v>
      </c>
      <c r="AD7" s="53" t="str">
        <f t="shared" si="1"/>
        <v>√</v>
      </c>
      <c r="AE7" s="53" t="str">
        <f t="shared" si="1"/>
        <v>√</v>
      </c>
      <c r="AF7" s="53" t="str">
        <f t="shared" si="1"/>
        <v>√</v>
      </c>
      <c r="AG7" s="53" t="str">
        <f t="shared" si="1"/>
        <v>√</v>
      </c>
      <c r="AH7" s="53" t="str">
        <f t="shared" si="1"/>
        <v>√</v>
      </c>
      <c r="AI7" s="53" t="str">
        <f t="shared" si="1"/>
        <v>√</v>
      </c>
      <c r="AJ7" s="53" t="str">
        <f t="shared" si="1"/>
        <v/>
      </c>
      <c r="AK7" s="53" t="str">
        <f t="shared" si="1"/>
        <v/>
      </c>
      <c r="AL7" s="53" t="str">
        <f t="shared" si="1"/>
        <v/>
      </c>
      <c r="AM7" s="53" t="str">
        <f t="shared" si="1"/>
        <v/>
      </c>
      <c r="AN7" s="53" t="str">
        <f t="shared" si="1"/>
        <v/>
      </c>
      <c r="AO7" s="53" t="str">
        <f t="shared" si="1"/>
        <v/>
      </c>
    </row>
    <row r="8" ht="15" spans="1:41">
      <c r="A8" s="61"/>
    </row>
    <row r="9" ht="15" spans="1:41">
      <c r="A9" s="61"/>
    </row>
  </sheetData>
  <mergeCells count="28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7:Y7">
    <cfRule type="cellIs" dxfId="0" priority="27" operator="notBetween">
      <formula>$G7</formula>
      <formula>$H7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9"/>
  <sheetViews>
    <sheetView workbookViewId="0">
      <selection activeCell="C11" sqref="C11"/>
    </sheetView>
  </sheetViews>
  <sheetFormatPr defaultColWidth="9" defaultRowHeight="14.25"/>
  <cols>
    <col min="1" max="41" width="9.25" customWidth="1"/>
  </cols>
  <sheetData>
    <row r="1" ht="70.5" customHeight="1" spans="1:4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15" customHeight="1" spans="1:41">
      <c r="A2" s="3" t="s">
        <v>1</v>
      </c>
      <c r="B2" s="4" t="s">
        <v>2</v>
      </c>
      <c r="C2" s="5"/>
      <c r="D2" s="5"/>
      <c r="E2" s="5"/>
      <c r="F2" s="5"/>
      <c r="G2" s="6"/>
      <c r="H2" s="7" t="s">
        <v>3</v>
      </c>
      <c r="I2" s="8"/>
      <c r="J2" s="8"/>
      <c r="K2" s="9"/>
      <c r="L2" s="10"/>
      <c r="M2" s="10"/>
      <c r="N2" s="10"/>
      <c r="O2" s="10"/>
      <c r="P2" s="10"/>
      <c r="Q2" s="10"/>
      <c r="R2" s="10"/>
      <c r="S2" s="11" t="s">
        <v>4</v>
      </c>
      <c r="T2" s="12"/>
      <c r="U2" s="12"/>
      <c r="V2" s="12"/>
      <c r="W2" s="12"/>
      <c r="X2" s="13"/>
      <c r="Y2" s="14" t="s">
        <v>5</v>
      </c>
      <c r="Z2" s="15"/>
      <c r="AA2" s="15"/>
      <c r="AB2" s="15"/>
      <c r="AC2" s="15"/>
      <c r="AD2" s="16"/>
      <c r="AE2" s="14" t="s">
        <v>6</v>
      </c>
      <c r="AF2" s="15"/>
      <c r="AG2" s="15"/>
      <c r="AH2" s="15"/>
      <c r="AI2" s="16"/>
      <c r="AJ2" s="17" t="s">
        <v>7</v>
      </c>
      <c r="AK2" s="18"/>
      <c r="AL2" s="18"/>
      <c r="AM2" s="19"/>
      <c r="AN2" s="17" t="s">
        <v>8</v>
      </c>
      <c r="AO2" s="19"/>
    </row>
    <row r="3" ht="15" customHeight="1" spans="1:41">
      <c r="A3" s="3"/>
      <c r="B3" s="20"/>
      <c r="C3" s="21"/>
      <c r="D3" s="21"/>
      <c r="E3" s="21"/>
      <c r="F3" s="21"/>
      <c r="G3" s="22"/>
      <c r="H3" s="23"/>
      <c r="I3" s="24"/>
      <c r="J3" s="24"/>
      <c r="K3" s="25"/>
      <c r="L3" s="10"/>
      <c r="M3" s="10"/>
      <c r="N3" s="10"/>
      <c r="O3" s="10"/>
      <c r="P3" s="10"/>
      <c r="Q3" s="10"/>
      <c r="R3" s="10"/>
      <c r="S3" s="26" t="s">
        <v>9</v>
      </c>
      <c r="T3" s="27"/>
      <c r="U3" s="27"/>
      <c r="V3" s="27"/>
      <c r="W3" s="27"/>
      <c r="X3" s="28"/>
      <c r="Y3" s="14"/>
      <c r="Z3" s="15"/>
      <c r="AA3" s="15"/>
      <c r="AB3" s="15"/>
      <c r="AC3" s="15"/>
      <c r="AD3" s="16"/>
      <c r="AE3" s="29" t="s">
        <v>10</v>
      </c>
      <c r="AF3" s="30"/>
      <c r="AG3" s="30"/>
      <c r="AH3" s="30"/>
      <c r="AI3" s="31"/>
      <c r="AJ3" s="29" t="s">
        <v>11</v>
      </c>
      <c r="AK3" s="30"/>
      <c r="AL3" s="30"/>
      <c r="AM3" s="31"/>
      <c r="AN3" s="29" t="s">
        <v>12</v>
      </c>
      <c r="AO3" s="31"/>
    </row>
    <row r="4" customHeight="1" spans="1:41">
      <c r="A4" s="32" t="s">
        <v>13</v>
      </c>
      <c r="B4" s="32" t="s">
        <v>14</v>
      </c>
      <c r="C4" s="33" t="s">
        <v>15</v>
      </c>
      <c r="D4" s="34" t="s">
        <v>16</v>
      </c>
      <c r="E4" s="35" t="s">
        <v>17</v>
      </c>
      <c r="F4" s="36" t="s">
        <v>18</v>
      </c>
      <c r="G4" s="36" t="s">
        <v>19</v>
      </c>
      <c r="H4" s="36" t="s">
        <v>20</v>
      </c>
      <c r="I4" s="37" t="s">
        <v>21</v>
      </c>
      <c r="J4" s="38" t="s">
        <v>22</v>
      </c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9" t="s">
        <v>23</v>
      </c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1"/>
    </row>
    <row r="5" ht="13.5" customHeight="1" spans="1:41">
      <c r="A5" s="42"/>
      <c r="B5" s="43"/>
      <c r="C5" s="44"/>
      <c r="D5" s="34"/>
      <c r="E5" s="35"/>
      <c r="F5" s="36"/>
      <c r="G5" s="36"/>
      <c r="H5" s="36"/>
      <c r="I5" s="34"/>
      <c r="J5" s="38" t="s">
        <v>24</v>
      </c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45" t="s">
        <v>25</v>
      </c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</row>
    <row r="6" customHeight="1" spans="1:41">
      <c r="A6" s="42"/>
      <c r="B6" s="43"/>
      <c r="C6" s="46"/>
      <c r="D6" s="34"/>
      <c r="E6" s="35"/>
      <c r="F6" s="36"/>
      <c r="G6" s="36"/>
      <c r="H6" s="36"/>
      <c r="I6" s="34"/>
      <c r="J6" s="47">
        <v>1</v>
      </c>
      <c r="K6" s="47">
        <v>2</v>
      </c>
      <c r="L6" s="47">
        <v>3</v>
      </c>
      <c r="M6" s="47">
        <v>4</v>
      </c>
      <c r="N6" s="47">
        <v>5</v>
      </c>
      <c r="O6" s="47">
        <v>6</v>
      </c>
      <c r="P6" s="47">
        <v>7</v>
      </c>
      <c r="Q6" s="47">
        <v>8</v>
      </c>
      <c r="R6" s="47">
        <v>9</v>
      </c>
      <c r="S6" s="47">
        <v>10</v>
      </c>
      <c r="T6" s="47">
        <v>11</v>
      </c>
      <c r="U6" s="47">
        <v>12</v>
      </c>
      <c r="V6" s="47">
        <v>13</v>
      </c>
      <c r="W6" s="47">
        <v>14</v>
      </c>
      <c r="X6" s="47">
        <v>15</v>
      </c>
      <c r="Y6" s="47">
        <v>16</v>
      </c>
      <c r="Z6" s="48">
        <f t="shared" ref="Z6:AO6" si="0">J6</f>
        <v>1</v>
      </c>
      <c r="AA6" s="48">
        <f t="shared" si="0"/>
        <v>2</v>
      </c>
      <c r="AB6" s="48">
        <f t="shared" si="0"/>
        <v>3</v>
      </c>
      <c r="AC6" s="48">
        <f t="shared" si="0"/>
        <v>4</v>
      </c>
      <c r="AD6" s="48">
        <f t="shared" si="0"/>
        <v>5</v>
      </c>
      <c r="AE6" s="48">
        <f t="shared" si="0"/>
        <v>6</v>
      </c>
      <c r="AF6" s="48">
        <f t="shared" si="0"/>
        <v>7</v>
      </c>
      <c r="AG6" s="48">
        <f t="shared" si="0"/>
        <v>8</v>
      </c>
      <c r="AH6" s="48">
        <f t="shared" si="0"/>
        <v>9</v>
      </c>
      <c r="AI6" s="48">
        <f t="shared" si="0"/>
        <v>10</v>
      </c>
      <c r="AJ6" s="48">
        <f t="shared" si="0"/>
        <v>11</v>
      </c>
      <c r="AK6" s="48">
        <f t="shared" si="0"/>
        <v>12</v>
      </c>
      <c r="AL6" s="48">
        <f t="shared" si="0"/>
        <v>13</v>
      </c>
      <c r="AM6" s="48">
        <f t="shared" si="0"/>
        <v>14</v>
      </c>
      <c r="AN6" s="48">
        <f t="shared" si="0"/>
        <v>15</v>
      </c>
      <c r="AO6" s="48">
        <f t="shared" si="0"/>
        <v>16</v>
      </c>
    </row>
    <row r="7" ht="15" customHeight="1" spans="1:41">
      <c r="A7" s="49">
        <v>46185</v>
      </c>
      <c r="B7" s="50" t="s">
        <v>26</v>
      </c>
      <c r="C7" s="51"/>
      <c r="D7" s="51">
        <v>5.39</v>
      </c>
      <c r="E7" s="51">
        <v>0.015</v>
      </c>
      <c r="F7" s="51">
        <v>-0.015</v>
      </c>
      <c r="G7" s="51">
        <f>E7+D7</f>
        <v>5.405</v>
      </c>
      <c r="H7" s="51">
        <f>F7+D7</f>
        <v>5.375</v>
      </c>
      <c r="I7" s="51" t="s">
        <v>27</v>
      </c>
      <c r="J7" s="52">
        <v>5.3921</v>
      </c>
      <c r="K7" s="52">
        <v>5.4004</v>
      </c>
      <c r="L7" s="52">
        <v>5.3992</v>
      </c>
      <c r="M7" s="52">
        <v>5.3908</v>
      </c>
      <c r="N7" s="52">
        <v>5.3936</v>
      </c>
      <c r="O7" s="52">
        <v>5.3986</v>
      </c>
      <c r="P7" s="52">
        <v>5.3979</v>
      </c>
      <c r="Q7" s="52">
        <v>5.399</v>
      </c>
      <c r="R7" s="52">
        <v>5.3933</v>
      </c>
      <c r="S7" s="52">
        <v>5.3981</v>
      </c>
      <c r="T7" s="52"/>
      <c r="U7" s="52"/>
      <c r="V7" s="52"/>
      <c r="W7" s="52"/>
      <c r="X7" s="52"/>
      <c r="Y7" s="52"/>
      <c r="Z7" s="53" t="str">
        <f t="shared" ref="Z7:AO7" si="1">IF(J7="","",IF(J7&gt;($D7+$E7),(J7-$D7-$E7),IF(J7&lt;($D7+$F7),(J7-$D7-$F7),"√")))</f>
        <v>√</v>
      </c>
      <c r="AA7" s="53" t="str">
        <f t="shared" si="1"/>
        <v>√</v>
      </c>
      <c r="AB7" s="53" t="str">
        <f t="shared" si="1"/>
        <v>√</v>
      </c>
      <c r="AC7" s="53" t="str">
        <f t="shared" si="1"/>
        <v>√</v>
      </c>
      <c r="AD7" s="53" t="str">
        <f t="shared" si="1"/>
        <v>√</v>
      </c>
      <c r="AE7" s="53" t="str">
        <f t="shared" si="1"/>
        <v>√</v>
      </c>
      <c r="AF7" s="53" t="str">
        <f t="shared" si="1"/>
        <v>√</v>
      </c>
      <c r="AG7" s="53" t="str">
        <f t="shared" si="1"/>
        <v>√</v>
      </c>
      <c r="AH7" s="53" t="str">
        <f t="shared" si="1"/>
        <v>√</v>
      </c>
      <c r="AI7" s="53" t="str">
        <f t="shared" si="1"/>
        <v>√</v>
      </c>
      <c r="AJ7" s="53" t="str">
        <f t="shared" si="1"/>
        <v/>
      </c>
      <c r="AK7" s="53" t="str">
        <f t="shared" si="1"/>
        <v/>
      </c>
      <c r="AL7" s="53" t="str">
        <f t="shared" si="1"/>
        <v/>
      </c>
      <c r="AM7" s="53" t="str">
        <f t="shared" si="1"/>
        <v/>
      </c>
      <c r="AN7" s="53" t="str">
        <f t="shared" si="1"/>
        <v/>
      </c>
      <c r="AO7" s="53" t="str">
        <f t="shared" si="1"/>
        <v/>
      </c>
    </row>
    <row r="8" ht="15" spans="1:41">
      <c r="A8" s="61"/>
    </row>
    <row r="9" ht="15" spans="1:41">
      <c r="A9" s="61"/>
    </row>
  </sheetData>
  <mergeCells count="28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7:Y7">
    <cfRule type="cellIs" dxfId="0" priority="27" operator="notBetween">
      <formula>$G7</formula>
      <formula>$H7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9"/>
  <sheetViews>
    <sheetView workbookViewId="0">
      <selection activeCell="A14" sqref="$A14:$XFD14"/>
    </sheetView>
  </sheetViews>
  <sheetFormatPr defaultColWidth="9" defaultRowHeight="14.25"/>
  <cols>
    <col min="1" max="41" width="9.25" customWidth="1"/>
  </cols>
  <sheetData>
    <row r="1" ht="70.5" customHeight="1" spans="1:4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15" customHeight="1" spans="1:41">
      <c r="A2" s="3" t="s">
        <v>1</v>
      </c>
      <c r="B2" s="4" t="s">
        <v>2</v>
      </c>
      <c r="C2" s="5"/>
      <c r="D2" s="5"/>
      <c r="E2" s="5"/>
      <c r="F2" s="5"/>
      <c r="G2" s="6"/>
      <c r="H2" s="7" t="s">
        <v>3</v>
      </c>
      <c r="I2" s="8"/>
      <c r="J2" s="8"/>
      <c r="K2" s="9"/>
      <c r="L2" s="10"/>
      <c r="M2" s="10"/>
      <c r="N2" s="10"/>
      <c r="O2" s="10"/>
      <c r="P2" s="10"/>
      <c r="Q2" s="10"/>
      <c r="R2" s="10"/>
      <c r="S2" s="11" t="s">
        <v>4</v>
      </c>
      <c r="T2" s="12"/>
      <c r="U2" s="12"/>
      <c r="V2" s="12"/>
      <c r="W2" s="12"/>
      <c r="X2" s="13"/>
      <c r="Y2" s="14" t="s">
        <v>5</v>
      </c>
      <c r="Z2" s="15"/>
      <c r="AA2" s="15"/>
      <c r="AB2" s="15"/>
      <c r="AC2" s="15"/>
      <c r="AD2" s="16"/>
      <c r="AE2" s="14" t="s">
        <v>6</v>
      </c>
      <c r="AF2" s="15"/>
      <c r="AG2" s="15"/>
      <c r="AH2" s="15"/>
      <c r="AI2" s="16"/>
      <c r="AJ2" s="17" t="s">
        <v>7</v>
      </c>
      <c r="AK2" s="18"/>
      <c r="AL2" s="18"/>
      <c r="AM2" s="19"/>
      <c r="AN2" s="17" t="s">
        <v>8</v>
      </c>
      <c r="AO2" s="19"/>
    </row>
    <row r="3" ht="15" customHeight="1" spans="1:41">
      <c r="A3" s="3"/>
      <c r="B3" s="20"/>
      <c r="C3" s="21"/>
      <c r="D3" s="21"/>
      <c r="E3" s="21"/>
      <c r="F3" s="21"/>
      <c r="G3" s="22"/>
      <c r="H3" s="23"/>
      <c r="I3" s="24"/>
      <c r="J3" s="24"/>
      <c r="K3" s="25"/>
      <c r="L3" s="10"/>
      <c r="M3" s="10"/>
      <c r="N3" s="10"/>
      <c r="O3" s="10"/>
      <c r="P3" s="10"/>
      <c r="Q3" s="10"/>
      <c r="R3" s="10"/>
      <c r="S3" s="26" t="s">
        <v>9</v>
      </c>
      <c r="T3" s="27"/>
      <c r="U3" s="27"/>
      <c r="V3" s="27"/>
      <c r="W3" s="27"/>
      <c r="X3" s="28"/>
      <c r="Y3" s="14"/>
      <c r="Z3" s="15"/>
      <c r="AA3" s="15"/>
      <c r="AB3" s="15"/>
      <c r="AC3" s="15"/>
      <c r="AD3" s="16"/>
      <c r="AE3" s="29" t="s">
        <v>10</v>
      </c>
      <c r="AF3" s="30"/>
      <c r="AG3" s="30"/>
      <c r="AH3" s="30"/>
      <c r="AI3" s="31"/>
      <c r="AJ3" s="29" t="s">
        <v>11</v>
      </c>
      <c r="AK3" s="30"/>
      <c r="AL3" s="30"/>
      <c r="AM3" s="31"/>
      <c r="AN3" s="29" t="s">
        <v>12</v>
      </c>
      <c r="AO3" s="31"/>
    </row>
    <row r="4" customHeight="1" spans="1:41">
      <c r="A4" s="32" t="s">
        <v>13</v>
      </c>
      <c r="B4" s="32" t="s">
        <v>14</v>
      </c>
      <c r="C4" s="33" t="s">
        <v>15</v>
      </c>
      <c r="D4" s="34" t="s">
        <v>16</v>
      </c>
      <c r="E4" s="35" t="s">
        <v>17</v>
      </c>
      <c r="F4" s="36" t="s">
        <v>18</v>
      </c>
      <c r="G4" s="36" t="s">
        <v>19</v>
      </c>
      <c r="H4" s="36" t="s">
        <v>20</v>
      </c>
      <c r="I4" s="37" t="s">
        <v>21</v>
      </c>
      <c r="J4" s="38" t="s">
        <v>22</v>
      </c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9" t="s">
        <v>23</v>
      </c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1"/>
    </row>
    <row r="5" ht="13.5" customHeight="1" spans="1:41">
      <c r="A5" s="42"/>
      <c r="B5" s="43"/>
      <c r="C5" s="44"/>
      <c r="D5" s="34"/>
      <c r="E5" s="35"/>
      <c r="F5" s="36"/>
      <c r="G5" s="36"/>
      <c r="H5" s="36"/>
      <c r="I5" s="34"/>
      <c r="J5" s="38" t="s">
        <v>24</v>
      </c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45" t="s">
        <v>25</v>
      </c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</row>
    <row r="6" customHeight="1" spans="1:41">
      <c r="A6" s="42"/>
      <c r="B6" s="43"/>
      <c r="C6" s="46"/>
      <c r="D6" s="34"/>
      <c r="E6" s="35"/>
      <c r="F6" s="36"/>
      <c r="G6" s="36"/>
      <c r="H6" s="36"/>
      <c r="I6" s="34"/>
      <c r="J6" s="47">
        <v>1</v>
      </c>
      <c r="K6" s="47">
        <v>2</v>
      </c>
      <c r="L6" s="47">
        <v>3</v>
      </c>
      <c r="M6" s="47">
        <v>4</v>
      </c>
      <c r="N6" s="47">
        <v>5</v>
      </c>
      <c r="O6" s="47">
        <v>6</v>
      </c>
      <c r="P6" s="47">
        <v>7</v>
      </c>
      <c r="Q6" s="47">
        <v>8</v>
      </c>
      <c r="R6" s="47">
        <v>9</v>
      </c>
      <c r="S6" s="47">
        <v>10</v>
      </c>
      <c r="T6" s="47">
        <v>11</v>
      </c>
      <c r="U6" s="47">
        <v>12</v>
      </c>
      <c r="V6" s="47">
        <v>13</v>
      </c>
      <c r="W6" s="47">
        <v>14</v>
      </c>
      <c r="X6" s="47">
        <v>15</v>
      </c>
      <c r="Y6" s="47">
        <v>16</v>
      </c>
      <c r="Z6" s="48">
        <f t="shared" ref="Z6:AO6" si="0">J6</f>
        <v>1</v>
      </c>
      <c r="AA6" s="48">
        <f t="shared" si="0"/>
        <v>2</v>
      </c>
      <c r="AB6" s="48">
        <f t="shared" si="0"/>
        <v>3</v>
      </c>
      <c r="AC6" s="48">
        <f t="shared" si="0"/>
        <v>4</v>
      </c>
      <c r="AD6" s="48">
        <f t="shared" si="0"/>
        <v>5</v>
      </c>
      <c r="AE6" s="48">
        <f t="shared" si="0"/>
        <v>6</v>
      </c>
      <c r="AF6" s="48">
        <f t="shared" si="0"/>
        <v>7</v>
      </c>
      <c r="AG6" s="48">
        <f t="shared" si="0"/>
        <v>8</v>
      </c>
      <c r="AH6" s="48">
        <f t="shared" si="0"/>
        <v>9</v>
      </c>
      <c r="AI6" s="48">
        <f t="shared" si="0"/>
        <v>10</v>
      </c>
      <c r="AJ6" s="48">
        <f t="shared" si="0"/>
        <v>11</v>
      </c>
      <c r="AK6" s="48">
        <f t="shared" si="0"/>
        <v>12</v>
      </c>
      <c r="AL6" s="48">
        <f t="shared" si="0"/>
        <v>13</v>
      </c>
      <c r="AM6" s="48">
        <f t="shared" si="0"/>
        <v>14</v>
      </c>
      <c r="AN6" s="48">
        <f t="shared" si="0"/>
        <v>15</v>
      </c>
      <c r="AO6" s="48">
        <f t="shared" si="0"/>
        <v>16</v>
      </c>
    </row>
    <row r="7" ht="15" customHeight="1" spans="1:41">
      <c r="A7" s="49">
        <v>46185</v>
      </c>
      <c r="B7" s="50" t="s">
        <v>26</v>
      </c>
      <c r="C7" s="51"/>
      <c r="D7" s="51">
        <v>5.39</v>
      </c>
      <c r="E7" s="51">
        <v>0.015</v>
      </c>
      <c r="F7" s="51">
        <v>-0.015</v>
      </c>
      <c r="G7" s="51">
        <f>E7+D7</f>
        <v>5.405</v>
      </c>
      <c r="H7" s="51">
        <f>F7+D7</f>
        <v>5.375</v>
      </c>
      <c r="I7" s="51" t="s">
        <v>27</v>
      </c>
      <c r="J7" s="52">
        <v>5.3965</v>
      </c>
      <c r="K7" s="52">
        <v>5.3957</v>
      </c>
      <c r="L7" s="52">
        <v>5.3861</v>
      </c>
      <c r="M7" s="52">
        <v>5.4006</v>
      </c>
      <c r="N7" s="52">
        <v>5.3956</v>
      </c>
      <c r="O7" s="52">
        <v>5.3936</v>
      </c>
      <c r="P7" s="52">
        <v>5.3976</v>
      </c>
      <c r="Q7" s="52">
        <v>5.3994</v>
      </c>
      <c r="R7" s="52">
        <v>5.3935</v>
      </c>
      <c r="S7" s="52">
        <v>5.3926</v>
      </c>
      <c r="T7" s="52"/>
      <c r="U7" s="52"/>
      <c r="V7" s="52"/>
      <c r="W7" s="52"/>
      <c r="X7" s="52"/>
      <c r="Y7" s="52"/>
      <c r="Z7" s="53" t="str">
        <f t="shared" ref="Z7:AO7" si="1">IF(J7="","",IF(J7&gt;($D7+$E7),(J7-$D7-$E7),IF(J7&lt;($D7+$F7),(J7-$D7-$F7),"√")))</f>
        <v>√</v>
      </c>
      <c r="AA7" s="53" t="str">
        <f t="shared" si="1"/>
        <v>√</v>
      </c>
      <c r="AB7" s="53" t="str">
        <f t="shared" si="1"/>
        <v>√</v>
      </c>
      <c r="AC7" s="53" t="str">
        <f t="shared" si="1"/>
        <v>√</v>
      </c>
      <c r="AD7" s="53" t="str">
        <f t="shared" si="1"/>
        <v>√</v>
      </c>
      <c r="AE7" s="53" t="str">
        <f t="shared" si="1"/>
        <v>√</v>
      </c>
      <c r="AF7" s="53" t="str">
        <f t="shared" si="1"/>
        <v>√</v>
      </c>
      <c r="AG7" s="53" t="str">
        <f t="shared" si="1"/>
        <v>√</v>
      </c>
      <c r="AH7" s="53" t="str">
        <f t="shared" si="1"/>
        <v>√</v>
      </c>
      <c r="AI7" s="53" t="str">
        <f t="shared" si="1"/>
        <v>√</v>
      </c>
      <c r="AJ7" s="53" t="str">
        <f t="shared" si="1"/>
        <v/>
      </c>
      <c r="AK7" s="53" t="str">
        <f t="shared" si="1"/>
        <v/>
      </c>
      <c r="AL7" s="53" t="str">
        <f t="shared" si="1"/>
        <v/>
      </c>
      <c r="AM7" s="53" t="str">
        <f t="shared" si="1"/>
        <v/>
      </c>
      <c r="AN7" s="53" t="str">
        <f t="shared" si="1"/>
        <v/>
      </c>
      <c r="AO7" s="53" t="str">
        <f t="shared" si="1"/>
        <v/>
      </c>
    </row>
    <row r="8" ht="15" spans="1:41">
      <c r="A8" s="61"/>
    </row>
    <row r="9" ht="15" spans="1:41">
      <c r="A9" s="61"/>
    </row>
  </sheetData>
  <mergeCells count="28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7:Y7">
    <cfRule type="cellIs" dxfId="0" priority="27" operator="notBetween">
      <formula>$G7</formula>
      <formula>$H7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9"/>
  <sheetViews>
    <sheetView workbookViewId="0">
      <selection activeCell="A7" sqref="A7"/>
    </sheetView>
  </sheetViews>
  <sheetFormatPr defaultColWidth="9" defaultRowHeight="14.25"/>
  <cols>
    <col min="1" max="41" width="9.25" customWidth="1"/>
  </cols>
  <sheetData>
    <row r="1" ht="70.5" customHeight="1" spans="1:4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15" customHeight="1" spans="1:41">
      <c r="A2" s="3" t="s">
        <v>1</v>
      </c>
      <c r="B2" s="4" t="s">
        <v>2</v>
      </c>
      <c r="C2" s="5"/>
      <c r="D2" s="5"/>
      <c r="E2" s="5"/>
      <c r="F2" s="5"/>
      <c r="G2" s="6"/>
      <c r="H2" s="7" t="s">
        <v>3</v>
      </c>
      <c r="I2" s="8"/>
      <c r="J2" s="8"/>
      <c r="K2" s="9"/>
      <c r="L2" s="10"/>
      <c r="M2" s="10"/>
      <c r="N2" s="10"/>
      <c r="O2" s="10"/>
      <c r="P2" s="10"/>
      <c r="Q2" s="10"/>
      <c r="R2" s="10"/>
      <c r="S2" s="11" t="s">
        <v>4</v>
      </c>
      <c r="T2" s="12"/>
      <c r="U2" s="12"/>
      <c r="V2" s="12"/>
      <c r="W2" s="12"/>
      <c r="X2" s="13"/>
      <c r="Y2" s="14" t="s">
        <v>5</v>
      </c>
      <c r="Z2" s="15"/>
      <c r="AA2" s="15"/>
      <c r="AB2" s="15"/>
      <c r="AC2" s="15"/>
      <c r="AD2" s="16"/>
      <c r="AE2" s="14" t="s">
        <v>6</v>
      </c>
      <c r="AF2" s="15"/>
      <c r="AG2" s="15"/>
      <c r="AH2" s="15"/>
      <c r="AI2" s="16"/>
      <c r="AJ2" s="17" t="s">
        <v>7</v>
      </c>
      <c r="AK2" s="18"/>
      <c r="AL2" s="18"/>
      <c r="AM2" s="19"/>
      <c r="AN2" s="17" t="s">
        <v>8</v>
      </c>
      <c r="AO2" s="19"/>
    </row>
    <row r="3" ht="15" customHeight="1" spans="1:41">
      <c r="A3" s="3"/>
      <c r="B3" s="20"/>
      <c r="C3" s="21"/>
      <c r="D3" s="21"/>
      <c r="E3" s="21"/>
      <c r="F3" s="21"/>
      <c r="G3" s="22"/>
      <c r="H3" s="23"/>
      <c r="I3" s="24"/>
      <c r="J3" s="24"/>
      <c r="K3" s="25"/>
      <c r="L3" s="10"/>
      <c r="M3" s="10"/>
      <c r="N3" s="10"/>
      <c r="O3" s="10"/>
      <c r="P3" s="10"/>
      <c r="Q3" s="10"/>
      <c r="R3" s="10"/>
      <c r="S3" s="26" t="s">
        <v>9</v>
      </c>
      <c r="T3" s="27"/>
      <c r="U3" s="27"/>
      <c r="V3" s="27"/>
      <c r="W3" s="27"/>
      <c r="X3" s="28"/>
      <c r="Y3" s="14"/>
      <c r="Z3" s="15"/>
      <c r="AA3" s="15"/>
      <c r="AB3" s="15"/>
      <c r="AC3" s="15"/>
      <c r="AD3" s="16"/>
      <c r="AE3" s="29" t="s">
        <v>10</v>
      </c>
      <c r="AF3" s="30"/>
      <c r="AG3" s="30"/>
      <c r="AH3" s="30"/>
      <c r="AI3" s="31"/>
      <c r="AJ3" s="29" t="s">
        <v>11</v>
      </c>
      <c r="AK3" s="30"/>
      <c r="AL3" s="30"/>
      <c r="AM3" s="31"/>
      <c r="AN3" s="29" t="s">
        <v>12</v>
      </c>
      <c r="AO3" s="31"/>
    </row>
    <row r="4" customHeight="1" spans="1:41">
      <c r="A4" s="32" t="s">
        <v>13</v>
      </c>
      <c r="B4" s="32" t="s">
        <v>14</v>
      </c>
      <c r="C4" s="33" t="s">
        <v>15</v>
      </c>
      <c r="D4" s="34" t="s">
        <v>16</v>
      </c>
      <c r="E4" s="35" t="s">
        <v>17</v>
      </c>
      <c r="F4" s="36" t="s">
        <v>18</v>
      </c>
      <c r="G4" s="36" t="s">
        <v>19</v>
      </c>
      <c r="H4" s="36" t="s">
        <v>20</v>
      </c>
      <c r="I4" s="37" t="s">
        <v>21</v>
      </c>
      <c r="J4" s="38" t="s">
        <v>22</v>
      </c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9" t="s">
        <v>23</v>
      </c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1"/>
    </row>
    <row r="5" ht="13.5" customHeight="1" spans="1:41">
      <c r="A5" s="42"/>
      <c r="B5" s="43"/>
      <c r="C5" s="44"/>
      <c r="D5" s="34"/>
      <c r="E5" s="35"/>
      <c r="F5" s="36"/>
      <c r="G5" s="36"/>
      <c r="H5" s="36"/>
      <c r="I5" s="34"/>
      <c r="J5" s="38" t="s">
        <v>24</v>
      </c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45" t="s">
        <v>25</v>
      </c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</row>
    <row r="6" customHeight="1" spans="1:41">
      <c r="A6" s="42"/>
      <c r="B6" s="43"/>
      <c r="C6" s="46"/>
      <c r="D6" s="34"/>
      <c r="E6" s="35"/>
      <c r="F6" s="36"/>
      <c r="G6" s="36"/>
      <c r="H6" s="36"/>
      <c r="I6" s="34"/>
      <c r="J6" s="47">
        <v>1</v>
      </c>
      <c r="K6" s="47">
        <v>2</v>
      </c>
      <c r="L6" s="47">
        <v>3</v>
      </c>
      <c r="M6" s="47">
        <v>4</v>
      </c>
      <c r="N6" s="47">
        <v>5</v>
      </c>
      <c r="O6" s="47">
        <v>6</v>
      </c>
      <c r="P6" s="47">
        <v>7</v>
      </c>
      <c r="Q6" s="47">
        <v>8</v>
      </c>
      <c r="R6" s="47">
        <v>9</v>
      </c>
      <c r="S6" s="47">
        <v>10</v>
      </c>
      <c r="T6" s="47">
        <v>11</v>
      </c>
      <c r="U6" s="47">
        <v>12</v>
      </c>
      <c r="V6" s="47">
        <v>13</v>
      </c>
      <c r="W6" s="47">
        <v>14</v>
      </c>
      <c r="X6" s="47">
        <v>15</v>
      </c>
      <c r="Y6" s="47">
        <v>16</v>
      </c>
      <c r="Z6" s="48">
        <f t="shared" ref="Z6:AO6" si="0">J6</f>
        <v>1</v>
      </c>
      <c r="AA6" s="48">
        <f t="shared" si="0"/>
        <v>2</v>
      </c>
      <c r="AB6" s="48">
        <f t="shared" si="0"/>
        <v>3</v>
      </c>
      <c r="AC6" s="48">
        <f t="shared" si="0"/>
        <v>4</v>
      </c>
      <c r="AD6" s="48">
        <f t="shared" si="0"/>
        <v>5</v>
      </c>
      <c r="AE6" s="48">
        <f t="shared" si="0"/>
        <v>6</v>
      </c>
      <c r="AF6" s="48">
        <f t="shared" si="0"/>
        <v>7</v>
      </c>
      <c r="AG6" s="48">
        <f t="shared" si="0"/>
        <v>8</v>
      </c>
      <c r="AH6" s="48">
        <f t="shared" si="0"/>
        <v>9</v>
      </c>
      <c r="AI6" s="48">
        <f t="shared" si="0"/>
        <v>10</v>
      </c>
      <c r="AJ6" s="48">
        <f t="shared" si="0"/>
        <v>11</v>
      </c>
      <c r="AK6" s="48">
        <f t="shared" si="0"/>
        <v>12</v>
      </c>
      <c r="AL6" s="48">
        <f t="shared" si="0"/>
        <v>13</v>
      </c>
      <c r="AM6" s="48">
        <f t="shared" si="0"/>
        <v>14</v>
      </c>
      <c r="AN6" s="48">
        <f t="shared" si="0"/>
        <v>15</v>
      </c>
      <c r="AO6" s="48">
        <f t="shared" si="0"/>
        <v>16</v>
      </c>
    </row>
    <row r="7" ht="15" customHeight="1" spans="1:41">
      <c r="A7" s="49">
        <v>46185</v>
      </c>
      <c r="B7" s="50" t="s">
        <v>26</v>
      </c>
      <c r="C7" s="51"/>
      <c r="D7" s="51">
        <v>5.39</v>
      </c>
      <c r="E7" s="51">
        <v>0.015</v>
      </c>
      <c r="F7" s="51">
        <v>-0.015</v>
      </c>
      <c r="G7" s="51">
        <f>E7+D7</f>
        <v>5.405</v>
      </c>
      <c r="H7" s="51">
        <f>F7+D7</f>
        <v>5.375</v>
      </c>
      <c r="I7" s="51" t="s">
        <v>27</v>
      </c>
      <c r="J7" s="52">
        <v>5.3932</v>
      </c>
      <c r="K7" s="52">
        <v>5.3956</v>
      </c>
      <c r="L7" s="52">
        <v>5.3935</v>
      </c>
      <c r="M7" s="52">
        <v>5.3994</v>
      </c>
      <c r="N7" s="52">
        <v>5.3946</v>
      </c>
      <c r="O7" s="52">
        <v>5.3998</v>
      </c>
      <c r="P7" s="52">
        <v>5.3999</v>
      </c>
      <c r="Q7" s="52">
        <v>5.3941</v>
      </c>
      <c r="R7" s="52">
        <v>5.3932</v>
      </c>
      <c r="S7" s="52">
        <v>5.4004</v>
      </c>
      <c r="T7" s="52"/>
      <c r="U7" s="52"/>
      <c r="V7" s="52"/>
      <c r="W7" s="52"/>
      <c r="X7" s="52"/>
      <c r="Y7" s="52"/>
      <c r="Z7" s="53" t="str">
        <f t="shared" ref="Z7:AO7" si="1">IF(J7="","",IF(J7&gt;($D7+$E7),(J7-$D7-$E7),IF(J7&lt;($D7+$F7),(J7-$D7-$F7),"√")))</f>
        <v>√</v>
      </c>
      <c r="AA7" s="53" t="str">
        <f t="shared" si="1"/>
        <v>√</v>
      </c>
      <c r="AB7" s="53" t="str">
        <f t="shared" si="1"/>
        <v>√</v>
      </c>
      <c r="AC7" s="53" t="str">
        <f t="shared" si="1"/>
        <v>√</v>
      </c>
      <c r="AD7" s="53" t="str">
        <f t="shared" si="1"/>
        <v>√</v>
      </c>
      <c r="AE7" s="53" t="str">
        <f t="shared" si="1"/>
        <v>√</v>
      </c>
      <c r="AF7" s="53" t="str">
        <f t="shared" si="1"/>
        <v>√</v>
      </c>
      <c r="AG7" s="53" t="str">
        <f t="shared" si="1"/>
        <v>√</v>
      </c>
      <c r="AH7" s="53" t="str">
        <f t="shared" si="1"/>
        <v>√</v>
      </c>
      <c r="AI7" s="53" t="str">
        <f t="shared" si="1"/>
        <v>√</v>
      </c>
      <c r="AJ7" s="53" t="str">
        <f t="shared" si="1"/>
        <v/>
      </c>
      <c r="AK7" s="53" t="str">
        <f t="shared" si="1"/>
        <v/>
      </c>
      <c r="AL7" s="53" t="str">
        <f t="shared" si="1"/>
        <v/>
      </c>
      <c r="AM7" s="53" t="str">
        <f t="shared" si="1"/>
        <v/>
      </c>
      <c r="AN7" s="53" t="str">
        <f t="shared" si="1"/>
        <v/>
      </c>
      <c r="AO7" s="53" t="str">
        <f t="shared" si="1"/>
        <v/>
      </c>
    </row>
    <row r="8" ht="15" spans="1:41">
      <c r="A8" s="61"/>
    </row>
    <row r="9" ht="15" spans="1:41">
      <c r="A9" s="61"/>
    </row>
  </sheetData>
  <mergeCells count="28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7:Y7">
    <cfRule type="cellIs" dxfId="0" priority="27" operator="notBetween">
      <formula>$G7</formula>
      <formula>$H7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0"/>
  <sheetViews>
    <sheetView workbookViewId="0">
      <selection activeCell="A7" sqref="A7"/>
    </sheetView>
  </sheetViews>
  <sheetFormatPr defaultColWidth="9" defaultRowHeight="14.25"/>
  <cols>
    <col min="1" max="41" width="9.25" customWidth="1"/>
  </cols>
  <sheetData>
    <row r="1" ht="70.5" customHeight="1" spans="1:4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15" customHeight="1" spans="1:41">
      <c r="A2" s="3" t="s">
        <v>1</v>
      </c>
      <c r="B2" s="4" t="s">
        <v>2</v>
      </c>
      <c r="C2" s="5"/>
      <c r="D2" s="5"/>
      <c r="E2" s="5"/>
      <c r="F2" s="5"/>
      <c r="G2" s="6"/>
      <c r="H2" s="7" t="s">
        <v>3</v>
      </c>
      <c r="I2" s="8"/>
      <c r="J2" s="8"/>
      <c r="K2" s="9"/>
      <c r="L2" s="10"/>
      <c r="M2" s="10"/>
      <c r="N2" s="10"/>
      <c r="O2" s="10"/>
      <c r="P2" s="10"/>
      <c r="Q2" s="10"/>
      <c r="R2" s="10"/>
      <c r="S2" s="11" t="s">
        <v>4</v>
      </c>
      <c r="T2" s="12"/>
      <c r="U2" s="12"/>
      <c r="V2" s="12"/>
      <c r="W2" s="12"/>
      <c r="X2" s="13"/>
      <c r="Y2" s="14" t="s">
        <v>5</v>
      </c>
      <c r="Z2" s="15"/>
      <c r="AA2" s="15"/>
      <c r="AB2" s="15"/>
      <c r="AC2" s="15"/>
      <c r="AD2" s="16"/>
      <c r="AE2" s="14" t="s">
        <v>6</v>
      </c>
      <c r="AF2" s="15"/>
      <c r="AG2" s="15"/>
      <c r="AH2" s="15"/>
      <c r="AI2" s="16"/>
      <c r="AJ2" s="17" t="s">
        <v>7</v>
      </c>
      <c r="AK2" s="18"/>
      <c r="AL2" s="18"/>
      <c r="AM2" s="19"/>
      <c r="AN2" s="17" t="s">
        <v>8</v>
      </c>
      <c r="AO2" s="19"/>
    </row>
    <row r="3" ht="15" customHeight="1" spans="1:41">
      <c r="A3" s="3"/>
      <c r="B3" s="20"/>
      <c r="C3" s="21"/>
      <c r="D3" s="21"/>
      <c r="E3" s="21"/>
      <c r="F3" s="21"/>
      <c r="G3" s="22"/>
      <c r="H3" s="23"/>
      <c r="I3" s="24"/>
      <c r="J3" s="24"/>
      <c r="K3" s="25"/>
      <c r="L3" s="10"/>
      <c r="M3" s="10"/>
      <c r="N3" s="10"/>
      <c r="O3" s="10"/>
      <c r="P3" s="10"/>
      <c r="Q3" s="10"/>
      <c r="R3" s="10"/>
      <c r="S3" s="26" t="s">
        <v>9</v>
      </c>
      <c r="T3" s="27"/>
      <c r="U3" s="27"/>
      <c r="V3" s="27"/>
      <c r="W3" s="27"/>
      <c r="X3" s="28"/>
      <c r="Y3" s="14"/>
      <c r="Z3" s="15"/>
      <c r="AA3" s="15"/>
      <c r="AB3" s="15"/>
      <c r="AC3" s="15"/>
      <c r="AD3" s="16"/>
      <c r="AE3" s="29" t="s">
        <v>10</v>
      </c>
      <c r="AF3" s="30"/>
      <c r="AG3" s="30"/>
      <c r="AH3" s="30"/>
      <c r="AI3" s="31"/>
      <c r="AJ3" s="29" t="s">
        <v>11</v>
      </c>
      <c r="AK3" s="30"/>
      <c r="AL3" s="30"/>
      <c r="AM3" s="31"/>
      <c r="AN3" s="29" t="s">
        <v>12</v>
      </c>
      <c r="AO3" s="31"/>
    </row>
    <row r="4" customHeight="1" spans="1:41">
      <c r="A4" s="32" t="s">
        <v>13</v>
      </c>
      <c r="B4" s="32" t="s">
        <v>14</v>
      </c>
      <c r="C4" s="33" t="s">
        <v>15</v>
      </c>
      <c r="D4" s="34" t="s">
        <v>16</v>
      </c>
      <c r="E4" s="35" t="s">
        <v>17</v>
      </c>
      <c r="F4" s="36" t="s">
        <v>18</v>
      </c>
      <c r="G4" s="36" t="s">
        <v>19</v>
      </c>
      <c r="H4" s="36" t="s">
        <v>20</v>
      </c>
      <c r="I4" s="37" t="s">
        <v>21</v>
      </c>
      <c r="J4" s="38" t="s">
        <v>22</v>
      </c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9" t="s">
        <v>23</v>
      </c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1"/>
    </row>
    <row r="5" ht="13.5" customHeight="1" spans="1:41">
      <c r="A5" s="42"/>
      <c r="B5" s="43"/>
      <c r="C5" s="44"/>
      <c r="D5" s="34"/>
      <c r="E5" s="35"/>
      <c r="F5" s="36"/>
      <c r="G5" s="36"/>
      <c r="H5" s="36"/>
      <c r="I5" s="34"/>
      <c r="J5" s="38" t="s">
        <v>24</v>
      </c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45" t="s">
        <v>25</v>
      </c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</row>
    <row r="6" customHeight="1" spans="1:41">
      <c r="A6" s="42"/>
      <c r="B6" s="43"/>
      <c r="C6" s="46"/>
      <c r="D6" s="34"/>
      <c r="E6" s="35"/>
      <c r="F6" s="36"/>
      <c r="G6" s="36"/>
      <c r="H6" s="36"/>
      <c r="I6" s="34"/>
      <c r="J6" s="47">
        <v>1</v>
      </c>
      <c r="K6" s="47">
        <v>2</v>
      </c>
      <c r="L6" s="47">
        <v>3</v>
      </c>
      <c r="M6" s="47">
        <v>4</v>
      </c>
      <c r="N6" s="47">
        <v>5</v>
      </c>
      <c r="O6" s="47">
        <v>6</v>
      </c>
      <c r="P6" s="47">
        <v>7</v>
      </c>
      <c r="Q6" s="47">
        <v>8</v>
      </c>
      <c r="R6" s="47">
        <v>9</v>
      </c>
      <c r="S6" s="47">
        <v>10</v>
      </c>
      <c r="T6" s="47">
        <v>11</v>
      </c>
      <c r="U6" s="47">
        <v>12</v>
      </c>
      <c r="V6" s="47">
        <v>13</v>
      </c>
      <c r="W6" s="47">
        <v>14</v>
      </c>
      <c r="X6" s="47">
        <v>15</v>
      </c>
      <c r="Y6" s="47">
        <v>16</v>
      </c>
      <c r="Z6" s="48">
        <f t="shared" ref="Z6:AO6" si="0">J6</f>
        <v>1</v>
      </c>
      <c r="AA6" s="48">
        <f t="shared" si="0"/>
        <v>2</v>
      </c>
      <c r="AB6" s="48">
        <f t="shared" si="0"/>
        <v>3</v>
      </c>
      <c r="AC6" s="48">
        <f t="shared" si="0"/>
        <v>4</v>
      </c>
      <c r="AD6" s="48">
        <f t="shared" si="0"/>
        <v>5</v>
      </c>
      <c r="AE6" s="48">
        <f t="shared" si="0"/>
        <v>6</v>
      </c>
      <c r="AF6" s="48">
        <f t="shared" si="0"/>
        <v>7</v>
      </c>
      <c r="AG6" s="48">
        <f t="shared" si="0"/>
        <v>8</v>
      </c>
      <c r="AH6" s="48">
        <f t="shared" si="0"/>
        <v>9</v>
      </c>
      <c r="AI6" s="48">
        <f t="shared" si="0"/>
        <v>10</v>
      </c>
      <c r="AJ6" s="48">
        <f t="shared" si="0"/>
        <v>11</v>
      </c>
      <c r="AK6" s="48">
        <f t="shared" si="0"/>
        <v>12</v>
      </c>
      <c r="AL6" s="48">
        <f t="shared" si="0"/>
        <v>13</v>
      </c>
      <c r="AM6" s="48">
        <f t="shared" si="0"/>
        <v>14</v>
      </c>
      <c r="AN6" s="48">
        <f t="shared" si="0"/>
        <v>15</v>
      </c>
      <c r="AO6" s="48">
        <f t="shared" si="0"/>
        <v>16</v>
      </c>
    </row>
    <row r="7" ht="15" customHeight="1" spans="1:41">
      <c r="A7" s="49">
        <v>46185</v>
      </c>
      <c r="B7" s="50" t="s">
        <v>26</v>
      </c>
      <c r="C7" s="51"/>
      <c r="D7" s="51">
        <v>5.39</v>
      </c>
      <c r="E7" s="51">
        <v>0.015</v>
      </c>
      <c r="F7" s="51">
        <v>-0.015</v>
      </c>
      <c r="G7" s="51">
        <f>E7+D7</f>
        <v>5.405</v>
      </c>
      <c r="H7" s="51">
        <f>F7+D7</f>
        <v>5.375</v>
      </c>
      <c r="I7" s="51" t="s">
        <v>27</v>
      </c>
      <c r="J7" s="52">
        <v>5.3942</v>
      </c>
      <c r="K7" s="52">
        <v>5.4008</v>
      </c>
      <c r="L7" s="52">
        <v>5.3982</v>
      </c>
      <c r="M7" s="52">
        <v>5.3996</v>
      </c>
      <c r="N7" s="52">
        <v>5.3955</v>
      </c>
      <c r="O7" s="52">
        <v>5.3937</v>
      </c>
      <c r="P7" s="52">
        <v>5.396</v>
      </c>
      <c r="Q7" s="52">
        <v>5.4006</v>
      </c>
      <c r="R7" s="52">
        <v>5.3993</v>
      </c>
      <c r="S7" s="52">
        <v>5.391</v>
      </c>
      <c r="T7" s="52"/>
      <c r="U7" s="52"/>
      <c r="V7" s="52"/>
      <c r="W7" s="52"/>
      <c r="X7" s="52"/>
      <c r="Y7" s="52"/>
      <c r="Z7" s="53" t="str">
        <f t="shared" ref="Z7:AO7" si="1">IF(J7="","",IF(J7&gt;($D7+$E7),(J7-$D7-$E7),IF(J7&lt;($D7+$F7),(J7-$D7-$F7),"√")))</f>
        <v>√</v>
      </c>
      <c r="AA7" s="53" t="str">
        <f t="shared" si="1"/>
        <v>√</v>
      </c>
      <c r="AB7" s="53" t="str">
        <f t="shared" si="1"/>
        <v>√</v>
      </c>
      <c r="AC7" s="53" t="str">
        <f t="shared" si="1"/>
        <v>√</v>
      </c>
      <c r="AD7" s="53" t="str">
        <f t="shared" si="1"/>
        <v>√</v>
      </c>
      <c r="AE7" s="53" t="str">
        <f t="shared" si="1"/>
        <v>√</v>
      </c>
      <c r="AF7" s="53" t="str">
        <f t="shared" si="1"/>
        <v>√</v>
      </c>
      <c r="AG7" s="53" t="str">
        <f t="shared" si="1"/>
        <v>√</v>
      </c>
      <c r="AH7" s="53" t="str">
        <f t="shared" si="1"/>
        <v>√</v>
      </c>
      <c r="AI7" s="53" t="str">
        <f t="shared" si="1"/>
        <v>√</v>
      </c>
      <c r="AJ7" s="53" t="str">
        <f t="shared" si="1"/>
        <v/>
      </c>
      <c r="AK7" s="53" t="str">
        <f t="shared" si="1"/>
        <v/>
      </c>
      <c r="AL7" s="53" t="str">
        <f t="shared" si="1"/>
        <v/>
      </c>
      <c r="AM7" s="53" t="str">
        <f t="shared" si="1"/>
        <v/>
      </c>
      <c r="AN7" s="53" t="str">
        <f t="shared" si="1"/>
        <v/>
      </c>
      <c r="AO7" s="53" t="str">
        <f t="shared" si="1"/>
        <v/>
      </c>
    </row>
    <row r="8" s="1" customFormat="1" spans="1:41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6"/>
      <c r="AL8" s="57"/>
      <c r="AM8" s="58"/>
      <c r="AN8" s="59"/>
      <c r="AO8" s="60"/>
    </row>
    <row r="9" ht="15" spans="1:41">
      <c r="A9" s="61"/>
    </row>
    <row r="10" ht="15" spans="1:41">
      <c r="A10" s="61"/>
    </row>
  </sheetData>
  <mergeCells count="31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8:AK8"/>
    <mergeCell ref="AL8:AM8"/>
    <mergeCell ref="AN8:AO8"/>
    <mergeCell ref="A2:A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O7:S7">
    <cfRule type="cellIs" dxfId="0" priority="1" operator="notBetween">
      <formula>$G7</formula>
      <formula>$H7</formula>
    </cfRule>
  </conditionalFormatting>
  <conditionalFormatting sqref="J7:N7 T7:Y7">
    <cfRule type="cellIs" dxfId="0" priority="28" operator="notBetween">
      <formula>$G7</formula>
      <formula>$H7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0"/>
  <sheetViews>
    <sheetView workbookViewId="0">
      <selection activeCell="A8" sqref="A8:AK8"/>
    </sheetView>
  </sheetViews>
  <sheetFormatPr defaultColWidth="9" defaultRowHeight="14.25"/>
  <cols>
    <col min="1" max="41" width="9.25" customWidth="1"/>
  </cols>
  <sheetData>
    <row r="1" ht="70.5" customHeight="1" spans="1:4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15" customHeight="1" spans="1:41">
      <c r="A2" s="3" t="s">
        <v>1</v>
      </c>
      <c r="B2" s="4" t="s">
        <v>2</v>
      </c>
      <c r="C2" s="5"/>
      <c r="D2" s="5"/>
      <c r="E2" s="5"/>
      <c r="F2" s="5"/>
      <c r="G2" s="6"/>
      <c r="H2" s="7" t="s">
        <v>3</v>
      </c>
      <c r="I2" s="8"/>
      <c r="J2" s="8"/>
      <c r="K2" s="9"/>
      <c r="L2" s="10"/>
      <c r="M2" s="10"/>
      <c r="N2" s="10"/>
      <c r="O2" s="10"/>
      <c r="P2" s="10"/>
      <c r="Q2" s="10"/>
      <c r="R2" s="10"/>
      <c r="S2" s="11" t="s">
        <v>4</v>
      </c>
      <c r="T2" s="12"/>
      <c r="U2" s="12"/>
      <c r="V2" s="12"/>
      <c r="W2" s="12"/>
      <c r="X2" s="13"/>
      <c r="Y2" s="14" t="s">
        <v>5</v>
      </c>
      <c r="Z2" s="15"/>
      <c r="AA2" s="15"/>
      <c r="AB2" s="15"/>
      <c r="AC2" s="15"/>
      <c r="AD2" s="16"/>
      <c r="AE2" s="14" t="s">
        <v>6</v>
      </c>
      <c r="AF2" s="15"/>
      <c r="AG2" s="15"/>
      <c r="AH2" s="15"/>
      <c r="AI2" s="16"/>
      <c r="AJ2" s="17" t="s">
        <v>7</v>
      </c>
      <c r="AK2" s="18"/>
      <c r="AL2" s="18"/>
      <c r="AM2" s="19"/>
      <c r="AN2" s="17" t="s">
        <v>8</v>
      </c>
      <c r="AO2" s="19"/>
    </row>
    <row r="3" ht="15" customHeight="1" spans="1:41">
      <c r="A3" s="3"/>
      <c r="B3" s="20"/>
      <c r="C3" s="21"/>
      <c r="D3" s="21"/>
      <c r="E3" s="21"/>
      <c r="F3" s="21"/>
      <c r="G3" s="22"/>
      <c r="H3" s="23"/>
      <c r="I3" s="24"/>
      <c r="J3" s="24"/>
      <c r="K3" s="25"/>
      <c r="L3" s="10"/>
      <c r="M3" s="10"/>
      <c r="N3" s="10"/>
      <c r="O3" s="10"/>
      <c r="P3" s="10"/>
      <c r="Q3" s="10"/>
      <c r="R3" s="10"/>
      <c r="S3" s="26" t="s">
        <v>9</v>
      </c>
      <c r="T3" s="27"/>
      <c r="U3" s="27"/>
      <c r="V3" s="27"/>
      <c r="W3" s="27"/>
      <c r="X3" s="28"/>
      <c r="Y3" s="14"/>
      <c r="Z3" s="15"/>
      <c r="AA3" s="15"/>
      <c r="AB3" s="15"/>
      <c r="AC3" s="15"/>
      <c r="AD3" s="16"/>
      <c r="AE3" s="29" t="s">
        <v>10</v>
      </c>
      <c r="AF3" s="30"/>
      <c r="AG3" s="30"/>
      <c r="AH3" s="30"/>
      <c r="AI3" s="31"/>
      <c r="AJ3" s="29" t="s">
        <v>11</v>
      </c>
      <c r="AK3" s="30"/>
      <c r="AL3" s="30"/>
      <c r="AM3" s="31"/>
      <c r="AN3" s="29" t="s">
        <v>12</v>
      </c>
      <c r="AO3" s="31"/>
    </row>
    <row r="4" customHeight="1" spans="1:41">
      <c r="A4" s="32" t="s">
        <v>13</v>
      </c>
      <c r="B4" s="32" t="s">
        <v>14</v>
      </c>
      <c r="C4" s="33" t="s">
        <v>15</v>
      </c>
      <c r="D4" s="34" t="s">
        <v>16</v>
      </c>
      <c r="E4" s="35" t="s">
        <v>17</v>
      </c>
      <c r="F4" s="36" t="s">
        <v>18</v>
      </c>
      <c r="G4" s="36" t="s">
        <v>19</v>
      </c>
      <c r="H4" s="36" t="s">
        <v>20</v>
      </c>
      <c r="I4" s="37" t="s">
        <v>21</v>
      </c>
      <c r="J4" s="38" t="s">
        <v>22</v>
      </c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9" t="s">
        <v>23</v>
      </c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1"/>
    </row>
    <row r="5" ht="13.5" customHeight="1" spans="1:41">
      <c r="A5" s="42"/>
      <c r="B5" s="43"/>
      <c r="C5" s="44"/>
      <c r="D5" s="34"/>
      <c r="E5" s="35"/>
      <c r="F5" s="36"/>
      <c r="G5" s="36"/>
      <c r="H5" s="36"/>
      <c r="I5" s="34"/>
      <c r="J5" s="38" t="s">
        <v>24</v>
      </c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45" t="s">
        <v>25</v>
      </c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</row>
    <row r="6" customHeight="1" spans="1:41">
      <c r="A6" s="42"/>
      <c r="B6" s="43"/>
      <c r="C6" s="46"/>
      <c r="D6" s="34"/>
      <c r="E6" s="35"/>
      <c r="F6" s="36"/>
      <c r="G6" s="36"/>
      <c r="H6" s="36"/>
      <c r="I6" s="34"/>
      <c r="J6" s="47">
        <v>1</v>
      </c>
      <c r="K6" s="47">
        <v>2</v>
      </c>
      <c r="L6" s="47">
        <v>3</v>
      </c>
      <c r="M6" s="47">
        <v>4</v>
      </c>
      <c r="N6" s="47">
        <v>5</v>
      </c>
      <c r="O6" s="47">
        <v>6</v>
      </c>
      <c r="P6" s="47">
        <v>7</v>
      </c>
      <c r="Q6" s="47">
        <v>8</v>
      </c>
      <c r="R6" s="47">
        <v>9</v>
      </c>
      <c r="S6" s="47">
        <v>10</v>
      </c>
      <c r="T6" s="47">
        <v>11</v>
      </c>
      <c r="U6" s="47">
        <v>12</v>
      </c>
      <c r="V6" s="47">
        <v>13</v>
      </c>
      <c r="W6" s="47">
        <v>14</v>
      </c>
      <c r="X6" s="47">
        <v>15</v>
      </c>
      <c r="Y6" s="47">
        <v>16</v>
      </c>
      <c r="Z6" s="48">
        <f t="shared" ref="Z6:AO6" si="0">J6</f>
        <v>1</v>
      </c>
      <c r="AA6" s="48">
        <f t="shared" si="0"/>
        <v>2</v>
      </c>
      <c r="AB6" s="48">
        <f t="shared" si="0"/>
        <v>3</v>
      </c>
      <c r="AC6" s="48">
        <f t="shared" si="0"/>
        <v>4</v>
      </c>
      <c r="AD6" s="48">
        <f t="shared" si="0"/>
        <v>5</v>
      </c>
      <c r="AE6" s="48">
        <f t="shared" si="0"/>
        <v>6</v>
      </c>
      <c r="AF6" s="48">
        <f t="shared" si="0"/>
        <v>7</v>
      </c>
      <c r="AG6" s="48">
        <f t="shared" si="0"/>
        <v>8</v>
      </c>
      <c r="AH6" s="48">
        <f t="shared" si="0"/>
        <v>9</v>
      </c>
      <c r="AI6" s="48">
        <f t="shared" si="0"/>
        <v>10</v>
      </c>
      <c r="AJ6" s="48">
        <f t="shared" si="0"/>
        <v>11</v>
      </c>
      <c r="AK6" s="48">
        <f t="shared" si="0"/>
        <v>12</v>
      </c>
      <c r="AL6" s="48">
        <f t="shared" si="0"/>
        <v>13</v>
      </c>
      <c r="AM6" s="48">
        <f t="shared" si="0"/>
        <v>14</v>
      </c>
      <c r="AN6" s="48">
        <f t="shared" si="0"/>
        <v>15</v>
      </c>
      <c r="AO6" s="48">
        <f t="shared" si="0"/>
        <v>16</v>
      </c>
    </row>
    <row r="7" ht="15" customHeight="1" spans="1:41">
      <c r="A7" s="49">
        <v>46185</v>
      </c>
      <c r="B7" s="50" t="s">
        <v>26</v>
      </c>
      <c r="C7" s="51"/>
      <c r="D7" s="51">
        <v>5.39</v>
      </c>
      <c r="E7" s="51">
        <v>0.015</v>
      </c>
      <c r="F7" s="51">
        <v>-0.015</v>
      </c>
      <c r="G7" s="51">
        <f>E7+D7</f>
        <v>5.405</v>
      </c>
      <c r="H7" s="51">
        <f>F7+D7</f>
        <v>5.375</v>
      </c>
      <c r="I7" s="51" t="s">
        <v>27</v>
      </c>
      <c r="J7" s="52">
        <v>5.4027</v>
      </c>
      <c r="K7" s="52">
        <v>5.3962</v>
      </c>
      <c r="L7" s="52">
        <v>5.3931</v>
      </c>
      <c r="M7" s="52">
        <v>5.3936</v>
      </c>
      <c r="N7" s="52">
        <v>5.4024</v>
      </c>
      <c r="O7" s="52">
        <v>5.3943</v>
      </c>
      <c r="P7" s="52">
        <v>5.4015</v>
      </c>
      <c r="Q7" s="52">
        <v>5.3948</v>
      </c>
      <c r="R7" s="52">
        <v>5.3987</v>
      </c>
      <c r="S7" s="52">
        <v>5.3995</v>
      </c>
      <c r="T7" s="52"/>
      <c r="U7" s="52"/>
      <c r="V7" s="52"/>
      <c r="W7" s="52"/>
      <c r="X7" s="52"/>
      <c r="Y7" s="52"/>
      <c r="Z7" s="53" t="str">
        <f t="shared" ref="Z7:AO7" si="1">IF(J7="","",IF(J7&gt;($D7+$E7),(J7-$D7-$E7),IF(J7&lt;($D7+$F7),(J7-$D7-$F7),"√")))</f>
        <v>√</v>
      </c>
      <c r="AA7" s="53" t="str">
        <f t="shared" si="1"/>
        <v>√</v>
      </c>
      <c r="AB7" s="53" t="str">
        <f t="shared" si="1"/>
        <v>√</v>
      </c>
      <c r="AC7" s="53" t="str">
        <f t="shared" si="1"/>
        <v>√</v>
      </c>
      <c r="AD7" s="53" t="str">
        <f t="shared" si="1"/>
        <v>√</v>
      </c>
      <c r="AE7" s="53" t="str">
        <f t="shared" si="1"/>
        <v>√</v>
      </c>
      <c r="AF7" s="53" t="str">
        <f t="shared" si="1"/>
        <v>√</v>
      </c>
      <c r="AG7" s="53" t="str">
        <f t="shared" si="1"/>
        <v>√</v>
      </c>
      <c r="AH7" s="53" t="str">
        <f t="shared" si="1"/>
        <v>√</v>
      </c>
      <c r="AI7" s="53" t="str">
        <f t="shared" si="1"/>
        <v>√</v>
      </c>
      <c r="AJ7" s="53" t="str">
        <f t="shared" si="1"/>
        <v/>
      </c>
      <c r="AK7" s="53" t="str">
        <f t="shared" si="1"/>
        <v/>
      </c>
      <c r="AL7" s="53" t="str">
        <f t="shared" si="1"/>
        <v/>
      </c>
      <c r="AM7" s="53" t="str">
        <f t="shared" si="1"/>
        <v/>
      </c>
      <c r="AN7" s="53" t="str">
        <f t="shared" si="1"/>
        <v/>
      </c>
      <c r="AO7" s="53" t="str">
        <f t="shared" si="1"/>
        <v/>
      </c>
    </row>
    <row r="8" s="1" customFormat="1" spans="1:41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6"/>
      <c r="AL8" s="57"/>
      <c r="AM8" s="58"/>
      <c r="AN8" s="59"/>
      <c r="AO8" s="60"/>
    </row>
    <row r="9" ht="15" spans="1:41">
      <c r="A9" s="61"/>
    </row>
    <row r="10" ht="15" spans="1:41">
      <c r="A10" s="61"/>
    </row>
  </sheetData>
  <mergeCells count="31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8:AK8"/>
    <mergeCell ref="AL8:AM8"/>
    <mergeCell ref="AN8:AO8"/>
    <mergeCell ref="A2:A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O7:S7">
    <cfRule type="cellIs" dxfId="0" priority="1" operator="notBetween">
      <formula>$G7</formula>
      <formula>$H7</formula>
    </cfRule>
  </conditionalFormatting>
  <conditionalFormatting sqref="J7:N7 T7:Y7">
    <cfRule type="cellIs" dxfId="0" priority="28" operator="notBetween">
      <formula>$G7</formula>
      <formula>$H7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2026-06-12T23:36:32Z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