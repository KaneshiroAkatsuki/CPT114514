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8" sheetId="8" r:id="rId1"/>
  </sheets>
  <definedNames>
    <definedName name="_xlnm.Print_Area" localSheetId="0">'806-65038'!$B$1:$AE$6</definedName>
    <definedName name="_xlnm.Print_Titles" localSheetId="0">'806-65038'!$1:$6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<sst xmlns="http://schemas.openxmlformats.org/spreadsheetml/2006/main" count="52" uniqueCount="40">
  <si>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安徽中耀智能科技有限公司首件尺寸报告</t>
  </si>
  <si>
    <t>料号</t>
  </si>
  <si>
    <t>806-65038</t>
  </si>
  <si>
    <t>工单号</t>
  </si>
  <si>
    <t>WW132-260531014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</si>
  <si>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</si>
  <si>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</si>
  <si>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</si>
  <si>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</si>
  <si>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</si>
  <si>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</si>
  <si>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</si>
  <si>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CMM4#OMM4#</t>
  </si>
  <si>
    <t>蒋金潘/禹欣</t>
  </si>
  <si>
    <t>陈跃进</t>
  </si>
  <si>
    <t>日期</t>
  </si>
  <si>
    <t>尺寸编号</t>
  </si>
  <si>
    <t>SIP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</si>
  <si>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</si>
  <si>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</si>
  <si>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</si>
  <si>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</si>
  <si>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</si>
  <si>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</si>
  <si>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</si>
  <si>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</si>
  <si>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</si>
  <si>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</si>
  <si>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21</t>
  </si>
  <si>
    <t>OMM</t>
  </si>
  <si>
    <t>FAI 19</t>
  </si>
  <si>
    <t>参考</t>
  </si>
  <si>
    <t>FAI 14</t>
  </si>
  <si>
    <t>N</t>
  </si>
  <si>
    <t>FAI 16</t>
  </si>
  <si>
    <t>CMM</t>
  </si>
  <si>
    <t>FAI 22</t>
  </si>
  <si>
    <t>V</t>
  </si>
  <si>
    <t>FAI 4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</si>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</sst>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13" fillId="0" borderId="7" xfId="53" applyFont="1" applyFill="1" applyBorder="1" applyAlignment="1">
      <alignment horizontal="center" vertical="center"/>
    </xf>
    <xf numFmtId="177" fontId="14" fillId="2" borderId="1" xfId="61" applyNumberFormat="1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0"/>
  <sheetViews>
    <sheetView tabSelected="1" topLeftCell="R1" workbookViewId="0">
      <selection activeCell="AM15" sqref="AM15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46178</v>
      </c>
      <c r="B7" s="50" t="s">
        <v>28</v>
      </c>
      <c r="C7" s="50"/>
      <c r="D7" s="51">
        <v>8.22</v>
      </c>
      <c r="E7" s="51">
        <v>0.05</v>
      </c>
      <c r="F7" s="52">
        <v>-0.05</v>
      </c>
      <c r="G7" s="51">
        <f t="shared" ref="G7:G13" si="1">D7+E7</f>
        <v>8.27</v>
      </c>
      <c r="H7" s="51">
        <f t="shared" ref="H7:H13" si="2">D7+F7</f>
        <v>8.17</v>
      </c>
      <c r="I7" s="52" t="s">
        <v>29</v>
      </c>
      <c r="J7" s="53">
        <v>8.217</v>
      </c>
      <c r="K7" s="53">
        <v>8.224</v>
      </c>
      <c r="L7" s="53">
        <v>8.21</v>
      </c>
      <c r="M7" s="53">
        <v>8.204</v>
      </c>
      <c r="N7" s="53">
        <v>8.223</v>
      </c>
      <c r="O7" s="53">
        <v>8.213</v>
      </c>
      <c r="P7" s="53">
        <v>8.231</v>
      </c>
      <c r="Q7" s="53">
        <v>8.21</v>
      </c>
      <c r="R7" s="53">
        <v>8.204</v>
      </c>
      <c r="S7" s="53">
        <v>8.208</v>
      </c>
      <c r="T7" s="53"/>
      <c r="U7" s="53"/>
      <c r="V7" s="53"/>
      <c r="W7" s="53"/>
      <c r="X7" s="53"/>
      <c r="Y7" s="53"/>
      <c r="Z7" s="54" t="str">
        <f t="shared" ref="Z7:AO7" si="3">IF(J7="","",IF(J7&gt;($D7+$E7),(J7-$D7-$E7),IF(J7&lt;($D7+$F7),(J7-$D7-$F7),"√")))</f>
        <v>√</v>
      </c>
      <c r="AA7" s="54" t="str">
        <f t="shared" si="3"/>
        <v>√</v>
      </c>
      <c r="AB7" s="54" t="str">
        <f t="shared" si="3"/>
        <v>√</v>
      </c>
      <c r="AC7" s="54" t="str">
        <f t="shared" si="3"/>
        <v>√</v>
      </c>
      <c r="AD7" s="54" t="str">
        <f t="shared" si="3"/>
        <v>√</v>
      </c>
      <c r="AE7" s="54" t="str">
        <f t="shared" si="3"/>
        <v>√</v>
      </c>
      <c r="AF7" s="54" t="str">
        <f t="shared" si="3"/>
        <v>√</v>
      </c>
      <c r="AG7" s="54" t="str">
        <f t="shared" si="3"/>
        <v>√</v>
      </c>
      <c r="AH7" s="54" t="str">
        <f t="shared" si="3"/>
        <v>√</v>
      </c>
      <c r="AI7" s="54" t="str">
        <f t="shared" si="3"/>
        <v>√</v>
      </c>
      <c r="AJ7" s="54" t="str">
        <f t="shared" si="3"/>
        <v/>
      </c>
      <c r="AK7" s="54" t="str">
        <f t="shared" si="3"/>
        <v/>
      </c>
      <c r="AL7" s="54" t="str">
        <f t="shared" si="3"/>
        <v/>
      </c>
      <c r="AM7" s="54" t="str">
        <f t="shared" si="3"/>
        <v/>
      </c>
      <c r="AN7" s="54" t="str">
        <f t="shared" si="3"/>
        <v/>
      </c>
      <c r="AO7" s="54" t="str">
        <f t="shared" si="3"/>
        <v/>
      </c>
    </row>
    <row r="8" ht="15" customHeight="1" spans="1:41">
      <c r="A8" s="55"/>
      <c r="B8" s="50" t="s">
        <v>30</v>
      </c>
      <c r="C8" s="56" t="s">
        <v>31</v>
      </c>
      <c r="D8" s="51">
        <v>4.47</v>
      </c>
      <c r="E8" s="51">
        <v>0.03</v>
      </c>
      <c r="F8" s="52">
        <v>-0.03</v>
      </c>
      <c r="G8" s="51">
        <f t="shared" si="1"/>
        <v>4.5</v>
      </c>
      <c r="H8" s="51">
        <f t="shared" si="2"/>
        <v>4.44</v>
      </c>
      <c r="I8" s="52" t="s">
        <v>29</v>
      </c>
      <c r="J8" s="53">
        <v>4.483</v>
      </c>
      <c r="K8" s="53">
        <v>4.485</v>
      </c>
      <c r="L8" s="53">
        <v>4.499</v>
      </c>
      <c r="M8" s="53">
        <v>4.483</v>
      </c>
      <c r="N8" s="53">
        <v>4.487</v>
      </c>
      <c r="O8" s="53">
        <v>4.493</v>
      </c>
      <c r="P8" s="53">
        <v>4.483</v>
      </c>
      <c r="Q8" s="53">
        <v>4.484</v>
      </c>
      <c r="R8" s="53">
        <v>4.499</v>
      </c>
      <c r="S8" s="53">
        <v>4.489</v>
      </c>
      <c r="T8" s="53"/>
      <c r="U8" s="53"/>
      <c r="V8" s="53"/>
      <c r="W8" s="53"/>
      <c r="X8" s="53"/>
      <c r="Y8" s="53"/>
      <c r="Z8" s="54" t="str">
        <f t="shared" ref="Z8:AO8" si="4">IF(J8="","",IF(J8&gt;($D8+$E8),(J8-$D8-$E8),IF(J8&lt;($D8+$F8),(J8-$D8-$F8),"√")))</f>
        <v>√</v>
      </c>
      <c r="AA8" s="54" t="str">
        <f t="shared" si="4"/>
        <v>√</v>
      </c>
      <c r="AB8" s="54" t="str">
        <f t="shared" si="4"/>
        <v>√</v>
      </c>
      <c r="AC8" s="54" t="str">
        <f t="shared" si="4"/>
        <v>√</v>
      </c>
      <c r="AD8" s="54" t="str">
        <f t="shared" si="4"/>
        <v>√</v>
      </c>
      <c r="AE8" s="54" t="str">
        <f t="shared" si="4"/>
        <v>√</v>
      </c>
      <c r="AF8" s="54" t="str">
        <f t="shared" si="4"/>
        <v>√</v>
      </c>
      <c r="AG8" s="54" t="str">
        <f t="shared" si="4"/>
        <v>√</v>
      </c>
      <c r="AH8" s="54" t="str">
        <f t="shared" si="4"/>
        <v>√</v>
      </c>
      <c r="AI8" s="54" t="str">
        <f t="shared" si="4"/>
        <v>√</v>
      </c>
      <c r="AJ8" s="54" t="str">
        <f t="shared" si="4"/>
        <v/>
      </c>
      <c r="AK8" s="54" t="str">
        <f t="shared" si="4"/>
        <v/>
      </c>
      <c r="AL8" s="54" t="str">
        <f t="shared" si="4"/>
        <v/>
      </c>
      <c r="AM8" s="54" t="str">
        <f t="shared" si="4"/>
        <v/>
      </c>
      <c r="AN8" s="54" t="str">
        <f t="shared" si="4"/>
        <v/>
      </c>
      <c r="AO8" s="54" t="str">
        <f t="shared" si="4"/>
        <v/>
      </c>
    </row>
    <row r="9" ht="15" customHeight="1" spans="1:41">
      <c r="A9" s="55"/>
      <c r="B9" s="50" t="s">
        <v>32</v>
      </c>
      <c r="C9" s="50" t="s">
        <v>33</v>
      </c>
      <c r="D9" s="51">
        <v>0.5</v>
      </c>
      <c r="E9" s="51">
        <v>0.03</v>
      </c>
      <c r="F9" s="52">
        <v>-0.03</v>
      </c>
      <c r="G9" s="51">
        <f t="shared" si="1"/>
        <v>0.53</v>
      </c>
      <c r="H9" s="51">
        <f t="shared" si="2"/>
        <v>0.47</v>
      </c>
      <c r="I9" s="52" t="s">
        <v>29</v>
      </c>
      <c r="J9" s="53">
        <v>0.4857</v>
      </c>
      <c r="K9" s="53">
        <v>0.4749</v>
      </c>
      <c r="L9" s="53">
        <v>0.4936</v>
      </c>
      <c r="M9" s="53">
        <v>0.4862</v>
      </c>
      <c r="N9" s="53">
        <v>0.4894</v>
      </c>
      <c r="O9" s="53">
        <v>0.4973</v>
      </c>
      <c r="P9" s="53">
        <v>0.4966</v>
      </c>
      <c r="Q9" s="53">
        <v>0.4895</v>
      </c>
      <c r="R9" s="53">
        <v>0.4834</v>
      </c>
      <c r="S9" s="53">
        <v>0.4957</v>
      </c>
      <c r="T9" s="53"/>
      <c r="U9" s="53"/>
      <c r="V9" s="53"/>
      <c r="W9" s="53"/>
      <c r="X9" s="53"/>
      <c r="Y9" s="53"/>
      <c r="Z9" s="54" t="str">
        <f t="shared" ref="Z9:AO9" si="5">IF(J9="","",IF(J9&gt;($D9+$E9),(J9-$D9-$E9),IF(J9&lt;($D9+$F9),(J9-$D9-$F9),"√")))</f>
        <v>√</v>
      </c>
      <c r="AA9" s="54" t="str">
        <f t="shared" si="5"/>
        <v>√</v>
      </c>
      <c r="AB9" s="54" t="str">
        <f t="shared" si="5"/>
        <v>√</v>
      </c>
      <c r="AC9" s="54" t="str">
        <f t="shared" si="5"/>
        <v>√</v>
      </c>
      <c r="AD9" s="54" t="str">
        <f t="shared" si="5"/>
        <v>√</v>
      </c>
      <c r="AE9" s="54" t="str">
        <f t="shared" si="5"/>
        <v>√</v>
      </c>
      <c r="AF9" s="54" t="str">
        <f t="shared" si="5"/>
        <v>√</v>
      </c>
      <c r="AG9" s="54" t="str">
        <f t="shared" si="5"/>
        <v>√</v>
      </c>
      <c r="AH9" s="54" t="str">
        <f t="shared" si="5"/>
        <v>√</v>
      </c>
      <c r="AI9" s="54" t="str">
        <f t="shared" si="5"/>
        <v>√</v>
      </c>
      <c r="AJ9" s="54" t="str">
        <f t="shared" si="5"/>
        <v/>
      </c>
      <c r="AK9" s="54" t="str">
        <f t="shared" si="5"/>
        <v/>
      </c>
      <c r="AL9" s="54" t="str">
        <f t="shared" si="5"/>
        <v/>
      </c>
      <c r="AM9" s="54" t="str">
        <f t="shared" si="5"/>
        <v/>
      </c>
      <c r="AN9" s="54" t="str">
        <f t="shared" si="5"/>
        <v/>
      </c>
      <c r="AO9" s="54" t="str">
        <f t="shared" si="5"/>
        <v/>
      </c>
    </row>
    <row r="10" ht="15" customHeight="1" spans="1:41">
      <c r="A10" s="55"/>
      <c r="B10" s="50" t="s">
        <v>34</v>
      </c>
      <c r="C10" s="50"/>
      <c r="D10" s="51">
        <v>3.71</v>
      </c>
      <c r="E10" s="51">
        <v>0.03</v>
      </c>
      <c r="F10" s="52">
        <v>-0.03</v>
      </c>
      <c r="G10" s="51">
        <f t="shared" si="1"/>
        <v>3.74</v>
      </c>
      <c r="H10" s="51">
        <f t="shared" si="2"/>
        <v>3.68</v>
      </c>
      <c r="I10" s="52" t="s">
        <v>35</v>
      </c>
      <c r="J10" s="53">
        <v>3.706</v>
      </c>
      <c r="K10" s="53">
        <v>3.7059</v>
      </c>
      <c r="L10" s="53">
        <v>3.6975</v>
      </c>
      <c r="M10" s="53">
        <v>3.7032</v>
      </c>
      <c r="N10" s="53">
        <v>3.7045</v>
      </c>
      <c r="O10" s="53">
        <v>3.7035</v>
      </c>
      <c r="P10" s="53">
        <v>3.7061</v>
      </c>
      <c r="Q10" s="53">
        <v>3.7038</v>
      </c>
      <c r="R10" s="53">
        <v>3.6999</v>
      </c>
      <c r="S10" s="53">
        <v>3.6968</v>
      </c>
      <c r="T10" s="57"/>
      <c r="U10" s="57"/>
      <c r="V10" s="53"/>
      <c r="W10" s="53"/>
      <c r="X10" s="53"/>
      <c r="Y10" s="53"/>
      <c r="Z10" s="54" t="str">
        <f t="shared" ref="Z9:AO11" si="6">IF(J10="","",IF(J10&gt;($D10+$E10),(J10-$D10-$E10),IF(J10&lt;($D10+$F10),(J10-$D10-$F10),"√")))</f>
        <v>√</v>
      </c>
      <c r="AA10" s="54" t="str">
        <f t="shared" si="6"/>
        <v>√</v>
      </c>
      <c r="AB10" s="54" t="str">
        <f t="shared" si="6"/>
        <v>√</v>
      </c>
      <c r="AC10" s="54" t="str">
        <f t="shared" si="6"/>
        <v>√</v>
      </c>
      <c r="AD10" s="54" t="str">
        <f t="shared" si="6"/>
        <v>√</v>
      </c>
      <c r="AE10" s="54" t="str">
        <f t="shared" si="6"/>
        <v>√</v>
      </c>
      <c r="AF10" s="54" t="str">
        <f t="shared" si="6"/>
        <v>√</v>
      </c>
      <c r="AG10" s="54" t="str">
        <f t="shared" si="6"/>
        <v>√</v>
      </c>
      <c r="AH10" s="54" t="str">
        <f t="shared" si="6"/>
        <v>√</v>
      </c>
      <c r="AI10" s="54" t="str">
        <f t="shared" si="6"/>
        <v>√</v>
      </c>
      <c r="AJ10" s="54" t="str">
        <f t="shared" si="6"/>
        <v/>
      </c>
      <c r="AK10" s="54" t="str">
        <f t="shared" si="6"/>
        <v/>
      </c>
      <c r="AL10" s="54" t="str">
        <f t="shared" si="6"/>
        <v/>
      </c>
      <c r="AM10" s="54" t="str">
        <f t="shared" si="6"/>
        <v/>
      </c>
      <c r="AN10" s="54" t="str">
        <f t="shared" si="6"/>
        <v/>
      </c>
      <c r="AO10" s="54" t="str">
        <f t="shared" si="6"/>
        <v/>
      </c>
    </row>
    <row r="11" ht="15" customHeight="1" spans="1:41">
      <c r="A11" s="55"/>
      <c r="B11" s="50" t="s">
        <v>30</v>
      </c>
      <c r="C11" s="56"/>
      <c r="D11" s="51">
        <v>4.47</v>
      </c>
      <c r="E11" s="51">
        <v>0.03</v>
      </c>
      <c r="F11" s="52">
        <v>-0.03</v>
      </c>
      <c r="G11" s="51">
        <f t="shared" si="1"/>
        <v>4.5</v>
      </c>
      <c r="H11" s="51">
        <f t="shared" si="2"/>
        <v>4.44</v>
      </c>
      <c r="I11" s="52" t="s">
        <v>35</v>
      </c>
      <c r="J11" s="53">
        <v>4.4907</v>
      </c>
      <c r="K11" s="53">
        <v>4.4857</v>
      </c>
      <c r="L11" s="53">
        <v>4.4853</v>
      </c>
      <c r="M11" s="53">
        <v>4.4797</v>
      </c>
      <c r="N11" s="53">
        <v>4.4791</v>
      </c>
      <c r="O11" s="53">
        <v>4.4753</v>
      </c>
      <c r="P11" s="53">
        <v>4.496</v>
      </c>
      <c r="Q11" s="53">
        <v>4.4835</v>
      </c>
      <c r="R11" s="53">
        <v>4.4975</v>
      </c>
      <c r="S11" s="53">
        <v>4.4961</v>
      </c>
      <c r="T11" s="53"/>
      <c r="U11" s="53"/>
      <c r="V11" s="53"/>
      <c r="W11" s="53"/>
      <c r="X11" s="53"/>
      <c r="Y11" s="53"/>
      <c r="Z11" s="54" t="str">
        <f t="shared" si="6"/>
        <v>√</v>
      </c>
      <c r="AA11" s="54" t="str">
        <f t="shared" si="6"/>
        <v>√</v>
      </c>
      <c r="AB11" s="54" t="str">
        <f t="shared" si="6"/>
        <v>√</v>
      </c>
      <c r="AC11" s="54" t="str">
        <f t="shared" si="6"/>
        <v>√</v>
      </c>
      <c r="AD11" s="54" t="str">
        <f t="shared" si="6"/>
        <v>√</v>
      </c>
      <c r="AE11" s="54" t="str">
        <f t="shared" si="6"/>
        <v>√</v>
      </c>
      <c r="AF11" s="54" t="str">
        <f t="shared" si="6"/>
        <v>√</v>
      </c>
      <c r="AG11" s="54" t="str">
        <f t="shared" si="6"/>
        <v>√</v>
      </c>
      <c r="AH11" s="54" t="str">
        <f t="shared" si="6"/>
        <v>√</v>
      </c>
      <c r="AI11" s="54" t="str">
        <f t="shared" si="6"/>
        <v>√</v>
      </c>
      <c r="AJ11" s="54" t="str">
        <f t="shared" si="6"/>
        <v/>
      </c>
      <c r="AK11" s="54" t="str">
        <f t="shared" si="6"/>
        <v/>
      </c>
      <c r="AL11" s="54" t="str">
        <f t="shared" si="6"/>
        <v/>
      </c>
      <c r="AM11" s="54" t="str">
        <f t="shared" si="6"/>
        <v/>
      </c>
      <c r="AN11" s="54" t="str">
        <f t="shared" si="6"/>
        <v/>
      </c>
      <c r="AO11" s="54" t="str">
        <f t="shared" si="6"/>
        <v/>
      </c>
    </row>
    <row r="12" ht="15" customHeight="1" spans="1:41">
      <c r="A12" s="55"/>
      <c r="B12" s="50" t="s">
        <v>36</v>
      </c>
      <c r="C12" s="50" t="s">
        <v>37</v>
      </c>
      <c r="D12" s="51">
        <v>3.19</v>
      </c>
      <c r="E12" s="51">
        <v>0.03</v>
      </c>
      <c r="F12" s="52">
        <v>-0.03</v>
      </c>
      <c r="G12" s="51">
        <f t="shared" si="1"/>
        <v>3.22</v>
      </c>
      <c r="H12" s="51">
        <f t="shared" si="2"/>
        <v>3.16</v>
      </c>
      <c r="I12" s="52" t="s">
        <v>35</v>
      </c>
      <c r="J12" s="53">
        <v>3.1777</v>
      </c>
      <c r="K12" s="53">
        <v>3.1873</v>
      </c>
      <c r="L12" s="53">
        <v>3.1846</v>
      </c>
      <c r="M12" s="53">
        <v>3.1856</v>
      </c>
      <c r="N12" s="53">
        <v>3.1887</v>
      </c>
      <c r="O12" s="53">
        <v>3.1891</v>
      </c>
      <c r="P12" s="53">
        <v>3.179</v>
      </c>
      <c r="Q12" s="53">
        <v>3.1861</v>
      </c>
      <c r="R12" s="53">
        <v>3.184</v>
      </c>
      <c r="S12" s="53">
        <v>3.1837</v>
      </c>
      <c r="T12" s="53"/>
      <c r="U12" s="53"/>
      <c r="V12" s="53"/>
      <c r="W12" s="53"/>
      <c r="X12" s="53"/>
      <c r="Y12" s="53"/>
      <c r="Z12" s="54" t="str">
        <f t="shared" ref="Z12:AO12" si="7">IF(J12="","",IF(J12&gt;($D12+$E12),(J12-$D12-$E12),IF(J12&lt;($D12+$F12),(J12-$D12-$F12),"√")))</f>
        <v>√</v>
      </c>
      <c r="AA12" s="54" t="str">
        <f t="shared" si="7"/>
        <v>√</v>
      </c>
      <c r="AB12" s="54" t="str">
        <f t="shared" si="7"/>
        <v>√</v>
      </c>
      <c r="AC12" s="54" t="str">
        <f t="shared" si="7"/>
        <v>√</v>
      </c>
      <c r="AD12" s="54" t="str">
        <f t="shared" si="7"/>
        <v>√</v>
      </c>
      <c r="AE12" s="54" t="str">
        <f t="shared" si="7"/>
        <v>√</v>
      </c>
      <c r="AF12" s="54" t="str">
        <f t="shared" si="7"/>
        <v>√</v>
      </c>
      <c r="AG12" s="54" t="str">
        <f t="shared" si="7"/>
        <v>√</v>
      </c>
      <c r="AH12" s="54" t="str">
        <f t="shared" si="7"/>
        <v>√</v>
      </c>
      <c r="AI12" s="54" t="str">
        <f t="shared" si="7"/>
        <v>√</v>
      </c>
      <c r="AJ12" s="54" t="str">
        <f t="shared" si="7"/>
        <v/>
      </c>
      <c r="AK12" s="54" t="str">
        <f t="shared" si="7"/>
        <v/>
      </c>
      <c r="AL12" s="54" t="str">
        <f t="shared" si="7"/>
        <v/>
      </c>
      <c r="AM12" s="54" t="str">
        <f t="shared" si="7"/>
        <v/>
      </c>
      <c r="AN12" s="54" t="str">
        <f t="shared" si="7"/>
        <v/>
      </c>
      <c r="AO12" s="54" t="str">
        <f t="shared" si="7"/>
        <v/>
      </c>
    </row>
    <row r="13" ht="15" customHeight="1" spans="1:41">
      <c r="A13" s="55"/>
      <c r="B13" s="50" t="s">
        <v>38</v>
      </c>
      <c r="C13" s="50" t="s">
        <v>39</v>
      </c>
      <c r="D13" s="51">
        <v>0</v>
      </c>
      <c r="E13" s="51">
        <v>0.05</v>
      </c>
      <c r="F13" s="52">
        <v>0</v>
      </c>
      <c r="G13" s="51">
        <f t="shared" si="1"/>
        <v>0.05</v>
      </c>
      <c r="H13" s="51">
        <f t="shared" si="2"/>
        <v>0</v>
      </c>
      <c r="I13" s="52" t="s">
        <v>35</v>
      </c>
      <c r="J13" s="53">
        <v>0.0026</v>
      </c>
      <c r="K13" s="53">
        <v>0.0023</v>
      </c>
      <c r="L13" s="53">
        <v>0.0032</v>
      </c>
      <c r="M13" s="53">
        <v>0.0016</v>
      </c>
      <c r="N13" s="53">
        <v>0.0018</v>
      </c>
      <c r="O13" s="53">
        <v>0.001</v>
      </c>
      <c r="P13" s="53">
        <v>0.0031</v>
      </c>
      <c r="Q13" s="53">
        <v>0.0014</v>
      </c>
      <c r="R13" s="53">
        <v>0.0028</v>
      </c>
      <c r="S13" s="53">
        <v>0.0011</v>
      </c>
      <c r="T13" s="53"/>
      <c r="U13" s="53"/>
      <c r="V13" s="53"/>
      <c r="W13" s="53"/>
      <c r="X13" s="53"/>
      <c r="Y13" s="53"/>
      <c r="Z13" s="54" t="str">
        <f t="shared" ref="Z13:AO13" si="8">IF(J13="","",IF(J13&gt;($D13+$E13),(J13-$D13-$E13),IF(J13&lt;($D13+$F13),(J13-$D13-$F13),"√")))</f>
        <v>√</v>
      </c>
      <c r="AA13" s="54" t="str">
        <f t="shared" si="8"/>
        <v>√</v>
      </c>
      <c r="AB13" s="54" t="str">
        <f t="shared" si="8"/>
        <v>√</v>
      </c>
      <c r="AC13" s="54" t="str">
        <f t="shared" si="8"/>
        <v>√</v>
      </c>
      <c r="AD13" s="54" t="str">
        <f t="shared" si="8"/>
        <v>√</v>
      </c>
      <c r="AE13" s="54" t="str">
        <f t="shared" si="8"/>
        <v>√</v>
      </c>
      <c r="AF13" s="54" t="str">
        <f t="shared" si="8"/>
        <v>√</v>
      </c>
      <c r="AG13" s="54" t="str">
        <f t="shared" si="8"/>
        <v>√</v>
      </c>
      <c r="AH13" s="54" t="str">
        <f t="shared" si="8"/>
        <v>√</v>
      </c>
      <c r="AI13" s="54" t="str">
        <f t="shared" si="8"/>
        <v>√</v>
      </c>
      <c r="AJ13" s="54" t="str">
        <f t="shared" si="8"/>
        <v/>
      </c>
      <c r="AK13" s="54" t="str">
        <f t="shared" si="8"/>
        <v/>
      </c>
      <c r="AL13" s="54" t="str">
        <f t="shared" si="8"/>
        <v/>
      </c>
      <c r="AM13" s="54" t="str">
        <f t="shared" si="8"/>
        <v/>
      </c>
      <c r="AN13" s="54" t="str">
        <f t="shared" si="8"/>
        <v/>
      </c>
      <c r="AO13" s="54" t="str">
        <f t="shared" si="8"/>
        <v/>
      </c>
    </row>
    <row r="14" ht="15" customHeight="1" spans="1:41">
      <c r="A14" s="55"/>
      <c r="B14" s="58">
        <v>1</v>
      </c>
      <c r="C14" s="58"/>
      <c r="D14" s="52"/>
      <c r="E14" s="52"/>
      <c r="F14" s="52"/>
      <c r="G14" s="51"/>
      <c r="H14" s="51"/>
      <c r="I14" s="52" t="s">
        <v>35</v>
      </c>
      <c r="J14" s="53">
        <v>0.0006</v>
      </c>
      <c r="K14" s="53">
        <v>0.0012</v>
      </c>
      <c r="L14" s="53">
        <v>0.0018</v>
      </c>
      <c r="M14" s="53">
        <v>0.0007</v>
      </c>
      <c r="N14" s="53">
        <v>0.0011</v>
      </c>
      <c r="O14" s="53">
        <v>0.0005</v>
      </c>
      <c r="P14" s="53">
        <v>0.0017</v>
      </c>
      <c r="Q14" s="53">
        <v>0.0008</v>
      </c>
      <c r="R14" s="53">
        <v>0.0016</v>
      </c>
      <c r="S14" s="53">
        <v>0.0006</v>
      </c>
      <c r="T14" s="53"/>
      <c r="U14" s="53"/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55"/>
      <c r="B15" s="58">
        <v>2</v>
      </c>
      <c r="C15" s="58"/>
      <c r="D15" s="52"/>
      <c r="E15" s="52"/>
      <c r="F15" s="52"/>
      <c r="G15" s="51"/>
      <c r="H15" s="51"/>
      <c r="I15" s="52" t="s">
        <v>35</v>
      </c>
      <c r="J15" s="53">
        <v>-0.0016</v>
      </c>
      <c r="K15" s="53">
        <v>-0.0006</v>
      </c>
      <c r="L15" s="53">
        <v>-0.0011</v>
      </c>
      <c r="M15" s="53">
        <v>0.0001</v>
      </c>
      <c r="N15" s="53">
        <v>-0.0005</v>
      </c>
      <c r="O15" s="53">
        <v>-0.0001</v>
      </c>
      <c r="P15" s="53">
        <v>-0.0007</v>
      </c>
      <c r="Q15" s="53">
        <v>-0.0006</v>
      </c>
      <c r="R15" s="53">
        <v>-0.0007</v>
      </c>
      <c r="S15" s="53">
        <v>-0.0004</v>
      </c>
      <c r="T15" s="53"/>
      <c r="U15" s="53"/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55"/>
      <c r="B16" s="58">
        <v>3</v>
      </c>
      <c r="C16" s="58"/>
      <c r="D16" s="52"/>
      <c r="E16" s="52"/>
      <c r="F16" s="52"/>
      <c r="G16" s="51"/>
      <c r="H16" s="51"/>
      <c r="I16" s="52" t="s">
        <v>35</v>
      </c>
      <c r="J16" s="53">
        <v>0.001</v>
      </c>
      <c r="K16" s="53">
        <v>-0.0007</v>
      </c>
      <c r="L16" s="53">
        <v>-0.0007</v>
      </c>
      <c r="M16" s="53">
        <v>-0.0008</v>
      </c>
      <c r="N16" s="53">
        <v>-0.0006</v>
      </c>
      <c r="O16" s="53">
        <v>-0.0003</v>
      </c>
      <c r="P16" s="53">
        <v>-0.0011</v>
      </c>
      <c r="Q16" s="53">
        <v>-0.0001</v>
      </c>
      <c r="R16" s="53">
        <v>-0.0008</v>
      </c>
      <c r="S16" s="53">
        <v>-0.0002</v>
      </c>
      <c r="T16" s="53"/>
      <c r="U16" s="53"/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55"/>
      <c r="B17" s="58">
        <v>4</v>
      </c>
      <c r="C17" s="58"/>
      <c r="D17" s="52"/>
      <c r="E17" s="52"/>
      <c r="F17" s="52"/>
      <c r="G17" s="51"/>
      <c r="H17" s="51"/>
      <c r="I17" s="52" t="s">
        <v>35</v>
      </c>
      <c r="J17" s="53">
        <v>0.0002</v>
      </c>
      <c r="K17" s="53">
        <v>-0.0011</v>
      </c>
      <c r="L17" s="53">
        <v>-0.0014</v>
      </c>
      <c r="M17" s="53">
        <v>-0.0007</v>
      </c>
      <c r="N17" s="53">
        <v>-0.0006</v>
      </c>
      <c r="O17" s="53">
        <v>-0.0002</v>
      </c>
      <c r="P17" s="53">
        <v>-0.0014</v>
      </c>
      <c r="Q17" s="53">
        <v>-0.0002</v>
      </c>
      <c r="R17" s="53">
        <v>-0.0012</v>
      </c>
      <c r="S17" s="53">
        <v>-0.0004</v>
      </c>
      <c r="T17" s="53"/>
      <c r="U17" s="53"/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5"/>
      <c r="B18" s="58">
        <v>5</v>
      </c>
      <c r="C18" s="58"/>
      <c r="D18" s="52"/>
      <c r="E18" s="52"/>
      <c r="F18" s="52"/>
      <c r="G18" s="51"/>
      <c r="H18" s="51"/>
      <c r="I18" s="52" t="s">
        <v>35</v>
      </c>
      <c r="J18" s="53">
        <v>0</v>
      </c>
      <c r="K18" s="53">
        <v>0.0004</v>
      </c>
      <c r="L18" s="53">
        <v>0.0005</v>
      </c>
      <c r="M18" s="53">
        <v>0</v>
      </c>
      <c r="N18" s="53">
        <v>-0.0007</v>
      </c>
      <c r="O18" s="53">
        <v>-0.0004</v>
      </c>
      <c r="P18" s="53">
        <v>-0.0001</v>
      </c>
      <c r="Q18" s="53">
        <v>-0.0005</v>
      </c>
      <c r="R18" s="53">
        <v>0</v>
      </c>
      <c r="S18" s="53">
        <v>-0.0001</v>
      </c>
      <c r="T18" s="53"/>
      <c r="U18" s="53"/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  <row r="19" ht="15" customHeight="1" spans="1:41">
      <c r="A19" s="59"/>
      <c r="B19" s="58">
        <v>6</v>
      </c>
      <c r="C19" s="58"/>
      <c r="D19" s="52"/>
      <c r="E19" s="52"/>
      <c r="F19" s="52"/>
      <c r="G19" s="51"/>
      <c r="H19" s="51"/>
      <c r="I19" s="52" t="s">
        <v>35</v>
      </c>
      <c r="J19" s="53">
        <v>-0.0002</v>
      </c>
      <c r="K19" s="53">
        <v>0.0008</v>
      </c>
      <c r="L19" s="53">
        <v>0.001</v>
      </c>
      <c r="M19" s="53">
        <v>0.0008</v>
      </c>
      <c r="N19" s="53">
        <v>0.0012</v>
      </c>
      <c r="O19" s="53">
        <v>0.0006</v>
      </c>
      <c r="P19" s="53">
        <v>0.0015</v>
      </c>
      <c r="Q19" s="53">
        <v>0.0006</v>
      </c>
      <c r="R19" s="53">
        <v>0.0012</v>
      </c>
      <c r="S19" s="53">
        <v>0.0005</v>
      </c>
      <c r="T19" s="53"/>
      <c r="U19" s="53"/>
      <c r="V19" s="53"/>
      <c r="W19" s="53"/>
      <c r="X19" s="53"/>
      <c r="Y19" s="53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</row>
    <row r="20" spans="1:4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0:AO20"/>
    <mergeCell ref="A2:A3"/>
    <mergeCell ref="A4:A6"/>
    <mergeCell ref="A7:A19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8">
    <cfRule type="cellIs" dxfId="0" priority="16" operator="notBetween">
      <formula>$G8</formula>
      <formula>$H8</formula>
    </cfRule>
  </conditionalFormatting>
  <conditionalFormatting sqref="K8">
    <cfRule type="cellIs" dxfId="0" priority="15" operator="notBetween">
      <formula>$G8</formula>
      <formula>$H8</formula>
    </cfRule>
  </conditionalFormatting>
  <conditionalFormatting sqref="L8">
    <cfRule type="cellIs" dxfId="0" priority="14" operator="notBetween">
      <formula>$G8</formula>
      <formula>$H8</formula>
    </cfRule>
  </conditionalFormatting>
  <conditionalFormatting sqref="M8">
    <cfRule type="cellIs" dxfId="0" priority="13" operator="notBetween">
      <formula>$G8</formula>
      <formula>$H8</formula>
    </cfRule>
  </conditionalFormatting>
  <conditionalFormatting sqref="N8">
    <cfRule type="cellIs" dxfId="0" priority="12" operator="notBetween">
      <formula>$G8</formula>
      <formula>$H8</formula>
    </cfRule>
  </conditionalFormatting>
  <conditionalFormatting sqref="O8">
    <cfRule type="cellIs" dxfId="0" priority="11" operator="notBetween">
      <formula>$G8</formula>
      <formula>$H8</formula>
    </cfRule>
  </conditionalFormatting>
  <conditionalFormatting sqref="P8">
    <cfRule type="cellIs" dxfId="0" priority="10" operator="notBetween">
      <formula>$G8</formula>
      <formula>$H8</formula>
    </cfRule>
  </conditionalFormatting>
  <conditionalFormatting sqref="Q8">
    <cfRule type="cellIs" dxfId="0" priority="9" operator="notBetween">
      <formula>$G8</formula>
      <formula>$H8</formula>
    </cfRule>
  </conditionalFormatting>
  <conditionalFormatting sqref="R8">
    <cfRule type="cellIs" dxfId="0" priority="8" operator="notBetween">
      <formula>$G8</formula>
      <formula>$H8</formula>
    </cfRule>
  </conditionalFormatting>
  <conditionalFormatting sqref="S8">
    <cfRule type="cellIs" dxfId="0" priority="7" operator="notBetween">
      <formula>$G8</formula>
      <formula>$H8</formula>
    </cfRule>
  </conditionalFormatting>
  <conditionalFormatting sqref="T8">
    <cfRule type="cellIs" dxfId="0" priority="6" operator="notBetween">
      <formula>$G8</formula>
      <formula>$H8</formula>
    </cfRule>
  </conditionalFormatting>
  <conditionalFormatting sqref="U8">
    <cfRule type="cellIs" dxfId="0" priority="5" operator="notBetween">
      <formula>$G8</formula>
      <formula>$H8</formula>
    </cfRule>
  </conditionalFormatting>
  <conditionalFormatting sqref="V8">
    <cfRule type="cellIs" dxfId="0" priority="4" operator="notBetween">
      <formula>$G8</formula>
      <formula>$H8</formula>
    </cfRule>
  </conditionalFormatting>
  <conditionalFormatting sqref="W8">
    <cfRule type="cellIs" dxfId="0" priority="3" operator="notBetween">
      <formula>$G8</formula>
      <formula>$H8</formula>
    </cfRule>
  </conditionalFormatting>
  <conditionalFormatting sqref="X8">
    <cfRule type="cellIs" dxfId="0" priority="2" operator="notBetween">
      <formula>$G8</formula>
      <formula>$H8</formula>
    </cfRule>
  </conditionalFormatting>
  <conditionalFormatting sqref="Y8">
    <cfRule type="cellIs" dxfId="0" priority="1" operator="notBetween">
      <formula>$G8</formula>
      <formula>$H8</formula>
    </cfRule>
  </conditionalFormatting>
  <conditionalFormatting sqref="J10">
    <cfRule type="cellIs" dxfId="0" priority="48" operator="notBetween">
      <formula>$G10</formula>
      <formula>$H10</formula>
    </cfRule>
  </conditionalFormatting>
  <conditionalFormatting sqref="K10">
    <cfRule type="cellIs" dxfId="0" priority="47" operator="notBetween">
      <formula>$G10</formula>
      <formula>$H10</formula>
    </cfRule>
  </conditionalFormatting>
  <conditionalFormatting sqref="L10">
    <cfRule type="cellIs" dxfId="0" priority="46" operator="notBetween">
      <formula>$G10</formula>
      <formula>$H10</formula>
    </cfRule>
  </conditionalFormatting>
  <conditionalFormatting sqref="M10">
    <cfRule type="cellIs" dxfId="0" priority="45" operator="notBetween">
      <formula>$G10</formula>
      <formula>$H10</formula>
    </cfRule>
  </conditionalFormatting>
  <conditionalFormatting sqref="N10">
    <cfRule type="cellIs" dxfId="0" priority="44" operator="notBetween">
      <formula>$G10</formula>
      <formula>$H10</formula>
    </cfRule>
  </conditionalFormatting>
  <conditionalFormatting sqref="O10">
    <cfRule type="cellIs" dxfId="0" priority="43" operator="notBetween">
      <formula>$G10</formula>
      <formula>$H10</formula>
    </cfRule>
  </conditionalFormatting>
  <conditionalFormatting sqref="P10">
    <cfRule type="cellIs" dxfId="0" priority="42" operator="notBetween">
      <formula>$G10</formula>
      <formula>$H10</formula>
    </cfRule>
  </conditionalFormatting>
  <conditionalFormatting sqref="Q10">
    <cfRule type="cellIs" dxfId="0" priority="41" operator="notBetween">
      <formula>$G10</formula>
      <formula>$H10</formula>
    </cfRule>
  </conditionalFormatting>
  <conditionalFormatting sqref="R10">
    <cfRule type="cellIs" dxfId="0" priority="40" operator="notBetween">
      <formula>$G10</formula>
      <formula>$H10</formula>
    </cfRule>
  </conditionalFormatting>
  <conditionalFormatting sqref="S10">
    <cfRule type="cellIs" dxfId="0" priority="39" operator="notBetween">
      <formula>$G10</formula>
      <formula>$H10</formula>
    </cfRule>
  </conditionalFormatting>
  <conditionalFormatting sqref="T10">
    <cfRule type="cellIs" dxfId="0" priority="38" operator="notBetween">
      <formula>$G10</formula>
      <formula>$H10</formula>
    </cfRule>
  </conditionalFormatting>
  <conditionalFormatting sqref="U10">
    <cfRule type="cellIs" dxfId="0" priority="37" operator="notBetween">
      <formula>$G10</formula>
      <formula>$H10</formula>
    </cfRule>
  </conditionalFormatting>
  <conditionalFormatting sqref="V10">
    <cfRule type="cellIs" dxfId="0" priority="36" operator="notBetween">
      <formula>$G10</formula>
      <formula>$H10</formula>
    </cfRule>
  </conditionalFormatting>
  <conditionalFormatting sqref="W10">
    <cfRule type="cellIs" dxfId="0" priority="35" operator="notBetween">
      <formula>$G10</formula>
      <formula>$H10</formula>
    </cfRule>
  </conditionalFormatting>
  <conditionalFormatting sqref="X10">
    <cfRule type="cellIs" dxfId="0" priority="34" operator="notBetween">
      <formula>$G10</formula>
      <formula>$H10</formula>
    </cfRule>
  </conditionalFormatting>
  <conditionalFormatting sqref="Y10">
    <cfRule type="cellIs" dxfId="0" priority="33" operator="notBetween">
      <formula>$G10</formula>
      <formula>$H10</formula>
    </cfRule>
  </conditionalFormatting>
  <conditionalFormatting sqref="J11">
    <cfRule type="cellIs" dxfId="0" priority="32" operator="notBetween">
      <formula>$G11</formula>
      <formula>$H11</formula>
    </cfRule>
  </conditionalFormatting>
  <conditionalFormatting sqref="K11">
    <cfRule type="cellIs" dxfId="0" priority="31" operator="notBetween">
      <formula>$G11</formula>
      <formula>$H11</formula>
    </cfRule>
  </conditionalFormatting>
  <conditionalFormatting sqref="L11">
    <cfRule type="cellIs" dxfId="0" priority="30" operator="notBetween">
      <formula>$G11</formula>
      <formula>$H11</formula>
    </cfRule>
  </conditionalFormatting>
  <conditionalFormatting sqref="M11">
    <cfRule type="cellIs" dxfId="0" priority="29" operator="notBetween">
      <formula>$G11</formula>
      <formula>$H11</formula>
    </cfRule>
  </conditionalFormatting>
  <conditionalFormatting sqref="N11">
    <cfRule type="cellIs" dxfId="0" priority="28" operator="notBetween">
      <formula>$G11</formula>
      <formula>$H11</formula>
    </cfRule>
  </conditionalFormatting>
  <conditionalFormatting sqref="O11">
    <cfRule type="cellIs" dxfId="0" priority="27" operator="notBetween">
      <formula>$G11</formula>
      <formula>$H11</formula>
    </cfRule>
  </conditionalFormatting>
  <conditionalFormatting sqref="P11">
    <cfRule type="cellIs" dxfId="0" priority="26" operator="notBetween">
      <formula>$G11</formula>
      <formula>$H11</formula>
    </cfRule>
  </conditionalFormatting>
  <conditionalFormatting sqref="Q11">
    <cfRule type="cellIs" dxfId="0" priority="25" operator="notBetween">
      <formula>$G11</formula>
      <formula>$H11</formula>
    </cfRule>
  </conditionalFormatting>
  <conditionalFormatting sqref="R11">
    <cfRule type="cellIs" dxfId="0" priority="24" operator="notBetween">
      <formula>$G11</formula>
      <formula>$H11</formula>
    </cfRule>
  </conditionalFormatting>
  <conditionalFormatting sqref="S11">
    <cfRule type="cellIs" dxfId="0" priority="23" operator="notBetween">
      <formula>$G11</formula>
      <formula>$H11</formula>
    </cfRule>
  </conditionalFormatting>
  <conditionalFormatting sqref="T11">
    <cfRule type="cellIs" dxfId="0" priority="22" operator="notBetween">
      <formula>$G11</formula>
      <formula>$H11</formula>
    </cfRule>
  </conditionalFormatting>
  <conditionalFormatting sqref="U11">
    <cfRule type="cellIs" dxfId="0" priority="21" operator="notBetween">
      <formula>$G11</formula>
      <formula>$H11</formula>
    </cfRule>
  </conditionalFormatting>
  <conditionalFormatting sqref="V11">
    <cfRule type="cellIs" dxfId="0" priority="20" operator="notBetween">
      <formula>$G11</formula>
      <formula>$H11</formula>
    </cfRule>
  </conditionalFormatting>
  <conditionalFormatting sqref="W11">
    <cfRule type="cellIs" dxfId="0" priority="19" operator="notBetween">
      <formula>$G11</formula>
      <formula>$H11</formula>
    </cfRule>
  </conditionalFormatting>
  <conditionalFormatting sqref="X11">
    <cfRule type="cellIs" dxfId="0" priority="18" operator="notBetween">
      <formula>$G11</formula>
      <formula>$H11</formula>
    </cfRule>
  </conditionalFormatting>
  <conditionalFormatting sqref="Y11">
    <cfRule type="cellIs" dxfId="0" priority="17" operator="notBetween">
      <formula>$G11</formula>
      <formula>$H11</formula>
    </cfRule>
  </conditionalFormatting>
  <conditionalFormatting sqref="J7:Y7 J9:Y9">
    <cfRule type="cellIs" dxfId="0" priority="171" operator="notBetween">
      <formula>$G7</formula>
      <formula>$H7</formula>
    </cfRule>
  </conditionalFormatting>
  <conditionalFormatting sqref="J12:Y13">
    <cfRule type="cellIs" dxfId="0" priority="111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2026-06-05T13:44:20Z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