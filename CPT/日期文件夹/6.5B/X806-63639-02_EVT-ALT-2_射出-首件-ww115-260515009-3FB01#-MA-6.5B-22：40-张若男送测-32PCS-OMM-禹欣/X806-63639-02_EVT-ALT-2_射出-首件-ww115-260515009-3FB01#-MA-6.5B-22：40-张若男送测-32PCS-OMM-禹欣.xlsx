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3639" sheetId="8" r:id="rId1"/>
  </sheets>
  <definedNames>
    <definedName name="_xlnm.Print_Area" localSheetId="0">'806-63639'!$B$1:$AE$6</definedName>
    <definedName name="_xlnm.Print_Titles" localSheetId="0">'806-63639'!$1:$6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<sst xmlns="http://schemas.openxmlformats.org/spreadsheetml/2006/main" count="45" uniqueCount="30">
  <si>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安徽中耀智能科技有限公司首件尺寸报告</t>
  </si>
  <si>
    <t>料号</t>
  </si>
  <si>
    <t>X806-63639</t>
  </si>
  <si>
    <t>工单号</t>
  </si>
  <si>
    <t>ww115-260515009</t>
  </si>
  <si>
    <t>工站</t>
  </si>
  <si>
    <t xml:space="preserve">射出机台号     
</t>
  </si>
  <si>
    <t>量测机台号</t>
  </si>
  <si>
    <t>测量人员</t>
  </si>
  <si>
    <t>审核</t>
  </si>
  <si>
    <t>射出</t>
  </si>
  <si>
    <t>3FB01#</t>
  </si>
  <si>
    <t>OMM4#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</si>
  <si>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</si>
  <si>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</si>
  <si>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</si>
  <si>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</si>
  <si>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</si>
  <si>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</si>
  <si>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</si>
  <si>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</si>
  <si>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</si>
  <si>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</si>
  <si>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</si>
  <si>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</si>
  <si>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</si>
  <si>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</si>
  <si>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</si>
  <si>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15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</si>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</sst>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2" borderId="2" xfId="60" applyFont="1" applyFill="1" applyBorder="1" applyAlignment="1" applyProtection="1">
      <alignment horizontal="center" vertical="center"/>
      <protection locked="0"/>
    </xf>
    <xf numFmtId="0" fontId="3" fillId="2" borderId="3" xfId="60" applyFont="1" applyFill="1" applyBorder="1" applyAlignment="1" applyProtection="1">
      <alignment horizontal="center" vertical="center"/>
      <protection locked="0"/>
    </xf>
    <xf numFmtId="0" fontId="3" fillId="2" borderId="4" xfId="60" applyFont="1" applyFill="1" applyBorder="1" applyAlignment="1" applyProtection="1">
      <alignment horizontal="center" vertical="center"/>
      <protection locked="0"/>
    </xf>
    <xf numFmtId="49" fontId="2" fillId="2" borderId="2" xfId="60" applyNumberFormat="1" applyFont="1" applyFill="1" applyBorder="1" applyAlignment="1">
      <alignment horizontal="center" vertical="center"/>
    </xf>
    <xf numFmtId="49" fontId="2" fillId="2" borderId="3" xfId="60" applyNumberFormat="1" applyFont="1" applyFill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4" fillId="0" borderId="1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>
      <alignment horizontal="center" vertical="center"/>
    </xf>
    <xf numFmtId="49" fontId="5" fillId="0" borderId="6" xfId="60" applyNumberFormat="1" applyFont="1" applyBorder="1" applyAlignment="1">
      <alignment horizontal="center" vertical="center"/>
    </xf>
    <xf numFmtId="49" fontId="5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5" fillId="0" borderId="5" xfId="79" applyNumberFormat="1" applyFont="1" applyBorder="1" applyAlignment="1">
      <alignment horizontal="center" vertical="center"/>
    </xf>
    <xf numFmtId="49" fontId="5" fillId="0" borderId="6" xfId="79" applyNumberFormat="1" applyFont="1" applyBorder="1" applyAlignment="1">
      <alignment horizontal="center" vertical="center"/>
    </xf>
    <xf numFmtId="49" fontId="5" fillId="0" borderId="7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5" xfId="60" applyFont="1" applyBorder="1" applyAlignment="1" applyProtection="1">
      <alignment horizontal="center" vertical="center"/>
      <protection locked="0"/>
    </xf>
    <xf numFmtId="0" fontId="5" fillId="0" borderId="6" xfId="60" applyFont="1" applyBorder="1" applyAlignment="1" applyProtection="1">
      <alignment horizontal="center" vertical="center"/>
      <protection locked="0"/>
    </xf>
    <xf numFmtId="0" fontId="5" fillId="0" borderId="7" xfId="60" applyFont="1" applyBorder="1" applyAlignment="1" applyProtection="1">
      <alignment horizontal="center" vertical="center"/>
      <protection locked="0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176" fontId="4" fillId="0" borderId="5" xfId="79" applyNumberFormat="1" applyFont="1" applyBorder="1" applyAlignment="1">
      <alignment horizontal="center" vertical="center"/>
    </xf>
    <xf numFmtId="176" fontId="4" fillId="0" borderId="6" xfId="79" applyNumberFormat="1" applyFont="1" applyBorder="1" applyAlignment="1">
      <alignment horizontal="center" vertical="center"/>
    </xf>
    <xf numFmtId="176" fontId="4" fillId="0" borderId="7" xfId="79" applyNumberFormat="1" applyFont="1" applyBorder="1" applyAlignment="1">
      <alignment horizontal="center" vertical="center"/>
    </xf>
    <xf numFmtId="176" fontId="5" fillId="0" borderId="5" xfId="79" applyNumberFormat="1" applyFont="1" applyBorder="1" applyAlignment="1">
      <alignment horizontal="center" vertical="center"/>
    </xf>
    <xf numFmtId="176" fontId="5" fillId="0" borderId="7" xfId="79" applyNumberFormat="1" applyFont="1" applyBorder="1" applyAlignment="1">
      <alignment horizontal="center" vertical="center"/>
    </xf>
    <xf numFmtId="49" fontId="6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60" applyFont="1" applyFill="1" applyBorder="1" applyAlignment="1" applyProtection="1">
      <alignment horizontal="center" vertical="center"/>
      <protection locked="0"/>
    </xf>
    <xf numFmtId="177" fontId="6" fillId="0" borderId="1" xfId="60" applyNumberFormat="1" applyFont="1" applyFill="1" applyBorder="1" applyAlignment="1">
      <alignment horizontal="center" vertical="center"/>
    </xf>
    <xf numFmtId="177" fontId="6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0" borderId="1" xfId="60" applyFont="1" applyFill="1" applyBorder="1" applyAlignment="1" applyProtection="1">
      <alignment horizontal="center" vertical="center" wrapText="1"/>
      <protection locked="0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5" xfId="60" applyFont="1" applyFill="1" applyBorder="1" applyAlignment="1">
      <alignment horizontal="center" vertical="center"/>
    </xf>
    <xf numFmtId="0" fontId="7" fillId="4" borderId="6" xfId="60" applyFont="1" applyFill="1" applyBorder="1" applyAlignment="1">
      <alignment horizontal="center" vertical="center"/>
    </xf>
    <xf numFmtId="0" fontId="7" fillId="4" borderId="7" xfId="60" applyFont="1" applyFill="1" applyBorder="1" applyAlignment="1">
      <alignment horizontal="center" vertical="center"/>
    </xf>
    <xf numFmtId="49" fontId="8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60" applyNumberFormat="1" applyFont="1" applyFill="1" applyBorder="1" applyAlignment="1" applyProtection="1">
      <alignment horizontal="center" vertical="center"/>
      <protection locked="0"/>
    </xf>
    <xf numFmtId="49" fontId="6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7" fillId="4" borderId="1" xfId="60" applyFont="1" applyFill="1" applyBorder="1" applyAlignment="1">
      <alignment horizontal="center" vertical="center"/>
    </xf>
    <xf numFmtId="49" fontId="6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60" applyNumberFormat="1" applyFont="1" applyFill="1" applyBorder="1" applyAlignment="1" applyProtection="1">
      <alignment horizontal="center" vertical="center"/>
      <protection locked="0"/>
    </xf>
    <xf numFmtId="0" fontId="9" fillId="4" borderId="1" xfId="6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/>
    </xf>
    <xf numFmtId="0" fontId="12" fillId="0" borderId="1" xfId="59" applyFont="1" applyBorder="1" applyAlignment="1">
      <alignment horizontal="center" vertical="center"/>
    </xf>
    <xf numFmtId="0" fontId="12" fillId="0" borderId="1" xfId="59" applyFont="1" applyFill="1" applyBorder="1" applyAlignment="1">
      <alignment horizontal="center" vertical="center"/>
    </xf>
    <xf numFmtId="177" fontId="11" fillId="3" borderId="1" xfId="61" applyNumberFormat="1" applyFont="1" applyFill="1" applyBorder="1" applyAlignment="1">
      <alignment horizontal="center" vertical="center"/>
    </xf>
    <xf numFmtId="0" fontId="13" fillId="4" borderId="1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244475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417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"/>
  <sheetViews>
    <sheetView tabSelected="1" topLeftCell="B1" workbookViewId="0">
      <selection activeCell="L2" sqref="L2:R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1" t="s">
        <v>6</v>
      </c>
      <c r="Z2" s="12"/>
      <c r="AA2" s="12"/>
      <c r="AB2" s="12"/>
      <c r="AC2" s="12"/>
      <c r="AD2" s="13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2"/>
      <c r="B3" s="20"/>
      <c r="C3" s="21"/>
      <c r="D3" s="21"/>
      <c r="E3" s="21"/>
      <c r="F3" s="21"/>
      <c r="G3" s="22"/>
      <c r="H3" s="23"/>
      <c r="I3" s="24"/>
      <c r="J3" s="25"/>
      <c r="K3" s="26"/>
      <c r="L3" s="10"/>
      <c r="M3" s="10"/>
      <c r="N3" s="10"/>
      <c r="O3" s="10"/>
      <c r="P3" s="10"/>
      <c r="Q3" s="10"/>
      <c r="R3" s="10"/>
      <c r="S3" s="27" t="s">
        <v>10</v>
      </c>
      <c r="T3" s="28"/>
      <c r="U3" s="28"/>
      <c r="V3" s="28"/>
      <c r="W3" s="28"/>
      <c r="X3" s="29"/>
      <c r="Y3" s="30" t="s">
        <v>11</v>
      </c>
      <c r="Z3" s="31"/>
      <c r="AA3" s="31"/>
      <c r="AB3" s="31"/>
      <c r="AC3" s="31"/>
      <c r="AD3" s="32"/>
      <c r="AE3" s="33" t="s">
        <v>12</v>
      </c>
      <c r="AF3" s="34"/>
      <c r="AG3" s="34"/>
      <c r="AH3" s="34"/>
      <c r="AI3" s="35"/>
      <c r="AJ3" s="33" t="s">
        <v>13</v>
      </c>
      <c r="AK3" s="34"/>
      <c r="AL3" s="34"/>
      <c r="AM3" s="35"/>
      <c r="AN3" s="36" t="s">
        <v>14</v>
      </c>
      <c r="AO3" s="37"/>
    </row>
    <row r="4" customHeight="1" spans="1:41">
      <c r="A4" s="38" t="s">
        <v>15</v>
      </c>
      <c r="B4" s="38" t="s">
        <v>16</v>
      </c>
      <c r="C4" s="39" t="s">
        <v>17</v>
      </c>
      <c r="D4" s="40" t="s">
        <v>18</v>
      </c>
      <c r="E4" s="41" t="s">
        <v>19</v>
      </c>
      <c r="F4" s="42" t="s">
        <v>20</v>
      </c>
      <c r="G4" s="42" t="s">
        <v>21</v>
      </c>
      <c r="H4" s="42" t="s">
        <v>22</v>
      </c>
      <c r="I4" s="43" t="s">
        <v>23</v>
      </c>
      <c r="J4" s="44" t="s">
        <v>24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5" t="s">
        <v>25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</row>
    <row r="5" ht="13.5" customHeight="1" spans="1:41">
      <c r="A5" s="48"/>
      <c r="B5" s="49"/>
      <c r="C5" s="50"/>
      <c r="D5" s="40"/>
      <c r="E5" s="41"/>
      <c r="F5" s="42"/>
      <c r="G5" s="42"/>
      <c r="H5" s="42"/>
      <c r="I5" s="40"/>
      <c r="J5" s="44" t="s">
        <v>26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51" t="s">
        <v>27</v>
      </c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</row>
    <row r="6" customHeight="1" spans="1:41">
      <c r="A6" s="48"/>
      <c r="B6" s="49"/>
      <c r="C6" s="52"/>
      <c r="D6" s="40"/>
      <c r="E6" s="41"/>
      <c r="F6" s="42"/>
      <c r="G6" s="42"/>
      <c r="H6" s="42"/>
      <c r="I6" s="40"/>
      <c r="J6" s="53">
        <v>1</v>
      </c>
      <c r="K6" s="53">
        <v>2</v>
      </c>
      <c r="L6" s="53">
        <v>3</v>
      </c>
      <c r="M6" s="53">
        <v>4</v>
      </c>
      <c r="N6" s="53">
        <v>5</v>
      </c>
      <c r="O6" s="53">
        <v>6</v>
      </c>
      <c r="P6" s="53">
        <v>7</v>
      </c>
      <c r="Q6" s="53">
        <v>8</v>
      </c>
      <c r="R6" s="53">
        <v>9</v>
      </c>
      <c r="S6" s="53">
        <v>10</v>
      </c>
      <c r="T6" s="53">
        <v>11</v>
      </c>
      <c r="U6" s="53">
        <v>12</v>
      </c>
      <c r="V6" s="53">
        <v>13</v>
      </c>
      <c r="W6" s="53">
        <v>14</v>
      </c>
      <c r="X6" s="54">
        <v>15</v>
      </c>
      <c r="Y6" s="54">
        <v>16</v>
      </c>
      <c r="Z6" s="55">
        <f t="shared" ref="Z6:AO6" si="0">J6</f>
        <v>1</v>
      </c>
      <c r="AA6" s="55">
        <f t="shared" si="0"/>
        <v>2</v>
      </c>
      <c r="AB6" s="55">
        <f t="shared" si="0"/>
        <v>3</v>
      </c>
      <c r="AC6" s="55">
        <f t="shared" si="0"/>
        <v>4</v>
      </c>
      <c r="AD6" s="55">
        <f t="shared" si="0"/>
        <v>5</v>
      </c>
      <c r="AE6" s="55">
        <f t="shared" si="0"/>
        <v>6</v>
      </c>
      <c r="AF6" s="55">
        <f t="shared" si="0"/>
        <v>7</v>
      </c>
      <c r="AG6" s="55">
        <f t="shared" si="0"/>
        <v>8</v>
      </c>
      <c r="AH6" s="55">
        <f t="shared" si="0"/>
        <v>9</v>
      </c>
      <c r="AI6" s="55">
        <f t="shared" si="0"/>
        <v>10</v>
      </c>
      <c r="AJ6" s="55">
        <f t="shared" si="0"/>
        <v>11</v>
      </c>
      <c r="AK6" s="55">
        <f t="shared" si="0"/>
        <v>12</v>
      </c>
      <c r="AL6" s="55">
        <f t="shared" si="0"/>
        <v>13</v>
      </c>
      <c r="AM6" s="55">
        <f t="shared" si="0"/>
        <v>14</v>
      </c>
      <c r="AN6" s="55">
        <f t="shared" si="0"/>
        <v>15</v>
      </c>
      <c r="AO6" s="55">
        <f t="shared" si="0"/>
        <v>16</v>
      </c>
    </row>
    <row r="7" ht="15" customHeight="1" spans="1:41">
      <c r="A7" s="56">
        <v>46179</v>
      </c>
      <c r="B7" s="57" t="s">
        <v>28</v>
      </c>
      <c r="C7" s="57"/>
      <c r="D7" s="58">
        <v>6.26</v>
      </c>
      <c r="E7" s="58">
        <v>0.015</v>
      </c>
      <c r="F7" s="58">
        <v>-0.015</v>
      </c>
      <c r="G7" s="59">
        <f t="shared" ref="G7" si="1">D7+E7</f>
        <v>6.275</v>
      </c>
      <c r="H7" s="59">
        <f t="shared" ref="H7" si="2">D7+F7</f>
        <v>6.245</v>
      </c>
      <c r="I7" s="58" t="s">
        <v>29</v>
      </c>
      <c r="J7" s="60">
        <v>6.2747</v>
      </c>
      <c r="K7" s="60">
        <v>6.2674</v>
      </c>
      <c r="L7" s="60">
        <v>6.2617</v>
      </c>
      <c r="M7" s="60">
        <v>6.2659</v>
      </c>
      <c r="N7" s="60">
        <v>6.2623</v>
      </c>
      <c r="O7" s="60">
        <v>6.2705</v>
      </c>
      <c r="P7" s="60">
        <v>6.2622</v>
      </c>
      <c r="Q7" s="60">
        <v>6.2671</v>
      </c>
      <c r="R7" s="60">
        <v>6.2627</v>
      </c>
      <c r="S7" s="60">
        <v>6.2609</v>
      </c>
      <c r="T7" s="60">
        <v>6.2635</v>
      </c>
      <c r="U7" s="60">
        <v>6.2721</v>
      </c>
      <c r="V7" s="60">
        <v>6.2621</v>
      </c>
      <c r="W7" s="60">
        <v>6.2558</v>
      </c>
      <c r="X7" s="60">
        <v>6.2637</v>
      </c>
      <c r="Y7" s="60">
        <v>6.2631</v>
      </c>
      <c r="Z7" s="61" t="str">
        <f t="shared" ref="Z7" si="3">IF(J7="","",IF(J7&gt;($D7+$E7),(J7-$D7-$E7),IF(J7&lt;($D7+$F7),(J7-$D7-$F7),"√")))</f>
        <v>√</v>
      </c>
      <c r="AA7" s="61" t="str">
        <f t="shared" ref="AA7" si="4">IF(K7="","",IF(K7&gt;($D7+$E7),(K7-$D7-$E7),IF(K7&lt;($D7+$F7),(K7-$D7-$F7),"√")))</f>
        <v>√</v>
      </c>
      <c r="AB7" s="61" t="str">
        <f t="shared" ref="AB7:AO7" si="5">IF(L7="","",IF(L7&gt;($D7+$E7),(L7-$D7-$E7),IF(L7&lt;($D7+$F7),(L7-$D7-$F7),"√")))</f>
        <v>√</v>
      </c>
      <c r="AC7" s="61" t="str">
        <f t="shared" si="5"/>
        <v>√</v>
      </c>
      <c r="AD7" s="61" t="str">
        <f t="shared" si="5"/>
        <v>√</v>
      </c>
      <c r="AE7" s="61" t="str">
        <f t="shared" si="5"/>
        <v>√</v>
      </c>
      <c r="AF7" s="61" t="str">
        <f t="shared" si="5"/>
        <v>√</v>
      </c>
      <c r="AG7" s="61" t="str">
        <f t="shared" si="5"/>
        <v>√</v>
      </c>
      <c r="AH7" s="61" t="str">
        <f t="shared" si="5"/>
        <v>√</v>
      </c>
      <c r="AI7" s="61" t="str">
        <f t="shared" si="5"/>
        <v>√</v>
      </c>
      <c r="AJ7" s="61" t="str">
        <f t="shared" si="5"/>
        <v>√</v>
      </c>
      <c r="AK7" s="61" t="str">
        <f t="shared" si="5"/>
        <v>√</v>
      </c>
      <c r="AL7" s="61" t="str">
        <f t="shared" si="5"/>
        <v>√</v>
      </c>
      <c r="AM7" s="61" t="str">
        <f t="shared" si="5"/>
        <v>√</v>
      </c>
      <c r="AN7" s="61" t="str">
        <f t="shared" si="5"/>
        <v>√</v>
      </c>
      <c r="AO7" s="61" t="str">
        <f t="shared" si="5"/>
        <v>√</v>
      </c>
    </row>
    <row r="10" customHeight="1" spans="1:41">
      <c r="A10" s="38" t="s">
        <v>15</v>
      </c>
      <c r="B10" s="38" t="s">
        <v>16</v>
      </c>
      <c r="C10" s="39" t="s">
        <v>17</v>
      </c>
      <c r="D10" s="40" t="s">
        <v>18</v>
      </c>
      <c r="E10" s="41" t="s">
        <v>19</v>
      </c>
      <c r="F10" s="42" t="s">
        <v>20</v>
      </c>
      <c r="G10" s="42" t="s">
        <v>21</v>
      </c>
      <c r="H10" s="42" t="s">
        <v>22</v>
      </c>
      <c r="I10" s="43" t="s">
        <v>23</v>
      </c>
      <c r="J10" s="44" t="s">
        <v>24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5" t="s">
        <v>25</v>
      </c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7"/>
    </row>
    <row r="11" ht="13.5" customHeight="1" spans="1:41">
      <c r="A11" s="48"/>
      <c r="B11" s="49"/>
      <c r="C11" s="50"/>
      <c r="D11" s="40"/>
      <c r="E11" s="41"/>
      <c r="F11" s="42"/>
      <c r="G11" s="42"/>
      <c r="H11" s="42"/>
      <c r="I11" s="40"/>
      <c r="J11" s="44" t="s">
        <v>26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51" t="s">
        <v>27</v>
      </c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</row>
    <row r="12" customHeight="1" spans="1:41">
      <c r="A12" s="48"/>
      <c r="B12" s="49"/>
      <c r="C12" s="52"/>
      <c r="D12" s="40"/>
      <c r="E12" s="41"/>
      <c r="F12" s="42"/>
      <c r="G12" s="42"/>
      <c r="H12" s="42"/>
      <c r="I12" s="40"/>
      <c r="J12" s="53">
        <v>1</v>
      </c>
      <c r="K12" s="53">
        <v>2</v>
      </c>
      <c r="L12" s="53">
        <v>3</v>
      </c>
      <c r="M12" s="53">
        <v>4</v>
      </c>
      <c r="N12" s="53">
        <v>5</v>
      </c>
      <c r="O12" s="53">
        <v>6</v>
      </c>
      <c r="P12" s="53">
        <v>7</v>
      </c>
      <c r="Q12" s="53">
        <v>8</v>
      </c>
      <c r="R12" s="53">
        <v>9</v>
      </c>
      <c r="S12" s="53">
        <v>10</v>
      </c>
      <c r="T12" s="53">
        <v>11</v>
      </c>
      <c r="U12" s="53">
        <v>12</v>
      </c>
      <c r="V12" s="53">
        <v>13</v>
      </c>
      <c r="W12" s="53">
        <v>14</v>
      </c>
      <c r="X12" s="54">
        <v>15</v>
      </c>
      <c r="Y12" s="54">
        <v>16</v>
      </c>
      <c r="Z12" s="55">
        <f t="shared" ref="Z12:AO12" si="6">J12</f>
        <v>1</v>
      </c>
      <c r="AA12" s="55">
        <f t="shared" si="6"/>
        <v>2</v>
      </c>
      <c r="AB12" s="55">
        <f t="shared" si="6"/>
        <v>3</v>
      </c>
      <c r="AC12" s="55">
        <f t="shared" si="6"/>
        <v>4</v>
      </c>
      <c r="AD12" s="55">
        <f t="shared" si="6"/>
        <v>5</v>
      </c>
      <c r="AE12" s="55">
        <f t="shared" si="6"/>
        <v>6</v>
      </c>
      <c r="AF12" s="55">
        <f t="shared" si="6"/>
        <v>7</v>
      </c>
      <c r="AG12" s="55">
        <f t="shared" si="6"/>
        <v>8</v>
      </c>
      <c r="AH12" s="55">
        <f t="shared" si="6"/>
        <v>9</v>
      </c>
      <c r="AI12" s="55">
        <f t="shared" si="6"/>
        <v>10</v>
      </c>
      <c r="AJ12" s="55">
        <f t="shared" si="6"/>
        <v>11</v>
      </c>
      <c r="AK12" s="55">
        <f t="shared" si="6"/>
        <v>12</v>
      </c>
      <c r="AL12" s="55">
        <f t="shared" si="6"/>
        <v>13</v>
      </c>
      <c r="AM12" s="55">
        <f t="shared" si="6"/>
        <v>14</v>
      </c>
      <c r="AN12" s="55">
        <f t="shared" si="6"/>
        <v>15</v>
      </c>
      <c r="AO12" s="55">
        <f t="shared" si="6"/>
        <v>16</v>
      </c>
    </row>
    <row r="13" ht="15" customHeight="1" spans="1:41">
      <c r="A13" s="56">
        <v>46179</v>
      </c>
      <c r="B13" s="57" t="s">
        <v>28</v>
      </c>
      <c r="C13" s="57"/>
      <c r="D13" s="58">
        <v>6.26</v>
      </c>
      <c r="E13" s="58">
        <v>0.015</v>
      </c>
      <c r="F13" s="58">
        <v>-0.015</v>
      </c>
      <c r="G13" s="59">
        <f>D13+E13</f>
        <v>6.275</v>
      </c>
      <c r="H13" s="59">
        <f>D13+F13</f>
        <v>6.245</v>
      </c>
      <c r="I13" s="58" t="s">
        <v>29</v>
      </c>
      <c r="J13" s="60">
        <v>6.2625</v>
      </c>
      <c r="K13" s="60">
        <v>6.2608</v>
      </c>
      <c r="L13" s="60">
        <v>6.2672</v>
      </c>
      <c r="M13" s="60">
        <v>6.2645</v>
      </c>
      <c r="N13" s="60">
        <v>6.2633</v>
      </c>
      <c r="O13" s="60">
        <v>6.2639</v>
      </c>
      <c r="P13" s="60">
        <v>6.2613</v>
      </c>
      <c r="Q13" s="60">
        <v>6.262</v>
      </c>
      <c r="R13" s="60">
        <v>6.2593</v>
      </c>
      <c r="S13" s="60">
        <v>6.2608</v>
      </c>
      <c r="T13" s="60">
        <v>6.2617</v>
      </c>
      <c r="U13" s="60">
        <v>6.2662</v>
      </c>
      <c r="V13" s="60">
        <v>6.265</v>
      </c>
      <c r="W13" s="60">
        <v>6.2667</v>
      </c>
      <c r="X13" s="60">
        <v>6.265</v>
      </c>
      <c r="Y13" s="60">
        <v>6.2654</v>
      </c>
      <c r="Z13" s="61" t="str">
        <f t="shared" ref="Z13:AO13" si="7">IF(J13="","",IF(J13&gt;($D13+$E13),(J13-$D13-$E13),IF(J13&lt;($D13+$F13),(J13-$D13-$F13),"√")))</f>
        <v>√</v>
      </c>
      <c r="AA13" s="61" t="str">
        <f t="shared" si="7"/>
        <v>√</v>
      </c>
      <c r="AB13" s="61" t="str">
        <f t="shared" si="7"/>
        <v>√</v>
      </c>
      <c r="AC13" s="61" t="str">
        <f t="shared" si="7"/>
        <v>√</v>
      </c>
      <c r="AD13" s="61" t="str">
        <f t="shared" si="7"/>
        <v>√</v>
      </c>
      <c r="AE13" s="61" t="str">
        <f t="shared" si="7"/>
        <v>√</v>
      </c>
      <c r="AF13" s="61" t="str">
        <f t="shared" si="7"/>
        <v>√</v>
      </c>
      <c r="AG13" s="61" t="str">
        <f t="shared" si="7"/>
        <v>√</v>
      </c>
      <c r="AH13" s="61" t="str">
        <f t="shared" si="7"/>
        <v>√</v>
      </c>
      <c r="AI13" s="61" t="str">
        <f t="shared" si="7"/>
        <v>√</v>
      </c>
      <c r="AJ13" s="61" t="str">
        <f t="shared" si="7"/>
        <v>√</v>
      </c>
      <c r="AK13" s="61" t="str">
        <f t="shared" si="7"/>
        <v>√</v>
      </c>
      <c r="AL13" s="61" t="str">
        <f t="shared" si="7"/>
        <v>√</v>
      </c>
      <c r="AM13" s="61" t="str">
        <f t="shared" si="7"/>
        <v>√</v>
      </c>
      <c r="AN13" s="61" t="str">
        <f t="shared" si="7"/>
        <v>√</v>
      </c>
      <c r="AO13" s="61" t="str">
        <f t="shared" si="7"/>
        <v>√</v>
      </c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0:Y10"/>
    <mergeCell ref="Z10:AO10"/>
    <mergeCell ref="J11:Y11"/>
    <mergeCell ref="Z11:AO11"/>
    <mergeCell ref="A2:A3"/>
    <mergeCell ref="A4:A6"/>
    <mergeCell ref="A10:A12"/>
    <mergeCell ref="B4:B6"/>
    <mergeCell ref="B10:B12"/>
    <mergeCell ref="C4:C6"/>
    <mergeCell ref="C10:C12"/>
    <mergeCell ref="D4:D6"/>
    <mergeCell ref="D10:D12"/>
    <mergeCell ref="E4:E6"/>
    <mergeCell ref="E10:E12"/>
    <mergeCell ref="F4:F6"/>
    <mergeCell ref="F10:F12"/>
    <mergeCell ref="G4:G6"/>
    <mergeCell ref="G10:G12"/>
    <mergeCell ref="H4:H6"/>
    <mergeCell ref="H10:H12"/>
    <mergeCell ref="I4:I6"/>
    <mergeCell ref="I10:I12"/>
    <mergeCell ref="H2:K3"/>
    <mergeCell ref="L2:R3"/>
    <mergeCell ref="B2:G3"/>
  </mergeCells>
  <conditionalFormatting sqref="J7:Y7">
    <cfRule type="cellIs" dxfId="0" priority="18" operator="notBetween">
      <formula>$G7</formula>
      <formula>$H7</formula>
    </cfRule>
  </conditionalFormatting>
  <conditionalFormatting sqref="J13:Y13">
    <cfRule type="cellIs" dxfId="0" priority="1" operator="notBetween">
      <formula>$G13</formula>
      <formula>$H13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806-63639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2026-06-05T16:57:03Z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