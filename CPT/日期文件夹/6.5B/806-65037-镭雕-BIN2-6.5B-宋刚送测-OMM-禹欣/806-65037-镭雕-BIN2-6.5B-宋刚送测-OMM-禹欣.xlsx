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7" sheetId="8" r:id="rId1"/>
  </sheets>
  <definedNames>
    <definedName name="_xlnm.Print_Area" localSheetId="0">'806-65037'!$B$1:$AD$6</definedName>
    <definedName name="_xlnm.Print_Titles" localSheetId="0">'806-65037'!$1:$6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<sst xmlns="http://schemas.openxmlformats.org/spreadsheetml/2006/main" count="29" uniqueCount="28">
  <si>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安徽中耀智能科技有限公司首件尺寸报告</t>
  </si>
  <si>
    <t>料号</t>
  </si>
  <si>
    <t>806-65037_BIN2</t>
  </si>
  <si>
    <t>工单号</t>
  </si>
  <si>
    <t>工站</t>
  </si>
  <si>
    <t>镭雕机台号</t>
  </si>
  <si>
    <t>测量机台号</t>
  </si>
  <si>
    <t>测量人员</t>
  </si>
  <si>
    <t>审核</t>
  </si>
  <si>
    <t>镭雕</t>
  </si>
  <si>
    <t>OMM4#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</si>
  <si>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</si>
  <si>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</si>
  <si>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</si>
  <si>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</si>
  <si>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</si>
  <si>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</si>
  <si>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</si>
  <si>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</si>
  <si>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</si>
  <si>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</si>
  <si>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</si>
  <si>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</si>
  <si>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</si>
  <si>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</si>
  <si>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1</t>
  </si>
  <si>
    <t>OMM</t>
  </si>
  <si>
    <t>FAI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</si>
</sst>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"/>
  <sheetViews>
    <sheetView tabSelected="1" workbookViewId="0">
      <selection activeCell="B8" sqref="B8"/>
    </sheetView>
  </sheetViews>
  <sheetFormatPr defaultColWidth="9" defaultRowHeight="14.25" outlineLevelRow="7"/>
  <cols>
    <col min="1" max="1" width="9.375" customWidth="1"/>
    <col min="2" max="2" width="13" customWidth="1"/>
    <col min="3" max="7" width="7.50833333333333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3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/>
      <c r="L2" s="9"/>
      <c r="M2" s="9"/>
      <c r="N2" s="9"/>
      <c r="O2" s="9"/>
      <c r="P2" s="9"/>
      <c r="Q2" s="9"/>
      <c r="R2" s="10" t="s">
        <v>4</v>
      </c>
      <c r="S2" s="11"/>
      <c r="T2" s="11"/>
      <c r="U2" s="11"/>
      <c r="V2" s="11"/>
      <c r="W2" s="12"/>
      <c r="X2" s="10" t="s">
        <v>5</v>
      </c>
      <c r="Y2" s="11"/>
      <c r="Z2" s="11"/>
      <c r="AA2" s="11"/>
      <c r="AB2" s="11"/>
      <c r="AC2" s="12"/>
      <c r="AD2" s="10" t="s">
        <v>6</v>
      </c>
      <c r="AE2" s="11"/>
      <c r="AF2" s="11"/>
      <c r="AG2" s="11"/>
      <c r="AH2" s="12"/>
      <c r="AI2" s="13" t="s">
        <v>7</v>
      </c>
      <c r="AJ2" s="14"/>
      <c r="AK2" s="14"/>
      <c r="AL2" s="15"/>
      <c r="AM2" s="13" t="s">
        <v>8</v>
      </c>
      <c r="AN2" s="15"/>
    </row>
    <row r="3" ht="15" customHeight="1" spans="1:40">
      <c r="A3" s="2"/>
      <c r="B3" s="16"/>
      <c r="C3" s="17"/>
      <c r="D3" s="17"/>
      <c r="E3" s="17"/>
      <c r="F3" s="18"/>
      <c r="G3" s="19"/>
      <c r="H3" s="20"/>
      <c r="I3" s="20"/>
      <c r="J3" s="21"/>
      <c r="K3" s="9"/>
      <c r="L3" s="9"/>
      <c r="M3" s="9"/>
      <c r="N3" s="9"/>
      <c r="O3" s="9"/>
      <c r="P3" s="9"/>
      <c r="Q3" s="9"/>
      <c r="R3" s="10" t="s">
        <v>9</v>
      </c>
      <c r="S3" s="11"/>
      <c r="T3" s="11"/>
      <c r="U3" s="11"/>
      <c r="V3" s="11"/>
      <c r="W3" s="12"/>
      <c r="X3" s="10"/>
      <c r="Y3" s="11"/>
      <c r="Z3" s="11"/>
      <c r="AA3" s="11"/>
      <c r="AB3" s="11"/>
      <c r="AC3" s="12"/>
      <c r="AD3" s="22" t="s">
        <v>10</v>
      </c>
      <c r="AE3" s="23"/>
      <c r="AF3" s="23"/>
      <c r="AG3" s="23"/>
      <c r="AH3" s="24"/>
      <c r="AI3" s="22" t="s">
        <v>11</v>
      </c>
      <c r="AJ3" s="23"/>
      <c r="AK3" s="23"/>
      <c r="AL3" s="24"/>
      <c r="AM3" s="22" t="s">
        <v>12</v>
      </c>
      <c r="AN3" s="24"/>
    </row>
    <row r="4" customHeight="1" spans="1:40">
      <c r="A4" s="25" t="s">
        <v>13</v>
      </c>
      <c r="B4" s="25" t="s">
        <v>14</v>
      </c>
      <c r="C4" s="26" t="s">
        <v>15</v>
      </c>
      <c r="D4" s="27" t="s">
        <v>16</v>
      </c>
      <c r="E4" s="28" t="s">
        <v>17</v>
      </c>
      <c r="F4" s="28" t="s">
        <v>18</v>
      </c>
      <c r="G4" s="28" t="s">
        <v>19</v>
      </c>
      <c r="H4" s="29" t="s">
        <v>20</v>
      </c>
      <c r="I4" s="30" t="s">
        <v>21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1" t="s">
        <v>22</v>
      </c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3"/>
    </row>
    <row r="5" ht="13.5" customHeight="1" spans="1:40">
      <c r="A5" s="34"/>
      <c r="B5" s="35"/>
      <c r="C5" s="26"/>
      <c r="D5" s="27"/>
      <c r="E5" s="28"/>
      <c r="F5" s="28"/>
      <c r="G5" s="28"/>
      <c r="H5" s="26"/>
      <c r="I5" s="30" t="s">
        <v>23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6" t="s">
        <v>24</v>
      </c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customHeight="1" spans="1:40">
      <c r="A6" s="34"/>
      <c r="B6" s="35"/>
      <c r="C6" s="26"/>
      <c r="D6" s="27"/>
      <c r="E6" s="28"/>
      <c r="F6" s="28"/>
      <c r="G6" s="28"/>
      <c r="H6" s="26"/>
      <c r="I6" s="37">
        <v>1</v>
      </c>
      <c r="J6" s="38">
        <v>2</v>
      </c>
      <c r="K6" s="37">
        <v>3</v>
      </c>
      <c r="L6" s="37">
        <v>4</v>
      </c>
      <c r="M6" s="37">
        <v>5</v>
      </c>
      <c r="N6" s="37">
        <v>6</v>
      </c>
      <c r="O6" s="37">
        <v>7</v>
      </c>
      <c r="P6" s="37">
        <v>8</v>
      </c>
      <c r="Q6" s="37">
        <v>9</v>
      </c>
      <c r="R6" s="37">
        <v>10</v>
      </c>
      <c r="S6" s="37">
        <v>11</v>
      </c>
      <c r="T6" s="37">
        <v>12</v>
      </c>
      <c r="U6" s="37">
        <v>13</v>
      </c>
      <c r="V6" s="38">
        <v>14</v>
      </c>
      <c r="W6" s="37">
        <v>15</v>
      </c>
      <c r="X6" s="37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ht="15" customHeight="1" spans="1:40">
      <c r="A7" s="40">
        <v>46179</v>
      </c>
      <c r="B7" s="41" t="s">
        <v>25</v>
      </c>
      <c r="C7" s="42">
        <v>1.34</v>
      </c>
      <c r="D7" s="42">
        <v>0.15</v>
      </c>
      <c r="E7" s="42">
        <v>-0.15</v>
      </c>
      <c r="F7" s="43">
        <f>C7+D7</f>
        <v>1.49</v>
      </c>
      <c r="G7" s="43">
        <f>C7+E7</f>
        <v>1.19</v>
      </c>
      <c r="H7" s="42" t="s">
        <v>26</v>
      </c>
      <c r="I7" s="44">
        <v>0.6883</v>
      </c>
      <c r="J7" s="44">
        <v>0.881</v>
      </c>
      <c r="K7" s="44">
        <v>0.8081</v>
      </c>
      <c r="L7" s="44">
        <v>0.8561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>
        <f t="shared" ref="Y7:AN7" si="1">IF(I7="","",IF(I7&gt;($C7+$D7),(I7-$C7-$D7),IF(I7&lt;($C7+$E7),(I7-$C7-$E7),"√")))</f>
        <v>-0.5017</v>
      </c>
      <c r="Z7" s="45">
        <f t="shared" si="1"/>
        <v>-0.309</v>
      </c>
      <c r="AA7" s="45">
        <f t="shared" si="1"/>
        <v>-0.3819</v>
      </c>
      <c r="AB7" s="45">
        <f t="shared" si="1"/>
        <v>-0.3339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si="1"/>
        <v/>
      </c>
      <c r="AH7" s="45" t="str">
        <f t="shared" si="1"/>
        <v/>
      </c>
      <c r="AI7" s="45" t="str">
        <f t="shared" si="1"/>
        <v/>
      </c>
      <c r="AJ7" s="45" t="str">
        <f t="shared" si="1"/>
        <v/>
      </c>
      <c r="AK7" s="45" t="str">
        <f t="shared" si="1"/>
        <v/>
      </c>
      <c r="AL7" s="45" t="str">
        <f t="shared" si="1"/>
        <v/>
      </c>
      <c r="AM7" s="45" t="str">
        <f t="shared" si="1"/>
        <v/>
      </c>
      <c r="AN7" s="45" t="str">
        <f t="shared" si="1"/>
        <v/>
      </c>
    </row>
    <row r="8" ht="15" customHeight="1" spans="1:40">
      <c r="A8" s="40"/>
      <c r="B8" s="41" t="s">
        <v>27</v>
      </c>
      <c r="C8" s="42">
        <v>0.13</v>
      </c>
      <c r="D8" s="42">
        <v>0.15</v>
      </c>
      <c r="E8" s="42">
        <v>-0.15</v>
      </c>
      <c r="F8" s="43">
        <f>C8+D8</f>
        <v>0.28</v>
      </c>
      <c r="G8" s="43">
        <f>C8+E8</f>
        <v>-0.02</v>
      </c>
      <c r="H8" s="42" t="s">
        <v>26</v>
      </c>
      <c r="I8" s="44">
        <v>2.5124</v>
      </c>
      <c r="J8" s="44">
        <v>2.5607</v>
      </c>
      <c r="K8" s="44">
        <v>2.5514</v>
      </c>
      <c r="L8" s="44">
        <v>2.5745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>
        <f t="shared" ref="Y8:AN8" si="2">IF(I8="","",IF(I8&gt;($C8+$D8),(I8-$C8-$D8),IF(I8&lt;($C8+$E8),(I8-$C8-$E8),"√")))</f>
        <v>2.2324</v>
      </c>
      <c r="Z8" s="45">
        <f t="shared" si="2"/>
        <v>2.2807</v>
      </c>
      <c r="AA8" s="45">
        <f t="shared" si="2"/>
        <v>2.2714</v>
      </c>
      <c r="AB8" s="45">
        <f t="shared" si="2"/>
        <v>2.2945</v>
      </c>
      <c r="AC8" s="45" t="str">
        <f t="shared" si="2"/>
        <v/>
      </c>
      <c r="AD8" s="45" t="str">
        <f t="shared" si="2"/>
        <v/>
      </c>
      <c r="AE8" s="45" t="str">
        <f t="shared" si="2"/>
        <v/>
      </c>
      <c r="AF8" s="45" t="str">
        <f t="shared" si="2"/>
        <v/>
      </c>
      <c r="AG8" s="45" t="str">
        <f t="shared" si="2"/>
        <v/>
      </c>
      <c r="AH8" s="45" t="str">
        <f t="shared" si="2"/>
        <v/>
      </c>
      <c r="AI8" s="45" t="str">
        <f t="shared" si="2"/>
        <v/>
      </c>
      <c r="AJ8" s="45" t="str">
        <f t="shared" si="2"/>
        <v/>
      </c>
      <c r="AK8" s="45" t="str">
        <f t="shared" si="2"/>
        <v/>
      </c>
      <c r="AL8" s="45" t="str">
        <f t="shared" si="2"/>
        <v/>
      </c>
      <c r="AM8" s="45" t="str">
        <f t="shared" si="2"/>
        <v/>
      </c>
      <c r="AN8" s="45" t="str">
        <f t="shared" si="2"/>
        <v/>
      </c>
    </row>
  </sheetData>
  <mergeCells count="28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2:A3"/>
    <mergeCell ref="A4:A6"/>
    <mergeCell ref="A7:A8"/>
    <mergeCell ref="B4:B6"/>
    <mergeCell ref="C4:C6"/>
    <mergeCell ref="D4:D6"/>
    <mergeCell ref="E4:E6"/>
    <mergeCell ref="F4:F6"/>
    <mergeCell ref="G4:G6"/>
    <mergeCell ref="H4:H6"/>
    <mergeCell ref="G2:J3"/>
    <mergeCell ref="K2:Q3"/>
    <mergeCell ref="B2:F3"/>
  </mergeCells>
  <conditionalFormatting sqref="I7:X8">
    <cfRule type="cellIs" dxfId="0" priority="32" operator="notBetween">
      <formula>$F7</formula>
      <formula>$G7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2026-06-05T22:55:58Z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