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255"/>
  </bookViews>
  <sheets>
    <sheet name="806-65035" sheetId="8" r:id="rId1"/>
  </sheets>
  <definedNames>
    <definedName name="_xlnm.Print_Area" localSheetId="0">'806-65035'!$B$1:$AE$6</definedName>
    <definedName name="_xlnm.Print_Titles" localSheetId="0">'806-65035'!$1:$6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<sst xmlns="http://schemas.openxmlformats.org/spreadsheetml/2006/main" count="31" uniqueCount="30">
  <si>
    <t>安徽中耀智能科技有限公司首件尺寸报告</t>
  </si>
  <si>
    <t>料号</t>
  </si>
  <si>
    <t>806-65035_BIN2</t>
  </si>
  <si>
    <t>工单号</t>
  </si>
  <si>
    <t>工站</t>
  </si>
  <si>
    <t>炉号</t>
  </si>
  <si>
    <t>测量机台号</t>
  </si>
  <si>
    <t>测量人员</t>
  </si>
  <si>
    <t>审核</t>
  </si>
  <si>
    <t>分BIN</t>
  </si>
  <si>
    <t>NA</t>
  </si>
  <si>
    <t>OMM4#</t>
  </si>
  <si>
    <t>禹欣</t>
  </si>
  <si>
    <t>陈跃进</t>
  </si>
  <si>
    <t>日期</t>
  </si>
  <si>
    <t>尺寸编号</t>
  </si>
  <si>
    <t>SPC</t>
  </si>
  <si>
    <t>标准值</t>
  </si>
  <si>
    <t>上公差</t>
  </si>
  <si>
    <t>下公差</t>
  </si>
  <si>
    <t>上限</t>
  </si>
  <si>
    <t>下限</t>
  </si>
  <si>
    <t>检测
工具</t>
  </si>
  <si>
    <t>检测结果</t>
  </si>
  <si>
    <t>量测分析</t>
  </si>
  <si>
    <t>测量值</t>
  </si>
  <si>
    <t>判断（√ OR DEV)</t>
  </si>
  <si>
    <t>FAI1</t>
  </si>
  <si>
    <t>OMM</t>
  </si>
  <si>
    <t>FAI2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</si>
</sst>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h:mm;@"/>
    <numFmt numFmtId="177" formatCode="0.000"/>
  </numFmts>
  <fonts count="34">
    <font>
      <sz val="11"/>
      <color theme="1"/>
      <name val="等线"/>
      <charset val="134"/>
      <scheme val="minor"/>
    </font>
    <font>
      <b/>
      <sz val="26"/>
      <name val="宋体"/>
      <charset val="134"/>
    </font>
    <font>
      <b/>
      <sz val="18"/>
      <name val="宋体"/>
      <charset val="134"/>
    </font>
    <font>
      <b/>
      <sz val="12"/>
      <name val="宋体"/>
      <charset val="134"/>
    </font>
    <font>
      <b/>
      <sz val="16"/>
      <name val="宋体"/>
      <charset val="134"/>
    </font>
    <font>
      <b/>
      <sz val="9"/>
      <name val="宋体"/>
      <charset val="134"/>
    </font>
    <font>
      <b/>
      <sz val="11"/>
      <name val="宋体"/>
      <charset val="134"/>
    </font>
    <font>
      <b/>
      <sz val="9"/>
      <name val="Arial"/>
      <charset val="134"/>
    </font>
    <font>
      <b/>
      <sz val="11"/>
      <name val="Arial"/>
      <charset val="134"/>
    </font>
    <font>
      <sz val="10"/>
      <color theme="1"/>
      <name val="等线"/>
      <charset val="134"/>
      <scheme val="minor"/>
    </font>
    <font>
      <sz val="10"/>
      <color theme="1"/>
      <name val="Arial"/>
      <charset val="134"/>
    </font>
    <font>
      <sz val="10"/>
      <name val="Arial"/>
      <charset val="134"/>
    </font>
    <font>
      <sz val="8"/>
      <name val="Arial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新細明體"/>
      <charset val="134"/>
    </font>
    <font>
      <sz val="12"/>
      <color indexed="8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theme="8" tint="0.599993896298105"/>
        <bgColor indexed="64"/>
      </patternFill>
    </fill>
    <fill>
      <patternFill patternType="solid">
        <fgColor theme="7" tint="0.7997070223090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8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0" fillId="4" borderId="14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15" applyNumberFormat="0" applyFill="0" applyAlignment="0" applyProtection="0">
      <alignment vertical="center"/>
    </xf>
    <xf numFmtId="0" fontId="19" fillId="0" borderId="15" applyNumberFormat="0" applyFill="0" applyAlignment="0" applyProtection="0">
      <alignment vertical="center"/>
    </xf>
    <xf numFmtId="0" fontId="20" fillId="0" borderId="16" applyNumberFormat="0" applyFill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5" borderId="17" applyNumberFormat="0" applyAlignment="0" applyProtection="0">
      <alignment vertical="center"/>
    </xf>
    <xf numFmtId="0" fontId="22" fillId="6" borderId="18" applyNumberFormat="0" applyAlignment="0" applyProtection="0">
      <alignment vertical="center"/>
    </xf>
    <xf numFmtId="0" fontId="23" fillId="6" borderId="17" applyNumberFormat="0" applyAlignment="0" applyProtection="0">
      <alignment vertical="center"/>
    </xf>
    <xf numFmtId="0" fontId="24" fillId="7" borderId="19" applyNumberFormat="0" applyAlignment="0" applyProtection="0">
      <alignment vertical="center"/>
    </xf>
    <xf numFmtId="0" fontId="25" fillId="0" borderId="20" applyNumberFormat="0" applyFill="0" applyAlignment="0" applyProtection="0">
      <alignment vertical="center"/>
    </xf>
    <xf numFmtId="0" fontId="26" fillId="0" borderId="21" applyNumberFormat="0" applyFill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8" fillId="9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30" fillId="11" borderId="0" applyNumberFormat="0" applyBorder="0" applyAlignment="0" applyProtection="0">
      <alignment vertical="center"/>
    </xf>
    <xf numFmtId="0" fontId="31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0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1" fillId="17" borderId="0" applyNumberFormat="0" applyBorder="0" applyAlignment="0" applyProtection="0">
      <alignment vertical="center"/>
    </xf>
    <xf numFmtId="0" fontId="30" fillId="18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1" fillId="21" borderId="0" applyNumberFormat="0" applyBorder="0" applyAlignment="0" applyProtection="0">
      <alignment vertical="center"/>
    </xf>
    <xf numFmtId="0" fontId="30" fillId="22" borderId="0" applyNumberFormat="0" applyBorder="0" applyAlignment="0" applyProtection="0">
      <alignment vertical="center"/>
    </xf>
    <xf numFmtId="0" fontId="30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1" fillId="25" borderId="0" applyNumberFormat="0" applyBorder="0" applyAlignment="0" applyProtection="0">
      <alignment vertical="center"/>
    </xf>
    <xf numFmtId="0" fontId="30" fillId="26" borderId="0" applyNumberFormat="0" applyBorder="0" applyAlignment="0" applyProtection="0">
      <alignment vertical="center"/>
    </xf>
    <xf numFmtId="0" fontId="30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1" fillId="29" borderId="0" applyNumberFormat="0" applyBorder="0" applyAlignment="0" applyProtection="0">
      <alignment vertical="center"/>
    </xf>
    <xf numFmtId="0" fontId="30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1" fillId="33" borderId="0" applyNumberFormat="0" applyBorder="0" applyAlignment="0" applyProtection="0">
      <alignment vertical="center"/>
    </xf>
    <xf numFmtId="0" fontId="30" fillId="34" borderId="0" applyNumberFormat="0" applyBorder="0" applyAlignment="0" applyProtection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2" fillId="0" borderId="0"/>
    <xf numFmtId="0" fontId="32" fillId="0" borderId="0"/>
    <xf numFmtId="0" fontId="32" fillId="0" borderId="0"/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0" fillId="0" borderId="0">
      <alignment vertical="center"/>
    </xf>
    <xf numFmtId="0" fontId="33" fillId="0" borderId="0">
      <alignment vertical="center"/>
    </xf>
  </cellStyleXfs>
  <cellXfs count="62">
    <xf numFmtId="0" fontId="0" fillId="0" borderId="0" xfId="0">
      <alignment vertical="center"/>
    </xf>
    <xf numFmtId="0" fontId="0" fillId="0" borderId="0" xfId="0" applyFont="1" applyFill="1" applyBorder="1" applyAlignment="1">
      <alignment vertical="center"/>
    </xf>
    <xf numFmtId="0" fontId="1" fillId="0" borderId="1" xfId="60" applyFont="1" applyBorder="1" applyAlignment="1" applyProtection="1">
      <alignment horizontal="center" vertical="center"/>
      <protection locked="0"/>
    </xf>
    <xf numFmtId="0" fontId="2" fillId="0" borderId="1" xfId="60" applyFont="1" applyBorder="1" applyAlignment="1" applyProtection="1">
      <alignment horizontal="center" vertical="center"/>
      <protection locked="0"/>
    </xf>
    <xf numFmtId="0" fontId="3" fillId="0" borderId="2" xfId="60" applyFont="1" applyBorder="1" applyAlignment="1" applyProtection="1">
      <alignment horizontal="center" vertical="center"/>
      <protection locked="0"/>
    </xf>
    <xf numFmtId="0" fontId="3" fillId="0" borderId="3" xfId="60" applyFont="1" applyBorder="1" applyAlignment="1" applyProtection="1">
      <alignment horizontal="center" vertical="center"/>
      <protection locked="0"/>
    </xf>
    <xf numFmtId="0" fontId="3" fillId="0" borderId="4" xfId="60" applyFont="1" applyBorder="1" applyAlignment="1" applyProtection="1">
      <alignment horizontal="center" vertical="center"/>
      <protection locked="0"/>
    </xf>
    <xf numFmtId="49" fontId="2" fillId="0" borderId="2" xfId="60" applyNumberFormat="1" applyFont="1" applyBorder="1" applyAlignment="1">
      <alignment horizontal="center" vertical="center"/>
    </xf>
    <xf numFmtId="49" fontId="2" fillId="0" borderId="3" xfId="60" applyNumberFormat="1" applyFont="1" applyBorder="1" applyAlignment="1">
      <alignment horizontal="center" vertical="center"/>
    </xf>
    <xf numFmtId="49" fontId="2" fillId="0" borderId="4" xfId="60" applyNumberFormat="1" applyFont="1" applyBorder="1" applyAlignment="1">
      <alignment horizontal="center" vertical="center"/>
    </xf>
    <xf numFmtId="49" fontId="3" fillId="0" borderId="1" xfId="60" applyNumberFormat="1" applyFont="1" applyBorder="1" applyAlignment="1">
      <alignment horizontal="center" vertical="center"/>
    </xf>
    <xf numFmtId="49" fontId="3" fillId="0" borderId="5" xfId="60" applyNumberFormat="1" applyFont="1" applyBorder="1" applyAlignment="1">
      <alignment horizontal="center" vertical="center"/>
    </xf>
    <xf numFmtId="49" fontId="3" fillId="0" borderId="6" xfId="60" applyNumberFormat="1" applyFont="1" applyBorder="1" applyAlignment="1">
      <alignment horizontal="center" vertical="center"/>
    </xf>
    <xf numFmtId="49" fontId="3" fillId="0" borderId="7" xfId="60" applyNumberFormat="1" applyFont="1" applyBorder="1" applyAlignment="1">
      <alignment horizontal="center" vertical="center"/>
    </xf>
    <xf numFmtId="49" fontId="4" fillId="0" borderId="5" xfId="60" applyNumberFormat="1" applyFont="1" applyBorder="1" applyAlignment="1" applyProtection="1">
      <alignment horizontal="center" vertical="center"/>
      <protection locked="0"/>
    </xf>
    <xf numFmtId="49" fontId="4" fillId="0" borderId="6" xfId="60" applyNumberFormat="1" applyFont="1" applyBorder="1" applyAlignment="1" applyProtection="1">
      <alignment horizontal="center" vertical="center"/>
      <protection locked="0"/>
    </xf>
    <xf numFmtId="49" fontId="4" fillId="0" borderId="7" xfId="60" applyNumberFormat="1" applyFont="1" applyBorder="1" applyAlignment="1" applyProtection="1">
      <alignment horizontal="center" vertical="center"/>
      <protection locked="0"/>
    </xf>
    <xf numFmtId="49" fontId="3" fillId="0" borderId="5" xfId="79" applyNumberFormat="1" applyFont="1" applyBorder="1" applyAlignment="1">
      <alignment horizontal="center" vertical="center"/>
    </xf>
    <xf numFmtId="49" fontId="3" fillId="0" borderId="6" xfId="79" applyNumberFormat="1" applyFont="1" applyBorder="1" applyAlignment="1">
      <alignment horizontal="center" vertical="center"/>
    </xf>
    <xf numFmtId="49" fontId="3" fillId="0" borderId="7" xfId="79" applyNumberFormat="1" applyFont="1" applyBorder="1" applyAlignment="1">
      <alignment horizontal="center" vertical="center"/>
    </xf>
    <xf numFmtId="0" fontId="3" fillId="0" borderId="8" xfId="60" applyFont="1" applyBorder="1" applyAlignment="1" applyProtection="1">
      <alignment horizontal="center" vertical="center"/>
      <protection locked="0"/>
    </xf>
    <xf numFmtId="0" fontId="3" fillId="0" borderId="9" xfId="60" applyFont="1" applyBorder="1" applyAlignment="1" applyProtection="1">
      <alignment horizontal="center" vertical="center"/>
      <protection locked="0"/>
    </xf>
    <xf numFmtId="0" fontId="3" fillId="0" borderId="10" xfId="60" applyFont="1" applyBorder="1" applyAlignment="1" applyProtection="1">
      <alignment horizontal="center" vertical="center"/>
      <protection locked="0"/>
    </xf>
    <xf numFmtId="49" fontId="2" fillId="0" borderId="8" xfId="60" applyNumberFormat="1" applyFont="1" applyBorder="1" applyAlignment="1">
      <alignment horizontal="center" vertical="center"/>
    </xf>
    <xf numFmtId="49" fontId="2" fillId="0" borderId="9" xfId="60" applyNumberFormat="1" applyFont="1" applyBorder="1" applyAlignment="1">
      <alignment horizontal="center" vertical="center"/>
    </xf>
    <xf numFmtId="49" fontId="2" fillId="0" borderId="10" xfId="60" applyNumberFormat="1" applyFont="1" applyBorder="1" applyAlignment="1">
      <alignment horizontal="center" vertical="center"/>
    </xf>
    <xf numFmtId="0" fontId="3" fillId="0" borderId="5" xfId="60" applyFont="1" applyBorder="1" applyAlignment="1" applyProtection="1">
      <alignment horizontal="center" vertical="center"/>
      <protection locked="0"/>
    </xf>
    <xf numFmtId="0" fontId="3" fillId="0" borderId="6" xfId="60" applyFont="1" applyBorder="1" applyAlignment="1" applyProtection="1">
      <alignment horizontal="center" vertical="center"/>
      <protection locked="0"/>
    </xf>
    <xf numFmtId="0" fontId="3" fillId="0" borderId="7" xfId="60" applyFont="1" applyBorder="1" applyAlignment="1" applyProtection="1">
      <alignment horizontal="center" vertical="center"/>
      <protection locked="0"/>
    </xf>
    <xf numFmtId="176" fontId="3" fillId="0" borderId="5" xfId="79" applyNumberFormat="1" applyFont="1" applyBorder="1" applyAlignment="1">
      <alignment horizontal="center" vertical="center"/>
    </xf>
    <xf numFmtId="176" fontId="3" fillId="0" borderId="6" xfId="79" applyNumberFormat="1" applyFont="1" applyBorder="1" applyAlignment="1">
      <alignment horizontal="center" vertical="center"/>
    </xf>
    <xf numFmtId="176" fontId="3" fillId="0" borderId="7" xfId="79" applyNumberFormat="1" applyFont="1" applyBorder="1" applyAlignment="1">
      <alignment horizontal="center" vertical="center"/>
    </xf>
    <xf numFmtId="49" fontId="5" fillId="0" borderId="1" xfId="60" applyNumberFormat="1" applyFont="1" applyBorder="1" applyAlignment="1" applyProtection="1">
      <alignment horizontal="center" vertical="center" wrapText="1"/>
      <protection locked="0"/>
    </xf>
    <xf numFmtId="49" fontId="5" fillId="0" borderId="11" xfId="60" applyNumberFormat="1" applyFont="1" applyBorder="1" applyAlignment="1" applyProtection="1">
      <alignment horizontal="center" vertical="center" wrapText="1"/>
      <protection locked="0"/>
    </xf>
    <xf numFmtId="0" fontId="5" fillId="0" borderId="1" xfId="60" applyFont="1" applyBorder="1" applyAlignment="1" applyProtection="1">
      <alignment horizontal="center" vertical="center"/>
      <protection locked="0"/>
    </xf>
    <xf numFmtId="177" fontId="5" fillId="0" borderId="1" xfId="60" applyNumberFormat="1" applyFont="1" applyBorder="1" applyAlignment="1">
      <alignment horizontal="center" vertical="center"/>
    </xf>
    <xf numFmtId="177" fontId="5" fillId="0" borderId="1" xfId="60" applyNumberFormat="1" applyFont="1" applyBorder="1" applyAlignment="1" applyProtection="1">
      <alignment horizontal="center" vertical="center"/>
      <protection locked="0"/>
    </xf>
    <xf numFmtId="0" fontId="5" fillId="0" borderId="1" xfId="60" applyFont="1" applyBorder="1" applyAlignment="1" applyProtection="1">
      <alignment horizontal="center" vertical="center" wrapText="1"/>
      <protection locked="0"/>
    </xf>
    <xf numFmtId="0" fontId="6" fillId="2" borderId="1" xfId="60" applyFont="1" applyFill="1" applyBorder="1" applyAlignment="1" applyProtection="1">
      <alignment horizontal="center" vertical="center"/>
      <protection locked="0"/>
    </xf>
    <xf numFmtId="0" fontId="6" fillId="3" borderId="5" xfId="60" applyFont="1" applyFill="1" applyBorder="1" applyAlignment="1">
      <alignment horizontal="center" vertical="center"/>
    </xf>
    <xf numFmtId="0" fontId="6" fillId="3" borderId="6" xfId="60" applyFont="1" applyFill="1" applyBorder="1" applyAlignment="1">
      <alignment horizontal="center" vertical="center"/>
    </xf>
    <xf numFmtId="0" fontId="6" fillId="3" borderId="7" xfId="60" applyFont="1" applyFill="1" applyBorder="1" applyAlignment="1">
      <alignment horizontal="center" vertical="center"/>
    </xf>
    <xf numFmtId="49" fontId="7" fillId="0" borderId="1" xfId="60" applyNumberFormat="1" applyFont="1" applyBorder="1" applyAlignment="1" applyProtection="1">
      <alignment horizontal="center" vertical="center" wrapText="1"/>
      <protection locked="0"/>
    </xf>
    <xf numFmtId="49" fontId="7" fillId="0" borderId="1" xfId="60" applyNumberFormat="1" applyFont="1" applyBorder="1" applyAlignment="1" applyProtection="1">
      <alignment horizontal="center" vertical="center"/>
      <protection locked="0"/>
    </xf>
    <xf numFmtId="49" fontId="5" fillId="0" borderId="12" xfId="60" applyNumberFormat="1" applyFont="1" applyBorder="1" applyAlignment="1" applyProtection="1">
      <alignment horizontal="center" vertical="center" wrapText="1"/>
      <protection locked="0"/>
    </xf>
    <xf numFmtId="0" fontId="6" fillId="3" borderId="1" xfId="60" applyFont="1" applyFill="1" applyBorder="1" applyAlignment="1">
      <alignment horizontal="center" vertical="center"/>
    </xf>
    <xf numFmtId="49" fontId="5" fillId="0" borderId="13" xfId="60" applyNumberFormat="1" applyFont="1" applyBorder="1" applyAlignment="1" applyProtection="1">
      <alignment horizontal="center" vertical="center" wrapText="1"/>
      <protection locked="0"/>
    </xf>
    <xf numFmtId="0" fontId="8" fillId="2" borderId="1" xfId="60" applyFont="1" applyFill="1" applyBorder="1" applyAlignment="1" applyProtection="1">
      <alignment horizontal="center" vertical="center"/>
      <protection locked="0"/>
    </xf>
    <xf numFmtId="0" fontId="8" fillId="3" borderId="1" xfId="60" applyFont="1" applyFill="1" applyBorder="1" applyAlignment="1">
      <alignment horizontal="center" vertical="center"/>
    </xf>
    <xf numFmtId="14" fontId="9" fillId="0" borderId="12" xfId="0" applyNumberFormat="1" applyFont="1" applyBorder="1" applyAlignment="1">
      <alignment horizontal="center" vertical="center" wrapText="1"/>
    </xf>
    <xf numFmtId="0" fontId="10" fillId="0" borderId="7" xfId="53" applyFont="1" applyFill="1" applyBorder="1" applyAlignment="1">
      <alignment horizontal="center" vertical="center"/>
    </xf>
    <xf numFmtId="0" fontId="10" fillId="0" borderId="7" xfId="53" applyFont="1" applyBorder="1" applyAlignment="1">
      <alignment horizontal="center" vertical="center"/>
    </xf>
    <xf numFmtId="0" fontId="11" fillId="0" borderId="1" xfId="59" applyFont="1" applyBorder="1" applyAlignment="1">
      <alignment horizontal="center" vertical="center"/>
    </xf>
    <xf numFmtId="177" fontId="10" fillId="2" borderId="1" xfId="61" applyNumberFormat="1" applyFont="1" applyFill="1" applyBorder="1" applyAlignment="1">
      <alignment horizontal="center" vertical="center"/>
    </xf>
    <xf numFmtId="0" fontId="12" fillId="3" borderId="1" xfId="60" applyFont="1" applyFill="1" applyBorder="1" applyAlignment="1">
      <alignment horizontal="center" vertical="center"/>
    </xf>
    <xf numFmtId="0" fontId="0" fillId="0" borderId="5" xfId="0" applyFont="1" applyFill="1" applyBorder="1" applyAlignment="1">
      <alignment horizontal="center" vertical="center"/>
    </xf>
    <xf numFmtId="0" fontId="0" fillId="0" borderId="6" xfId="0" applyFont="1" applyFill="1" applyBorder="1" applyAlignment="1">
      <alignment horizontal="center" vertical="center"/>
    </xf>
    <xf numFmtId="0" fontId="0" fillId="0" borderId="7" xfId="0" applyFont="1" applyFill="1" applyBorder="1" applyAlignment="1">
      <alignment horizontal="center" vertical="center"/>
    </xf>
    <xf numFmtId="0" fontId="0" fillId="0" borderId="5" xfId="0" applyFont="1" applyFill="1" applyBorder="1" applyAlignment="1">
      <alignment horizontal="left" vertical="center"/>
    </xf>
    <xf numFmtId="0" fontId="0" fillId="0" borderId="7" xfId="0" applyFont="1" applyFill="1" applyBorder="1" applyAlignment="1">
      <alignment horizontal="left" vertical="center"/>
    </xf>
    <xf numFmtId="0" fontId="0" fillId="0" borderId="5" xfId="0" applyFont="1" applyFill="1" applyBorder="1" applyAlignment="1">
      <alignment horizontal="right" vertical="center"/>
    </xf>
    <xf numFmtId="0" fontId="0" fillId="0" borderId="7" xfId="0" applyFont="1" applyFill="1" applyBorder="1" applyAlignment="1">
      <alignment horizontal="right" vertical="center"/>
    </xf>
  </cellXfs>
  <cellStyles count="8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10" xfId="49"/>
    <cellStyle name="常规 11" xfId="50"/>
    <cellStyle name="常规 12" xfId="51"/>
    <cellStyle name="常规 13" xfId="52"/>
    <cellStyle name="常规 14" xfId="53"/>
    <cellStyle name="常规 15" xfId="54"/>
    <cellStyle name="常规 16" xfId="55"/>
    <cellStyle name="常规 17" xfId="56"/>
    <cellStyle name="常规 18" xfId="57"/>
    <cellStyle name="常规 19" xfId="58"/>
    <cellStyle name="常规 2" xfId="59"/>
    <cellStyle name="常规 2 2" xfId="60"/>
    <cellStyle name="常规 2 2 2 4" xfId="61"/>
    <cellStyle name="常规 20" xfId="62"/>
    <cellStyle name="常规 21" xfId="63"/>
    <cellStyle name="常规 22" xfId="64"/>
    <cellStyle name="常规 23" xfId="65"/>
    <cellStyle name="常规 24" xfId="66"/>
    <cellStyle name="常规 25" xfId="67"/>
    <cellStyle name="常规 26" xfId="68"/>
    <cellStyle name="常规 27" xfId="69"/>
    <cellStyle name="常规 28" xfId="70"/>
    <cellStyle name="常规 29" xfId="71"/>
    <cellStyle name="常规 3" xfId="72"/>
    <cellStyle name="常规 4" xfId="73"/>
    <cellStyle name="常规 5" xfId="74"/>
    <cellStyle name="常规 6" xfId="75"/>
    <cellStyle name="常规 7" xfId="76"/>
    <cellStyle name="常规 8" xfId="77"/>
    <cellStyle name="常规 9" xfId="78"/>
    <cellStyle name="普通 2" xfId="79"/>
  </cellStyles>
  <dxfs count="1">
    <dxf>
      <font>
        <color rgb="FFFF0000"/>
      </font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0</xdr:col>
      <xdr:colOff>0</xdr:colOff>
      <xdr:row>0</xdr:row>
      <xdr:rowOff>89648</xdr:rowOff>
    </xdr:from>
    <xdr:to>
      <xdr:col>2</xdr:col>
      <xdr:colOff>246380</xdr:colOff>
      <xdr:row>0</xdr:row>
      <xdr:rowOff>775448</xdr:rowOff>
    </xdr:to>
    <xdr:pic>
      <xdr:nvPicPr>
        <xdr:cNvPr id="3" name="Picture 1" descr="D:\Documents\WXWork\1688851116443126\Cache\Image\2022-09\企业微信截图_16637321137590.png"/>
        <xdr:cNvPicPr>
          <a:picLocks noChangeAspect="1" noChangeArrowheads="1"/>
        </xdr:cNvPicPr>
      </xdr:nvPicPr>
      <xdr:blipFill>
        <a:blip r:embed="rId1" cstate="print"/>
        <a:srcRect/>
        <a:stretch>
          <a:fillRect/>
        </a:stretch>
      </xdr:blipFill>
      <xdr:spPr>
        <a:xfrm>
          <a:off x="0" y="89535"/>
          <a:ext cx="1656080" cy="685800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O9"/>
  <sheetViews>
    <sheetView tabSelected="1" topLeftCell="R1" workbookViewId="0">
      <selection activeCell="AN3" sqref="AN3:AO3"/>
    </sheetView>
  </sheetViews>
  <sheetFormatPr defaultColWidth="9" defaultRowHeight="14.25"/>
  <cols>
    <col min="1" max="41" width="9.25" customWidth="1"/>
  </cols>
  <sheetData>
    <row r="1" ht="70.5" customHeight="1" spans="1:41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</row>
    <row r="2" ht="15" customHeight="1" spans="1:41">
      <c r="A2" s="3" t="s">
        <v>1</v>
      </c>
      <c r="B2" s="4" t="s">
        <v>2</v>
      </c>
      <c r="C2" s="5"/>
      <c r="D2" s="5"/>
      <c r="E2" s="5"/>
      <c r="F2" s="5"/>
      <c r="G2" s="6"/>
      <c r="H2" s="7" t="s">
        <v>3</v>
      </c>
      <c r="I2" s="8"/>
      <c r="J2" s="8"/>
      <c r="K2" s="9"/>
      <c r="L2" s="10"/>
      <c r="M2" s="10"/>
      <c r="N2" s="10"/>
      <c r="O2" s="10"/>
      <c r="P2" s="10"/>
      <c r="Q2" s="10"/>
      <c r="R2" s="10"/>
      <c r="S2" s="11" t="s">
        <v>4</v>
      </c>
      <c r="T2" s="12"/>
      <c r="U2" s="12"/>
      <c r="V2" s="12"/>
      <c r="W2" s="12"/>
      <c r="X2" s="13"/>
      <c r="Y2" s="14" t="s">
        <v>5</v>
      </c>
      <c r="Z2" s="15"/>
      <c r="AA2" s="15"/>
      <c r="AB2" s="15"/>
      <c r="AC2" s="15"/>
      <c r="AD2" s="16"/>
      <c r="AE2" s="14" t="s">
        <v>6</v>
      </c>
      <c r="AF2" s="15"/>
      <c r="AG2" s="15"/>
      <c r="AH2" s="15"/>
      <c r="AI2" s="16"/>
      <c r="AJ2" s="17" t="s">
        <v>7</v>
      </c>
      <c r="AK2" s="18"/>
      <c r="AL2" s="18"/>
      <c r="AM2" s="19"/>
      <c r="AN2" s="17" t="s">
        <v>8</v>
      </c>
      <c r="AO2" s="19"/>
    </row>
    <row r="3" ht="15" customHeight="1" spans="1:41">
      <c r="A3" s="3"/>
      <c r="B3" s="20"/>
      <c r="C3" s="21"/>
      <c r="D3" s="21"/>
      <c r="E3" s="21"/>
      <c r="F3" s="21"/>
      <c r="G3" s="22"/>
      <c r="H3" s="23"/>
      <c r="I3" s="24"/>
      <c r="J3" s="24"/>
      <c r="K3" s="25"/>
      <c r="L3" s="10"/>
      <c r="M3" s="10"/>
      <c r="N3" s="10"/>
      <c r="O3" s="10"/>
      <c r="P3" s="10"/>
      <c r="Q3" s="10"/>
      <c r="R3" s="10"/>
      <c r="S3" s="26" t="s">
        <v>9</v>
      </c>
      <c r="T3" s="27"/>
      <c r="U3" s="27"/>
      <c r="V3" s="27"/>
      <c r="W3" s="27"/>
      <c r="X3" s="28"/>
      <c r="Y3" s="14" t="s">
        <v>10</v>
      </c>
      <c r="Z3" s="15"/>
      <c r="AA3" s="15"/>
      <c r="AB3" s="15"/>
      <c r="AC3" s="15"/>
      <c r="AD3" s="16"/>
      <c r="AE3" s="29" t="s">
        <v>11</v>
      </c>
      <c r="AF3" s="30"/>
      <c r="AG3" s="30"/>
      <c r="AH3" s="30"/>
      <c r="AI3" s="31"/>
      <c r="AJ3" s="29" t="s">
        <v>12</v>
      </c>
      <c r="AK3" s="30"/>
      <c r="AL3" s="30"/>
      <c r="AM3" s="31"/>
      <c r="AN3" s="29" t="s">
        <v>13</v>
      </c>
      <c r="AO3" s="31"/>
    </row>
    <row r="4" customHeight="1" spans="1:41">
      <c r="A4" s="32" t="s">
        <v>14</v>
      </c>
      <c r="B4" s="32" t="s">
        <v>15</v>
      </c>
      <c r="C4" s="33" t="s">
        <v>16</v>
      </c>
      <c r="D4" s="34" t="s">
        <v>17</v>
      </c>
      <c r="E4" s="35" t="s">
        <v>18</v>
      </c>
      <c r="F4" s="36" t="s">
        <v>19</v>
      </c>
      <c r="G4" s="36" t="s">
        <v>20</v>
      </c>
      <c r="H4" s="36" t="s">
        <v>21</v>
      </c>
      <c r="I4" s="37" t="s">
        <v>22</v>
      </c>
      <c r="J4" s="38" t="s">
        <v>23</v>
      </c>
      <c r="K4" s="38"/>
      <c r="L4" s="38"/>
      <c r="M4" s="38"/>
      <c r="N4" s="38"/>
      <c r="O4" s="38"/>
      <c r="P4" s="38"/>
      <c r="Q4" s="38"/>
      <c r="R4" s="38"/>
      <c r="S4" s="38"/>
      <c r="T4" s="38"/>
      <c r="U4" s="38"/>
      <c r="V4" s="38"/>
      <c r="W4" s="38"/>
      <c r="X4" s="38"/>
      <c r="Y4" s="38"/>
      <c r="Z4" s="39" t="s">
        <v>24</v>
      </c>
      <c r="AA4" s="40"/>
      <c r="AB4" s="40"/>
      <c r="AC4" s="40"/>
      <c r="AD4" s="40"/>
      <c r="AE4" s="40"/>
      <c r="AF4" s="40"/>
      <c r="AG4" s="40"/>
      <c r="AH4" s="40"/>
      <c r="AI4" s="40"/>
      <c r="AJ4" s="40"/>
      <c r="AK4" s="40"/>
      <c r="AL4" s="40"/>
      <c r="AM4" s="40"/>
      <c r="AN4" s="40"/>
      <c r="AO4" s="41"/>
    </row>
    <row r="5" ht="13.5" customHeight="1" spans="1:41">
      <c r="A5" s="42"/>
      <c r="B5" s="43"/>
      <c r="C5" s="44"/>
      <c r="D5" s="34"/>
      <c r="E5" s="35"/>
      <c r="F5" s="36"/>
      <c r="G5" s="36"/>
      <c r="H5" s="36"/>
      <c r="I5" s="34"/>
      <c r="J5" s="38" t="s">
        <v>25</v>
      </c>
      <c r="K5" s="38"/>
      <c r="L5" s="38"/>
      <c r="M5" s="38"/>
      <c r="N5" s="38"/>
      <c r="O5" s="38"/>
      <c r="P5" s="38"/>
      <c r="Q5" s="38"/>
      <c r="R5" s="38"/>
      <c r="S5" s="38"/>
      <c r="T5" s="38"/>
      <c r="U5" s="38"/>
      <c r="V5" s="38"/>
      <c r="W5" s="38"/>
      <c r="X5" s="38"/>
      <c r="Y5" s="38"/>
      <c r="Z5" s="45" t="s">
        <v>26</v>
      </c>
      <c r="AA5" s="45"/>
      <c r="AB5" s="45"/>
      <c r="AC5" s="45"/>
      <c r="AD5" s="45"/>
      <c r="AE5" s="45"/>
      <c r="AF5" s="45"/>
      <c r="AG5" s="45"/>
      <c r="AH5" s="45"/>
      <c r="AI5" s="45"/>
      <c r="AJ5" s="45"/>
      <c r="AK5" s="45"/>
      <c r="AL5" s="45"/>
      <c r="AM5" s="45"/>
      <c r="AN5" s="45"/>
      <c r="AO5" s="45"/>
    </row>
    <row r="6" customHeight="1" spans="1:41">
      <c r="A6" s="42"/>
      <c r="B6" s="43"/>
      <c r="C6" s="46"/>
      <c r="D6" s="34"/>
      <c r="E6" s="35"/>
      <c r="F6" s="36"/>
      <c r="G6" s="36"/>
      <c r="H6" s="36"/>
      <c r="I6" s="34"/>
      <c r="J6" s="47">
        <v>1</v>
      </c>
      <c r="K6" s="47">
        <v>2</v>
      </c>
      <c r="L6" s="47">
        <v>3</v>
      </c>
      <c r="M6" s="47">
        <v>4</v>
      </c>
      <c r="N6" s="47">
        <v>5</v>
      </c>
      <c r="O6" s="47">
        <v>6</v>
      </c>
      <c r="P6" s="47">
        <v>7</v>
      </c>
      <c r="Q6" s="47">
        <v>8</v>
      </c>
      <c r="R6" s="47">
        <v>9</v>
      </c>
      <c r="S6" s="47">
        <v>10</v>
      </c>
      <c r="T6" s="47">
        <v>11</v>
      </c>
      <c r="U6" s="47">
        <v>12</v>
      </c>
      <c r="V6" s="47">
        <v>13</v>
      </c>
      <c r="W6" s="38">
        <v>14</v>
      </c>
      <c r="X6" s="47">
        <v>15</v>
      </c>
      <c r="Y6" s="47">
        <v>16</v>
      </c>
      <c r="Z6" s="48">
        <f t="shared" ref="Z6:AO6" si="0">J6</f>
        <v>1</v>
      </c>
      <c r="AA6" s="48">
        <f t="shared" si="0"/>
        <v>2</v>
      </c>
      <c r="AB6" s="48">
        <f t="shared" si="0"/>
        <v>3</v>
      </c>
      <c r="AC6" s="48">
        <f t="shared" si="0"/>
        <v>4</v>
      </c>
      <c r="AD6" s="48">
        <f t="shared" si="0"/>
        <v>5</v>
      </c>
      <c r="AE6" s="48">
        <f t="shared" si="0"/>
        <v>6</v>
      </c>
      <c r="AF6" s="48">
        <f t="shared" si="0"/>
        <v>7</v>
      </c>
      <c r="AG6" s="48">
        <f t="shared" si="0"/>
        <v>8</v>
      </c>
      <c r="AH6" s="48">
        <f t="shared" si="0"/>
        <v>9</v>
      </c>
      <c r="AI6" s="48">
        <f t="shared" si="0"/>
        <v>10</v>
      </c>
      <c r="AJ6" s="48">
        <f t="shared" si="0"/>
        <v>11</v>
      </c>
      <c r="AK6" s="48">
        <f t="shared" si="0"/>
        <v>12</v>
      </c>
      <c r="AL6" s="48">
        <f t="shared" si="0"/>
        <v>13</v>
      </c>
      <c r="AM6" s="48">
        <f t="shared" si="0"/>
        <v>14</v>
      </c>
      <c r="AN6" s="48">
        <f t="shared" si="0"/>
        <v>15</v>
      </c>
      <c r="AO6" s="48">
        <f t="shared" si="0"/>
        <v>16</v>
      </c>
    </row>
    <row r="7" ht="15" customHeight="1" spans="1:41">
      <c r="A7" s="49">
        <v>46179</v>
      </c>
      <c r="B7" s="50" t="s">
        <v>27</v>
      </c>
      <c r="C7" s="51"/>
      <c r="D7" s="52">
        <v>1.69</v>
      </c>
      <c r="E7" s="52">
        <v>0.15</v>
      </c>
      <c r="F7" s="52">
        <v>-0.15</v>
      </c>
      <c r="G7" s="52">
        <f>D7+E7</f>
        <v>1.84</v>
      </c>
      <c r="H7" s="52">
        <f>D7+F7</f>
        <v>1.54</v>
      </c>
      <c r="I7" s="52" t="s">
        <v>28</v>
      </c>
      <c r="J7" s="53">
        <v>2.4962</v>
      </c>
      <c r="K7" s="53">
        <v>2.4868</v>
      </c>
      <c r="L7" s="53">
        <v>2.5351</v>
      </c>
      <c r="M7" s="53">
        <v>2.5659</v>
      </c>
      <c r="N7" s="53"/>
      <c r="O7" s="53"/>
      <c r="P7" s="53"/>
      <c r="Q7" s="53"/>
      <c r="R7" s="53"/>
      <c r="S7" s="53"/>
      <c r="T7" s="53"/>
      <c r="U7" s="53"/>
      <c r="V7" s="53"/>
      <c r="W7" s="53"/>
      <c r="X7" s="53"/>
      <c r="Y7" s="53"/>
      <c r="Z7" s="54">
        <f t="shared" ref="Z7:AO7" si="1">IF(J7="","",IF(J7&gt;($D7+$E7),(J7-$D7-$E7),IF(J7&lt;($D7+$F7),(J7-$D7-$F7),"√")))</f>
        <v>0.6562</v>
      </c>
      <c r="AA7" s="54">
        <f t="shared" si="1"/>
        <v>0.6468</v>
      </c>
      <c r="AB7" s="54">
        <f t="shared" si="1"/>
        <v>0.6951</v>
      </c>
      <c r="AC7" s="54">
        <f t="shared" si="1"/>
        <v>0.7259</v>
      </c>
      <c r="AD7" s="54" t="str">
        <f t="shared" si="1"/>
        <v/>
      </c>
      <c r="AE7" s="54" t="str">
        <f t="shared" si="1"/>
        <v/>
      </c>
      <c r="AF7" s="54" t="str">
        <f t="shared" si="1"/>
        <v/>
      </c>
      <c r="AG7" s="54" t="str">
        <f t="shared" si="1"/>
        <v/>
      </c>
      <c r="AH7" s="54" t="str">
        <f t="shared" si="1"/>
        <v/>
      </c>
      <c r="AI7" s="54" t="str">
        <f t="shared" si="1"/>
        <v/>
      </c>
      <c r="AJ7" s="54" t="str">
        <f t="shared" si="1"/>
        <v/>
      </c>
      <c r="AK7" s="54" t="str">
        <f t="shared" si="1"/>
        <v/>
      </c>
      <c r="AL7" s="54" t="str">
        <f t="shared" si="1"/>
        <v/>
      </c>
      <c r="AM7" s="54" t="str">
        <f t="shared" si="1"/>
        <v/>
      </c>
      <c r="AN7" s="54" t="str">
        <f t="shared" si="1"/>
        <v/>
      </c>
      <c r="AO7" s="54" t="str">
        <f t="shared" si="1"/>
        <v/>
      </c>
    </row>
    <row r="8" ht="15" customHeight="1" spans="1:41">
      <c r="A8" s="49"/>
      <c r="B8" s="50" t="s">
        <v>29</v>
      </c>
      <c r="C8" s="51"/>
      <c r="D8" s="52">
        <v>1.1</v>
      </c>
      <c r="E8" s="52">
        <v>0.15</v>
      </c>
      <c r="F8" s="52">
        <v>-0.15</v>
      </c>
      <c r="G8" s="52">
        <f>D8+E8</f>
        <v>1.25</v>
      </c>
      <c r="H8" s="52">
        <f>D8+F8</f>
        <v>0.95</v>
      </c>
      <c r="I8" s="52" t="s">
        <v>28</v>
      </c>
      <c r="J8" s="53">
        <v>0.6441</v>
      </c>
      <c r="K8" s="53">
        <v>0.57</v>
      </c>
      <c r="L8" s="53">
        <v>0.5399</v>
      </c>
      <c r="M8" s="53">
        <v>0.7167</v>
      </c>
      <c r="N8" s="53"/>
      <c r="O8" s="53"/>
      <c r="P8" s="53"/>
      <c r="Q8" s="53"/>
      <c r="R8" s="53"/>
      <c r="S8" s="53"/>
      <c r="T8" s="53"/>
      <c r="U8" s="53"/>
      <c r="V8" s="53"/>
      <c r="W8" s="53"/>
      <c r="X8" s="53"/>
      <c r="Y8" s="53"/>
      <c r="Z8" s="54">
        <f t="shared" ref="Z8:AO8" si="2">IF(J8="","",IF(J8&gt;($D8+$E8),(J8-$D8-$E8),IF(J8&lt;($D8+$F8),(J8-$D8-$F8),"√")))</f>
        <v>-0.3059</v>
      </c>
      <c r="AA8" s="54">
        <f t="shared" si="2"/>
        <v>-0.38</v>
      </c>
      <c r="AB8" s="54">
        <f t="shared" si="2"/>
        <v>-0.4101</v>
      </c>
      <c r="AC8" s="54">
        <f t="shared" si="2"/>
        <v>-0.2333</v>
      </c>
      <c r="AD8" s="54" t="str">
        <f t="shared" si="2"/>
        <v/>
      </c>
      <c r="AE8" s="54" t="str">
        <f t="shared" si="2"/>
        <v/>
      </c>
      <c r="AF8" s="54" t="str">
        <f t="shared" si="2"/>
        <v/>
      </c>
      <c r="AG8" s="54" t="str">
        <f t="shared" si="2"/>
        <v/>
      </c>
      <c r="AH8" s="54" t="str">
        <f t="shared" si="2"/>
        <v/>
      </c>
      <c r="AI8" s="54" t="str">
        <f t="shared" si="2"/>
        <v/>
      </c>
      <c r="AJ8" s="54" t="str">
        <f t="shared" si="2"/>
        <v/>
      </c>
      <c r="AK8" s="54" t="str">
        <f t="shared" si="2"/>
        <v/>
      </c>
      <c r="AL8" s="54" t="str">
        <f t="shared" si="2"/>
        <v/>
      </c>
      <c r="AM8" s="54" t="str">
        <f t="shared" si="2"/>
        <v/>
      </c>
      <c r="AN8" s="54" t="str">
        <f t="shared" si="2"/>
        <v/>
      </c>
      <c r="AO8" s="54" t="str">
        <f t="shared" si="2"/>
        <v/>
      </c>
    </row>
    <row r="9" s="1" customFormat="1" spans="1:41">
      <c r="A9" s="55"/>
      <c r="B9" s="56"/>
      <c r="C9" s="56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7"/>
      <c r="AL9" s="58"/>
      <c r="AM9" s="59"/>
      <c r="AN9" s="60"/>
      <c r="AO9" s="61"/>
    </row>
  </sheetData>
  <mergeCells count="32">
    <mergeCell ref="A1:AO1"/>
    <mergeCell ref="S2:X2"/>
    <mergeCell ref="Y2:AD2"/>
    <mergeCell ref="AE2:AI2"/>
    <mergeCell ref="AJ2:AM2"/>
    <mergeCell ref="AN2:AO2"/>
    <mergeCell ref="S3:X3"/>
    <mergeCell ref="Y3:AD3"/>
    <mergeCell ref="AE3:AI3"/>
    <mergeCell ref="AJ3:AM3"/>
    <mergeCell ref="AN3:AO3"/>
    <mergeCell ref="J4:Y4"/>
    <mergeCell ref="Z4:AO4"/>
    <mergeCell ref="J5:Y5"/>
    <mergeCell ref="Z5:AO5"/>
    <mergeCell ref="A9:AK9"/>
    <mergeCell ref="AL9:AM9"/>
    <mergeCell ref="AN9:AO9"/>
    <mergeCell ref="A2:A3"/>
    <mergeCell ref="A4:A6"/>
    <mergeCell ref="A7:A8"/>
    <mergeCell ref="B4:B6"/>
    <mergeCell ref="C4:C6"/>
    <mergeCell ref="D4:D6"/>
    <mergeCell ref="E4:E6"/>
    <mergeCell ref="F4:F6"/>
    <mergeCell ref="G4:G6"/>
    <mergeCell ref="H4:H6"/>
    <mergeCell ref="I4:I6"/>
    <mergeCell ref="H2:K3"/>
    <mergeCell ref="L2:R3"/>
    <mergeCell ref="B2:G3"/>
  </mergeCells>
  <conditionalFormatting sqref="J7:Y7">
    <cfRule type="cellIs" dxfId="0" priority="7" operator="notBetween">
      <formula>$G7</formula>
      <formula>$H7</formula>
    </cfRule>
  </conditionalFormatting>
  <conditionalFormatting sqref="J8:Y8">
    <cfRule type="cellIs" dxfId="0" priority="5" operator="notBetween">
      <formula>$G8</formula>
      <formula>$H8</formula>
    </cfRule>
  </conditionalFormatting>
  <printOptions horizontalCentered="1"/>
  <pageMargins left="0.16" right="0" top="0.39" bottom="0.2" header="0" footer="0.12"/>
  <pageSetup paperSize="9" scale="51"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806-65035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2020-05-08T02:47:00Z</dcterms:created>
  <dcterms:modified xsi:type="dcterms:W3CDTF">2026-06-05T23:24:34Z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AA961B9ADC184DBE958373A72F4D771C</vt:lpwstr>
  </property>
  <property fmtid="{D5CDD505-2E9C-101B-9397-08002B2CF9AE}" pid="4" name="CalculationRule">
    <vt:i4>0</vt:i4>
  </property>
</Properties>
</file>