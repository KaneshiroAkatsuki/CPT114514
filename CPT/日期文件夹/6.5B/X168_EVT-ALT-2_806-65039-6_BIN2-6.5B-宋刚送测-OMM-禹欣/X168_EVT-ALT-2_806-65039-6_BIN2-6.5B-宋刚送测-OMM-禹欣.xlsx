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5039" sheetId="8" r:id="rId1"/>
  </sheets>
  <definedNames>
    <definedName name="_xlnm.Print_Area" localSheetId="0">'X806-65039'!$B$1:$AE$6</definedName>
    <definedName name="_xlnm.Print_Titles" localSheetId="0">'X806-65039'!$1:$6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<sst xmlns="http://schemas.openxmlformats.org/spreadsheetml/2006/main" count="30" uniqueCount="29">
  <si>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安徽中耀智能科技有限公司首件尺寸报告</t>
  </si>
  <si>
    <t>料号</t>
  </si>
  <si>
    <t>806-65039-BIN2</t>
  </si>
  <si>
    <t>工单号</t>
  </si>
  <si>
    <t>工站</t>
  </si>
  <si>
    <t>炉号</t>
  </si>
  <si>
    <t>测量机台号</t>
  </si>
  <si>
    <t>测量人员</t>
  </si>
  <si>
    <t>审核</t>
  </si>
  <si>
    <t>分BIN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</si>
  <si>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</si>
  <si>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</si>
  <si>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</si>
  <si>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</si>
  <si>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</si>
  <si>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</si>
  <si>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</si>
  <si>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</si>
  <si>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</si>
  <si>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</si>
  <si>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</si>
  <si>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</si>
  <si>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</si>
  <si>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</si>
  <si>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</si>
  <si>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</si>
  <si>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</t>
  </si>
  <si>
    <t>OMM</t>
  </si>
  <si>
    <t>FAI1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</si>
</sst>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"/>
  <sheetViews>
    <sheetView tabSelected="1" topLeftCell="R1" workbookViewId="0">
      <selection activeCell="AN3" sqref="AN3:AO3"/>
    </sheetView>
  </sheetViews>
  <sheetFormatPr defaultColWidth="9" defaultRowHeight="14.25" outlineLevelRow="7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46179</v>
      </c>
      <c r="B7" s="49" t="s">
        <v>26</v>
      </c>
      <c r="C7" s="50"/>
      <c r="D7" s="51">
        <v>2.23</v>
      </c>
      <c r="E7" s="51">
        <v>0.15</v>
      </c>
      <c r="F7" s="51">
        <v>-0.15</v>
      </c>
      <c r="G7" s="51">
        <f>D7+E7</f>
        <v>2.38</v>
      </c>
      <c r="H7" s="51">
        <f>D7+F7</f>
        <v>2.08</v>
      </c>
      <c r="I7" s="51" t="s">
        <v>27</v>
      </c>
      <c r="J7" s="52">
        <v>2.8342</v>
      </c>
      <c r="K7" s="52">
        <v>2.8155</v>
      </c>
      <c r="L7" s="52">
        <v>2.825</v>
      </c>
      <c r="M7" s="52">
        <v>2.8121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3">
        <f t="shared" ref="Z7:AO7" si="1">IF(J7="","",IF(J7&gt;($D7+$E7),(J7-$D7-$E7),IF(J7&lt;($D7+$F7),(J7-$D7-$F7),"√")))</f>
        <v>0.4542</v>
      </c>
      <c r="AA7" s="53">
        <f t="shared" si="1"/>
        <v>0.4355</v>
      </c>
      <c r="AB7" s="53">
        <f t="shared" si="1"/>
        <v>0.445</v>
      </c>
      <c r="AC7" s="53">
        <f t="shared" si="1"/>
        <v>0.4321</v>
      </c>
      <c r="AD7" s="53" t="str">
        <f t="shared" si="1"/>
        <v/>
      </c>
      <c r="AE7" s="53" t="str">
        <f t="shared" si="1"/>
        <v/>
      </c>
      <c r="AF7" s="53" t="str">
        <f t="shared" si="1"/>
        <v/>
      </c>
      <c r="AG7" s="53" t="str">
        <f t="shared" si="1"/>
        <v/>
      </c>
      <c r="AH7" s="53" t="str">
        <f t="shared" si="1"/>
        <v/>
      </c>
      <c r="AI7" s="53" t="str">
        <f t="shared" si="1"/>
        <v/>
      </c>
      <c r="AJ7" s="53" t="str">
        <f t="shared" si="1"/>
        <v/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.75" customHeight="1" spans="1:41">
      <c r="A8" s="48"/>
      <c r="B8" s="49" t="s">
        <v>28</v>
      </c>
      <c r="C8" s="50"/>
      <c r="D8" s="51">
        <v>1.2</v>
      </c>
      <c r="E8" s="51">
        <v>0.15</v>
      </c>
      <c r="F8" s="51">
        <v>-0.15</v>
      </c>
      <c r="G8" s="51">
        <f>D8+E8</f>
        <v>1.35</v>
      </c>
      <c r="H8" s="51">
        <f>D8+F8</f>
        <v>1.05</v>
      </c>
      <c r="I8" s="51" t="s">
        <v>27</v>
      </c>
      <c r="J8" s="52">
        <v>1.308</v>
      </c>
      <c r="K8" s="52">
        <v>1.396</v>
      </c>
      <c r="L8" s="52">
        <v>1.2232</v>
      </c>
      <c r="M8" s="52">
        <v>1.3048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3" t="str">
        <f t="shared" ref="Z8:AO8" si="2">IF(J8="","",IF(J8&gt;($D8+$E8),(J8-$D8-$E8),IF(J8&lt;($D8+$F8),(J8-$D8-$F8),"√")))</f>
        <v>√</v>
      </c>
      <c r="AA8" s="53">
        <f t="shared" si="2"/>
        <v>0.046</v>
      </c>
      <c r="AB8" s="53" t="str">
        <f t="shared" si="2"/>
        <v>√</v>
      </c>
      <c r="AC8" s="53" t="str">
        <f t="shared" si="2"/>
        <v>√</v>
      </c>
      <c r="AD8" s="53" t="str">
        <f t="shared" si="2"/>
        <v/>
      </c>
      <c r="AE8" s="53" t="str">
        <f t="shared" si="2"/>
        <v/>
      </c>
      <c r="AF8" s="53" t="str">
        <f t="shared" si="2"/>
        <v/>
      </c>
      <c r="AG8" s="53" t="str">
        <f t="shared" si="2"/>
        <v/>
      </c>
      <c r="AH8" s="53" t="str">
        <f t="shared" si="2"/>
        <v/>
      </c>
      <c r="AI8" s="53" t="str">
        <f t="shared" si="2"/>
        <v/>
      </c>
      <c r="AJ8" s="53" t="str">
        <f t="shared" si="2"/>
        <v/>
      </c>
      <c r="AK8" s="53" t="str">
        <f t="shared" si="2"/>
        <v/>
      </c>
      <c r="AL8" s="53" t="str">
        <f t="shared" si="2"/>
        <v/>
      </c>
      <c r="AM8" s="53" t="str">
        <f t="shared" si="2"/>
        <v/>
      </c>
      <c r="AN8" s="53" t="str">
        <f t="shared" si="2"/>
        <v/>
      </c>
      <c r="AO8" s="53" t="str">
        <f t="shared" si="2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O7">
    <cfRule type="cellIs" dxfId="0" priority="25" operator="notBetween">
      <formula>$F7</formula>
      <formula>$G7</formula>
    </cfRule>
  </conditionalFormatting>
  <conditionalFormatting sqref="P7:U7">
    <cfRule type="cellIs" dxfId="0" priority="19" operator="notBetween">
      <formula>$F7</formula>
      <formula>$G7</formula>
    </cfRule>
  </conditionalFormatting>
  <conditionalFormatting sqref="V7:Y7">
    <cfRule type="cellIs" dxfId="0" priority="150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