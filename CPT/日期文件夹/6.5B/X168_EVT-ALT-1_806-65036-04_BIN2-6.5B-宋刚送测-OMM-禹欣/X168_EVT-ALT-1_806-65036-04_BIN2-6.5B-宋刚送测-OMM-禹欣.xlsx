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<sst xmlns="http://schemas.openxmlformats.org/spreadsheetml/2006/main" count="31" uniqueCount="30">
  <si>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安徽中耀智能科技有限公司首件尺寸报告</t>
  </si>
  <si>
    <t>料号</t>
  </si>
  <si>
    <t>806-65036_BIN2</t>
  </si>
  <si>
    <t>工单号</t>
  </si>
  <si>
    <t>工站</t>
  </si>
  <si>
    <t>炉号</t>
  </si>
  <si>
    <t>测量机台号</t>
  </si>
  <si>
    <t>测量人员</t>
  </si>
  <si>
    <t>审核</t>
  </si>
  <si>
    <t>分BIN</t>
  </si>
  <si>
    <t>NA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</si>
  <si>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</si>
  <si>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</si>
  <si>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</si>
  <si>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</si>
  <si>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</si>
  <si>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</si>
  <si>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</si>
  <si>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</si>
  <si>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</si>
  <si>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</si>
  <si>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</si>
  <si>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</si>
  <si>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</si>
  <si>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</si>
  <si>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</si>
  <si>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</si>
  <si>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</t>
  </si>
  <si>
    <t>OMM</t>
  </si>
  <si>
    <t>FAI2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</si>
</sst>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"/>
  <sheetViews>
    <sheetView tabSelected="1" topLeftCell="R1" workbookViewId="0">
      <selection activeCell="AN3" sqref="AN3:AO3"/>
    </sheetView>
  </sheetViews>
  <sheetFormatPr defaultColWidth="9" defaultRowHeight="14.25" outlineLevelRow="7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 t="s">
        <v>10</v>
      </c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46179</v>
      </c>
      <c r="B7" s="50" t="s">
        <v>27</v>
      </c>
      <c r="C7" s="50"/>
      <c r="D7" s="51">
        <v>1.69</v>
      </c>
      <c r="E7" s="51">
        <v>0.15</v>
      </c>
      <c r="F7" s="51">
        <v>-0.15</v>
      </c>
      <c r="G7" s="52">
        <f>D7+E7</f>
        <v>1.84</v>
      </c>
      <c r="H7" s="52">
        <f>D7+F7</f>
        <v>1.54</v>
      </c>
      <c r="I7" s="51" t="s">
        <v>28</v>
      </c>
      <c r="J7" s="53">
        <v>0.8692</v>
      </c>
      <c r="K7" s="53">
        <v>0.7659</v>
      </c>
      <c r="L7" s="53">
        <v>0.7878</v>
      </c>
      <c r="M7" s="53">
        <v>0.8877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4">
        <f t="shared" ref="Z7:AO7" si="1">IF(J7="","",IF(J7&gt;($D7+$E7),(J7-$D7-$E7),IF(J7&lt;($D7+$F7),(J7-$D7-$F7),"√")))</f>
        <v>-0.6708</v>
      </c>
      <c r="AA7" s="54">
        <f t="shared" si="1"/>
        <v>-0.7741</v>
      </c>
      <c r="AB7" s="54">
        <f t="shared" si="1"/>
        <v>-0.7522</v>
      </c>
      <c r="AC7" s="54">
        <f t="shared" si="1"/>
        <v>-0.6523</v>
      </c>
      <c r="AD7" s="54" t="str">
        <f t="shared" si="1"/>
        <v/>
      </c>
      <c r="AE7" s="54" t="str">
        <f t="shared" si="1"/>
        <v/>
      </c>
      <c r="AF7" s="54" t="str">
        <f t="shared" si="1"/>
        <v/>
      </c>
      <c r="AG7" s="54" t="str">
        <f t="shared" si="1"/>
        <v/>
      </c>
      <c r="AH7" s="54" t="str">
        <f t="shared" si="1"/>
        <v/>
      </c>
      <c r="AI7" s="54" t="str">
        <f t="shared" si="1"/>
        <v/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49"/>
      <c r="B8" s="50" t="s">
        <v>29</v>
      </c>
      <c r="C8" s="50"/>
      <c r="D8" s="51">
        <v>1.1</v>
      </c>
      <c r="E8" s="51">
        <v>0.15</v>
      </c>
      <c r="F8" s="51">
        <v>-0.15</v>
      </c>
      <c r="G8" s="52">
        <f>D8+E8</f>
        <v>1.25</v>
      </c>
      <c r="H8" s="52">
        <f>D8+F8</f>
        <v>0.95</v>
      </c>
      <c r="I8" s="51" t="s">
        <v>28</v>
      </c>
      <c r="J8" s="53">
        <v>2.4927</v>
      </c>
      <c r="K8" s="53">
        <v>2.4487</v>
      </c>
      <c r="L8" s="53">
        <v>2.4898</v>
      </c>
      <c r="M8" s="53">
        <v>2.5224</v>
      </c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4">
        <f t="shared" ref="Z8:AO8" si="2">IF(J8="","",IF(J8&gt;($D8+$E8),(J8-$D8-$E8),IF(J8&lt;($D8+$F8),(J8-$D8-$F8),"√")))</f>
        <v>1.2427</v>
      </c>
      <c r="AA8" s="54">
        <f t="shared" si="2"/>
        <v>1.1987</v>
      </c>
      <c r="AB8" s="54">
        <f t="shared" si="2"/>
        <v>1.2398</v>
      </c>
      <c r="AC8" s="54">
        <f t="shared" si="2"/>
        <v>1.2724</v>
      </c>
      <c r="AD8" s="54" t="str">
        <f t="shared" si="2"/>
        <v/>
      </c>
      <c r="AE8" s="54" t="str">
        <f t="shared" si="2"/>
        <v/>
      </c>
      <c r="AF8" s="54" t="str">
        <f t="shared" si="2"/>
        <v/>
      </c>
      <c r="AG8" s="54" t="str">
        <f t="shared" si="2"/>
        <v/>
      </c>
      <c r="AH8" s="54" t="str">
        <f t="shared" si="2"/>
        <v/>
      </c>
      <c r="AI8" s="54" t="str">
        <f t="shared" si="2"/>
        <v/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8">
    <cfRule type="cellIs" dxfId="0" priority="85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2026-06-05T23:14:28Z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