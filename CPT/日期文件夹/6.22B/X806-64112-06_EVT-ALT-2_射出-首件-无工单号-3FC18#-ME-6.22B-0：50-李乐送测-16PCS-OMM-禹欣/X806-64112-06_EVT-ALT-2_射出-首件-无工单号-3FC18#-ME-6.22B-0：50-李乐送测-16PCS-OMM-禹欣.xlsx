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4112" sheetId="1" r:id="rId1"/>
  </sheets>
  <definedNames>
    <definedName name="_xlnm.Print_Area" localSheetId="0">'806-64112'!$B$1:$AE$6</definedName>
    <definedName name="_xlnm.Print_Titles" localSheetId="0">'806-64112'!$1:6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<sst xmlns="http://schemas.openxmlformats.org/spreadsheetml/2006/main" count="96" uniqueCount="50">
  <si>
    <t>安徽中耀智能科技有限公司首件尺寸报告</t>
  </si>
  <si>
    <t>料号</t>
  </si>
  <si>
    <t>X806-64112</t>
  </si>
  <si>
    <t>工单号</t>
  </si>
  <si>
    <t>工站</t>
  </si>
  <si>
    <t xml:space="preserve">射出机台号     
</t>
  </si>
  <si>
    <t>量测机台号</t>
  </si>
  <si>
    <t>测量人员</t>
  </si>
  <si>
    <t>审核</t>
  </si>
  <si>
    <t>射出</t>
  </si>
  <si>
    <t>3FC18#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</si>
  <si>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</si>
  <si>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</si>
  <si>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</si>
  <si>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</si>
  <si>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</si>
  <si>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</si>
  <si>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</si>
  <si>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</si>
  <si>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</si>
  <si>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</si>
  <si>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</si>
  <si>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</si>
  <si>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</si>
  <si>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</si>
  <si>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1-1</t>
  </si>
  <si>
    <t>1-2</t>
  </si>
  <si>
    <t>1-3</t>
  </si>
  <si>
    <t>1-4</t>
  </si>
  <si>
    <t>丢失</t>
  </si>
  <si>
    <t>1-6</t>
  </si>
  <si>
    <t>1-7</t>
  </si>
  <si>
    <t>1-8</t>
  </si>
  <si>
    <t>2-1</t>
  </si>
  <si>
    <t>2-2</t>
  </si>
  <si>
    <t>2-3</t>
  </si>
  <si>
    <t>2-4</t>
  </si>
  <si>
    <t>2-6</t>
  </si>
  <si>
    <t>2-7</t>
  </si>
  <si>
    <t>2-8</t>
  </si>
  <si>
    <t>2026/6/22</t>
  </si>
  <si>
    <t>FAI 4</t>
  </si>
  <si>
    <t>OMM</t>
  </si>
  <si>
    <t>FAI 2_1</t>
  </si>
  <si>
    <t>A</t>
  </si>
  <si>
    <t>FAI 2_2</t>
  </si>
  <si>
    <t>FAI 26</t>
  </si>
  <si>
    <t>FAI 25</t>
  </si>
  <si>
    <t>P</t>
  </si>
  <si>
    <r>
      <t>复测</t>
    </r>
    <r>
      <rPr>
        <b/>
        <sz val="11"/>
        <rFont val="Arial"/>
        <charset val="134"/>
      </rPr>
      <t>1-3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</si>
</sst>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3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4"/>
      <name val="宋体"/>
      <charset val="134"/>
    </font>
    <font>
      <b/>
      <sz val="16"/>
      <name val="宋体"/>
      <charset val="134"/>
    </font>
    <font>
      <b/>
      <sz val="12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1"/>
      <name val="Arial"/>
      <charset val="134"/>
    </font>
    <font>
      <sz val="11"/>
      <color indexed="8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6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17" applyNumberFormat="0" applyAlignment="0" applyProtection="0">
      <alignment vertical="center"/>
    </xf>
    <xf numFmtId="0" fontId="21" fillId="8" borderId="18" applyNumberFormat="0" applyAlignment="0" applyProtection="0">
      <alignment vertical="center"/>
    </xf>
    <xf numFmtId="0" fontId="22" fillId="8" borderId="17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1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</cellStyleXfs>
  <cellXfs count="70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2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2" borderId="2" xfId="60" applyFont="1" applyFill="1" applyBorder="1" applyAlignment="1" applyProtection="1">
      <alignment horizontal="center" vertical="center"/>
      <protection locked="0"/>
    </xf>
    <xf numFmtId="0" fontId="3" fillId="2" borderId="3" xfId="60" applyFont="1" applyFill="1" applyBorder="1" applyAlignment="1" applyProtection="1">
      <alignment horizontal="center" vertical="center"/>
      <protection locked="0"/>
    </xf>
    <xf numFmtId="0" fontId="3" fillId="2" borderId="4" xfId="60" applyFont="1" applyFill="1" applyBorder="1" applyAlignment="1" applyProtection="1">
      <alignment horizontal="center" vertical="center"/>
      <protection locked="0"/>
    </xf>
    <xf numFmtId="49" fontId="2" fillId="2" borderId="2" xfId="60" applyNumberFormat="1" applyFont="1" applyFill="1" applyBorder="1" applyAlignment="1">
      <alignment horizontal="center" vertical="center"/>
    </xf>
    <xf numFmtId="49" fontId="2" fillId="2" borderId="3" xfId="60" applyNumberFormat="1" applyFont="1" applyFill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4" fillId="0" borderId="1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>
      <alignment horizontal="center" vertical="center"/>
    </xf>
    <xf numFmtId="49" fontId="5" fillId="0" borderId="6" xfId="60" applyNumberFormat="1" applyFont="1" applyBorder="1" applyAlignment="1">
      <alignment horizontal="center" vertical="center"/>
    </xf>
    <xf numFmtId="49" fontId="5" fillId="0" borderId="7" xfId="60" applyNumberFormat="1" applyFont="1" applyBorder="1" applyAlignment="1">
      <alignment horizontal="center" vertical="center"/>
    </xf>
    <xf numFmtId="49" fontId="5" fillId="0" borderId="5" xfId="60" applyNumberFormat="1" applyFont="1" applyBorder="1" applyAlignment="1" applyProtection="1">
      <alignment horizontal="center" vertical="center"/>
      <protection locked="0"/>
    </xf>
    <xf numFmtId="49" fontId="5" fillId="0" borderId="6" xfId="60" applyNumberFormat="1" applyFont="1" applyBorder="1" applyAlignment="1" applyProtection="1">
      <alignment horizontal="center" vertical="center"/>
      <protection locked="0"/>
    </xf>
    <xf numFmtId="49" fontId="5" fillId="0" borderId="7" xfId="60" applyNumberFormat="1" applyFont="1" applyBorder="1" applyAlignment="1" applyProtection="1">
      <alignment horizontal="center" vertical="center"/>
      <protection locked="0"/>
    </xf>
    <xf numFmtId="49" fontId="5" fillId="0" borderId="5" xfId="80" applyNumberFormat="1" applyFont="1" applyBorder="1" applyAlignment="1">
      <alignment horizontal="center" vertical="center"/>
    </xf>
    <xf numFmtId="49" fontId="5" fillId="0" borderId="6" xfId="80" applyNumberFormat="1" applyFont="1" applyBorder="1" applyAlignment="1">
      <alignment horizontal="center" vertical="center"/>
    </xf>
    <xf numFmtId="49" fontId="5" fillId="0" borderId="7" xfId="80" applyNumberFormat="1" applyFont="1" applyBorder="1" applyAlignment="1">
      <alignment horizontal="center" vertical="center"/>
    </xf>
    <xf numFmtId="0" fontId="3" fillId="2" borderId="8" xfId="60" applyFont="1" applyFill="1" applyBorder="1" applyAlignment="1" applyProtection="1">
      <alignment horizontal="center" vertical="center"/>
      <protection locked="0"/>
    </xf>
    <xf numFmtId="0" fontId="3" fillId="2" borderId="9" xfId="60" applyFont="1" applyFill="1" applyBorder="1" applyAlignment="1" applyProtection="1">
      <alignment horizontal="center" vertical="center"/>
      <protection locked="0"/>
    </xf>
    <xf numFmtId="0" fontId="3" fillId="2" borderId="10" xfId="60" applyFont="1" applyFill="1" applyBorder="1" applyAlignment="1" applyProtection="1">
      <alignment horizontal="center" vertical="center"/>
      <protection locked="0"/>
    </xf>
    <xf numFmtId="49" fontId="2" fillId="2" borderId="8" xfId="60" applyNumberFormat="1" applyFont="1" applyFill="1" applyBorder="1" applyAlignment="1">
      <alignment horizontal="center" vertical="center"/>
    </xf>
    <xf numFmtId="49" fontId="2" fillId="2" borderId="9" xfId="60" applyNumberFormat="1" applyFont="1" applyFill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5" fillId="0" borderId="5" xfId="60" applyFont="1" applyBorder="1" applyAlignment="1" applyProtection="1">
      <alignment horizontal="center" vertical="center"/>
      <protection locked="0"/>
    </xf>
    <xf numFmtId="0" fontId="5" fillId="0" borderId="6" xfId="60" applyFont="1" applyBorder="1" applyAlignment="1" applyProtection="1">
      <alignment horizontal="center" vertical="center"/>
      <protection locked="0"/>
    </xf>
    <xf numFmtId="0" fontId="5" fillId="0" borderId="7" xfId="60" applyFont="1" applyBorder="1" applyAlignment="1" applyProtection="1">
      <alignment horizontal="center" vertical="center"/>
      <protection locked="0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176" fontId="4" fillId="0" borderId="5" xfId="80" applyNumberFormat="1" applyFont="1" applyBorder="1" applyAlignment="1">
      <alignment horizontal="center" vertical="center"/>
    </xf>
    <xf numFmtId="176" fontId="4" fillId="0" borderId="6" xfId="80" applyNumberFormat="1" applyFont="1" applyBorder="1" applyAlignment="1">
      <alignment horizontal="center" vertical="center"/>
    </xf>
    <xf numFmtId="176" fontId="4" fillId="0" borderId="7" xfId="80" applyNumberFormat="1" applyFont="1" applyBorder="1" applyAlignment="1">
      <alignment horizontal="center" vertical="center"/>
    </xf>
    <xf numFmtId="176" fontId="5" fillId="0" borderId="5" xfId="80" applyNumberFormat="1" applyFont="1" applyBorder="1" applyAlignment="1">
      <alignment horizontal="center" vertical="center"/>
    </xf>
    <xf numFmtId="176" fontId="5" fillId="0" borderId="7" xfId="80" applyNumberFormat="1" applyFont="1" applyBorder="1" applyAlignment="1">
      <alignment horizontal="center" vertical="center"/>
    </xf>
    <xf numFmtId="49" fontId="6" fillId="0" borderId="1" xfId="60" applyNumberFormat="1" applyFont="1" applyBorder="1" applyAlignment="1" applyProtection="1">
      <alignment horizontal="center" vertical="center" wrapText="1"/>
      <protection locked="0"/>
    </xf>
    <xf numFmtId="49" fontId="6" fillId="2" borderId="1" xfId="60" applyNumberFormat="1" applyFont="1" applyFill="1" applyBorder="1" applyAlignment="1" applyProtection="1">
      <alignment horizontal="center" vertical="center" wrapText="1"/>
      <protection locked="0"/>
    </xf>
    <xf numFmtId="49" fontId="6" fillId="2" borderId="11" xfId="60" applyNumberFormat="1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177" fontId="6" fillId="2" borderId="1" xfId="60" applyNumberFormat="1" applyFont="1" applyFill="1" applyBorder="1" applyAlignment="1">
      <alignment horizontal="center" vertical="center"/>
    </xf>
    <xf numFmtId="177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Font="1" applyFill="1" applyBorder="1" applyAlignment="1" applyProtection="1">
      <alignment horizontal="center" vertical="center" wrapText="1"/>
      <protection locked="0"/>
    </xf>
    <xf numFmtId="0" fontId="6" fillId="3" borderId="2" xfId="60" applyFont="1" applyFill="1" applyBorder="1" applyAlignment="1" applyProtection="1">
      <alignment horizontal="center" vertical="center"/>
      <protection locked="0"/>
    </xf>
    <xf numFmtId="0" fontId="6" fillId="3" borderId="3" xfId="60" applyFont="1" applyFill="1" applyBorder="1" applyAlignment="1" applyProtection="1">
      <alignment horizontal="center" vertical="center"/>
      <protection locked="0"/>
    </xf>
    <xf numFmtId="0" fontId="6" fillId="3" borderId="4" xfId="60" applyFont="1" applyFill="1" applyBorder="1" applyAlignment="1" applyProtection="1">
      <alignment horizontal="center" vertical="center"/>
      <protection locked="0"/>
    </xf>
    <xf numFmtId="0" fontId="6" fillId="4" borderId="5" xfId="60" applyFont="1" applyFill="1" applyBorder="1" applyAlignment="1">
      <alignment horizontal="center" vertical="center"/>
    </xf>
    <xf numFmtId="0" fontId="6" fillId="4" borderId="6" xfId="60" applyFont="1" applyFill="1" applyBorder="1" applyAlignment="1">
      <alignment horizontal="center" vertical="center"/>
    </xf>
    <xf numFmtId="0" fontId="6" fillId="4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2" borderId="1" xfId="60" applyNumberFormat="1" applyFont="1" applyFill="1" applyBorder="1" applyAlignment="1" applyProtection="1">
      <alignment horizontal="center" vertical="center"/>
      <protection locked="0"/>
    </xf>
    <xf numFmtId="49" fontId="6" fillId="2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8" xfId="60" applyFont="1" applyFill="1" applyBorder="1" applyAlignment="1" applyProtection="1">
      <alignment horizontal="center" vertical="center"/>
      <protection locked="0"/>
    </xf>
    <xf numFmtId="0" fontId="6" fillId="3" borderId="9" xfId="60" applyFont="1" applyFill="1" applyBorder="1" applyAlignment="1" applyProtection="1">
      <alignment horizontal="center" vertical="center"/>
      <protection locked="0"/>
    </xf>
    <xf numFmtId="0" fontId="6" fillId="3" borderId="10" xfId="60" applyFont="1" applyFill="1" applyBorder="1" applyAlignment="1" applyProtection="1">
      <alignment horizontal="center" vertical="center"/>
      <protection locked="0"/>
    </xf>
    <xf numFmtId="0" fontId="6" fillId="4" borderId="1" xfId="60" applyFont="1" applyFill="1" applyBorder="1" applyAlignment="1">
      <alignment horizontal="center" vertical="center"/>
    </xf>
    <xf numFmtId="49" fontId="6" fillId="2" borderId="13" xfId="60" applyNumberFormat="1" applyFont="1" applyFill="1" applyBorder="1" applyAlignment="1" applyProtection="1">
      <alignment horizontal="center" vertical="center" wrapText="1"/>
      <protection locked="0"/>
    </xf>
    <xf numFmtId="49" fontId="7" fillId="3" borderId="1" xfId="60" applyNumberFormat="1" applyFont="1" applyFill="1" applyBorder="1" applyAlignment="1" applyProtection="1">
      <alignment horizontal="center" vertical="center"/>
      <protection locked="0"/>
    </xf>
    <xf numFmtId="49" fontId="6" fillId="3" borderId="1" xfId="60" applyNumberFormat="1" applyFont="1" applyFill="1" applyBorder="1" applyAlignment="1" applyProtection="1">
      <alignment horizontal="center" vertical="center"/>
      <protection locked="0"/>
    </xf>
    <xf numFmtId="0" fontId="7" fillId="4" borderId="1" xfId="60" applyFont="1" applyFill="1" applyBorder="1" applyAlignment="1">
      <alignment horizontal="center" vertical="center"/>
    </xf>
    <xf numFmtId="49" fontId="8" fillId="0" borderId="1" xfId="60" applyNumberFormat="1" applyFont="1" applyBorder="1" applyAlignment="1" applyProtection="1">
      <alignment horizontal="center" vertical="center"/>
      <protection locked="0"/>
    </xf>
    <xf numFmtId="0" fontId="9" fillId="5" borderId="7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8" fillId="2" borderId="1" xfId="59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right" vertical="center"/>
    </xf>
    <xf numFmtId="0" fontId="10" fillId="4" borderId="1" xfId="60" applyFont="1" applyFill="1" applyBorder="1" applyAlignment="1">
      <alignment horizontal="center" vertical="center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30" xfId="73"/>
    <cellStyle name="常规 4" xfId="74"/>
    <cellStyle name="常规 5" xfId="75"/>
    <cellStyle name="常规 6" xfId="76"/>
    <cellStyle name="常规 7" xfId="77"/>
    <cellStyle name="常规 8" xfId="78"/>
    <cellStyle name="常规 9" xfId="79"/>
    <cellStyle name="普通 2" xfId="80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422275</xdr:colOff>
      <xdr:row>0</xdr:row>
      <xdr:rowOff>876300</xdr:rowOff>
    </xdr:to>
    <xdr:pic>
      <xdr:nvPicPr>
        <xdr:cNvPr id="5118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825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422275</xdr:colOff>
      <xdr:row>0</xdr:row>
      <xdr:rowOff>876300</xdr:rowOff>
    </xdr:to>
    <xdr:pic>
      <xdr:nvPicPr>
        <xdr:cNvPr id="5119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825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21"/>
  <sheetViews>
    <sheetView tabSelected="1" topLeftCell="R1" workbookViewId="0">
      <selection activeCell="AN3" sqref="AN3:AO3"/>
    </sheetView>
  </sheetViews>
  <sheetFormatPr defaultColWidth="9" defaultRowHeight="14.25"/>
  <cols>
    <col min="1" max="1" width="9.3" customWidth="1"/>
    <col min="2" max="9" width="9.3" style="1" customWidth="1"/>
    <col min="10" max="41" width="9.3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4" t="s">
        <v>1</v>
      </c>
      <c r="B2" s="5" t="s">
        <v>2</v>
      </c>
      <c r="C2" s="6"/>
      <c r="D2" s="6"/>
      <c r="E2" s="6"/>
      <c r="F2" s="6"/>
      <c r="G2" s="7"/>
      <c r="H2" s="8" t="s">
        <v>3</v>
      </c>
      <c r="I2" s="9"/>
      <c r="J2" s="10"/>
      <c r="K2" s="11"/>
      <c r="L2" s="12"/>
      <c r="M2" s="12"/>
      <c r="N2" s="12"/>
      <c r="O2" s="12"/>
      <c r="P2" s="12"/>
      <c r="Q2" s="12"/>
      <c r="R2" s="12"/>
      <c r="S2" s="13" t="s">
        <v>4</v>
      </c>
      <c r="T2" s="14"/>
      <c r="U2" s="14"/>
      <c r="V2" s="14"/>
      <c r="W2" s="14"/>
      <c r="X2" s="15"/>
      <c r="Y2" s="13" t="s">
        <v>5</v>
      </c>
      <c r="Z2" s="14"/>
      <c r="AA2" s="14"/>
      <c r="AB2" s="14"/>
      <c r="AC2" s="14"/>
      <c r="AD2" s="15"/>
      <c r="AE2" s="16" t="s">
        <v>6</v>
      </c>
      <c r="AF2" s="17"/>
      <c r="AG2" s="17"/>
      <c r="AH2" s="17"/>
      <c r="AI2" s="18"/>
      <c r="AJ2" s="19" t="s">
        <v>7</v>
      </c>
      <c r="AK2" s="20"/>
      <c r="AL2" s="20"/>
      <c r="AM2" s="21"/>
      <c r="AN2" s="19" t="s">
        <v>8</v>
      </c>
      <c r="AO2" s="21"/>
    </row>
    <row r="3" ht="15" customHeight="1" spans="1:41">
      <c r="A3" s="4"/>
      <c r="B3" s="22"/>
      <c r="C3" s="23"/>
      <c r="D3" s="23"/>
      <c r="E3" s="23"/>
      <c r="F3" s="23"/>
      <c r="G3" s="24"/>
      <c r="H3" s="25"/>
      <c r="I3" s="26"/>
      <c r="J3" s="27"/>
      <c r="K3" s="28"/>
      <c r="L3" s="12"/>
      <c r="M3" s="12"/>
      <c r="N3" s="12"/>
      <c r="O3" s="12"/>
      <c r="P3" s="12"/>
      <c r="Q3" s="12"/>
      <c r="R3" s="12"/>
      <c r="S3" s="29" t="s">
        <v>9</v>
      </c>
      <c r="T3" s="30"/>
      <c r="U3" s="30"/>
      <c r="V3" s="30"/>
      <c r="W3" s="30"/>
      <c r="X3" s="31"/>
      <c r="Y3" s="32" t="s">
        <v>10</v>
      </c>
      <c r="Z3" s="33"/>
      <c r="AA3" s="33"/>
      <c r="AB3" s="33"/>
      <c r="AC3" s="33"/>
      <c r="AD3" s="34"/>
      <c r="AE3" s="35" t="s">
        <v>11</v>
      </c>
      <c r="AF3" s="36"/>
      <c r="AG3" s="36"/>
      <c r="AH3" s="36"/>
      <c r="AI3" s="37"/>
      <c r="AJ3" s="35" t="s">
        <v>12</v>
      </c>
      <c r="AK3" s="36"/>
      <c r="AL3" s="36"/>
      <c r="AM3" s="37"/>
      <c r="AN3" s="38" t="s">
        <v>13</v>
      </c>
      <c r="AO3" s="39"/>
    </row>
    <row r="4" customHeight="1" spans="1:41">
      <c r="A4" s="40" t="s">
        <v>14</v>
      </c>
      <c r="B4" s="41" t="s">
        <v>15</v>
      </c>
      <c r="C4" s="42" t="s">
        <v>16</v>
      </c>
      <c r="D4" s="43" t="s">
        <v>17</v>
      </c>
      <c r="E4" s="44" t="s">
        <v>18</v>
      </c>
      <c r="F4" s="45" t="s">
        <v>19</v>
      </c>
      <c r="G4" s="45" t="s">
        <v>20</v>
      </c>
      <c r="H4" s="45" t="s">
        <v>21</v>
      </c>
      <c r="I4" s="46" t="s">
        <v>22</v>
      </c>
      <c r="J4" s="47" t="s">
        <v>23</v>
      </c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9"/>
      <c r="Z4" s="50" t="s">
        <v>24</v>
      </c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2"/>
    </row>
    <row r="5" ht="13.5" customHeight="1" spans="1:41">
      <c r="A5" s="53"/>
      <c r="B5" s="54"/>
      <c r="C5" s="55"/>
      <c r="D5" s="43"/>
      <c r="E5" s="44"/>
      <c r="F5" s="45"/>
      <c r="G5" s="45"/>
      <c r="H5" s="45"/>
      <c r="I5" s="43"/>
      <c r="J5" s="56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8"/>
      <c r="Z5" s="50"/>
      <c r="AA5" s="52"/>
      <c r="AB5" s="50"/>
      <c r="AC5" s="52"/>
      <c r="AD5" s="50"/>
      <c r="AE5" s="52"/>
      <c r="AF5" s="50"/>
      <c r="AG5" s="52"/>
      <c r="AH5" s="59"/>
      <c r="AI5" s="59"/>
      <c r="AJ5" s="59"/>
      <c r="AK5" s="59"/>
      <c r="AL5" s="59"/>
      <c r="AM5" s="59"/>
      <c r="AN5" s="59"/>
      <c r="AO5" s="59"/>
    </row>
    <row r="6" customHeight="1" spans="1:41">
      <c r="A6" s="53"/>
      <c r="B6" s="54"/>
      <c r="C6" s="60"/>
      <c r="D6" s="43"/>
      <c r="E6" s="44"/>
      <c r="F6" s="45"/>
      <c r="G6" s="45"/>
      <c r="H6" s="45"/>
      <c r="I6" s="43"/>
      <c r="J6" s="61" t="s">
        <v>25</v>
      </c>
      <c r="K6" s="61" t="s">
        <v>26</v>
      </c>
      <c r="L6" s="61" t="s">
        <v>27</v>
      </c>
      <c r="M6" s="61" t="s">
        <v>28</v>
      </c>
      <c r="N6" s="62" t="s">
        <v>29</v>
      </c>
      <c r="O6" s="61" t="s">
        <v>30</v>
      </c>
      <c r="P6" s="61" t="s">
        <v>31</v>
      </c>
      <c r="Q6" s="61" t="s">
        <v>32</v>
      </c>
      <c r="R6" s="61" t="s">
        <v>33</v>
      </c>
      <c r="S6" s="61" t="s">
        <v>34</v>
      </c>
      <c r="T6" s="61" t="s">
        <v>35</v>
      </c>
      <c r="U6" s="61" t="s">
        <v>36</v>
      </c>
      <c r="V6" s="62" t="s">
        <v>29</v>
      </c>
      <c r="W6" s="61" t="s">
        <v>37</v>
      </c>
      <c r="X6" s="61" t="s">
        <v>38</v>
      </c>
      <c r="Y6" s="61" t="s">
        <v>39</v>
      </c>
      <c r="Z6" s="63">
        <v>1</v>
      </c>
      <c r="AA6" s="63">
        <v>2</v>
      </c>
      <c r="AB6" s="63">
        <v>3</v>
      </c>
      <c r="AC6" s="63">
        <v>4</v>
      </c>
      <c r="AD6" s="63">
        <v>5</v>
      </c>
      <c r="AE6" s="63">
        <v>6</v>
      </c>
      <c r="AF6" s="63">
        <v>7</v>
      </c>
      <c r="AG6" s="63">
        <v>8</v>
      </c>
      <c r="AH6" s="63">
        <v>9</v>
      </c>
      <c r="AI6" s="63">
        <v>10</v>
      </c>
      <c r="AJ6" s="63">
        <v>11</v>
      </c>
      <c r="AK6" s="63">
        <v>12</v>
      </c>
      <c r="AL6" s="63">
        <v>13</v>
      </c>
      <c r="AM6" s="63">
        <v>14</v>
      </c>
      <c r="AN6" s="63">
        <v>15</v>
      </c>
      <c r="AO6" s="63">
        <v>16</v>
      </c>
    </row>
    <row r="7" customHeight="1" spans="1:41">
      <c r="A7" s="64" t="s">
        <v>40</v>
      </c>
      <c r="B7" s="65" t="s">
        <v>41</v>
      </c>
      <c r="C7" s="65"/>
      <c r="D7" s="66">
        <v>6.3</v>
      </c>
      <c r="E7" s="66">
        <v>0.015</v>
      </c>
      <c r="F7" s="66">
        <v>-0.015</v>
      </c>
      <c r="G7" s="66">
        <f>D7+E7</f>
        <v>6.315</v>
      </c>
      <c r="H7" s="66">
        <f>D7+F7</f>
        <v>6.285</v>
      </c>
      <c r="I7" s="67" t="s">
        <v>42</v>
      </c>
      <c r="J7" s="68">
        <v>6.2819</v>
      </c>
      <c r="K7" s="68">
        <v>6.2854</v>
      </c>
      <c r="L7" s="68">
        <v>6.2779</v>
      </c>
      <c r="M7" s="68">
        <v>6.2855</v>
      </c>
      <c r="N7" s="68"/>
      <c r="O7" s="68">
        <v>6.2909</v>
      </c>
      <c r="P7" s="68">
        <v>6.2834</v>
      </c>
      <c r="Q7" s="68">
        <v>6.2854</v>
      </c>
      <c r="R7" s="68">
        <v>6.2854</v>
      </c>
      <c r="S7" s="68">
        <v>6.2817</v>
      </c>
      <c r="T7" s="68">
        <v>6.2862</v>
      </c>
      <c r="U7" s="68">
        <v>6.2864</v>
      </c>
      <c r="V7" s="68"/>
      <c r="W7" s="68">
        <v>6.2888</v>
      </c>
      <c r="X7" s="68">
        <v>6.2855</v>
      </c>
      <c r="Y7" s="68">
        <v>6.2855</v>
      </c>
      <c r="Z7" s="69">
        <f>IF(J7="","",IF(J7&gt;($D7+$E7),(J7-$D7-$E7),IF(J7&lt;($D7+$F7),(J7-$D7-$F7),"√")))</f>
        <v>-0.00309999999999956</v>
      </c>
      <c r="AA7" s="69" t="str">
        <f>IF(K7="","",IF(K7&gt;($D7+$E7),(K7-$D7-$E7),IF(K7&lt;($D7+$F7),(K7-$D7-$F7),"√")))</f>
        <v>√</v>
      </c>
      <c r="AB7" s="69">
        <f>IF(L7="","",IF(L7&gt;($D7+$E7),(L7-$D7-$E7),IF(L7&lt;($D7+$F7),(L7-$D7-$F7),"√")))</f>
        <v>-0.00710000000000001</v>
      </c>
      <c r="AC7" s="69" t="str">
        <f>IF(M7="","",IF(M7&gt;($D7+$E7),(M7-$D7-$E7),IF(M7&lt;($D7+$F7),(M7-$D7-$F7),"√")))</f>
        <v>√</v>
      </c>
      <c r="AD7" s="69" t="str">
        <f t="shared" ref="Z7:AO7" si="0">IF(O7="","",IF(O7&gt;($D7+$E7),(O7-$D7-$E7),IF(O7&lt;($D7+$F7),(O7-$D7-$F7),"√")))</f>
        <v>√</v>
      </c>
      <c r="AE7" s="69">
        <f t="shared" si="0"/>
        <v>-0.0015999999999995</v>
      </c>
      <c r="AF7" s="69" t="str">
        <f t="shared" si="0"/>
        <v>√</v>
      </c>
      <c r="AG7" s="69" t="str">
        <f t="shared" si="0"/>
        <v>√</v>
      </c>
      <c r="AH7" s="69">
        <f t="shared" si="0"/>
        <v>-0.00329999999999998</v>
      </c>
      <c r="AI7" s="69" t="str">
        <f t="shared" si="0"/>
        <v>√</v>
      </c>
      <c r="AJ7" s="69" t="str">
        <f t="shared" si="0"/>
        <v>√</v>
      </c>
      <c r="AK7" s="69" t="str">
        <f t="shared" si="0"/>
        <v/>
      </c>
      <c r="AL7" s="69" t="str">
        <f t="shared" si="0"/>
        <v>√</v>
      </c>
      <c r="AM7" s="69" t="str">
        <f t="shared" si="0"/>
        <v>√</v>
      </c>
      <c r="AN7" s="69" t="str">
        <f t="shared" si="0"/>
        <v>√</v>
      </c>
      <c r="AO7" s="69" t="str">
        <f>IF(Y7="","",IF(Y7&gt;($D7+$E7),(Y7-$D7-$E7),IF(Y7&lt;($D7+$F7),(Y7-$D7-$F7),"√")))</f>
        <v>√</v>
      </c>
    </row>
    <row r="8" customHeight="1" spans="1:41">
      <c r="A8" s="64"/>
      <c r="B8" s="65" t="s">
        <v>43</v>
      </c>
      <c r="C8" s="65" t="s">
        <v>44</v>
      </c>
      <c r="D8" s="66">
        <v>1.46</v>
      </c>
      <c r="E8" s="66">
        <v>0.01</v>
      </c>
      <c r="F8" s="66">
        <v>-0.01</v>
      </c>
      <c r="G8" s="66">
        <f>D8+E8</f>
        <v>1.47</v>
      </c>
      <c r="H8" s="66">
        <f>D8+F8</f>
        <v>1.45</v>
      </c>
      <c r="I8" s="67" t="s">
        <v>42</v>
      </c>
      <c r="J8" s="68">
        <v>1.4567</v>
      </c>
      <c r="K8" s="68">
        <v>1.4626</v>
      </c>
      <c r="L8" s="68">
        <v>1.4627</v>
      </c>
      <c r="M8" s="68">
        <v>1.4626</v>
      </c>
      <c r="N8" s="68"/>
      <c r="O8" s="68">
        <v>1.4627</v>
      </c>
      <c r="P8" s="68">
        <v>1.4634</v>
      </c>
      <c r="Q8" s="68">
        <v>1.4637</v>
      </c>
      <c r="R8" s="68">
        <v>1.4542</v>
      </c>
      <c r="S8" s="68">
        <v>1.4635</v>
      </c>
      <c r="T8" s="68">
        <v>1.4632</v>
      </c>
      <c r="U8" s="68">
        <v>1.4637</v>
      </c>
      <c r="V8" s="68"/>
      <c r="W8" s="68">
        <v>1.4633</v>
      </c>
      <c r="X8" s="68">
        <v>1.464</v>
      </c>
      <c r="Y8" s="68">
        <v>1.464</v>
      </c>
      <c r="Z8" s="69" t="str">
        <f>IF(J8="","",IF(J8&gt;($D8+$E8),(J8-$D8-$E8),IF(J8&lt;($D8+$F8),(J8-$D8-$F8),"√")))</f>
        <v>√</v>
      </c>
      <c r="AA8" s="69" t="str">
        <f>IF(K8="","",IF(K8&gt;($D8+$E8),(K8-$D8-$E8),IF(K8&lt;($D8+$F8),(K8-$D8-$F8),"√")))</f>
        <v>√</v>
      </c>
      <c r="AB8" s="69" t="str">
        <f>IF(L8="","",IF(L8&gt;($D8+$E8),(L8-$D8-$E8),IF(L8&lt;($D8+$F8),(L8-$D8-$F8),"√")))</f>
        <v>√</v>
      </c>
      <c r="AC8" s="69" t="str">
        <f>IF(M8="","",IF(M8&gt;($D8+$E8),(M8-$D8-$E8),IF(M8&lt;($D8+$F8),(M8-$D8-$F8),"√")))</f>
        <v>√</v>
      </c>
      <c r="AD8" s="69" t="str">
        <f t="shared" ref="Z8:AO8" si="1">IF(O8="","",IF(O8&gt;($D8+$E8),(O8-$D8-$E8),IF(O8&lt;($D8+$F8),(O8-$D8-$F8),"√")))</f>
        <v>√</v>
      </c>
      <c r="AE8" s="69" t="str">
        <f t="shared" si="1"/>
        <v>√</v>
      </c>
      <c r="AF8" s="69" t="str">
        <f t="shared" si="1"/>
        <v>√</v>
      </c>
      <c r="AG8" s="69" t="str">
        <f t="shared" si="1"/>
        <v>√</v>
      </c>
      <c r="AH8" s="69" t="str">
        <f t="shared" si="1"/>
        <v>√</v>
      </c>
      <c r="AI8" s="69" t="str">
        <f t="shared" si="1"/>
        <v>√</v>
      </c>
      <c r="AJ8" s="69" t="str">
        <f t="shared" si="1"/>
        <v>√</v>
      </c>
      <c r="AK8" s="69" t="str">
        <f t="shared" si="1"/>
        <v/>
      </c>
      <c r="AL8" s="69" t="str">
        <f t="shared" si="1"/>
        <v>√</v>
      </c>
      <c r="AM8" s="69" t="str">
        <f t="shared" si="1"/>
        <v>√</v>
      </c>
      <c r="AN8" s="69" t="str">
        <f t="shared" si="1"/>
        <v>√</v>
      </c>
      <c r="AO8" s="69" t="str">
        <f>IF(Y8="","",IF(Y8&gt;($D8+$E8),(Y8-$D8-$E8),IF(Y8&lt;($D8+$F8),(Y8-$D8-$F8),"√")))</f>
        <v>√</v>
      </c>
    </row>
    <row r="9" customHeight="1" spans="1:41">
      <c r="A9" s="64"/>
      <c r="B9" s="65" t="s">
        <v>45</v>
      </c>
      <c r="C9" s="65" t="s">
        <v>44</v>
      </c>
      <c r="D9" s="66">
        <v>1.46</v>
      </c>
      <c r="E9" s="66">
        <v>0.01</v>
      </c>
      <c r="F9" s="66">
        <v>-0.01</v>
      </c>
      <c r="G9" s="66">
        <f>D9+E9</f>
        <v>1.47</v>
      </c>
      <c r="H9" s="66">
        <f>D9+F9</f>
        <v>1.45</v>
      </c>
      <c r="I9" s="67" t="s">
        <v>42</v>
      </c>
      <c r="J9" s="68">
        <v>1.4672</v>
      </c>
      <c r="K9" s="68">
        <v>1.4621</v>
      </c>
      <c r="L9" s="68">
        <v>1.462</v>
      </c>
      <c r="M9" s="68">
        <v>1.4618</v>
      </c>
      <c r="N9" s="68"/>
      <c r="O9" s="68">
        <v>1.4624</v>
      </c>
      <c r="P9" s="68">
        <v>1.4624</v>
      </c>
      <c r="Q9" s="68">
        <v>1.4617</v>
      </c>
      <c r="R9" s="68">
        <v>1.4617</v>
      </c>
      <c r="S9" s="68">
        <v>1.4611</v>
      </c>
      <c r="T9" s="68">
        <v>1.4616</v>
      </c>
      <c r="U9" s="68">
        <v>1.4622</v>
      </c>
      <c r="V9" s="68"/>
      <c r="W9" s="68">
        <v>1.4623</v>
      </c>
      <c r="X9" s="68">
        <v>1.4626</v>
      </c>
      <c r="Y9" s="68">
        <v>1.4626</v>
      </c>
      <c r="Z9" s="69" t="str">
        <f>IF(J9="","",IF(J9&gt;($D9+$E9),(J9-$D9-$E9),IF(J9&lt;($D9+$F9),(J9-$D9-$F9),"√")))</f>
        <v>√</v>
      </c>
      <c r="AA9" s="69" t="str">
        <f>IF(K9="","",IF(K9&gt;($D9+$E9),(K9-$D9-$E9),IF(K9&lt;($D9+$F9),(K9-$D9-$F9),"√")))</f>
        <v>√</v>
      </c>
      <c r="AB9" s="69" t="str">
        <f>IF(L9="","",IF(L9&gt;($D9+$E9),(L9-$D9-$E9),IF(L9&lt;($D9+$F9),(L9-$D9-$F9),"√")))</f>
        <v>√</v>
      </c>
      <c r="AC9" s="69" t="str">
        <f>IF(M9="","",IF(M9&gt;($D9+$E9),(M9-$D9-$E9),IF(M9&lt;($D9+$F9),(M9-$D9-$F9),"√")))</f>
        <v>√</v>
      </c>
      <c r="AD9" s="69" t="str">
        <f t="shared" ref="Z9:AO9" si="2">IF(O9="","",IF(O9&gt;($D9+$E9),(O9-$D9-$E9),IF(O9&lt;($D9+$F9),(O9-$D9-$F9),"√")))</f>
        <v>√</v>
      </c>
      <c r="AE9" s="69" t="str">
        <f t="shared" si="2"/>
        <v>√</v>
      </c>
      <c r="AF9" s="69" t="str">
        <f t="shared" si="2"/>
        <v>√</v>
      </c>
      <c r="AG9" s="69" t="str">
        <f t="shared" si="2"/>
        <v>√</v>
      </c>
      <c r="AH9" s="69" t="str">
        <f t="shared" si="2"/>
        <v>√</v>
      </c>
      <c r="AI9" s="69" t="str">
        <f t="shared" si="2"/>
        <v>√</v>
      </c>
      <c r="AJ9" s="69" t="str">
        <f t="shared" si="2"/>
        <v>√</v>
      </c>
      <c r="AK9" s="69" t="str">
        <f t="shared" si="2"/>
        <v/>
      </c>
      <c r="AL9" s="69" t="str">
        <f t="shared" si="2"/>
        <v>√</v>
      </c>
      <c r="AM9" s="69" t="str">
        <f t="shared" si="2"/>
        <v>√</v>
      </c>
      <c r="AN9" s="69" t="str">
        <f t="shared" si="2"/>
        <v>√</v>
      </c>
      <c r="AO9" s="69" t="str">
        <f>IF(Y9="","",IF(Y9&gt;($D9+$E9),(Y9-$D9-$E9),IF(Y9&lt;($D9+$F9),(Y9-$D9-$F9),"√")))</f>
        <v>√</v>
      </c>
    </row>
    <row r="10" customHeight="1" spans="1:41">
      <c r="A10" s="64"/>
      <c r="B10" s="65" t="s">
        <v>46</v>
      </c>
      <c r="C10" s="65"/>
      <c r="D10" s="66">
        <v>1.52</v>
      </c>
      <c r="E10" s="66">
        <v>0.03</v>
      </c>
      <c r="F10" s="66">
        <v>-0.03</v>
      </c>
      <c r="G10" s="66">
        <f>D10+E10</f>
        <v>1.55</v>
      </c>
      <c r="H10" s="66">
        <f>D10+F10</f>
        <v>1.49</v>
      </c>
      <c r="I10" s="67" t="s">
        <v>42</v>
      </c>
      <c r="J10" s="68">
        <v>1.5068</v>
      </c>
      <c r="K10" s="68">
        <v>1.5133</v>
      </c>
      <c r="L10" s="68">
        <v>1.5113</v>
      </c>
      <c r="M10" s="68">
        <v>1.5098</v>
      </c>
      <c r="N10" s="68"/>
      <c r="O10" s="68">
        <v>1.5093</v>
      </c>
      <c r="P10" s="68">
        <v>1.5083</v>
      </c>
      <c r="Q10" s="68">
        <v>1.5155</v>
      </c>
      <c r="R10" s="68">
        <v>1.512</v>
      </c>
      <c r="S10" s="68">
        <v>1.5117</v>
      </c>
      <c r="T10" s="68">
        <v>1.5076</v>
      </c>
      <c r="U10" s="68">
        <v>1.5116</v>
      </c>
      <c r="V10" s="68"/>
      <c r="W10" s="68">
        <v>1.508</v>
      </c>
      <c r="X10" s="68">
        <v>1.5144</v>
      </c>
      <c r="Y10" s="68">
        <v>1.5118</v>
      </c>
      <c r="Z10" s="69" t="str">
        <f t="shared" ref="Z10:AO10" si="3">IF(J10="","",IF(J10&gt;($D10+$E10),(J10-$D10-$E10),IF(J10&lt;($D10+$F10),(J10-$D10-$F10),"√")))</f>
        <v>√</v>
      </c>
      <c r="AA10" s="69" t="str">
        <f t="shared" si="3"/>
        <v>√</v>
      </c>
      <c r="AB10" s="69" t="str">
        <f t="shared" si="3"/>
        <v>√</v>
      </c>
      <c r="AC10" s="69" t="str">
        <f t="shared" si="3"/>
        <v>√</v>
      </c>
      <c r="AD10" s="69" t="str">
        <f t="shared" si="3"/>
        <v/>
      </c>
      <c r="AE10" s="69" t="str">
        <f t="shared" si="3"/>
        <v>√</v>
      </c>
      <c r="AF10" s="69" t="str">
        <f t="shared" si="3"/>
        <v>√</v>
      </c>
      <c r="AG10" s="69" t="str">
        <f t="shared" si="3"/>
        <v>√</v>
      </c>
      <c r="AH10" s="69" t="str">
        <f t="shared" si="3"/>
        <v>√</v>
      </c>
      <c r="AI10" s="69" t="str">
        <f t="shared" si="3"/>
        <v>√</v>
      </c>
      <c r="AJ10" s="69" t="str">
        <f t="shared" si="3"/>
        <v>√</v>
      </c>
      <c r="AK10" s="69" t="str">
        <f t="shared" si="3"/>
        <v>√</v>
      </c>
      <c r="AL10" s="69" t="str">
        <f t="shared" si="3"/>
        <v/>
      </c>
      <c r="AM10" s="69" t="str">
        <f t="shared" si="3"/>
        <v>√</v>
      </c>
      <c r="AN10" s="69" t="str">
        <f t="shared" si="3"/>
        <v>√</v>
      </c>
      <c r="AO10" s="69" t="str">
        <f t="shared" si="3"/>
        <v>√</v>
      </c>
    </row>
    <row r="11" customHeight="1" spans="1:41">
      <c r="A11" s="64"/>
      <c r="B11" s="65" t="s">
        <v>47</v>
      </c>
      <c r="C11" s="65" t="s">
        <v>48</v>
      </c>
      <c r="D11" s="66">
        <v>2.21</v>
      </c>
      <c r="E11" s="66">
        <v>0.01</v>
      </c>
      <c r="F11" s="66">
        <v>-0.01</v>
      </c>
      <c r="G11" s="66">
        <f>D11+E11</f>
        <v>2.22</v>
      </c>
      <c r="H11" s="66">
        <f>D11+F11</f>
        <v>2.2</v>
      </c>
      <c r="I11" s="67" t="s">
        <v>42</v>
      </c>
      <c r="J11" s="68">
        <v>2.2047</v>
      </c>
      <c r="K11" s="68">
        <v>2.2044</v>
      </c>
      <c r="L11" s="68">
        <v>2.2097</v>
      </c>
      <c r="M11" s="68">
        <v>2.2102</v>
      </c>
      <c r="N11" s="68"/>
      <c r="O11" s="68">
        <v>2.2045</v>
      </c>
      <c r="P11" s="68">
        <v>2.2037</v>
      </c>
      <c r="Q11" s="68">
        <v>2.2033</v>
      </c>
      <c r="R11" s="68">
        <v>2.2032</v>
      </c>
      <c r="S11" s="68">
        <v>2.2038</v>
      </c>
      <c r="T11" s="68">
        <v>2.2051</v>
      </c>
      <c r="U11" s="68">
        <v>2.2039</v>
      </c>
      <c r="V11" s="68"/>
      <c r="W11" s="68">
        <v>2.2042</v>
      </c>
      <c r="X11" s="68">
        <v>2.2038</v>
      </c>
      <c r="Y11" s="68">
        <v>2.2023</v>
      </c>
      <c r="Z11" s="69" t="str">
        <f t="shared" ref="Z11:AO11" si="4">IF(J11="","",IF(J11&gt;($D11+$E11),(J11-$D11-$E11),IF(J11&lt;($D11+$F11),(J11-$D11-$F11),"√")))</f>
        <v>√</v>
      </c>
      <c r="AA11" s="69" t="str">
        <f t="shared" si="4"/>
        <v>√</v>
      </c>
      <c r="AB11" s="69" t="str">
        <f t="shared" si="4"/>
        <v>√</v>
      </c>
      <c r="AC11" s="69" t="str">
        <f t="shared" si="4"/>
        <v>√</v>
      </c>
      <c r="AD11" s="69" t="str">
        <f t="shared" si="4"/>
        <v/>
      </c>
      <c r="AE11" s="69" t="str">
        <f t="shared" si="4"/>
        <v>√</v>
      </c>
      <c r="AF11" s="69" t="str">
        <f t="shared" si="4"/>
        <v>√</v>
      </c>
      <c r="AG11" s="69" t="str">
        <f t="shared" si="4"/>
        <v>√</v>
      </c>
      <c r="AH11" s="69" t="str">
        <f t="shared" si="4"/>
        <v>√</v>
      </c>
      <c r="AI11" s="69" t="str">
        <f t="shared" si="4"/>
        <v>√</v>
      </c>
      <c r="AJ11" s="69" t="str">
        <f t="shared" si="4"/>
        <v>√</v>
      </c>
      <c r="AK11" s="69" t="str">
        <f t="shared" si="4"/>
        <v>√</v>
      </c>
      <c r="AL11" s="69" t="str">
        <f t="shared" si="4"/>
        <v/>
      </c>
      <c r="AM11" s="69" t="str">
        <f t="shared" si="4"/>
        <v>√</v>
      </c>
      <c r="AN11" s="69" t="str">
        <f t="shared" si="4"/>
        <v>√</v>
      </c>
      <c r="AO11" s="69" t="str">
        <f t="shared" si="4"/>
        <v>√</v>
      </c>
    </row>
    <row r="14" customHeight="1" spans="1:41">
      <c r="A14" s="40" t="s">
        <v>14</v>
      </c>
      <c r="B14" s="41" t="s">
        <v>15</v>
      </c>
      <c r="C14" s="42" t="s">
        <v>16</v>
      </c>
      <c r="D14" s="43" t="s">
        <v>17</v>
      </c>
      <c r="E14" s="44" t="s">
        <v>18</v>
      </c>
      <c r="F14" s="45" t="s">
        <v>19</v>
      </c>
      <c r="G14" s="45" t="s">
        <v>20</v>
      </c>
      <c r="H14" s="45" t="s">
        <v>21</v>
      </c>
      <c r="I14" s="46" t="s">
        <v>22</v>
      </c>
      <c r="J14" s="47" t="s">
        <v>23</v>
      </c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9"/>
      <c r="Z14" s="50" t="s">
        <v>24</v>
      </c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2"/>
    </row>
    <row r="15" ht="13.5" customHeight="1" spans="1:41">
      <c r="A15" s="53"/>
      <c r="B15" s="54"/>
      <c r="C15" s="55"/>
      <c r="D15" s="43"/>
      <c r="E15" s="44"/>
      <c r="F15" s="45"/>
      <c r="G15" s="45"/>
      <c r="H15" s="45"/>
      <c r="I15" s="43"/>
      <c r="J15" s="56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8"/>
      <c r="Z15" s="50"/>
      <c r="AA15" s="52"/>
      <c r="AB15" s="50"/>
      <c r="AC15" s="52"/>
      <c r="AD15" s="50"/>
      <c r="AE15" s="52"/>
      <c r="AF15" s="50"/>
      <c r="AG15" s="52"/>
      <c r="AH15" s="59"/>
      <c r="AI15" s="59"/>
      <c r="AJ15" s="59"/>
      <c r="AK15" s="59"/>
      <c r="AL15" s="59"/>
      <c r="AM15" s="59"/>
      <c r="AN15" s="59"/>
      <c r="AO15" s="59"/>
    </row>
    <row r="16" customHeight="1" spans="1:41">
      <c r="A16" s="53"/>
      <c r="B16" s="54"/>
      <c r="C16" s="60"/>
      <c r="D16" s="43"/>
      <c r="E16" s="44"/>
      <c r="F16" s="45"/>
      <c r="G16" s="45"/>
      <c r="H16" s="45"/>
      <c r="I16" s="43"/>
      <c r="J16" s="62" t="s">
        <v>49</v>
      </c>
      <c r="K16" s="61" t="s">
        <v>26</v>
      </c>
      <c r="L16" s="61" t="s">
        <v>27</v>
      </c>
      <c r="M16" s="61" t="s">
        <v>28</v>
      </c>
      <c r="N16" s="62" t="s">
        <v>29</v>
      </c>
      <c r="O16" s="61" t="s">
        <v>30</v>
      </c>
      <c r="P16" s="61" t="s">
        <v>31</v>
      </c>
      <c r="Q16" s="61" t="s">
        <v>32</v>
      </c>
      <c r="R16" s="61" t="s">
        <v>33</v>
      </c>
      <c r="S16" s="61" t="s">
        <v>34</v>
      </c>
      <c r="T16" s="61" t="s">
        <v>35</v>
      </c>
      <c r="U16" s="61" t="s">
        <v>36</v>
      </c>
      <c r="V16" s="62" t="s">
        <v>29</v>
      </c>
      <c r="W16" s="61" t="s">
        <v>37</v>
      </c>
      <c r="X16" s="61" t="s">
        <v>38</v>
      </c>
      <c r="Y16" s="61" t="s">
        <v>39</v>
      </c>
      <c r="Z16" s="63">
        <v>1</v>
      </c>
      <c r="AA16" s="63">
        <v>2</v>
      </c>
      <c r="AB16" s="63">
        <v>3</v>
      </c>
      <c r="AC16" s="63">
        <v>4</v>
      </c>
      <c r="AD16" s="63">
        <v>5</v>
      </c>
      <c r="AE16" s="63">
        <v>6</v>
      </c>
      <c r="AF16" s="63">
        <v>7</v>
      </c>
      <c r="AG16" s="63">
        <v>8</v>
      </c>
      <c r="AH16" s="63">
        <v>9</v>
      </c>
      <c r="AI16" s="63">
        <v>10</v>
      </c>
      <c r="AJ16" s="63">
        <v>11</v>
      </c>
      <c r="AK16" s="63">
        <v>12</v>
      </c>
      <c r="AL16" s="63">
        <v>13</v>
      </c>
      <c r="AM16" s="63">
        <v>14</v>
      </c>
      <c r="AN16" s="63">
        <v>15</v>
      </c>
      <c r="AO16" s="63">
        <v>16</v>
      </c>
    </row>
    <row r="17" customHeight="1" spans="1:41">
      <c r="A17" s="64" t="s">
        <v>40</v>
      </c>
      <c r="B17" s="65" t="s">
        <v>41</v>
      </c>
      <c r="C17" s="65"/>
      <c r="D17" s="66">
        <v>6.3</v>
      </c>
      <c r="E17" s="66">
        <v>0.015</v>
      </c>
      <c r="F17" s="66">
        <v>-0.015</v>
      </c>
      <c r="G17" s="66">
        <f t="shared" ref="G17:G21" si="5">D17+E17</f>
        <v>6.315</v>
      </c>
      <c r="H17" s="66">
        <f t="shared" ref="H17:H21" si="6">D17+F17</f>
        <v>6.285</v>
      </c>
      <c r="I17" s="67" t="s">
        <v>42</v>
      </c>
      <c r="J17" s="68">
        <v>6.2752</v>
      </c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9">
        <f t="shared" ref="Z17:AC17" si="7">IF(J17="","",IF(J17&gt;($D17+$E17),(J17-$D17-$E17),IF(J17&lt;($D17+$F17),(J17-$D17-$F17),"√")))</f>
        <v>-0.00979999999999993</v>
      </c>
      <c r="AA17" s="69" t="str">
        <f t="shared" si="7"/>
        <v/>
      </c>
      <c r="AB17" s="69" t="str">
        <f t="shared" si="7"/>
        <v/>
      </c>
      <c r="AC17" s="69" t="str">
        <f t="shared" si="7"/>
        <v/>
      </c>
      <c r="AD17" s="69" t="str">
        <f t="shared" ref="AD17:AN17" si="8">IF(O17="","",IF(O17&gt;($D17+$E17),(O17-$D17-$E17),IF(O17&lt;($D17+$F17),(O17-$D17-$F17),"√")))</f>
        <v/>
      </c>
      <c r="AE17" s="69" t="str">
        <f t="shared" si="8"/>
        <v/>
      </c>
      <c r="AF17" s="69" t="str">
        <f t="shared" si="8"/>
        <v/>
      </c>
      <c r="AG17" s="69" t="str">
        <f t="shared" si="8"/>
        <v/>
      </c>
      <c r="AH17" s="69" t="str">
        <f t="shared" si="8"/>
        <v/>
      </c>
      <c r="AI17" s="69" t="str">
        <f t="shared" si="8"/>
        <v/>
      </c>
      <c r="AJ17" s="69" t="str">
        <f t="shared" si="8"/>
        <v/>
      </c>
      <c r="AK17" s="69" t="str">
        <f t="shared" si="8"/>
        <v/>
      </c>
      <c r="AL17" s="69" t="str">
        <f t="shared" si="8"/>
        <v/>
      </c>
      <c r="AM17" s="69" t="str">
        <f t="shared" si="8"/>
        <v/>
      </c>
      <c r="AN17" s="69" t="str">
        <f t="shared" si="8"/>
        <v/>
      </c>
      <c r="AO17" s="69" t="str">
        <f t="shared" ref="AO17:AO21" si="9">IF(Y17="","",IF(Y17&gt;($D17+$E17),(Y17-$D17-$E17),IF(Y17&lt;($D17+$F17),(Y17-$D17-$F17),"√")))</f>
        <v/>
      </c>
    </row>
    <row r="18" customHeight="1" spans="1:41">
      <c r="A18" s="64"/>
      <c r="B18" s="65" t="s">
        <v>43</v>
      </c>
      <c r="C18" s="65" t="s">
        <v>44</v>
      </c>
      <c r="D18" s="66">
        <v>1.46</v>
      </c>
      <c r="E18" s="66">
        <v>0.01</v>
      </c>
      <c r="F18" s="66">
        <v>-0.01</v>
      </c>
      <c r="G18" s="66">
        <f t="shared" si="5"/>
        <v>1.47</v>
      </c>
      <c r="H18" s="66">
        <f t="shared" si="6"/>
        <v>1.45</v>
      </c>
      <c r="I18" s="67" t="s">
        <v>42</v>
      </c>
      <c r="J18" s="68">
        <v>1.4603</v>
      </c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9" t="str">
        <f t="shared" ref="Z18:AC18" si="10">IF(J18="","",IF(J18&gt;($D18+$E18),(J18-$D18-$E18),IF(J18&lt;($D18+$F18),(J18-$D18-$F18),"√")))</f>
        <v>√</v>
      </c>
      <c r="AA18" s="69" t="str">
        <f t="shared" si="10"/>
        <v/>
      </c>
      <c r="AB18" s="69" t="str">
        <f t="shared" si="10"/>
        <v/>
      </c>
      <c r="AC18" s="69" t="str">
        <f t="shared" si="10"/>
        <v/>
      </c>
      <c r="AD18" s="69" t="str">
        <f t="shared" ref="AD18:AN18" si="11">IF(O18="","",IF(O18&gt;($D18+$E18),(O18-$D18-$E18),IF(O18&lt;($D18+$F18),(O18-$D18-$F18),"√")))</f>
        <v/>
      </c>
      <c r="AE18" s="69" t="str">
        <f t="shared" si="11"/>
        <v/>
      </c>
      <c r="AF18" s="69" t="str">
        <f t="shared" si="11"/>
        <v/>
      </c>
      <c r="AG18" s="69" t="str">
        <f t="shared" si="11"/>
        <v/>
      </c>
      <c r="AH18" s="69" t="str">
        <f t="shared" si="11"/>
        <v/>
      </c>
      <c r="AI18" s="69" t="str">
        <f t="shared" si="11"/>
        <v/>
      </c>
      <c r="AJ18" s="69" t="str">
        <f t="shared" si="11"/>
        <v/>
      </c>
      <c r="AK18" s="69" t="str">
        <f t="shared" si="11"/>
        <v/>
      </c>
      <c r="AL18" s="69" t="str">
        <f t="shared" si="11"/>
        <v/>
      </c>
      <c r="AM18" s="69" t="str">
        <f t="shared" si="11"/>
        <v/>
      </c>
      <c r="AN18" s="69" t="str">
        <f t="shared" si="11"/>
        <v/>
      </c>
      <c r="AO18" s="69" t="str">
        <f t="shared" si="9"/>
        <v/>
      </c>
    </row>
    <row r="19" customHeight="1" spans="1:41">
      <c r="A19" s="64"/>
      <c r="B19" s="65" t="s">
        <v>45</v>
      </c>
      <c r="C19" s="65" t="s">
        <v>44</v>
      </c>
      <c r="D19" s="66">
        <v>1.46</v>
      </c>
      <c r="E19" s="66">
        <v>0.01</v>
      </c>
      <c r="F19" s="66">
        <v>-0.01</v>
      </c>
      <c r="G19" s="66">
        <f t="shared" si="5"/>
        <v>1.47</v>
      </c>
      <c r="H19" s="66">
        <f t="shared" si="6"/>
        <v>1.45</v>
      </c>
      <c r="I19" s="67" t="s">
        <v>42</v>
      </c>
      <c r="J19" s="68">
        <v>1.4605</v>
      </c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9" t="str">
        <f t="shared" ref="Z19:AC19" si="12">IF(J19="","",IF(J19&gt;($D19+$E19),(J19-$D19-$E19),IF(J19&lt;($D19+$F19),(J19-$D19-$F19),"√")))</f>
        <v>√</v>
      </c>
      <c r="AA19" s="69" t="str">
        <f t="shared" si="12"/>
        <v/>
      </c>
      <c r="AB19" s="69" t="str">
        <f t="shared" si="12"/>
        <v/>
      </c>
      <c r="AC19" s="69" t="str">
        <f t="shared" si="12"/>
        <v/>
      </c>
      <c r="AD19" s="69" t="str">
        <f t="shared" ref="AD19:AN19" si="13">IF(O19="","",IF(O19&gt;($D19+$E19),(O19-$D19-$E19),IF(O19&lt;($D19+$F19),(O19-$D19-$F19),"√")))</f>
        <v/>
      </c>
      <c r="AE19" s="69" t="str">
        <f t="shared" si="13"/>
        <v/>
      </c>
      <c r="AF19" s="69" t="str">
        <f t="shared" si="13"/>
        <v/>
      </c>
      <c r="AG19" s="69" t="str">
        <f t="shared" si="13"/>
        <v/>
      </c>
      <c r="AH19" s="69" t="str">
        <f t="shared" si="13"/>
        <v/>
      </c>
      <c r="AI19" s="69" t="str">
        <f t="shared" si="13"/>
        <v/>
      </c>
      <c r="AJ19" s="69" t="str">
        <f t="shared" si="13"/>
        <v/>
      </c>
      <c r="AK19" s="69" t="str">
        <f t="shared" si="13"/>
        <v/>
      </c>
      <c r="AL19" s="69" t="str">
        <f t="shared" si="13"/>
        <v/>
      </c>
      <c r="AM19" s="69" t="str">
        <f t="shared" si="13"/>
        <v/>
      </c>
      <c r="AN19" s="69" t="str">
        <f t="shared" si="13"/>
        <v/>
      </c>
      <c r="AO19" s="69" t="str">
        <f t="shared" si="9"/>
        <v/>
      </c>
    </row>
    <row r="20" customHeight="1" spans="1:41">
      <c r="A20" s="64"/>
      <c r="B20" s="65" t="s">
        <v>46</v>
      </c>
      <c r="C20" s="65"/>
      <c r="D20" s="66">
        <v>1.52</v>
      </c>
      <c r="E20" s="66">
        <v>0.03</v>
      </c>
      <c r="F20" s="66">
        <v>-0.03</v>
      </c>
      <c r="G20" s="66">
        <f t="shared" si="5"/>
        <v>1.55</v>
      </c>
      <c r="H20" s="66">
        <f t="shared" si="6"/>
        <v>1.49</v>
      </c>
      <c r="I20" s="67" t="s">
        <v>42</v>
      </c>
      <c r="J20" s="68">
        <v>1.5096</v>
      </c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9" t="str">
        <f t="shared" ref="Z20:AN20" si="14">IF(J20="","",IF(J20&gt;($D20+$E20),(J20-$D20-$E20),IF(J20&lt;($D20+$F20),(J20-$D20-$F20),"√")))</f>
        <v>√</v>
      </c>
      <c r="AA20" s="69" t="str">
        <f t="shared" si="14"/>
        <v/>
      </c>
      <c r="AB20" s="69" t="str">
        <f t="shared" si="14"/>
        <v/>
      </c>
      <c r="AC20" s="69" t="str">
        <f t="shared" si="14"/>
        <v/>
      </c>
      <c r="AD20" s="69" t="str">
        <f t="shared" si="14"/>
        <v/>
      </c>
      <c r="AE20" s="69" t="str">
        <f t="shared" si="14"/>
        <v/>
      </c>
      <c r="AF20" s="69" t="str">
        <f t="shared" si="14"/>
        <v/>
      </c>
      <c r="AG20" s="69" t="str">
        <f t="shared" si="14"/>
        <v/>
      </c>
      <c r="AH20" s="69" t="str">
        <f t="shared" si="14"/>
        <v/>
      </c>
      <c r="AI20" s="69" t="str">
        <f t="shared" si="14"/>
        <v/>
      </c>
      <c r="AJ20" s="69" t="str">
        <f t="shared" si="14"/>
        <v/>
      </c>
      <c r="AK20" s="69" t="str">
        <f t="shared" si="14"/>
        <v/>
      </c>
      <c r="AL20" s="69" t="str">
        <f t="shared" si="14"/>
        <v/>
      </c>
      <c r="AM20" s="69" t="str">
        <f t="shared" si="14"/>
        <v/>
      </c>
      <c r="AN20" s="69" t="str">
        <f t="shared" si="14"/>
        <v/>
      </c>
      <c r="AO20" s="69" t="str">
        <f t="shared" si="9"/>
        <v/>
      </c>
    </row>
    <row r="21" customHeight="1" spans="1:41">
      <c r="A21" s="64"/>
      <c r="B21" s="65" t="s">
        <v>47</v>
      </c>
      <c r="C21" s="65" t="s">
        <v>48</v>
      </c>
      <c r="D21" s="66">
        <v>2.21</v>
      </c>
      <c r="E21" s="66">
        <v>0.01</v>
      </c>
      <c r="F21" s="66">
        <v>-0.01</v>
      </c>
      <c r="G21" s="66">
        <f t="shared" si="5"/>
        <v>2.22</v>
      </c>
      <c r="H21" s="66">
        <f t="shared" si="6"/>
        <v>2.2</v>
      </c>
      <c r="I21" s="67" t="s">
        <v>42</v>
      </c>
      <c r="J21" s="68">
        <v>2.2076</v>
      </c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9" t="str">
        <f t="shared" ref="Z21:AN21" si="15">IF(J21="","",IF(J21&gt;($D21+$E21),(J21-$D21-$E21),IF(J21&lt;($D21+$F21),(J21-$D21-$F21),"√")))</f>
        <v>√</v>
      </c>
      <c r="AA21" s="69" t="str">
        <f t="shared" si="15"/>
        <v/>
      </c>
      <c r="AB21" s="69" t="str">
        <f t="shared" si="15"/>
        <v/>
      </c>
      <c r="AC21" s="69" t="str">
        <f t="shared" si="15"/>
        <v/>
      </c>
      <c r="AD21" s="69" t="str">
        <f t="shared" si="15"/>
        <v/>
      </c>
      <c r="AE21" s="69" t="str">
        <f t="shared" si="15"/>
        <v/>
      </c>
      <c r="AF21" s="69" t="str">
        <f t="shared" si="15"/>
        <v/>
      </c>
      <c r="AG21" s="69" t="str">
        <f t="shared" si="15"/>
        <v/>
      </c>
      <c r="AH21" s="69" t="str">
        <f t="shared" si="15"/>
        <v/>
      </c>
      <c r="AI21" s="69" t="str">
        <f t="shared" si="15"/>
        <v/>
      </c>
      <c r="AJ21" s="69" t="str">
        <f t="shared" si="15"/>
        <v/>
      </c>
      <c r="AK21" s="69" t="str">
        <f t="shared" si="15"/>
        <v/>
      </c>
      <c r="AL21" s="69" t="str">
        <f t="shared" si="15"/>
        <v/>
      </c>
      <c r="AM21" s="69" t="str">
        <f t="shared" si="15"/>
        <v/>
      </c>
      <c r="AN21" s="69" t="str">
        <f t="shared" si="15"/>
        <v/>
      </c>
      <c r="AO21" s="69" t="str">
        <f t="shared" si="9"/>
        <v/>
      </c>
    </row>
  </sheetData>
  <mergeCells count="47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Z4:AO4"/>
    <mergeCell ref="Z5:AA5"/>
    <mergeCell ref="AB5:AC5"/>
    <mergeCell ref="AD5:AE5"/>
    <mergeCell ref="AF5:AG5"/>
    <mergeCell ref="Z14:AO14"/>
    <mergeCell ref="Z15:AA15"/>
    <mergeCell ref="AB15:AC15"/>
    <mergeCell ref="AD15:AE15"/>
    <mergeCell ref="AF15:AG15"/>
    <mergeCell ref="A2:A3"/>
    <mergeCell ref="A4:A6"/>
    <mergeCell ref="A7:A11"/>
    <mergeCell ref="A14:A16"/>
    <mergeCell ref="A17:A21"/>
    <mergeCell ref="B4:B6"/>
    <mergeCell ref="B14:B16"/>
    <mergeCell ref="C4:C6"/>
    <mergeCell ref="C14:C16"/>
    <mergeCell ref="D4:D6"/>
    <mergeCell ref="D14:D16"/>
    <mergeCell ref="E4:E6"/>
    <mergeCell ref="E14:E16"/>
    <mergeCell ref="F4:F6"/>
    <mergeCell ref="F14:F16"/>
    <mergeCell ref="G4:G6"/>
    <mergeCell ref="G14:G16"/>
    <mergeCell ref="H4:H6"/>
    <mergeCell ref="H14:H16"/>
    <mergeCell ref="I4:I6"/>
    <mergeCell ref="I14:I16"/>
    <mergeCell ref="J4:Y5"/>
    <mergeCell ref="B2:G3"/>
    <mergeCell ref="H2:K3"/>
    <mergeCell ref="L2:R3"/>
    <mergeCell ref="J14:Y15"/>
  </mergeCells>
  <conditionalFormatting sqref="N7">
    <cfRule type="cellIs" dxfId="0" priority="22" stopIfTrue="1" operator="notBetween">
      <formula>$G7</formula>
      <formula>$H7</formula>
    </cfRule>
  </conditionalFormatting>
  <conditionalFormatting sqref="X7">
    <cfRule type="cellIs" dxfId="0" priority="24" stopIfTrue="1" operator="notBetween">
      <formula>$G7</formula>
      <formula>$H7</formula>
    </cfRule>
  </conditionalFormatting>
  <conditionalFormatting sqref="J17">
    <cfRule type="cellIs" dxfId="0" priority="3" stopIfTrue="1" operator="notBetween">
      <formula>$G17</formula>
      <formula>$H17</formula>
    </cfRule>
  </conditionalFormatting>
  <conditionalFormatting sqref="N17">
    <cfRule type="cellIs" dxfId="0" priority="5" stopIfTrue="1" operator="notBetween">
      <formula>$G17</formula>
      <formula>$H17</formula>
    </cfRule>
  </conditionalFormatting>
  <conditionalFormatting sqref="X17">
    <cfRule type="cellIs" dxfId="0" priority="7" stopIfTrue="1" operator="notBetween">
      <formula>$G17</formula>
      <formula>$H17</formula>
    </cfRule>
  </conditionalFormatting>
  <conditionalFormatting sqref="J18:J19">
    <cfRule type="cellIs" dxfId="0" priority="1" stopIfTrue="1" operator="notBetween">
      <formula>$G18</formula>
      <formula>$H18</formula>
    </cfRule>
  </conditionalFormatting>
  <conditionalFormatting sqref="J20:J21">
    <cfRule type="cellIs" dxfId="0" priority="2" stopIfTrue="1" operator="notBetween">
      <formula>$G20</formula>
      <formula>$H20</formula>
    </cfRule>
  </conditionalFormatting>
  <conditionalFormatting sqref="N8:N9">
    <cfRule type="cellIs" dxfId="0" priority="21" stopIfTrue="1" operator="notBetween">
      <formula>$G8</formula>
      <formula>$H8</formula>
    </cfRule>
  </conditionalFormatting>
  <conditionalFormatting sqref="N18:N19">
    <cfRule type="cellIs" dxfId="0" priority="4" stopIfTrue="1" operator="notBetween">
      <formula>$G18</formula>
      <formula>$H18</formula>
    </cfRule>
  </conditionalFormatting>
  <conditionalFormatting sqref="Q10:Q11">
    <cfRule type="cellIs" dxfId="0" priority="70" stopIfTrue="1" operator="notBetween">
      <formula>$G10</formula>
      <formula>$H10</formula>
    </cfRule>
  </conditionalFormatting>
  <conditionalFormatting sqref="Q20:Q21">
    <cfRule type="cellIs" dxfId="0" priority="17" stopIfTrue="1" operator="notBetween">
      <formula>$G20</formula>
      <formula>$H20</formula>
    </cfRule>
  </conditionalFormatting>
  <conditionalFormatting sqref="R10:R11">
    <cfRule type="cellIs" dxfId="0" priority="69" stopIfTrue="1" operator="notBetween">
      <formula>$G10</formula>
      <formula>$H10</formula>
    </cfRule>
  </conditionalFormatting>
  <conditionalFormatting sqref="R20:R21">
    <cfRule type="cellIs" dxfId="0" priority="16" stopIfTrue="1" operator="notBetween">
      <formula>$G20</formula>
      <formula>$H20</formula>
    </cfRule>
  </conditionalFormatting>
  <conditionalFormatting sqref="S10:S11">
    <cfRule type="cellIs" dxfId="0" priority="68" stopIfTrue="1" operator="notBetween">
      <formula>$G10</formula>
      <formula>$H10</formula>
    </cfRule>
  </conditionalFormatting>
  <conditionalFormatting sqref="S20:S21">
    <cfRule type="cellIs" dxfId="0" priority="15" stopIfTrue="1" operator="notBetween">
      <formula>$G20</formula>
      <formula>$H20</formula>
    </cfRule>
  </conditionalFormatting>
  <conditionalFormatting sqref="T10:T11">
    <cfRule type="cellIs" dxfId="0" priority="67" stopIfTrue="1" operator="notBetween">
      <formula>$G10</formula>
      <formula>$H10</formula>
    </cfRule>
  </conditionalFormatting>
  <conditionalFormatting sqref="T20:T21">
    <cfRule type="cellIs" dxfId="0" priority="14" stopIfTrue="1" operator="notBetween">
      <formula>$G20</formula>
      <formula>$H20</formula>
    </cfRule>
  </conditionalFormatting>
  <conditionalFormatting sqref="U10:U11">
    <cfRule type="cellIs" dxfId="0" priority="66" stopIfTrue="1" operator="notBetween">
      <formula>$G10</formula>
      <formula>$H10</formula>
    </cfRule>
  </conditionalFormatting>
  <conditionalFormatting sqref="U20:U21">
    <cfRule type="cellIs" dxfId="0" priority="13" stopIfTrue="1" operator="notBetween">
      <formula>$G20</formula>
      <formula>$H20</formula>
    </cfRule>
  </conditionalFormatting>
  <conditionalFormatting sqref="V10:V11">
    <cfRule type="cellIs" dxfId="0" priority="65" stopIfTrue="1" operator="notBetween">
      <formula>$G10</formula>
      <formula>$H10</formula>
    </cfRule>
  </conditionalFormatting>
  <conditionalFormatting sqref="V20:V21">
    <cfRule type="cellIs" dxfId="0" priority="12" stopIfTrue="1" operator="notBetween">
      <formula>$G20</formula>
      <formula>$H20</formula>
    </cfRule>
  </conditionalFormatting>
  <conditionalFormatting sqref="W10:W11">
    <cfRule type="cellIs" dxfId="0" priority="64" stopIfTrue="1" operator="notBetween">
      <formula>$G10</formula>
      <formula>$H10</formula>
    </cfRule>
  </conditionalFormatting>
  <conditionalFormatting sqref="W20:W21">
    <cfRule type="cellIs" dxfId="0" priority="11" stopIfTrue="1" operator="notBetween">
      <formula>$G20</formula>
      <formula>$H20</formula>
    </cfRule>
  </conditionalFormatting>
  <conditionalFormatting sqref="X8:X9">
    <cfRule type="cellIs" dxfId="0" priority="23" stopIfTrue="1" operator="notBetween">
      <formula>$G8</formula>
      <formula>$H8</formula>
    </cfRule>
  </conditionalFormatting>
  <conditionalFormatting sqref="X10:X11">
    <cfRule type="cellIs" dxfId="0" priority="63" stopIfTrue="1" operator="notBetween">
      <formula>$G10</formula>
      <formula>$H10</formula>
    </cfRule>
  </conditionalFormatting>
  <conditionalFormatting sqref="X18:X19">
    <cfRule type="cellIs" dxfId="0" priority="6" stopIfTrue="1" operator="notBetween">
      <formula>$G18</formula>
      <formula>$H18</formula>
    </cfRule>
  </conditionalFormatting>
  <conditionalFormatting sqref="X20:X21">
    <cfRule type="cellIs" dxfId="0" priority="10" stopIfTrue="1" operator="notBetween">
      <formula>$G20</formula>
      <formula>$H20</formula>
    </cfRule>
  </conditionalFormatting>
  <conditionalFormatting sqref="Y10:Y11">
    <cfRule type="cellIs" dxfId="0" priority="62" stopIfTrue="1" operator="notBetween">
      <formula>$G10</formula>
      <formula>$H10</formula>
    </cfRule>
  </conditionalFormatting>
  <conditionalFormatting sqref="Y20:Y21">
    <cfRule type="cellIs" dxfId="0" priority="9" stopIfTrue="1" operator="notBetween">
      <formula>$G20</formula>
      <formula>$H20</formula>
    </cfRule>
  </conditionalFormatting>
  <conditionalFormatting sqref="J7:M7 O7:W7 Y7">
    <cfRule type="cellIs" dxfId="0" priority="98" stopIfTrue="1" operator="notBetween">
      <formula>$G7</formula>
      <formula>$H7</formula>
    </cfRule>
  </conditionalFormatting>
  <conditionalFormatting sqref="J8:M9 O8:W9 Y8:Y9">
    <cfRule type="cellIs" dxfId="0" priority="25" stopIfTrue="1" operator="notBetween">
      <formula>$G8</formula>
      <formula>$H8</formula>
    </cfRule>
  </conditionalFormatting>
  <conditionalFormatting sqref="J10:M11">
    <cfRule type="cellIs" dxfId="0" priority="72" stopIfTrue="1" operator="notBetween">
      <formula>$G10</formula>
      <formula>$H10</formula>
    </cfRule>
  </conditionalFormatting>
  <conditionalFormatting sqref="N10:P11">
    <cfRule type="cellIs" dxfId="0" priority="71" stopIfTrue="1" operator="notBetween">
      <formula>$G10</formula>
      <formula>$H10</formula>
    </cfRule>
  </conditionalFormatting>
  <conditionalFormatting sqref="K17:M17 O17:W17 Y17">
    <cfRule type="cellIs" dxfId="0" priority="20" stopIfTrue="1" operator="notBetween">
      <formula>$G17</formula>
      <formula>$H17</formula>
    </cfRule>
  </conditionalFormatting>
  <conditionalFormatting sqref="K18:M19 O18:W19 Y18:Y19">
    <cfRule type="cellIs" dxfId="0" priority="8" stopIfTrue="1" operator="notBetween">
      <formula>$G18</formula>
      <formula>$H18</formula>
    </cfRule>
  </conditionalFormatting>
  <conditionalFormatting sqref="K20:M21">
    <cfRule type="cellIs" dxfId="0" priority="19" stopIfTrue="1" operator="notBetween">
      <formula>$G20</formula>
      <formula>$H20</formula>
    </cfRule>
  </conditionalFormatting>
  <conditionalFormatting sqref="N20:P21">
    <cfRule type="cellIs" dxfId="0" priority="18" stopIfTrue="1" operator="notBetween">
      <formula>$G20</formula>
      <formula>$H20</formula>
    </cfRule>
  </conditionalFormatting>
  <printOptions horizontalCentered="1"/>
  <pageMargins left="0.159027777777778" right="0" top="0.388888888888889" bottom="0.2" header="0" footer="0.11875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806-64112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2026-06-22T19:24:21Z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E10E438A818A45FB890ACE2E1D1FE2D7_13</vt:lpwstr>
  </property>
  <property fmtid="{D5CDD505-2E9C-101B-9397-08002B2CF9AE}" pid="4" name="CalculationRule">
    <vt:i4>0</vt:i4>
  </property>
</Properties>
</file>