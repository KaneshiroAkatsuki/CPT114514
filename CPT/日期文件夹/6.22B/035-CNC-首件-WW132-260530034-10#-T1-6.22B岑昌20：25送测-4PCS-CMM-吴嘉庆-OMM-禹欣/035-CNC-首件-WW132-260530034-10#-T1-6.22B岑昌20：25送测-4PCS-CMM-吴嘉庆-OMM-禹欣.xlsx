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<sst xmlns="http://schemas.openxmlformats.org/spreadsheetml/2006/main" count="63" uniqueCount="46">
  <si>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</si>
  <si>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</si>
  <si>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</si>
  <si>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</si>
  <si>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WW132-260530034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</si>
  <si>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</si>
  <si>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</si>
  <si>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</si>
  <si>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</si>
  <si>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</si>
  <si>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</si>
  <si>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</si>
  <si>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</si>
  <si>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吴嘉庆/禹欣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</si>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</sst>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1" fillId="4" borderId="1" xfId="59" applyFont="1" applyFill="1" applyBorder="1" applyAlignment="1">
      <alignment horizontal="center" vertical="center"/>
    </xf>
    <xf numFmtId="178" fontId="12" fillId="0" borderId="11" xfId="73" applyNumberFormat="1" applyFont="1" applyBorder="1" applyAlignment="1" applyProtection="1">
      <alignment horizontal="center" vertical="center"/>
      <protection hidden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8" fontId="12" fillId="0" borderId="1" xfId="73" applyNumberFormat="1" applyFont="1" applyBorder="1" applyAlignment="1" applyProtection="1">
      <alignment horizontal="center" vertical="center"/>
      <protection hidden="1"/>
    </xf>
    <xf numFmtId="177" fontId="11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workbookViewId="0">
      <selection activeCell="I7" sqref="I7:L9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1">
        <f t="shared" ref="Y6:AN6" si="0">I6</f>
        <v>1</v>
      </c>
      <c r="Z6" s="41">
        <f t="shared" si="0"/>
        <v>2</v>
      </c>
      <c r="AA6" s="41">
        <f t="shared" si="0"/>
        <v>3</v>
      </c>
      <c r="AB6" s="41">
        <f t="shared" si="0"/>
        <v>4</v>
      </c>
      <c r="AC6" s="41">
        <f t="shared" si="0"/>
        <v>5</v>
      </c>
      <c r="AD6" s="41">
        <f t="shared" si="0"/>
        <v>6</v>
      </c>
      <c r="AE6" s="41">
        <f t="shared" si="0"/>
        <v>7</v>
      </c>
      <c r="AF6" s="41">
        <f t="shared" si="0"/>
        <v>8</v>
      </c>
      <c r="AG6" s="41">
        <f t="shared" si="0"/>
        <v>9</v>
      </c>
      <c r="AH6" s="41">
        <f t="shared" si="0"/>
        <v>10</v>
      </c>
      <c r="AI6" s="41">
        <f t="shared" si="0"/>
        <v>11</v>
      </c>
      <c r="AJ6" s="41">
        <f t="shared" si="0"/>
        <v>12</v>
      </c>
      <c r="AK6" s="41">
        <f t="shared" si="0"/>
        <v>13</v>
      </c>
      <c r="AL6" s="41">
        <f t="shared" si="0"/>
        <v>14</v>
      </c>
      <c r="AM6" s="41">
        <f t="shared" si="0"/>
        <v>15</v>
      </c>
      <c r="AN6" s="41">
        <f t="shared" si="0"/>
        <v>16</v>
      </c>
    </row>
    <row r="7" spans="1:40">
      <c r="A7" s="42">
        <v>46195</v>
      </c>
      <c r="B7" s="43" t="s">
        <v>27</v>
      </c>
      <c r="C7" s="43">
        <v>0</v>
      </c>
      <c r="D7" s="43">
        <v>0.1</v>
      </c>
      <c r="E7" s="43">
        <v>0</v>
      </c>
      <c r="F7" s="44">
        <f>C7+D7</f>
        <v>0.1</v>
      </c>
      <c r="G7" s="44">
        <f>C7+E7</f>
        <v>0</v>
      </c>
      <c r="H7" s="45" t="s">
        <v>28</v>
      </c>
      <c r="I7" s="46">
        <v>0.0407</v>
      </c>
      <c r="J7" s="46">
        <v>0.0616</v>
      </c>
      <c r="K7" s="46">
        <v>0.0449</v>
      </c>
      <c r="L7" s="46">
        <v>0.0581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 t="str">
        <f t="shared" ref="Y7:AF7" si="1">IF(I7="","",IF(I7&gt;($C7+$D7),(I7-$C7-$D7),IF(I7&lt;($C7+$E7),(I7-$C7-$E7),"√")))</f>
        <v>√</v>
      </c>
      <c r="Z7" s="47" t="str">
        <f t="shared" si="1"/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3"/>
      <c r="B8" s="43" t="s">
        <v>29</v>
      </c>
      <c r="C8" s="43"/>
      <c r="D8" s="43"/>
      <c r="E8" s="43"/>
      <c r="F8" s="44">
        <f>C8+D8</f>
        <v>0</v>
      </c>
      <c r="G8" s="44">
        <f>C8+E8</f>
        <v>0</v>
      </c>
      <c r="H8" s="45" t="s">
        <v>28</v>
      </c>
      <c r="I8" s="46">
        <v>-0.0201</v>
      </c>
      <c r="J8" s="46">
        <v>-0.0071</v>
      </c>
      <c r="K8" s="46">
        <v>-0.022</v>
      </c>
      <c r="L8" s="46">
        <v>0.0168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3"/>
      <c r="B9" s="43" t="s">
        <v>30</v>
      </c>
      <c r="C9" s="43"/>
      <c r="D9" s="43"/>
      <c r="E9" s="43"/>
      <c r="F9" s="44">
        <f>C9+D9</f>
        <v>0</v>
      </c>
      <c r="G9" s="44">
        <f>C9+E9</f>
        <v>0</v>
      </c>
      <c r="H9" s="45" t="s">
        <v>28</v>
      </c>
      <c r="I9" s="46">
        <v>-0.0031</v>
      </c>
      <c r="J9" s="46">
        <v>-0.03</v>
      </c>
      <c r="K9" s="46">
        <v>-0.0047</v>
      </c>
      <c r="L9" s="46">
        <v>0.0237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3"/>
      <c r="B10" s="43" t="s">
        <v>31</v>
      </c>
      <c r="C10" s="43">
        <v>0</v>
      </c>
      <c r="D10" s="43">
        <v>0.2</v>
      </c>
      <c r="E10" s="43">
        <v>0</v>
      </c>
      <c r="F10" s="44">
        <f>C10+D10</f>
        <v>0.2</v>
      </c>
      <c r="G10" s="44">
        <f>C10+E10</f>
        <v>0</v>
      </c>
      <c r="H10" s="45" t="s">
        <v>28</v>
      </c>
      <c r="I10" s="46">
        <v>0.1641</v>
      </c>
      <c r="J10" s="46">
        <v>0.1408</v>
      </c>
      <c r="K10" s="46">
        <v>0.123</v>
      </c>
      <c r="L10" s="46">
        <v>0.1983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3"/>
      <c r="B11" s="43" t="s">
        <v>32</v>
      </c>
      <c r="C11" s="43">
        <v>0</v>
      </c>
      <c r="D11" s="43">
        <v>0.1</v>
      </c>
      <c r="E11" s="43">
        <v>0</v>
      </c>
      <c r="F11" s="44">
        <f>C11+D11</f>
        <v>0.1</v>
      </c>
      <c r="G11" s="44">
        <f>C11+E11</f>
        <v>0</v>
      </c>
      <c r="H11" s="45" t="s">
        <v>28</v>
      </c>
      <c r="I11" s="46">
        <v>0.0142</v>
      </c>
      <c r="J11" s="46">
        <v>0.0107</v>
      </c>
      <c r="K11" s="46">
        <v>0.007</v>
      </c>
      <c r="L11" s="46">
        <v>0.0136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str">
        <f t="shared" ref="AC11:AN11" si="5">IF(M11="","",IF(M11&gt;($C11+$D11),(M11-$C11-$D11),IF(M11&lt;($C11+$E11),(M11-$C11-$E11),"√")))</f>
        <v/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3"/>
      <c r="B12" s="43" t="s">
        <v>33</v>
      </c>
      <c r="C12" s="48">
        <v>0.4</v>
      </c>
      <c r="D12" s="48">
        <v>0.1</v>
      </c>
      <c r="E12" s="49">
        <v>-0.1</v>
      </c>
      <c r="F12" s="44">
        <v>0.5</v>
      </c>
      <c r="G12" s="44">
        <v>0.3</v>
      </c>
      <c r="H12" s="45" t="s">
        <v>34</v>
      </c>
      <c r="I12" s="46">
        <v>0.3965</v>
      </c>
      <c r="J12" s="46">
        <v>0.4127</v>
      </c>
      <c r="K12" s="46">
        <v>0.404</v>
      </c>
      <c r="L12" s="46">
        <v>0.415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 t="str">
        <f>IF(I12="","",IF(I12&gt;($C12+$D12),(I12-$C12-$D12),IF(I12&lt;($C12+$E12),(I12-$C12-$E12),"√")))</f>
        <v>√</v>
      </c>
      <c r="Z12" s="47" t="str">
        <f>IF(J12="","",IF(J12&gt;($C12+$D12),(J12-$C12-$D12),IF(J12&lt;($C12+$E12),(J12-$C12-$E12),"√")))</f>
        <v>√</v>
      </c>
      <c r="AA12" s="47" t="str">
        <f>IF(K12="","",IF(K12&gt;($C12+$D12),(K12-$C12-$D12),IF(K12&lt;($C12+$E12),(K12-$C12-$E12),"√")))</f>
        <v>√</v>
      </c>
      <c r="AB12" s="47" t="str">
        <f>IF(L12="","",IF(L12&gt;($C12+$D12),(L12-$C12-$D12),IF(L12&lt;($C12+$E12),(L12-$C12-$E12),"√")))</f>
        <v>√</v>
      </c>
      <c r="AC12" s="47" t="str">
        <f>IF(M12="","",IF(M12&gt;($C12+$D12),(M12-$C12-$D12),IF(M12&lt;($C12+$E12),(M12-$C12-$E12),"√")))</f>
        <v/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3"/>
      <c r="B13" s="43" t="s">
        <v>35</v>
      </c>
      <c r="C13" s="48"/>
      <c r="D13" s="48"/>
      <c r="E13" s="49"/>
      <c r="F13" s="44"/>
      <c r="G13" s="44"/>
      <c r="H13" s="45" t="s">
        <v>34</v>
      </c>
      <c r="I13" s="46">
        <v>0.3907</v>
      </c>
      <c r="J13" s="46">
        <v>0.3996</v>
      </c>
      <c r="K13" s="46">
        <v>0.3932</v>
      </c>
      <c r="L13" s="46">
        <v>0.392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3"/>
      <c r="B14" s="43" t="s">
        <v>36</v>
      </c>
      <c r="C14" s="48"/>
      <c r="D14" s="48"/>
      <c r="E14" s="49"/>
      <c r="F14" s="44"/>
      <c r="G14" s="44"/>
      <c r="H14" s="45" t="s">
        <v>34</v>
      </c>
      <c r="I14" s="46">
        <v>0.3498</v>
      </c>
      <c r="J14" s="46">
        <v>0.4054</v>
      </c>
      <c r="K14" s="46">
        <v>0.3698</v>
      </c>
      <c r="L14" s="46">
        <v>0.4129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3"/>
      <c r="B15" s="43" t="s">
        <v>37</v>
      </c>
      <c r="C15" s="48"/>
      <c r="D15" s="48"/>
      <c r="E15" s="49"/>
      <c r="F15" s="44"/>
      <c r="G15" s="44"/>
      <c r="H15" s="45" t="s">
        <v>34</v>
      </c>
      <c r="I15" s="46">
        <v>0.4284</v>
      </c>
      <c r="J15" s="46">
        <v>0.414</v>
      </c>
      <c r="K15" s="46">
        <v>0.4245</v>
      </c>
      <c r="L15" s="46">
        <v>0.4197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3"/>
      <c r="B16" s="43" t="s">
        <v>38</v>
      </c>
      <c r="C16" s="48"/>
      <c r="D16" s="48"/>
      <c r="E16" s="49"/>
      <c r="F16" s="44"/>
      <c r="G16" s="44"/>
      <c r="H16" s="45" t="s">
        <v>34</v>
      </c>
      <c r="I16" s="46">
        <v>0.4169</v>
      </c>
      <c r="J16" s="46">
        <v>0.4318</v>
      </c>
      <c r="K16" s="46">
        <v>0.4284</v>
      </c>
      <c r="L16" s="46">
        <v>0.4353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3"/>
      <c r="B17" s="43" t="s">
        <v>39</v>
      </c>
      <c r="C17" s="48">
        <v>0.95</v>
      </c>
      <c r="D17" s="48">
        <v>0.05</v>
      </c>
      <c r="E17" s="49">
        <v>-0.05</v>
      </c>
      <c r="F17" s="44">
        <v>1</v>
      </c>
      <c r="G17" s="44">
        <v>0.9</v>
      </c>
      <c r="H17" s="45" t="s">
        <v>34</v>
      </c>
      <c r="I17" s="46">
        <v>0.9981</v>
      </c>
      <c r="J17" s="46">
        <v>0.9947</v>
      </c>
      <c r="K17" s="46">
        <v>0.9961</v>
      </c>
      <c r="L17" s="46">
        <v>0.999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7" t="str">
        <f>IF(I17="","",IF(I17&gt;($C17+$D17),(I17-$C17-$D17),IF(I17&lt;($C17+$E17),(I17-$C17-$E17),"√")))</f>
        <v>√</v>
      </c>
      <c r="Z17" s="47" t="str">
        <f>IF(J17="","",IF(J17&gt;($C17+$D17),(J17-$C17-$D17),IF(J17&lt;($C17+$E17),(J17-$C17-$E17),"√")))</f>
        <v>√</v>
      </c>
      <c r="AA17" s="47" t="str">
        <f>IF(K17="","",IF(K17&gt;($C17+$D17),(K17-$C17-$D17),IF(K17&lt;($C17+$E17),(K17-$C17-$E17),"√")))</f>
        <v>√</v>
      </c>
      <c r="AB17" s="47" t="str">
        <f>IF(L17="","",IF(L17&gt;($C17+$D17),(L17-$C17-$D17),IF(L17&lt;($C17+$E17),(L17-$C17-$E17),"√")))</f>
        <v>√</v>
      </c>
      <c r="AC17" s="47" t="str">
        <f>IF(M17="","",IF(M17&gt;($C17+$D17),(M17-$C17-$D17),IF(M17&lt;($C17+$E17),(M17-$C17-$E17),"√")))</f>
        <v/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3"/>
      <c r="B18" s="43" t="s">
        <v>40</v>
      </c>
      <c r="C18" s="48"/>
      <c r="D18" s="48"/>
      <c r="E18" s="49"/>
      <c r="F18" s="44"/>
      <c r="G18" s="44"/>
      <c r="H18" s="45" t="s">
        <v>34</v>
      </c>
      <c r="I18" s="46">
        <v>0.9918</v>
      </c>
      <c r="J18" s="46">
        <v>0.9884</v>
      </c>
      <c r="K18" s="46">
        <v>1.0016</v>
      </c>
      <c r="L18" s="46">
        <v>1.0103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3"/>
      <c r="B19" s="43" t="s">
        <v>41</v>
      </c>
      <c r="C19" s="48"/>
      <c r="D19" s="48"/>
      <c r="E19" s="49"/>
      <c r="F19" s="44"/>
      <c r="G19" s="44"/>
      <c r="H19" s="45" t="s">
        <v>34</v>
      </c>
      <c r="I19" s="46">
        <v>1.048</v>
      </c>
      <c r="J19" s="46">
        <v>1.0155</v>
      </c>
      <c r="K19" s="46">
        <v>1.0353</v>
      </c>
      <c r="L19" s="46">
        <v>1.0101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3"/>
      <c r="B20" s="43" t="s">
        <v>42</v>
      </c>
      <c r="C20" s="48"/>
      <c r="D20" s="48"/>
      <c r="E20" s="49"/>
      <c r="F20" s="44"/>
      <c r="G20" s="44"/>
      <c r="H20" s="45" t="s">
        <v>34</v>
      </c>
      <c r="I20" s="46">
        <v>0.9648</v>
      </c>
      <c r="J20" s="46">
        <v>0.9988</v>
      </c>
      <c r="K20" s="46">
        <v>0.9718</v>
      </c>
      <c r="L20" s="46">
        <v>0.9947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3"/>
      <c r="B21" s="43" t="s">
        <v>43</v>
      </c>
      <c r="C21" s="48"/>
      <c r="D21" s="48"/>
      <c r="E21" s="49"/>
      <c r="F21" s="44"/>
      <c r="G21" s="44"/>
      <c r="H21" s="45" t="s">
        <v>34</v>
      </c>
      <c r="I21" s="46">
        <v>0.9879</v>
      </c>
      <c r="J21" s="46">
        <v>0.976</v>
      </c>
      <c r="K21" s="46">
        <v>0.9755</v>
      </c>
      <c r="L21" s="46">
        <v>0.9811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3"/>
      <c r="B22" s="43" t="s">
        <v>44</v>
      </c>
      <c r="C22" s="48">
        <v>19.4</v>
      </c>
      <c r="D22" s="48">
        <v>0.05</v>
      </c>
      <c r="E22" s="49">
        <v>-0.05</v>
      </c>
      <c r="F22" s="44">
        <v>19.45</v>
      </c>
      <c r="G22" s="44">
        <v>19.35</v>
      </c>
      <c r="H22" s="45" t="s">
        <v>34</v>
      </c>
      <c r="I22" s="46">
        <v>19.381</v>
      </c>
      <c r="J22" s="46">
        <v>19.3816</v>
      </c>
      <c r="K22" s="46">
        <v>19.3854</v>
      </c>
      <c r="L22" s="46">
        <v>19.387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 t="str">
        <f t="shared" ref="Y22:AC23" si="11">IF(I22="","",IF(I22&gt;($C22+$D22),(I22-$C22-$D22),IF(I22&lt;($C22+$E22),(I22-$C22-$E22),"√")))</f>
        <v>√</v>
      </c>
      <c r="Z22" s="47" t="str">
        <f t="shared" si="11"/>
        <v>√</v>
      </c>
      <c r="AA22" s="47" t="str">
        <f t="shared" si="11"/>
        <v>√</v>
      </c>
      <c r="AB22" s="47" t="str">
        <f t="shared" si="11"/>
        <v>√</v>
      </c>
      <c r="AC22" s="47" t="str">
        <f t="shared" si="11"/>
        <v/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3"/>
      <c r="B23" s="43" t="s">
        <v>45</v>
      </c>
      <c r="C23" s="48">
        <v>0</v>
      </c>
      <c r="D23" s="48">
        <v>0.1</v>
      </c>
      <c r="E23" s="49">
        <v>0</v>
      </c>
      <c r="F23" s="44">
        <v>0.1</v>
      </c>
      <c r="G23" s="44">
        <v>0</v>
      </c>
      <c r="H23" s="45" t="s">
        <v>34</v>
      </c>
      <c r="I23" s="46">
        <v>0.038</v>
      </c>
      <c r="J23" s="46">
        <v>0.0375</v>
      </c>
      <c r="K23" s="46">
        <v>0.0381</v>
      </c>
      <c r="L23" s="46">
        <v>0.0467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 t="str">
        <f t="shared" si="11"/>
        <v>√</v>
      </c>
      <c r="Z23" s="47" t="str">
        <f t="shared" si="11"/>
        <v>√</v>
      </c>
      <c r="AA23" s="47" t="str">
        <f t="shared" si="11"/>
        <v>√</v>
      </c>
      <c r="AB23" s="47" t="str">
        <f t="shared" si="11"/>
        <v>√</v>
      </c>
      <c r="AC23" s="47" t="str">
        <f t="shared" si="11"/>
        <v/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3"/>
      <c r="B24" s="43">
        <v>1</v>
      </c>
      <c r="C24" s="48"/>
      <c r="D24" s="48"/>
      <c r="E24" s="49"/>
      <c r="F24" s="44"/>
      <c r="G24" s="44"/>
      <c r="H24" s="45" t="s">
        <v>34</v>
      </c>
      <c r="I24" s="46">
        <v>0.0001</v>
      </c>
      <c r="J24" s="46">
        <v>0.0001</v>
      </c>
      <c r="K24" s="46">
        <v>0.0001</v>
      </c>
      <c r="L24" s="46">
        <v>0.0001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3"/>
      <c r="B25" s="43">
        <v>2</v>
      </c>
      <c r="C25" s="48"/>
      <c r="D25" s="48"/>
      <c r="E25" s="49"/>
      <c r="F25" s="44"/>
      <c r="G25" s="44"/>
      <c r="H25" s="45" t="s">
        <v>34</v>
      </c>
      <c r="I25" s="46">
        <v>-0.019</v>
      </c>
      <c r="J25" s="46">
        <v>-0.0187</v>
      </c>
      <c r="K25" s="46">
        <v>-0.019</v>
      </c>
      <c r="L25" s="46">
        <v>-0.0233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s="1" customFormat="1" spans="1:40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2"/>
      <c r="AK26" s="53"/>
      <c r="AL26" s="54"/>
      <c r="AM26" s="55"/>
      <c r="AN26" s="56"/>
    </row>
  </sheetData>
  <protectedRanges>
    <protectedRange sqref="I8:I9 J8:X9 I7 S7:X7 J7:R7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2026-06-22T17:09:44Z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