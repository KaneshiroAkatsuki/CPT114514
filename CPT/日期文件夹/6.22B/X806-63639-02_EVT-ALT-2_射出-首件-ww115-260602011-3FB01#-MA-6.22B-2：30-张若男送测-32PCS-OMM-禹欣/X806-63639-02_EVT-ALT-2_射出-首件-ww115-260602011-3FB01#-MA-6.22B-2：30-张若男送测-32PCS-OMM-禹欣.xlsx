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<sst xmlns="http://schemas.openxmlformats.org/spreadsheetml/2006/main" count="77" uniqueCount="62">
  <si>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</si>
  <si>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</si>
  <si>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X806-63639</t>
  </si>
  <si>
    <t>工单号</t>
  </si>
  <si>
    <t>ww115-260602011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</si>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</sst>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G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46195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6.2662</v>
      </c>
      <c r="K7" s="59">
        <v>6.2661</v>
      </c>
      <c r="L7" s="59">
        <v>6.2747</v>
      </c>
      <c r="M7" s="59">
        <v>6.2678</v>
      </c>
      <c r="N7" s="59">
        <v>6.265</v>
      </c>
      <c r="O7" s="59">
        <v>6.2619</v>
      </c>
      <c r="P7" s="59">
        <v>6.2705</v>
      </c>
      <c r="Q7" s="59">
        <v>6.274</v>
      </c>
      <c r="R7" s="59">
        <v>6.2675</v>
      </c>
      <c r="S7" s="59">
        <v>6.2625</v>
      </c>
      <c r="T7" s="59">
        <v>6.2619</v>
      </c>
      <c r="U7" s="59">
        <v>6.2686</v>
      </c>
      <c r="V7" s="59">
        <v>6.2702</v>
      </c>
      <c r="W7" s="59">
        <v>6.2659</v>
      </c>
      <c r="X7" s="59">
        <v>6.2657</v>
      </c>
      <c r="Y7" s="59">
        <v>6.2694</v>
      </c>
      <c r="Z7" s="60" t="str">
        <f t="shared" ref="Z7" si="3">IF(J7="","",IF(J7&gt;($D7+$E7),(J7-$D7-$E7),IF(J7&lt;($D7+$F7),(J7-$D7-$F7),"√")))</f>
        <v>√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46</v>
      </c>
      <c r="K12" s="53" t="s">
        <v>47</v>
      </c>
      <c r="L12" s="53" t="s">
        <v>48</v>
      </c>
      <c r="M12" s="53" t="s">
        <v>49</v>
      </c>
      <c r="N12" s="53" t="s">
        <v>50</v>
      </c>
      <c r="O12" s="53" t="s">
        <v>51</v>
      </c>
      <c r="P12" s="53" t="s">
        <v>52</v>
      </c>
      <c r="Q12" s="53" t="s">
        <v>53</v>
      </c>
      <c r="R12" s="53" t="s">
        <v>54</v>
      </c>
      <c r="S12" s="53" t="s">
        <v>55</v>
      </c>
      <c r="T12" s="53" t="s">
        <v>56</v>
      </c>
      <c r="U12" s="53" t="s">
        <v>57</v>
      </c>
      <c r="V12" s="53" t="s">
        <v>58</v>
      </c>
      <c r="W12" s="53" t="s">
        <v>59</v>
      </c>
      <c r="X12" s="53" t="s">
        <v>60</v>
      </c>
      <c r="Y12" s="53" t="s">
        <v>61</v>
      </c>
      <c r="Z12" s="54" t="str">
        <f t="shared" ref="Z12:AO12" si="6">J12</f>
        <v>2-1</v>
      </c>
      <c r="AA12" s="54" t="str">
        <f t="shared" si="6"/>
        <v>2-2</v>
      </c>
      <c r="AB12" s="54" t="str">
        <f t="shared" si="6"/>
        <v>2-3</v>
      </c>
      <c r="AC12" s="54" t="str">
        <f t="shared" si="6"/>
        <v>2-4</v>
      </c>
      <c r="AD12" s="54" t="str">
        <f t="shared" si="6"/>
        <v>2-5</v>
      </c>
      <c r="AE12" s="54" t="str">
        <f t="shared" si="6"/>
        <v>2-6</v>
      </c>
      <c r="AF12" s="54" t="str">
        <f t="shared" si="6"/>
        <v>2-7</v>
      </c>
      <c r="AG12" s="54" t="str">
        <f t="shared" si="6"/>
        <v>2-8</v>
      </c>
      <c r="AH12" s="54" t="str">
        <f t="shared" si="6"/>
        <v>2-9</v>
      </c>
      <c r="AI12" s="54" t="str">
        <f t="shared" si="6"/>
        <v>2-10</v>
      </c>
      <c r="AJ12" s="54" t="str">
        <f t="shared" si="6"/>
        <v>2-11</v>
      </c>
      <c r="AK12" s="54" t="str">
        <f t="shared" si="6"/>
        <v>2-12</v>
      </c>
      <c r="AL12" s="54" t="str">
        <f t="shared" si="6"/>
        <v>2-13</v>
      </c>
      <c r="AM12" s="54" t="str">
        <f t="shared" si="6"/>
        <v>2-14</v>
      </c>
      <c r="AN12" s="54" t="str">
        <f t="shared" si="6"/>
        <v>2-15</v>
      </c>
      <c r="AO12" s="54" t="str">
        <f t="shared" si="6"/>
        <v>2-16</v>
      </c>
    </row>
    <row r="13" ht="15" customHeight="1" spans="1:41">
      <c r="A13" s="55">
        <v>46195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6.2663</v>
      </c>
      <c r="K13" s="59">
        <v>6.2659</v>
      </c>
      <c r="L13" s="59">
        <v>6.2717</v>
      </c>
      <c r="M13" s="59">
        <v>6.2627</v>
      </c>
      <c r="N13" s="59">
        <v>6.2655</v>
      </c>
      <c r="O13" s="59">
        <v>6.2705</v>
      </c>
      <c r="P13" s="59">
        <v>6.275</v>
      </c>
      <c r="Q13" s="59">
        <v>6.2701</v>
      </c>
      <c r="R13" s="59">
        <v>6.264</v>
      </c>
      <c r="S13" s="59">
        <v>6.2632</v>
      </c>
      <c r="T13" s="59">
        <v>6.2631</v>
      </c>
      <c r="U13" s="59">
        <v>6.2707</v>
      </c>
      <c r="V13" s="59">
        <v>6.2632</v>
      </c>
      <c r="W13" s="59">
        <v>6.263</v>
      </c>
      <c r="X13" s="59">
        <v>6.2634</v>
      </c>
      <c r="Y13" s="59">
        <v>6.2655</v>
      </c>
      <c r="Z13" s="60" t="str">
        <f t="shared" ref="Z13:AO13" si="7">IF(J13="","",IF(J13&gt;($D13+$E13),(J13-$D13-$E13),IF(J13&lt;($D13+$F13),(J13-$D13-$F13),"√")))</f>
        <v>√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 t="str">
        <f t="shared" si="7"/>
        <v>√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 t="str">
        <f t="shared" si="7"/>
        <v>√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H2:K3"/>
    <mergeCell ref="L2:R3"/>
    <mergeCell ref="B2:G3"/>
  </mergeCells>
  <conditionalFormatting sqref="J7:Y7">
    <cfRule type="cellIs" dxfId="0" priority="18" operator="notBetween">
      <formula>$G7</formula>
      <formula>$H7</formula>
    </cfRule>
  </conditionalFormatting>
  <conditionalFormatting sqref="J13:Y13">
    <cfRule type="cellIs" dxfId="0" priority="1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2026-06-22T20:24:24Z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