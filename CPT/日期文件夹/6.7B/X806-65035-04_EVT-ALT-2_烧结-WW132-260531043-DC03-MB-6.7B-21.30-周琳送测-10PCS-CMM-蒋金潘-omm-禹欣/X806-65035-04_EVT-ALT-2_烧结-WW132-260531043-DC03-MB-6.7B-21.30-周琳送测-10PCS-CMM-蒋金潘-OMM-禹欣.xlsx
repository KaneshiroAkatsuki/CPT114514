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5035" sheetId="8" r:id="rId1"/>
  </sheets>
  <definedNames>
    <definedName name="_xlnm.Print_Area" localSheetId="0">'X806-65035'!$B$1:$AE$6</definedName>
    <definedName name="_xlnm.Print_Titles" localSheetId="0">'X806-65035'!$1:$6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<sst xmlns="http://schemas.openxmlformats.org/spreadsheetml/2006/main" count="57" uniqueCount="42">
  <si>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安徽中耀智能科技有限公司首件尺寸报告</t>
  </si>
  <si>
    <t>料号</t>
  </si>
  <si>
    <t>806-65035</t>
  </si>
  <si>
    <t>工单号</t>
  </si>
  <si>
    <t>WW132-260531043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</si>
  <si>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</si>
  <si>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</si>
  <si>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</si>
  <si>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</si>
  <si>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</si>
  <si>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</si>
  <si>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</si>
  <si>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CMM4#/OMM4#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</si>
  <si>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</si>
  <si>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</si>
  <si>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</si>
  <si>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</si>
  <si>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</si>
  <si>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</si>
  <si>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</si>
  <si>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</si>
  <si>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</si>
  <si>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</si>
  <si>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</si>
  <si>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</si>
  <si>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</si>
  <si>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</si>
  <si>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</si>
  <si>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8</t>
    </r>
  </si>
  <si>
    <t>复测2</t>
  </si>
  <si>
    <t>FA45</t>
  </si>
  <si>
    <t>参考</t>
  </si>
  <si>
    <t>OMM</t>
  </si>
  <si>
    <t>FAI24</t>
  </si>
  <si>
    <t>FAI14</t>
  </si>
  <si>
    <t>N</t>
  </si>
  <si>
    <t>FAI23</t>
  </si>
  <si>
    <t>W</t>
  </si>
  <si>
    <t>CMM</t>
  </si>
  <si>
    <t>FAI52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</si>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</sst>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7" fontId="13" fillId="2" borderId="1" xfId="61" applyNumberFormat="1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topLeftCell="N1" workbookViewId="0">
      <selection activeCell="AG25" sqref="AG25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37" t="s">
        <v>28</v>
      </c>
      <c r="U6" s="37" t="s">
        <v>29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 t="str">
        <f t="shared" si="0"/>
        <v>复测8</v>
      </c>
      <c r="AK6" s="47" t="str">
        <f t="shared" si="0"/>
        <v>复测2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46180</v>
      </c>
      <c r="B7" s="49" t="s">
        <v>30</v>
      </c>
      <c r="C7" s="50" t="s">
        <v>31</v>
      </c>
      <c r="D7" s="51">
        <v>8.2</v>
      </c>
      <c r="E7" s="51">
        <v>0.05</v>
      </c>
      <c r="F7" s="51">
        <v>-0.05</v>
      </c>
      <c r="G7" s="51">
        <f t="shared" ref="G7:G14" si="1">D7+E7</f>
        <v>8.25</v>
      </c>
      <c r="H7" s="51">
        <f t="shared" ref="H7:H14" si="2">D7+F7</f>
        <v>8.15</v>
      </c>
      <c r="I7" s="51" t="s">
        <v>32</v>
      </c>
      <c r="J7" s="52">
        <v>8.1749</v>
      </c>
      <c r="K7" s="52">
        <v>8.1972</v>
      </c>
      <c r="L7" s="52">
        <v>8.2073</v>
      </c>
      <c r="M7" s="52">
        <v>8.2056</v>
      </c>
      <c r="N7" s="52">
        <v>8.2034</v>
      </c>
      <c r="O7" s="52">
        <v>8.2001</v>
      </c>
      <c r="P7" s="52">
        <v>8.2004</v>
      </c>
      <c r="Q7" s="52">
        <v>8.2045</v>
      </c>
      <c r="R7" s="52">
        <v>8.2055</v>
      </c>
      <c r="S7" s="52">
        <v>8.2017</v>
      </c>
      <c r="T7" s="52"/>
      <c r="U7" s="52">
        <v>8.1913</v>
      </c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str">
        <f t="shared" si="3"/>
        <v/>
      </c>
      <c r="AK7" s="53" t="str">
        <f t="shared" si="3"/>
        <v>√</v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48"/>
      <c r="B8" s="49" t="s">
        <v>33</v>
      </c>
      <c r="C8" s="50" t="s">
        <v>31</v>
      </c>
      <c r="D8" s="51">
        <v>3.6</v>
      </c>
      <c r="E8" s="51">
        <v>0.05</v>
      </c>
      <c r="F8" s="51">
        <v>-0.05</v>
      </c>
      <c r="G8" s="51">
        <f t="shared" si="1"/>
        <v>3.65</v>
      </c>
      <c r="H8" s="51">
        <f t="shared" si="2"/>
        <v>3.55</v>
      </c>
      <c r="I8" s="51" t="s">
        <v>32</v>
      </c>
      <c r="J8" s="52">
        <v>3.6111</v>
      </c>
      <c r="K8" s="52">
        <v>3.4819</v>
      </c>
      <c r="L8" s="52">
        <v>3.518</v>
      </c>
      <c r="M8" s="52">
        <v>3.5335</v>
      </c>
      <c r="N8" s="52">
        <v>3.5338</v>
      </c>
      <c r="O8" s="52">
        <v>3.524</v>
      </c>
      <c r="P8" s="52">
        <v>3.565</v>
      </c>
      <c r="Q8" s="52">
        <v>3.5748</v>
      </c>
      <c r="R8" s="52">
        <v>3.5041</v>
      </c>
      <c r="S8" s="52">
        <v>3.5845</v>
      </c>
      <c r="T8" s="52"/>
      <c r="U8" s="52">
        <v>3.4792</v>
      </c>
      <c r="V8" s="52"/>
      <c r="W8" s="52"/>
      <c r="X8" s="52"/>
      <c r="Y8" s="52"/>
      <c r="Z8" s="53" t="str">
        <f t="shared" ref="Z8:AO8" si="4">IF(J8="","",IF(J8&gt;($D8+$E8),(J8-$D8-$E8),IF(J8&lt;($D8+$F8),(J8-$D8-$F8),"√")))</f>
        <v>√</v>
      </c>
      <c r="AA8" s="53">
        <f t="shared" si="4"/>
        <v>-0.0681000000000001</v>
      </c>
      <c r="AB8" s="53">
        <f t="shared" si="4"/>
        <v>-0.0320000000000003</v>
      </c>
      <c r="AC8" s="53">
        <f t="shared" si="4"/>
        <v>-0.0165</v>
      </c>
      <c r="AD8" s="53">
        <f t="shared" si="4"/>
        <v>-0.0162000000000003</v>
      </c>
      <c r="AE8" s="53">
        <f t="shared" si="4"/>
        <v>-0.0260000000000001</v>
      </c>
      <c r="AF8" s="53" t="str">
        <f t="shared" si="4"/>
        <v>√</v>
      </c>
      <c r="AG8" s="53" t="str">
        <f t="shared" si="4"/>
        <v>√</v>
      </c>
      <c r="AH8" s="53">
        <f t="shared" si="4"/>
        <v>-0.0458999999999999</v>
      </c>
      <c r="AI8" s="53" t="str">
        <f t="shared" si="4"/>
        <v>√</v>
      </c>
      <c r="AJ8" s="53" t="str">
        <f t="shared" si="4"/>
        <v/>
      </c>
      <c r="AK8" s="53">
        <f t="shared" si="4"/>
        <v>-0.0708</v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48"/>
      <c r="B9" s="49" t="s">
        <v>34</v>
      </c>
      <c r="C9" s="50" t="s">
        <v>35</v>
      </c>
      <c r="D9" s="51">
        <v>0.5</v>
      </c>
      <c r="E9" s="51">
        <v>0.03</v>
      </c>
      <c r="F9" s="51">
        <v>-0.03</v>
      </c>
      <c r="G9" s="51">
        <f t="shared" si="1"/>
        <v>0.53</v>
      </c>
      <c r="H9" s="51">
        <f t="shared" si="2"/>
        <v>0.47</v>
      </c>
      <c r="I9" s="51" t="s">
        <v>32</v>
      </c>
      <c r="J9" s="54">
        <v>0.4861</v>
      </c>
      <c r="K9" s="52">
        <v>0.5</v>
      </c>
      <c r="L9" s="52">
        <v>0.4732</v>
      </c>
      <c r="M9" s="52">
        <v>0.5004</v>
      </c>
      <c r="N9" s="52">
        <v>0.4837</v>
      </c>
      <c r="O9" s="52">
        <v>0.4858</v>
      </c>
      <c r="P9" s="52">
        <v>0.4961</v>
      </c>
      <c r="Q9" s="52">
        <v>0.4806</v>
      </c>
      <c r="R9" s="52">
        <v>0.5014</v>
      </c>
      <c r="S9" s="52">
        <v>0.5046</v>
      </c>
      <c r="T9" s="52"/>
      <c r="U9" s="52"/>
      <c r="V9" s="52"/>
      <c r="W9" s="52"/>
      <c r="X9" s="52"/>
      <c r="Y9" s="52"/>
      <c r="Z9" s="53" t="str">
        <f t="shared" ref="Z9:AO9" si="5">IF(J9="","",IF(J9&gt;($D9+$E9),(J9-$D9-$E9),IF(J9&lt;($D9+$F9),(J9-$D9-$F9),"√")))</f>
        <v>√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 t="str">
        <f t="shared" si="5"/>
        <v>√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 t="str">
        <f t="shared" si="5"/>
        <v>√</v>
      </c>
      <c r="AJ9" s="53" t="str">
        <f t="shared" si="5"/>
        <v/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48"/>
      <c r="B10" s="49" t="s">
        <v>36</v>
      </c>
      <c r="C10" s="50" t="s">
        <v>37</v>
      </c>
      <c r="D10" s="51">
        <v>2.76</v>
      </c>
      <c r="E10" s="51">
        <v>0.03</v>
      </c>
      <c r="F10" s="51">
        <v>-0.03</v>
      </c>
      <c r="G10" s="51">
        <f t="shared" si="1"/>
        <v>2.79</v>
      </c>
      <c r="H10" s="51">
        <f t="shared" si="2"/>
        <v>2.73</v>
      </c>
      <c r="I10" s="51" t="s">
        <v>38</v>
      </c>
      <c r="J10" s="52">
        <v>2.7484</v>
      </c>
      <c r="K10" s="52">
        <v>2.7489</v>
      </c>
      <c r="L10" s="52">
        <v>2.7467</v>
      </c>
      <c r="M10" s="52">
        <v>2.7457</v>
      </c>
      <c r="N10" s="52">
        <v>2.7467</v>
      </c>
      <c r="O10" s="52">
        <v>2.7461</v>
      </c>
      <c r="P10" s="52">
        <v>2.747</v>
      </c>
      <c r="Q10" s="52">
        <v>2.7434</v>
      </c>
      <c r="R10" s="52">
        <v>2.7484</v>
      </c>
      <c r="S10" s="52">
        <v>2.7464</v>
      </c>
      <c r="T10" s="52">
        <v>2.7424</v>
      </c>
      <c r="U10" s="52"/>
      <c r="V10" s="52"/>
      <c r="W10" s="52"/>
      <c r="X10" s="52"/>
      <c r="Y10" s="52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>√</v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33</v>
      </c>
      <c r="C11" s="50"/>
      <c r="D11" s="51">
        <v>3.6</v>
      </c>
      <c r="E11" s="51">
        <v>0.05</v>
      </c>
      <c r="F11" s="51">
        <v>-0.05</v>
      </c>
      <c r="G11" s="51">
        <f t="shared" si="1"/>
        <v>3.65</v>
      </c>
      <c r="H11" s="51">
        <f t="shared" si="2"/>
        <v>3.55</v>
      </c>
      <c r="I11" s="51" t="s">
        <v>38</v>
      </c>
      <c r="J11" s="52">
        <v>3.5817</v>
      </c>
      <c r="K11" s="52">
        <v>3.6392</v>
      </c>
      <c r="L11" s="52">
        <v>3.6239</v>
      </c>
      <c r="M11" s="52">
        <v>3.6374</v>
      </c>
      <c r="N11" s="52">
        <v>3.6365</v>
      </c>
      <c r="O11" s="52">
        <v>3.6512</v>
      </c>
      <c r="P11" s="52">
        <v>3.64</v>
      </c>
      <c r="Q11" s="52">
        <v>3.6549</v>
      </c>
      <c r="R11" s="52">
        <v>3.6364</v>
      </c>
      <c r="S11" s="52">
        <v>3.623</v>
      </c>
      <c r="T11" s="52">
        <v>3.6505</v>
      </c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>
        <f t="shared" si="7"/>
        <v>0.00119999999999969</v>
      </c>
      <c r="AF11" s="53" t="str">
        <f t="shared" si="7"/>
        <v>√</v>
      </c>
      <c r="AG11" s="53">
        <f t="shared" si="7"/>
        <v>0.00489999999999995</v>
      </c>
      <c r="AH11" s="53" t="str">
        <f t="shared" si="7"/>
        <v>√</v>
      </c>
      <c r="AI11" s="53" t="str">
        <f t="shared" si="7"/>
        <v>√</v>
      </c>
      <c r="AJ11" s="53">
        <f t="shared" si="7"/>
        <v>0.000499999999999987</v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49" t="s">
        <v>30</v>
      </c>
      <c r="C12" s="50"/>
      <c r="D12" s="51">
        <v>8.2</v>
      </c>
      <c r="E12" s="51">
        <v>0.05</v>
      </c>
      <c r="F12" s="51">
        <v>-0.05</v>
      </c>
      <c r="G12" s="51">
        <f t="shared" si="1"/>
        <v>8.25</v>
      </c>
      <c r="H12" s="51">
        <f t="shared" si="2"/>
        <v>8.15</v>
      </c>
      <c r="I12" s="51" t="s">
        <v>38</v>
      </c>
      <c r="J12" s="52">
        <v>8.1813</v>
      </c>
      <c r="K12" s="52">
        <v>8.1908</v>
      </c>
      <c r="L12" s="52">
        <v>8.2033</v>
      </c>
      <c r="M12" s="52">
        <v>8.1952</v>
      </c>
      <c r="N12" s="52">
        <v>8.2018</v>
      </c>
      <c r="O12" s="52">
        <v>8.198</v>
      </c>
      <c r="P12" s="52">
        <v>8.1933</v>
      </c>
      <c r="Q12" s="52">
        <v>8.2005</v>
      </c>
      <c r="R12" s="52">
        <v>8.1934</v>
      </c>
      <c r="S12" s="52">
        <v>8.1998</v>
      </c>
      <c r="T12" s="52">
        <v>8.1988</v>
      </c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>√</v>
      </c>
      <c r="AA12" s="53" t="str">
        <f t="shared" si="8"/>
        <v>√</v>
      </c>
      <c r="AB12" s="53" t="str">
        <f t="shared" si="8"/>
        <v>√</v>
      </c>
      <c r="AC12" s="53" t="str">
        <f t="shared" si="8"/>
        <v>√</v>
      </c>
      <c r="AD12" s="53" t="str">
        <f t="shared" si="8"/>
        <v>√</v>
      </c>
      <c r="AE12" s="53" t="str">
        <f t="shared" si="8"/>
        <v>√</v>
      </c>
      <c r="AF12" s="53" t="str">
        <f t="shared" si="8"/>
        <v>√</v>
      </c>
      <c r="AG12" s="53" t="str">
        <f t="shared" si="8"/>
        <v>√</v>
      </c>
      <c r="AH12" s="53" t="str">
        <f t="shared" si="8"/>
        <v>√</v>
      </c>
      <c r="AI12" s="53" t="str">
        <f t="shared" si="8"/>
        <v>√</v>
      </c>
      <c r="AJ12" s="53" t="str">
        <f t="shared" si="8"/>
        <v>√</v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48"/>
      <c r="B13" s="49" t="s">
        <v>39</v>
      </c>
      <c r="C13" s="50"/>
      <c r="D13" s="51">
        <v>0.6</v>
      </c>
      <c r="E13" s="51">
        <v>0.02</v>
      </c>
      <c r="F13" s="51">
        <v>-0.02</v>
      </c>
      <c r="G13" s="51">
        <f t="shared" si="1"/>
        <v>0.62</v>
      </c>
      <c r="H13" s="51">
        <f t="shared" si="2"/>
        <v>0.58</v>
      </c>
      <c r="I13" s="51" t="s">
        <v>38</v>
      </c>
      <c r="J13" s="52">
        <v>0.6074</v>
      </c>
      <c r="K13" s="52">
        <v>0.6084</v>
      </c>
      <c r="L13" s="52">
        <v>0.6034</v>
      </c>
      <c r="M13" s="52">
        <v>0.6089</v>
      </c>
      <c r="N13" s="52">
        <v>0.6081</v>
      </c>
      <c r="O13" s="52">
        <v>0.6061</v>
      </c>
      <c r="P13" s="52">
        <v>0.6079</v>
      </c>
      <c r="Q13" s="52">
        <v>0.6052</v>
      </c>
      <c r="R13" s="52">
        <v>0.6031</v>
      </c>
      <c r="S13" s="52">
        <v>0.6034</v>
      </c>
      <c r="T13" s="52">
        <v>0.6045</v>
      </c>
      <c r="U13" s="52"/>
      <c r="V13" s="52"/>
      <c r="W13" s="52"/>
      <c r="X13" s="52"/>
      <c r="Y13" s="52"/>
      <c r="Z13" s="53" t="str">
        <f t="shared" ref="Z13:AO13" si="9">IF(J13="","",IF(J13&gt;($D13+$E13),(J13-$D13-$E13),IF(J13&lt;($D13+$F13),(J13-$D13-$F13),"√")))</f>
        <v>√</v>
      </c>
      <c r="AA13" s="53" t="str">
        <f t="shared" si="9"/>
        <v>√</v>
      </c>
      <c r="AB13" s="53" t="str">
        <f t="shared" si="9"/>
        <v>√</v>
      </c>
      <c r="AC13" s="53" t="str">
        <f t="shared" si="9"/>
        <v>√</v>
      </c>
      <c r="AD13" s="53" t="str">
        <f t="shared" si="9"/>
        <v>√</v>
      </c>
      <c r="AE13" s="53" t="str">
        <f t="shared" si="9"/>
        <v>√</v>
      </c>
      <c r="AF13" s="53" t="str">
        <f t="shared" si="9"/>
        <v>√</v>
      </c>
      <c r="AG13" s="53" t="str">
        <f t="shared" si="9"/>
        <v>√</v>
      </c>
      <c r="AH13" s="53" t="str">
        <f t="shared" si="9"/>
        <v>√</v>
      </c>
      <c r="AI13" s="53" t="str">
        <f t="shared" si="9"/>
        <v>√</v>
      </c>
      <c r="AJ13" s="53" t="str">
        <f t="shared" si="9"/>
        <v>√</v>
      </c>
      <c r="AK13" s="53" t="str">
        <f t="shared" si="9"/>
        <v/>
      </c>
      <c r="AL13" s="53" t="str">
        <f t="shared" si="9"/>
        <v/>
      </c>
      <c r="AM13" s="53" t="str">
        <f t="shared" si="9"/>
        <v/>
      </c>
      <c r="AN13" s="53" t="str">
        <f t="shared" si="9"/>
        <v/>
      </c>
      <c r="AO13" s="53" t="str">
        <f t="shared" si="9"/>
        <v/>
      </c>
    </row>
    <row r="14" ht="15" customHeight="1" spans="1:41">
      <c r="A14" s="48"/>
      <c r="B14" s="49" t="s">
        <v>40</v>
      </c>
      <c r="C14" s="50" t="s">
        <v>41</v>
      </c>
      <c r="D14" s="51">
        <v>0</v>
      </c>
      <c r="E14" s="51">
        <v>0.05</v>
      </c>
      <c r="F14" s="51">
        <v>0</v>
      </c>
      <c r="G14" s="51">
        <f t="shared" si="1"/>
        <v>0.05</v>
      </c>
      <c r="H14" s="51">
        <f t="shared" si="2"/>
        <v>0</v>
      </c>
      <c r="I14" s="51" t="s">
        <v>38</v>
      </c>
      <c r="J14" s="52">
        <v>0.0045</v>
      </c>
      <c r="K14" s="52">
        <v>0.0056</v>
      </c>
      <c r="L14" s="52">
        <v>0.0049</v>
      </c>
      <c r="M14" s="52">
        <v>0.0066</v>
      </c>
      <c r="N14" s="52">
        <v>0.0064</v>
      </c>
      <c r="O14" s="52">
        <v>0.0044</v>
      </c>
      <c r="P14" s="52">
        <v>0.0034</v>
      </c>
      <c r="Q14" s="52">
        <v>0.0039</v>
      </c>
      <c r="R14" s="52">
        <v>0.0035</v>
      </c>
      <c r="S14" s="52">
        <v>0.0064</v>
      </c>
      <c r="T14" s="52">
        <v>0.0038</v>
      </c>
      <c r="U14" s="52"/>
      <c r="V14" s="52"/>
      <c r="W14" s="52"/>
      <c r="X14" s="52"/>
      <c r="Y14" s="52"/>
      <c r="Z14" s="53" t="str">
        <f t="shared" ref="Z14:AO14" si="10">IF(J14="","",IF(J14&gt;($D14+$E14),(J14-$D14-$E14),IF(J14&lt;($D14+$F14),(J14-$D14-$F14),"√")))</f>
        <v>√</v>
      </c>
      <c r="AA14" s="53" t="str">
        <f t="shared" si="10"/>
        <v>√</v>
      </c>
      <c r="AB14" s="53" t="str">
        <f t="shared" si="10"/>
        <v>√</v>
      </c>
      <c r="AC14" s="53" t="str">
        <f t="shared" si="10"/>
        <v>√</v>
      </c>
      <c r="AD14" s="53" t="str">
        <f t="shared" si="10"/>
        <v>√</v>
      </c>
      <c r="AE14" s="53" t="str">
        <f t="shared" si="10"/>
        <v>√</v>
      </c>
      <c r="AF14" s="53" t="str">
        <f t="shared" si="10"/>
        <v>√</v>
      </c>
      <c r="AG14" s="53" t="str">
        <f t="shared" si="10"/>
        <v>√</v>
      </c>
      <c r="AH14" s="53" t="str">
        <f t="shared" si="10"/>
        <v>√</v>
      </c>
      <c r="AI14" s="53" t="str">
        <f t="shared" si="10"/>
        <v>√</v>
      </c>
      <c r="AJ14" s="53" t="str">
        <f t="shared" si="10"/>
        <v>√</v>
      </c>
      <c r="AK14" s="53" t="str">
        <f t="shared" si="10"/>
        <v/>
      </c>
      <c r="AL14" s="53" t="str">
        <f t="shared" si="10"/>
        <v/>
      </c>
      <c r="AM14" s="53" t="str">
        <f t="shared" si="10"/>
        <v/>
      </c>
      <c r="AN14" s="53" t="str">
        <f t="shared" si="10"/>
        <v/>
      </c>
      <c r="AO14" s="53" t="str">
        <f t="shared" si="10"/>
        <v/>
      </c>
    </row>
    <row r="15" ht="15" customHeight="1" spans="1:41">
      <c r="A15" s="48"/>
      <c r="B15" s="50">
        <v>1</v>
      </c>
      <c r="C15" s="50"/>
      <c r="D15" s="51"/>
      <c r="E15" s="51"/>
      <c r="F15" s="51"/>
      <c r="G15" s="51"/>
      <c r="H15" s="51"/>
      <c r="I15" s="51" t="s">
        <v>38</v>
      </c>
      <c r="J15" s="52">
        <v>0.0023</v>
      </c>
      <c r="K15" s="52">
        <v>0.0024</v>
      </c>
      <c r="L15" s="52">
        <v>0.002</v>
      </c>
      <c r="M15" s="52">
        <v>0.0029</v>
      </c>
      <c r="N15" s="52">
        <v>0.003</v>
      </c>
      <c r="O15" s="52">
        <v>0.0012</v>
      </c>
      <c r="P15" s="52">
        <v>0.0016</v>
      </c>
      <c r="Q15" s="52">
        <v>0.002</v>
      </c>
      <c r="R15" s="52">
        <v>0.0005</v>
      </c>
      <c r="S15" s="52">
        <v>0.0031</v>
      </c>
      <c r="T15" s="52">
        <v>0.002</v>
      </c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50">
        <v>2</v>
      </c>
      <c r="C16" s="50"/>
      <c r="D16" s="51"/>
      <c r="E16" s="51"/>
      <c r="F16" s="51"/>
      <c r="G16" s="51"/>
      <c r="H16" s="51"/>
      <c r="I16" s="51" t="s">
        <v>38</v>
      </c>
      <c r="J16" s="52">
        <v>-0.0002</v>
      </c>
      <c r="K16" s="52">
        <v>-0.0009</v>
      </c>
      <c r="L16" s="52">
        <v>0</v>
      </c>
      <c r="M16" s="52">
        <v>-0.0009</v>
      </c>
      <c r="N16" s="52">
        <v>-0.0017</v>
      </c>
      <c r="O16" s="52">
        <v>-0.0008</v>
      </c>
      <c r="P16" s="52">
        <v>-0.0016</v>
      </c>
      <c r="Q16" s="52">
        <v>-0.0019</v>
      </c>
      <c r="R16" s="52">
        <v>-0.0005</v>
      </c>
      <c r="S16" s="52">
        <v>0</v>
      </c>
      <c r="T16" s="52">
        <v>-0.0018</v>
      </c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48"/>
      <c r="B17" s="50">
        <v>3</v>
      </c>
      <c r="C17" s="50"/>
      <c r="D17" s="51"/>
      <c r="E17" s="51"/>
      <c r="F17" s="51"/>
      <c r="G17" s="51"/>
      <c r="H17" s="51"/>
      <c r="I17" s="51" t="s">
        <v>38</v>
      </c>
      <c r="J17" s="52">
        <v>-0.0022</v>
      </c>
      <c r="K17" s="52">
        <v>-0.002</v>
      </c>
      <c r="L17" s="52">
        <v>-0.0023</v>
      </c>
      <c r="M17" s="52">
        <v>-0.0025</v>
      </c>
      <c r="N17" s="52">
        <v>-0.0018</v>
      </c>
      <c r="O17" s="52">
        <v>-0.001</v>
      </c>
      <c r="P17" s="52">
        <v>-0.0003</v>
      </c>
      <c r="Q17" s="52">
        <v>-0.0003</v>
      </c>
      <c r="R17" s="52">
        <v>-0.0005</v>
      </c>
      <c r="S17" s="52">
        <v>-0.0032</v>
      </c>
      <c r="T17" s="52">
        <v>-0.0004</v>
      </c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48"/>
      <c r="B18" s="50">
        <v>4</v>
      </c>
      <c r="C18" s="50"/>
      <c r="D18" s="51"/>
      <c r="E18" s="51"/>
      <c r="F18" s="51"/>
      <c r="G18" s="51"/>
      <c r="H18" s="51"/>
      <c r="I18" s="51" t="s">
        <v>38</v>
      </c>
      <c r="J18" s="52">
        <v>-0.0021</v>
      </c>
      <c r="K18" s="52">
        <v>-0.001</v>
      </c>
      <c r="L18" s="52">
        <v>-0.0015</v>
      </c>
      <c r="M18" s="52">
        <v>-0.0014</v>
      </c>
      <c r="N18" s="52">
        <v>-0.001</v>
      </c>
      <c r="O18" s="52">
        <v>0</v>
      </c>
      <c r="P18" s="52">
        <v>-0.0003</v>
      </c>
      <c r="Q18" s="52">
        <v>-0.0009</v>
      </c>
      <c r="R18" s="52">
        <v>0.0005</v>
      </c>
      <c r="S18" s="52">
        <v>-0.0029</v>
      </c>
      <c r="T18" s="52">
        <v>-0.0008</v>
      </c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ht="15" customHeight="1" spans="1:41">
      <c r="A19" s="48"/>
      <c r="B19" s="50">
        <v>5</v>
      </c>
      <c r="C19" s="50"/>
      <c r="D19" s="51"/>
      <c r="E19" s="51"/>
      <c r="F19" s="51"/>
      <c r="G19" s="51"/>
      <c r="H19" s="51"/>
      <c r="I19" s="51" t="s">
        <v>38</v>
      </c>
      <c r="J19" s="52">
        <v>-0.0002</v>
      </c>
      <c r="K19" s="52">
        <v>-0.002</v>
      </c>
      <c r="L19" s="52">
        <v>-0.001</v>
      </c>
      <c r="M19" s="52">
        <v>-0.0022</v>
      </c>
      <c r="N19" s="52">
        <v>-0.0024</v>
      </c>
      <c r="O19" s="52">
        <v>-0.0019</v>
      </c>
      <c r="P19" s="52">
        <v>-0.0012</v>
      </c>
      <c r="Q19" s="52">
        <v>-0.0005</v>
      </c>
      <c r="R19" s="52">
        <v>-0.0018</v>
      </c>
      <c r="S19" s="52">
        <v>-0.0003</v>
      </c>
      <c r="T19" s="52">
        <v>-0.0007</v>
      </c>
      <c r="U19" s="52"/>
      <c r="V19" s="52"/>
      <c r="W19" s="52"/>
      <c r="X19" s="52"/>
      <c r="Y19" s="52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</row>
    <row r="20" ht="15" customHeight="1" spans="1:41">
      <c r="A20" s="55"/>
      <c r="B20" s="50">
        <v>6</v>
      </c>
      <c r="C20" s="50"/>
      <c r="D20" s="51"/>
      <c r="E20" s="51"/>
      <c r="F20" s="51"/>
      <c r="G20" s="51"/>
      <c r="H20" s="51"/>
      <c r="I20" s="51" t="s">
        <v>38</v>
      </c>
      <c r="J20" s="52">
        <v>0.0023</v>
      </c>
      <c r="K20" s="52">
        <v>0.0035</v>
      </c>
      <c r="L20" s="52">
        <v>0.0027</v>
      </c>
      <c r="M20" s="52">
        <v>0.0041</v>
      </c>
      <c r="N20" s="52">
        <v>0.004</v>
      </c>
      <c r="O20" s="52">
        <v>0.0024</v>
      </c>
      <c r="P20" s="52">
        <v>0.0018</v>
      </c>
      <c r="Q20" s="52">
        <v>0.0016</v>
      </c>
      <c r="R20" s="52">
        <v>0.0017</v>
      </c>
      <c r="S20" s="52">
        <v>0.0032</v>
      </c>
      <c r="T20" s="52">
        <v>0.0017</v>
      </c>
      <c r="U20" s="52"/>
      <c r="V20" s="52"/>
      <c r="W20" s="52"/>
      <c r="X20" s="52"/>
      <c r="Y20" s="52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</row>
    <row r="21" spans="1:4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1:AO21"/>
    <mergeCell ref="A2:A3"/>
    <mergeCell ref="A4:A6"/>
    <mergeCell ref="A7:A2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T7">
    <cfRule type="cellIs" dxfId="0" priority="4" operator="notBetween">
      <formula>$G7</formula>
      <formula>$H7</formula>
    </cfRule>
  </conditionalFormatting>
  <conditionalFormatting sqref="U7">
    <cfRule type="cellIs" dxfId="0" priority="2" operator="notBetween">
      <formula>$G7</formula>
      <formula>$H7</formula>
    </cfRule>
  </conditionalFormatting>
  <conditionalFormatting sqref="J8:N8">
    <cfRule type="cellIs" dxfId="0" priority="6" operator="notBetween">
      <formula>$G8</formula>
      <formula>$H8</formula>
    </cfRule>
  </conditionalFormatting>
  <conditionalFormatting sqref="Q8">
    <cfRule type="cellIs" dxfId="0" priority="5" operator="notBetween">
      <formula>$G8</formula>
      <formula>$H8</formula>
    </cfRule>
  </conditionalFormatting>
  <conditionalFormatting sqref="T8">
    <cfRule type="cellIs" dxfId="0" priority="3" operator="notBetween">
      <formula>$G8</formula>
      <formula>$H8</formula>
    </cfRule>
  </conditionalFormatting>
  <conditionalFormatting sqref="U8">
    <cfRule type="cellIs" dxfId="0" priority="1" operator="notBetween">
      <formula>$G8</formula>
      <formula>$H8</formula>
    </cfRule>
  </conditionalFormatting>
  <conditionalFormatting sqref="Q13">
    <cfRule type="cellIs" dxfId="0" priority="9" operator="notBetween">
      <formula>$G13</formula>
      <formula>$H13</formula>
    </cfRule>
  </conditionalFormatting>
  <conditionalFormatting sqref="O14">
    <cfRule type="cellIs" dxfId="0" priority="237" operator="notBetween">
      <formula>$G14</formula>
      <formula>$H14</formula>
    </cfRule>
  </conditionalFormatting>
  <conditionalFormatting sqref="P14">
    <cfRule type="cellIs" dxfId="0" priority="236" operator="notBetween">
      <formula>$G14</formula>
      <formula>$H14</formula>
    </cfRule>
  </conditionalFormatting>
  <conditionalFormatting sqref="Q14">
    <cfRule type="cellIs" dxfId="0" priority="10" operator="notBetween">
      <formula>$G14</formula>
      <formula>$H14</formula>
    </cfRule>
  </conditionalFormatting>
  <conditionalFormatting sqref="R14">
    <cfRule type="cellIs" dxfId="0" priority="234" operator="notBetween">
      <formula>$G14</formula>
      <formula>$H14</formula>
    </cfRule>
  </conditionalFormatting>
  <conditionalFormatting sqref="S14">
    <cfRule type="cellIs" dxfId="0" priority="233" operator="notBetween">
      <formula>$G14</formula>
      <formula>$H14</formula>
    </cfRule>
  </conditionalFormatting>
  <conditionalFormatting sqref="T14">
    <cfRule type="cellIs" dxfId="0" priority="232" operator="notBetween">
      <formula>$G14</formula>
      <formula>$H14</formula>
    </cfRule>
  </conditionalFormatting>
  <conditionalFormatting sqref="U14">
    <cfRule type="cellIs" dxfId="0" priority="231" operator="notBetween">
      <formula>$G14</formula>
      <formula>$H14</formula>
    </cfRule>
  </conditionalFormatting>
  <conditionalFormatting sqref="V14">
    <cfRule type="cellIs" dxfId="0" priority="230" operator="notBetween">
      <formula>$G14</formula>
      <formula>$H14</formula>
    </cfRule>
  </conditionalFormatting>
  <conditionalFormatting sqref="W14">
    <cfRule type="cellIs" dxfId="0" priority="229" operator="notBetween">
      <formula>$G14</formula>
      <formula>$H14</formula>
    </cfRule>
  </conditionalFormatting>
  <conditionalFormatting sqref="X14">
    <cfRule type="cellIs" dxfId="0" priority="228" operator="notBetween">
      <formula>$G14</formula>
      <formula>$H14</formula>
    </cfRule>
  </conditionalFormatting>
  <conditionalFormatting sqref="Y14">
    <cfRule type="cellIs" dxfId="0" priority="227" operator="notBetween">
      <formula>$G14</formula>
      <formula>$H14</formula>
    </cfRule>
  </conditionalFormatting>
  <conditionalFormatting sqref="Q10:Q11">
    <cfRule type="cellIs" dxfId="0" priority="11" operator="notBetween">
      <formula>$G10</formula>
      <formula>$H10</formula>
    </cfRule>
  </conditionalFormatting>
  <conditionalFormatting sqref="J7:S7 V7:Y7">
    <cfRule type="cellIs" dxfId="0" priority="8" operator="notBetween">
      <formula>$G7</formula>
      <formula>$H7</formula>
    </cfRule>
  </conditionalFormatting>
  <conditionalFormatting sqref="O8:P8 R8:S8 V8:Y8">
    <cfRule type="cellIs" dxfId="0" priority="7" operator="notBetween">
      <formula>$G8</formula>
      <formula>$H8</formula>
    </cfRule>
  </conditionalFormatting>
  <conditionalFormatting sqref="J9:Y9 J12:Y12">
    <cfRule type="cellIs" dxfId="0" priority="320" operator="notBetween">
      <formula>$G9</formula>
      <formula>$H9</formula>
    </cfRule>
  </conditionalFormatting>
  <conditionalFormatting sqref="J10:N11 J13:N14">
    <cfRule type="cellIs" dxfId="0" priority="12" operator="notBetween">
      <formula>$G10</formula>
      <formula>$H10</formula>
    </cfRule>
  </conditionalFormatting>
  <conditionalFormatting sqref="O10:P11 R10:Y11">
    <cfRule type="cellIs" dxfId="0" priority="273" operator="notBetween">
      <formula>$G10</formula>
      <formula>$H10</formula>
    </cfRule>
  </conditionalFormatting>
  <conditionalFormatting sqref="O13:P13 R13:Y13">
    <cfRule type="cellIs" dxfId="0" priority="15" operator="notBetween">
      <formula>$G13</formula>
      <formula>$H13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2026-06-07T17:35:39Z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