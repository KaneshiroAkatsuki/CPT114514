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9" sheetId="8" r:id="rId1"/>
  </sheets>
  <definedNames>
    <definedName name="_xlnm.Print_Area" localSheetId="0">'806-65039'!$B$1:$AE$6</definedName>
    <definedName name="_xlnm.Print_Titles" localSheetId="0">'806-65039'!$1:$6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<sst xmlns="http://schemas.openxmlformats.org/spreadsheetml/2006/main" count="56" uniqueCount="42">
  <si>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安徽中耀智能科技有限公司首件尺寸报告</t>
  </si>
  <si>
    <t>料号</t>
  </si>
  <si>
    <t>806-65039</t>
  </si>
  <si>
    <t>工单号</t>
  </si>
  <si>
    <t>WW132-260531009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</si>
  <si>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</si>
  <si>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</si>
  <si>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</si>
  <si>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</si>
  <si>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</si>
  <si>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</si>
  <si>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</si>
  <si>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CMM4#/OMM4#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</si>
  <si>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</si>
  <si>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</si>
  <si>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</si>
  <si>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</si>
  <si>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</si>
  <si>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</si>
  <si>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</si>
  <si>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</si>
  <si>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</si>
  <si>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</si>
  <si>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</si>
  <si>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</si>
  <si>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</si>
  <si>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</si>
  <si>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</si>
  <si>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复测8</t>
  </si>
  <si>
    <t>FAI20</t>
  </si>
  <si>
    <t>参考</t>
  </si>
  <si>
    <t>OMM</t>
  </si>
  <si>
    <t>FAI22</t>
  </si>
  <si>
    <t>FAI14</t>
  </si>
  <si>
    <t>N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</si>
  <si>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2</t>
    </r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</si>
  <si>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6</t>
    </r>
  </si>
  <si>
    <t>CMM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</si>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</sst>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Q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/>
      <c r="V6" s="46"/>
      <c r="W6" s="37"/>
      <c r="X6" s="46"/>
      <c r="Y6" s="46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复测8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46180</v>
      </c>
      <c r="B7" s="49" t="s">
        <v>29</v>
      </c>
      <c r="C7" s="49" t="s">
        <v>30</v>
      </c>
      <c r="D7" s="50">
        <v>8.2</v>
      </c>
      <c r="E7" s="50">
        <v>0.05</v>
      </c>
      <c r="F7" s="50">
        <v>-0.05</v>
      </c>
      <c r="G7" s="50">
        <f>D7+E7</f>
        <v>8.25</v>
      </c>
      <c r="H7" s="50">
        <f>D7+F7</f>
        <v>8.15</v>
      </c>
      <c r="I7" s="50" t="s">
        <v>31</v>
      </c>
      <c r="J7" s="51">
        <v>8.1644</v>
      </c>
      <c r="K7" s="51">
        <v>8.1642</v>
      </c>
      <c r="L7" s="51">
        <v>8.1415</v>
      </c>
      <c r="M7" s="51">
        <v>8.1615</v>
      </c>
      <c r="N7" s="51">
        <v>8.1584</v>
      </c>
      <c r="O7" s="51">
        <v>8.1563</v>
      </c>
      <c r="P7" s="51">
        <v>8.1371</v>
      </c>
      <c r="Q7" s="51">
        <v>8.1361</v>
      </c>
      <c r="R7" s="51">
        <v>8.1416</v>
      </c>
      <c r="S7" s="51">
        <v>8.1694</v>
      </c>
      <c r="T7" s="51">
        <v>8.1348</v>
      </c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>
        <f t="shared" si="1"/>
        <v>-0.00849999999999866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>
        <f t="shared" si="1"/>
        <v>-0.0128999999999991</v>
      </c>
      <c r="AG7" s="52">
        <f t="shared" si="1"/>
        <v>-0.0138999999999985</v>
      </c>
      <c r="AH7" s="52">
        <f t="shared" si="1"/>
        <v>-0.00839999999999889</v>
      </c>
      <c r="AI7" s="52" t="str">
        <f t="shared" si="1"/>
        <v>√</v>
      </c>
      <c r="AJ7" s="52">
        <f t="shared" si="1"/>
        <v>-0.015199999999999</v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53"/>
      <c r="B8" s="49" t="s">
        <v>32</v>
      </c>
      <c r="C8" s="49" t="s">
        <v>30</v>
      </c>
      <c r="D8" s="50">
        <v>5.58</v>
      </c>
      <c r="E8" s="50">
        <v>0.03</v>
      </c>
      <c r="F8" s="50">
        <v>-0.03</v>
      </c>
      <c r="G8" s="50">
        <f>D8+E8</f>
        <v>5.61</v>
      </c>
      <c r="H8" s="50">
        <f>D8+F8</f>
        <v>5.55</v>
      </c>
      <c r="I8" s="50" t="s">
        <v>31</v>
      </c>
      <c r="J8" s="51">
        <v>5.6313</v>
      </c>
      <c r="K8" s="51">
        <v>5.6274</v>
      </c>
      <c r="L8" s="51">
        <v>5.6317</v>
      </c>
      <c r="M8" s="51">
        <v>5.6288</v>
      </c>
      <c r="N8" s="51">
        <v>5.6334</v>
      </c>
      <c r="O8" s="51">
        <v>5.6217</v>
      </c>
      <c r="P8" s="51">
        <v>5.6233</v>
      </c>
      <c r="Q8" s="51">
        <v>5.6322</v>
      </c>
      <c r="R8" s="51">
        <v>5.6212</v>
      </c>
      <c r="S8" s="51">
        <v>5.6357</v>
      </c>
      <c r="T8" s="51">
        <v>5.6333</v>
      </c>
      <c r="U8" s="51"/>
      <c r="V8" s="51"/>
      <c r="W8" s="51"/>
      <c r="X8" s="51"/>
      <c r="Y8" s="51"/>
      <c r="Z8" s="52">
        <f t="shared" ref="Z8:AO8" si="2">IF(J8="","",IF(J8&gt;($D8+$E8),(J8-$D8-$E8),IF(J8&lt;($D8+$F8),(J8-$D8-$F8),"√")))</f>
        <v>0.0213000000000003</v>
      </c>
      <c r="AA8" s="52">
        <f t="shared" si="2"/>
        <v>0.0173999999999997</v>
      </c>
      <c r="AB8" s="52">
        <f t="shared" si="2"/>
        <v>0.0217000000000003</v>
      </c>
      <c r="AC8" s="52">
        <f t="shared" si="2"/>
        <v>0.0188</v>
      </c>
      <c r="AD8" s="52">
        <f t="shared" si="2"/>
        <v>0.0233999999999999</v>
      </c>
      <c r="AE8" s="52">
        <f t="shared" si="2"/>
        <v>0.0116999999999996</v>
      </c>
      <c r="AF8" s="52">
        <f t="shared" si="2"/>
        <v>0.0133000000000003</v>
      </c>
      <c r="AG8" s="52">
        <f t="shared" si="2"/>
        <v>0.0222</v>
      </c>
      <c r="AH8" s="52">
        <f t="shared" si="2"/>
        <v>0.0111999999999999</v>
      </c>
      <c r="AI8" s="52">
        <f t="shared" si="2"/>
        <v>0.0256999999999999</v>
      </c>
      <c r="AJ8" s="52">
        <f t="shared" si="2"/>
        <v>0.0233000000000001</v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53"/>
      <c r="B9" s="49" t="s">
        <v>33</v>
      </c>
      <c r="C9" s="49" t="s">
        <v>34</v>
      </c>
      <c r="D9" s="50">
        <v>0.5</v>
      </c>
      <c r="E9" s="50">
        <v>0.03</v>
      </c>
      <c r="F9" s="50">
        <v>-0.03</v>
      </c>
      <c r="G9" s="50">
        <f>D9+E9</f>
        <v>0.53</v>
      </c>
      <c r="H9" s="50">
        <f>D9+F9</f>
        <v>0.47</v>
      </c>
      <c r="I9" s="50" t="s">
        <v>31</v>
      </c>
      <c r="J9" s="51">
        <v>0.4972</v>
      </c>
      <c r="K9" s="51">
        <v>0.4969</v>
      </c>
      <c r="L9" s="51">
        <v>0.4939</v>
      </c>
      <c r="M9" s="51">
        <v>0.4964</v>
      </c>
      <c r="N9" s="51">
        <v>0.4927</v>
      </c>
      <c r="O9" s="51">
        <v>0.4951</v>
      </c>
      <c r="P9" s="51">
        <v>0.5061</v>
      </c>
      <c r="Q9" s="51">
        <v>0.4955</v>
      </c>
      <c r="R9" s="51">
        <v>0.5015</v>
      </c>
      <c r="S9" s="51">
        <v>0.5002</v>
      </c>
      <c r="T9" s="54" t="s">
        <v>35</v>
      </c>
      <c r="U9" s="54" t="s">
        <v>36</v>
      </c>
      <c r="V9" s="51"/>
      <c r="W9" s="51"/>
      <c r="X9" s="51"/>
      <c r="Y9" s="51"/>
      <c r="Z9" s="52" t="str">
        <f t="shared" ref="Z9:AO9" si="3">IF(J9="","",IF(J9&gt;($D9+$E9),(J9-$D9-$E9),IF(J9&lt;($D9+$F9),(J9-$D9-$F9),"√")))</f>
        <v>√</v>
      </c>
      <c r="AA9" s="52" t="str">
        <f t="shared" si="3"/>
        <v>√</v>
      </c>
      <c r="AB9" s="52" t="str">
        <f t="shared" si="3"/>
        <v>√</v>
      </c>
      <c r="AC9" s="52" t="str">
        <f t="shared" si="3"/>
        <v>√</v>
      </c>
      <c r="AD9" s="52" t="str">
        <f t="shared" si="3"/>
        <v>√</v>
      </c>
      <c r="AE9" s="52" t="str">
        <f t="shared" si="3"/>
        <v>√</v>
      </c>
      <c r="AF9" s="52" t="str">
        <f t="shared" si="3"/>
        <v>√</v>
      </c>
      <c r="AG9" s="52" t="str">
        <f t="shared" si="3"/>
        <v>√</v>
      </c>
      <c r="AH9" s="52" t="str">
        <f t="shared" si="3"/>
        <v>√</v>
      </c>
      <c r="AI9" s="52" t="str">
        <f t="shared" si="3"/>
        <v>√</v>
      </c>
      <c r="AJ9" s="52" t="e">
        <f t="shared" si="3"/>
        <v>#VALUE!</v>
      </c>
      <c r="AK9" s="52" t="e">
        <f t="shared" si="3"/>
        <v>#VALUE!</v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53"/>
      <c r="B10" s="49" t="s">
        <v>29</v>
      </c>
      <c r="C10" s="55"/>
      <c r="D10" s="50">
        <v>8.2</v>
      </c>
      <c r="E10" s="50">
        <v>0.05</v>
      </c>
      <c r="F10" s="50">
        <v>-0.05</v>
      </c>
      <c r="G10" s="50">
        <f>D10+E10</f>
        <v>8.25</v>
      </c>
      <c r="H10" s="50">
        <f>D10+F10</f>
        <v>8.15</v>
      </c>
      <c r="I10" s="50" t="s">
        <v>37</v>
      </c>
      <c r="J10" s="51">
        <v>8.1907</v>
      </c>
      <c r="K10" s="51">
        <v>8.1926</v>
      </c>
      <c r="L10" s="51">
        <v>8.1676</v>
      </c>
      <c r="M10" s="51">
        <v>8.1876</v>
      </c>
      <c r="N10" s="51">
        <v>8.1894</v>
      </c>
      <c r="O10" s="51">
        <v>8.1871</v>
      </c>
      <c r="P10" s="51">
        <v>8.1661</v>
      </c>
      <c r="Q10" s="51">
        <v>8.1683</v>
      </c>
      <c r="R10" s="51">
        <v>8.1699</v>
      </c>
      <c r="S10" s="51">
        <v>8.1923</v>
      </c>
      <c r="T10" s="51">
        <v>8.1925</v>
      </c>
      <c r="U10" s="51">
        <v>8.1871</v>
      </c>
      <c r="V10" s="51"/>
      <c r="W10" s="51"/>
      <c r="X10" s="51"/>
      <c r="Y10" s="51"/>
      <c r="Z10" s="52" t="str">
        <f t="shared" ref="Z10:AO10" si="4">IF(J10="","",IF(J10&gt;($D10+$E10),(J10-$D10-$E10),IF(J10&lt;($D10+$F10),(J10-$D10-$F10),"√")))</f>
        <v>√</v>
      </c>
      <c r="AA10" s="52" t="str">
        <f t="shared" si="4"/>
        <v>√</v>
      </c>
      <c r="AB10" s="52" t="str">
        <f t="shared" si="4"/>
        <v>√</v>
      </c>
      <c r="AC10" s="52" t="str">
        <f t="shared" si="4"/>
        <v>√</v>
      </c>
      <c r="AD10" s="52" t="str">
        <f t="shared" si="4"/>
        <v>√</v>
      </c>
      <c r="AE10" s="52" t="str">
        <f t="shared" si="4"/>
        <v>√</v>
      </c>
      <c r="AF10" s="52" t="str">
        <f t="shared" si="4"/>
        <v>√</v>
      </c>
      <c r="AG10" s="52" t="str">
        <f t="shared" si="4"/>
        <v>√</v>
      </c>
      <c r="AH10" s="52" t="str">
        <f t="shared" si="4"/>
        <v>√</v>
      </c>
      <c r="AI10" s="52" t="str">
        <f t="shared" si="4"/>
        <v>√</v>
      </c>
      <c r="AJ10" s="52" t="str">
        <f t="shared" si="4"/>
        <v>√</v>
      </c>
      <c r="AK10" s="52" t="str">
        <f t="shared" si="4"/>
        <v>√</v>
      </c>
      <c r="AL10" s="52" t="str">
        <f t="shared" si="4"/>
        <v/>
      </c>
      <c r="AM10" s="52" t="str">
        <f t="shared" si="4"/>
        <v/>
      </c>
      <c r="AN10" s="52" t="str">
        <f t="shared" si="4"/>
        <v/>
      </c>
      <c r="AO10" s="52" t="str">
        <f t="shared" si="4"/>
        <v/>
      </c>
    </row>
    <row r="11" ht="15" customHeight="1" spans="1:41">
      <c r="A11" s="53"/>
      <c r="B11" s="49" t="s">
        <v>32</v>
      </c>
      <c r="C11" s="55"/>
      <c r="D11" s="50">
        <v>5.58</v>
      </c>
      <c r="E11" s="50">
        <v>0.03</v>
      </c>
      <c r="F11" s="50">
        <v>-0.03</v>
      </c>
      <c r="G11" s="50">
        <f>D11+E11</f>
        <v>5.61</v>
      </c>
      <c r="H11" s="50">
        <f>D11+F11</f>
        <v>5.55</v>
      </c>
      <c r="I11" s="50" t="s">
        <v>37</v>
      </c>
      <c r="J11" s="51">
        <v>5.5126</v>
      </c>
      <c r="K11" s="51">
        <v>5.4988</v>
      </c>
      <c r="L11" s="51">
        <v>5.5189</v>
      </c>
      <c r="M11" s="51">
        <v>5.5117</v>
      </c>
      <c r="N11" s="51">
        <v>5.5039</v>
      </c>
      <c r="O11" s="51">
        <v>5.4983</v>
      </c>
      <c r="P11" s="51">
        <v>5.5145</v>
      </c>
      <c r="Q11" s="51">
        <v>5.5134</v>
      </c>
      <c r="R11" s="51">
        <v>5.5236</v>
      </c>
      <c r="S11" s="51">
        <v>5.513</v>
      </c>
      <c r="T11" s="51">
        <v>5.4973</v>
      </c>
      <c r="U11" s="51">
        <v>5.498</v>
      </c>
      <c r="V11" s="51"/>
      <c r="W11" s="51"/>
      <c r="X11" s="51"/>
      <c r="Y11" s="51"/>
      <c r="Z11" s="52">
        <f t="shared" ref="Z11:AO11" si="5">IF(J11="","",IF(J11&gt;($D11+$E11),(J11-$D11-$E11),IF(J11&lt;($D11+$F11),(J11-$D11-$F11),"√")))</f>
        <v>-0.0374000000000001</v>
      </c>
      <c r="AA11" s="52">
        <f t="shared" si="5"/>
        <v>-0.0511999999999999</v>
      </c>
      <c r="AB11" s="52">
        <f t="shared" si="5"/>
        <v>-0.0310999999999997</v>
      </c>
      <c r="AC11" s="52">
        <f t="shared" si="5"/>
        <v>-0.0382999999999998</v>
      </c>
      <c r="AD11" s="52">
        <f t="shared" si="5"/>
        <v>-0.0461000000000003</v>
      </c>
      <c r="AE11" s="52">
        <f t="shared" si="5"/>
        <v>-0.0516999999999997</v>
      </c>
      <c r="AF11" s="52">
        <f t="shared" si="5"/>
        <v>-0.0355000000000001</v>
      </c>
      <c r="AG11" s="52">
        <f t="shared" si="5"/>
        <v>-0.0366000000000002</v>
      </c>
      <c r="AH11" s="52">
        <f t="shared" si="5"/>
        <v>-0.0264</v>
      </c>
      <c r="AI11" s="52">
        <f t="shared" si="5"/>
        <v>-0.0370000000000002</v>
      </c>
      <c r="AJ11" s="52">
        <f t="shared" si="5"/>
        <v>-0.0527</v>
      </c>
      <c r="AK11" s="52">
        <f t="shared" si="5"/>
        <v>-0.0519999999999999</v>
      </c>
      <c r="AL11" s="52" t="str">
        <f t="shared" si="5"/>
        <v/>
      </c>
      <c r="AM11" s="52" t="str">
        <f t="shared" si="5"/>
        <v/>
      </c>
      <c r="AN11" s="52" t="str">
        <f t="shared" si="5"/>
        <v/>
      </c>
      <c r="AO11" s="52" t="str">
        <f t="shared" si="5"/>
        <v/>
      </c>
    </row>
    <row r="12" ht="15" customHeight="1" spans="1:41">
      <c r="A12" s="53"/>
      <c r="B12" s="49" t="s">
        <v>38</v>
      </c>
      <c r="C12" s="49" t="s">
        <v>39</v>
      </c>
      <c r="D12" s="50">
        <v>3.34</v>
      </c>
      <c r="E12" s="50">
        <v>0.03</v>
      </c>
      <c r="F12" s="50">
        <v>-0.03</v>
      </c>
      <c r="G12" s="50">
        <f t="shared" ref="G12:G13" si="6">D12+E12</f>
        <v>3.37</v>
      </c>
      <c r="H12" s="50">
        <f t="shared" ref="H12:H13" si="7">D12+F12</f>
        <v>3.31</v>
      </c>
      <c r="I12" s="50" t="s">
        <v>37</v>
      </c>
      <c r="J12" s="51">
        <v>3.3245</v>
      </c>
      <c r="K12" s="51">
        <v>3.3209</v>
      </c>
      <c r="L12" s="51">
        <v>3.3235</v>
      </c>
      <c r="M12" s="51">
        <v>3.3234</v>
      </c>
      <c r="N12" s="51">
        <v>3.323</v>
      </c>
      <c r="O12" s="51">
        <v>3.3216</v>
      </c>
      <c r="P12" s="51">
        <v>3.3239</v>
      </c>
      <c r="Q12" s="51">
        <v>3.3251</v>
      </c>
      <c r="R12" s="51">
        <v>3.3239</v>
      </c>
      <c r="S12" s="51">
        <v>3.3254</v>
      </c>
      <c r="T12" s="51">
        <v>3.3204</v>
      </c>
      <c r="U12" s="51">
        <v>3.3195</v>
      </c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>√</v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53"/>
      <c r="B13" s="49" t="s">
        <v>40</v>
      </c>
      <c r="C13" s="49" t="s">
        <v>41</v>
      </c>
      <c r="D13" s="50">
        <v>0</v>
      </c>
      <c r="E13" s="50">
        <v>0.05</v>
      </c>
      <c r="F13" s="50">
        <v>0</v>
      </c>
      <c r="G13" s="50">
        <f t="shared" si="6"/>
        <v>0.05</v>
      </c>
      <c r="H13" s="50">
        <f t="shared" si="7"/>
        <v>0</v>
      </c>
      <c r="I13" s="50" t="s">
        <v>37</v>
      </c>
      <c r="J13" s="51">
        <v>0.0076</v>
      </c>
      <c r="K13" s="51">
        <v>0.0082</v>
      </c>
      <c r="L13" s="51">
        <v>0.0031</v>
      </c>
      <c r="M13" s="51">
        <v>0.0079</v>
      </c>
      <c r="N13" s="51">
        <v>0.0083</v>
      </c>
      <c r="O13" s="51">
        <v>0.007</v>
      </c>
      <c r="P13" s="51">
        <v>0.0028</v>
      </c>
      <c r="Q13" s="51">
        <v>0.0036</v>
      </c>
      <c r="R13" s="51">
        <v>0.0042</v>
      </c>
      <c r="S13" s="51">
        <v>0.0073</v>
      </c>
      <c r="T13" s="51">
        <v>0.0078</v>
      </c>
      <c r="U13" s="51">
        <v>0.0069</v>
      </c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>√</v>
      </c>
      <c r="AJ13" s="52" t="str">
        <f t="shared" si="9"/>
        <v>√</v>
      </c>
      <c r="AK13" s="52" t="str">
        <f t="shared" si="9"/>
        <v>√</v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53"/>
      <c r="B14" s="50">
        <v>1</v>
      </c>
      <c r="C14" s="50"/>
      <c r="D14" s="50"/>
      <c r="E14" s="50"/>
      <c r="F14" s="50"/>
      <c r="G14" s="50"/>
      <c r="H14" s="50"/>
      <c r="I14" s="50" t="s">
        <v>37</v>
      </c>
      <c r="J14" s="51">
        <v>0.0012</v>
      </c>
      <c r="K14" s="51">
        <v>0.0013</v>
      </c>
      <c r="L14" s="51">
        <v>-0.0001</v>
      </c>
      <c r="M14" s="51">
        <v>0.0023</v>
      </c>
      <c r="N14" s="51">
        <v>0.0016</v>
      </c>
      <c r="O14" s="51">
        <v>0.0019</v>
      </c>
      <c r="P14" s="51">
        <v>0.0005</v>
      </c>
      <c r="Q14" s="51">
        <v>0.0005</v>
      </c>
      <c r="R14" s="51">
        <v>0.0017</v>
      </c>
      <c r="S14" s="51">
        <v>0.0018</v>
      </c>
      <c r="T14" s="51">
        <v>0.0013</v>
      </c>
      <c r="U14" s="51">
        <v>0.0016</v>
      </c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53"/>
      <c r="B15" s="50">
        <v>2</v>
      </c>
      <c r="C15" s="50"/>
      <c r="D15" s="50"/>
      <c r="E15" s="50"/>
      <c r="F15" s="50"/>
      <c r="G15" s="50"/>
      <c r="H15" s="50"/>
      <c r="I15" s="50" t="s">
        <v>37</v>
      </c>
      <c r="J15" s="51">
        <v>0.0006</v>
      </c>
      <c r="K15" s="51">
        <v>0.0005</v>
      </c>
      <c r="L15" s="51">
        <v>0.0001</v>
      </c>
      <c r="M15" s="51">
        <v>-0.0006</v>
      </c>
      <c r="N15" s="51">
        <v>0.0001</v>
      </c>
      <c r="O15" s="51">
        <v>-0.0014</v>
      </c>
      <c r="P15" s="51">
        <v>0.0003</v>
      </c>
      <c r="Q15" s="51">
        <v>0.0004</v>
      </c>
      <c r="R15" s="51">
        <v>0.0006</v>
      </c>
      <c r="S15" s="51">
        <v>-0.0003</v>
      </c>
      <c r="T15" s="51">
        <v>0.0003</v>
      </c>
      <c r="U15" s="51">
        <v>-0.0014</v>
      </c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53"/>
      <c r="B16" s="50">
        <v>3</v>
      </c>
      <c r="C16" s="50"/>
      <c r="D16" s="50"/>
      <c r="E16" s="50"/>
      <c r="F16" s="50"/>
      <c r="G16" s="50"/>
      <c r="H16" s="50"/>
      <c r="I16" s="50" t="s">
        <v>37</v>
      </c>
      <c r="J16" s="51">
        <v>0.0003</v>
      </c>
      <c r="K16" s="51">
        <v>0.0005</v>
      </c>
      <c r="L16" s="51">
        <v>0.0015</v>
      </c>
      <c r="M16" s="51">
        <v>0.0001</v>
      </c>
      <c r="N16" s="51">
        <v>0.0006</v>
      </c>
      <c r="O16" s="51">
        <v>0.0011</v>
      </c>
      <c r="P16" s="51">
        <v>-0.0001</v>
      </c>
      <c r="Q16" s="51">
        <v>0.0002</v>
      </c>
      <c r="R16" s="51">
        <v>-0.0024</v>
      </c>
      <c r="S16" s="51">
        <v>0.0003</v>
      </c>
      <c r="T16" s="51">
        <v>0.0007</v>
      </c>
      <c r="U16" s="51">
        <v>0.0016</v>
      </c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3"/>
      <c r="B17" s="50">
        <v>4</v>
      </c>
      <c r="C17" s="50"/>
      <c r="D17" s="50"/>
      <c r="E17" s="50"/>
      <c r="F17" s="50"/>
      <c r="G17" s="50"/>
      <c r="H17" s="50"/>
      <c r="I17" s="50" t="s">
        <v>37</v>
      </c>
      <c r="J17" s="51">
        <v>-0.0041</v>
      </c>
      <c r="K17" s="51">
        <v>-0.0044</v>
      </c>
      <c r="L17" s="51">
        <v>-0.0015</v>
      </c>
      <c r="M17" s="51">
        <v>-0.0036</v>
      </c>
      <c r="N17" s="51">
        <v>-0.0042</v>
      </c>
      <c r="O17" s="51">
        <v>-0.0026</v>
      </c>
      <c r="P17" s="51">
        <v>-0.0015</v>
      </c>
      <c r="Q17" s="51">
        <v>-0.002</v>
      </c>
      <c r="R17" s="51">
        <v>-0.0024</v>
      </c>
      <c r="S17" s="51">
        <v>-0.0035</v>
      </c>
      <c r="T17" s="51">
        <v>-0.0041</v>
      </c>
      <c r="U17" s="51">
        <v>-0.0024</v>
      </c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53"/>
      <c r="B18" s="50">
        <v>5</v>
      </c>
      <c r="C18" s="50"/>
      <c r="D18" s="50"/>
      <c r="E18" s="50"/>
      <c r="F18" s="50"/>
      <c r="G18" s="50"/>
      <c r="H18" s="50"/>
      <c r="I18" s="50" t="s">
        <v>37</v>
      </c>
      <c r="J18" s="51">
        <v>-0.0015</v>
      </c>
      <c r="K18" s="51">
        <v>-0.0018</v>
      </c>
      <c r="L18" s="51">
        <v>-0.0014</v>
      </c>
      <c r="M18" s="51">
        <v>-0.0023</v>
      </c>
      <c r="N18" s="51">
        <v>-0.0021</v>
      </c>
      <c r="O18" s="51">
        <v>-0.003</v>
      </c>
      <c r="P18" s="51">
        <v>-0.0004</v>
      </c>
      <c r="Q18" s="51">
        <v>-0.0007</v>
      </c>
      <c r="R18" s="51">
        <v>0.0007</v>
      </c>
      <c r="S18" s="51">
        <v>-0.0021</v>
      </c>
      <c r="T18" s="51">
        <v>-0.002</v>
      </c>
      <c r="U18" s="51">
        <v>-0.0032</v>
      </c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56"/>
      <c r="B19" s="50">
        <v>6</v>
      </c>
      <c r="C19" s="50"/>
      <c r="D19" s="50"/>
      <c r="E19" s="50"/>
      <c r="F19" s="50"/>
      <c r="G19" s="50"/>
      <c r="H19" s="50"/>
      <c r="I19" s="50" t="s">
        <v>37</v>
      </c>
      <c r="J19" s="51">
        <v>0.0035</v>
      </c>
      <c r="K19" s="51">
        <v>0.0039</v>
      </c>
      <c r="L19" s="51">
        <v>0.0015</v>
      </c>
      <c r="M19" s="51">
        <v>0.0043</v>
      </c>
      <c r="N19" s="51">
        <v>0.0041</v>
      </c>
      <c r="O19" s="51">
        <v>0.004</v>
      </c>
      <c r="P19" s="51">
        <v>0.0012</v>
      </c>
      <c r="Q19" s="51">
        <v>0.0016</v>
      </c>
      <c r="R19" s="51">
        <v>0.0017</v>
      </c>
      <c r="S19" s="51">
        <v>0.0038</v>
      </c>
      <c r="T19" s="51">
        <v>0.0038</v>
      </c>
      <c r="U19" s="51">
        <v>0.0038</v>
      </c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spans="1:4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0:AO20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T7">
    <cfRule type="cellIs" dxfId="0" priority="1" operator="notBetween">
      <formula>$G7</formula>
      <formula>$H7</formula>
    </cfRule>
  </conditionalFormatting>
  <conditionalFormatting sqref="T8">
    <cfRule type="cellIs" dxfId="0" priority="2" operator="notBetween">
      <formula>$G8</formula>
      <formula>$H8</formula>
    </cfRule>
  </conditionalFormatting>
  <conditionalFormatting sqref="O13">
    <cfRule type="cellIs" dxfId="0" priority="17" operator="notBetween">
      <formula>$G13</formula>
      <formula>$H13</formula>
    </cfRule>
  </conditionalFormatting>
  <conditionalFormatting sqref="Q13">
    <cfRule type="cellIs" dxfId="0" priority="30" operator="notBetween">
      <formula>$G13</formula>
      <formula>$H13</formula>
    </cfRule>
  </conditionalFormatting>
  <conditionalFormatting sqref="J7:S7 U7:Y7">
    <cfRule type="cellIs" dxfId="0" priority="3" operator="notBetween">
      <formula>$G7</formula>
      <formula>$H7</formula>
    </cfRule>
  </conditionalFormatting>
  <conditionalFormatting sqref="J8:S8 U8:Y8">
    <cfRule type="cellIs" dxfId="0" priority="4" operator="notBetween">
      <formula>$G8</formula>
      <formula>$H8</formula>
    </cfRule>
  </conditionalFormatting>
  <conditionalFormatting sqref="J9:Y10 J12:Y12 L13">
    <cfRule type="cellIs" dxfId="0" priority="43" operator="notBetween">
      <formula>$G9</formula>
      <formula>$H9</formula>
    </cfRule>
  </conditionalFormatting>
  <conditionalFormatting sqref="J11:Y11 J13:K13 M13:N13 P13 R13:Y13">
    <cfRule type="cellIs" dxfId="0" priority="120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2026-06-07T21:00:26Z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