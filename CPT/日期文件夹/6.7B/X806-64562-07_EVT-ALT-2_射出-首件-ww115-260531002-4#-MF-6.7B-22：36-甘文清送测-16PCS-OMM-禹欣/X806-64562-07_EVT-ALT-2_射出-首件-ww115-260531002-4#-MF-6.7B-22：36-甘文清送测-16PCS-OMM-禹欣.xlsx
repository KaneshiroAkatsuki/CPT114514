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2" sheetId="8" r:id="rId1"/>
  </sheets>
  <definedNames>
    <definedName name="_xlnm.Print_Area" localSheetId="0">'X806-64562'!$B$1:$AE$6</definedName>
    <definedName name="_xlnm.Print_Titles" localSheetId="0">'X806-64562'!$1:$6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<sst xmlns="http://schemas.openxmlformats.org/spreadsheetml/2006/main" count="45" uniqueCount="38">
  <si>
    <t>安徽中耀智能科技有限公司首件尺寸报告</t>
  </si>
  <si>
    <t>料号</t>
  </si>
  <si>
    <t>X806-64562</t>
  </si>
  <si>
    <t>工单号</t>
  </si>
  <si>
    <t>ww115-260531002</t>
  </si>
  <si>
    <t>工站</t>
  </si>
  <si>
    <t>射出机台号</t>
  </si>
  <si>
    <t>测量机台</t>
  </si>
  <si>
    <t>测量人员</t>
  </si>
  <si>
    <t>审核</t>
  </si>
  <si>
    <t>射出</t>
  </si>
  <si>
    <t>4#</t>
  </si>
  <si>
    <t>OMM4#</t>
  </si>
  <si>
    <t>禹欣</t>
  </si>
  <si>
    <t>陈跃进</t>
  </si>
  <si>
    <t>日期</t>
  </si>
  <si>
    <t>尺寸编号</t>
  </si>
  <si>
    <r>
      <rPr>
        <b/>
        <sz val="9"/>
        <rFont val="宋体"/>
        <charset val="134"/>
      </rPr>
      <t>S</t>
    </r>
    <r>
      <rPr>
        <b/>
        <sz val="9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</si>
  <si>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</si>
  <si>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</si>
  <si>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</si>
  <si>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</si>
  <si>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</si>
  <si>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</si>
  <si>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</si>
  <si>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</si>
  <si>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</si>
  <si>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</si>
  <si>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35-1</t>
  </si>
  <si>
    <t>OMM</t>
  </si>
  <si>
    <t>FAI 35-2</t>
  </si>
  <si>
    <t>FAI 6</t>
  </si>
  <si>
    <t>FAI5.1</t>
  </si>
  <si>
    <t>FAI5.2</t>
  </si>
  <si>
    <t>FAI 17</t>
  </si>
  <si>
    <t>Q</t>
  </si>
  <si>
    <t>FAI22.1</t>
  </si>
  <si>
    <t>FAI22.2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</si>
</sst>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0" fontId="3" fillId="0" borderId="4" xfId="60" applyFont="1" applyFill="1" applyBorder="1" applyAlignment="1" applyProtection="1">
      <alignment horizontal="center" vertical="center"/>
      <protection locked="0"/>
    </xf>
    <xf numFmtId="49" fontId="2" fillId="0" borderId="2" xfId="60" applyNumberFormat="1" applyFont="1" applyFill="1" applyBorder="1" applyAlignment="1">
      <alignment horizontal="center" vertical="center"/>
    </xf>
    <xf numFmtId="49" fontId="2" fillId="0" borderId="3" xfId="60" applyNumberFormat="1" applyFont="1" applyFill="1" applyBorder="1" applyAlignment="1">
      <alignment horizontal="center" vertical="center"/>
    </xf>
    <xf numFmtId="49" fontId="2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5" xfId="60" applyNumberFormat="1" applyFont="1" applyFill="1" applyBorder="1" applyAlignment="1">
      <alignment horizontal="center" vertical="center"/>
    </xf>
    <xf numFmtId="49" fontId="3" fillId="0" borderId="6" xfId="60" applyNumberFormat="1" applyFont="1" applyFill="1" applyBorder="1" applyAlignment="1">
      <alignment horizontal="center" vertical="center"/>
    </xf>
    <xf numFmtId="49" fontId="3" fillId="0" borderId="7" xfId="60" applyNumberFormat="1" applyFont="1" applyFill="1" applyBorder="1" applyAlignment="1">
      <alignment horizontal="center" vertical="center"/>
    </xf>
    <xf numFmtId="49" fontId="4" fillId="0" borderId="5" xfId="60" applyNumberFormat="1" applyFont="1" applyFill="1" applyBorder="1" applyAlignment="1" applyProtection="1">
      <alignment horizontal="center" vertical="center"/>
      <protection locked="0"/>
    </xf>
    <xf numFmtId="49" fontId="4" fillId="0" borderId="6" xfId="60" applyNumberFormat="1" applyFont="1" applyFill="1" applyBorder="1" applyAlignment="1" applyProtection="1">
      <alignment horizontal="center" vertical="center"/>
      <protection locked="0"/>
    </xf>
    <xf numFmtId="49" fontId="4" fillId="0" borderId="7" xfId="60" applyNumberFormat="1" applyFont="1" applyFill="1" applyBorder="1" applyAlignment="1" applyProtection="1">
      <alignment horizontal="center" vertical="center"/>
      <protection locked="0"/>
    </xf>
    <xf numFmtId="49" fontId="3" fillId="0" borderId="5" xfId="79" applyNumberFormat="1" applyFont="1" applyFill="1" applyBorder="1" applyAlignment="1">
      <alignment horizontal="center" vertical="center"/>
    </xf>
    <xf numFmtId="49" fontId="3" fillId="0" borderId="6" xfId="79" applyNumberFormat="1" applyFont="1" applyFill="1" applyBorder="1" applyAlignment="1">
      <alignment horizontal="center" vertical="center"/>
    </xf>
    <xf numFmtId="49" fontId="3" fillId="0" borderId="7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176" fontId="3" fillId="0" borderId="5" xfId="79" applyNumberFormat="1" applyFont="1" applyFill="1" applyBorder="1" applyAlignment="1">
      <alignment horizontal="center" vertical="center"/>
    </xf>
    <xf numFmtId="176" fontId="3" fillId="0" borderId="6" xfId="79" applyNumberFormat="1" applyFont="1" applyFill="1" applyBorder="1" applyAlignment="1">
      <alignment horizontal="center" vertical="center"/>
    </xf>
    <xf numFmtId="176" fontId="3" fillId="0" borderId="7" xfId="79" applyNumberFormat="1" applyFont="1" applyFill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14" fontId="9" fillId="0" borderId="0" xfId="0" applyNumberFormat="1" applyFont="1" applyAlignment="1">
      <alignment vertical="center" wrapText="1"/>
    </xf>
    <xf numFmtId="0" fontId="10" fillId="0" borderId="0" xfId="53" applyFont="1" applyAlignment="1">
      <alignment horizontal="center" vertical="center"/>
    </xf>
    <xf numFmtId="0" fontId="11" fillId="0" borderId="0" xfId="59" applyFont="1" applyAlignment="1">
      <alignment horizontal="center" vertical="center"/>
    </xf>
    <xf numFmtId="0" fontId="11" fillId="0" borderId="0" xfId="59" applyFont="1" applyFill="1" applyAlignment="1">
      <alignment horizontal="center" vertical="center"/>
    </xf>
    <xf numFmtId="177" fontId="10" fillId="2" borderId="0" xfId="61" applyNumberFormat="1" applyFont="1" applyFill="1" applyAlignment="1">
      <alignment horizontal="center" vertical="center"/>
    </xf>
    <xf numFmtId="0" fontId="12" fillId="3" borderId="0" xfId="60" applyFont="1" applyFill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241714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1000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"/>
  <sheetViews>
    <sheetView tabSelected="1" workbookViewId="0">
      <selection activeCell="L2" sqref="L2:R3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25" t="s">
        <v>11</v>
      </c>
      <c r="Z3" s="26"/>
      <c r="AA3" s="26"/>
      <c r="AB3" s="26"/>
      <c r="AC3" s="26"/>
      <c r="AD3" s="27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ht="16.5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6">
        <v>14</v>
      </c>
      <c r="X6" s="47">
        <v>15</v>
      </c>
      <c r="Y6" s="47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>
        <f t="shared" si="0"/>
        <v>11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46179</v>
      </c>
      <c r="B7" s="50" t="s">
        <v>28</v>
      </c>
      <c r="C7" s="50"/>
      <c r="D7" s="51">
        <v>0.8</v>
      </c>
      <c r="E7" s="51">
        <v>0.03</v>
      </c>
      <c r="F7" s="51">
        <v>-0.03</v>
      </c>
      <c r="G7" s="52">
        <f>D7+E7</f>
        <v>0.83</v>
      </c>
      <c r="H7" s="52">
        <f>D7+F7</f>
        <v>0.77</v>
      </c>
      <c r="I7" s="51" t="s">
        <v>29</v>
      </c>
      <c r="J7" s="53">
        <v>0.7975</v>
      </c>
      <c r="K7" s="53">
        <v>0.798</v>
      </c>
      <c r="L7" s="53">
        <v>0.7969</v>
      </c>
      <c r="M7" s="53">
        <v>0.7981</v>
      </c>
      <c r="N7" s="53">
        <v>0.8056</v>
      </c>
      <c r="O7" s="53">
        <v>0.7963</v>
      </c>
      <c r="P7" s="53">
        <v>0.7972</v>
      </c>
      <c r="Q7" s="53">
        <v>0.7974</v>
      </c>
      <c r="R7" s="53">
        <v>0.7973</v>
      </c>
      <c r="S7" s="53">
        <v>0.7983</v>
      </c>
      <c r="T7" s="53">
        <v>0.7965</v>
      </c>
      <c r="U7" s="53">
        <v>0.7983</v>
      </c>
      <c r="V7" s="53">
        <v>0.8055</v>
      </c>
      <c r="W7" s="53">
        <v>0.7965</v>
      </c>
      <c r="X7" s="53">
        <v>0.7983</v>
      </c>
      <c r="Y7" s="53">
        <v>0.7971</v>
      </c>
      <c r="Z7" s="54" t="str">
        <f t="shared" ref="Z7:AO7" si="1">IF(J7="","",IF(J7&gt;($D7+$E7),(J7-$D7-$E7),IF(J7&lt;($D7+$F7),(J7-$D7-$F7),"√")))</f>
        <v>√</v>
      </c>
      <c r="AA7" s="54" t="str">
        <f t="shared" si="1"/>
        <v>√</v>
      </c>
      <c r="AB7" s="54" t="str">
        <f t="shared" si="1"/>
        <v>√</v>
      </c>
      <c r="AC7" s="54" t="str">
        <f t="shared" si="1"/>
        <v>√</v>
      </c>
      <c r="AD7" s="54" t="str">
        <f t="shared" si="1"/>
        <v>√</v>
      </c>
      <c r="AE7" s="54" t="str">
        <f t="shared" si="1"/>
        <v>√</v>
      </c>
      <c r="AF7" s="54" t="str">
        <f t="shared" si="1"/>
        <v>√</v>
      </c>
      <c r="AG7" s="54" t="str">
        <f t="shared" si="1"/>
        <v>√</v>
      </c>
      <c r="AH7" s="54" t="str">
        <f t="shared" si="1"/>
        <v>√</v>
      </c>
      <c r="AI7" s="54" t="str">
        <f t="shared" si="1"/>
        <v>√</v>
      </c>
      <c r="AJ7" s="54" t="str">
        <f t="shared" si="1"/>
        <v>√</v>
      </c>
      <c r="AK7" s="54" t="str">
        <f t="shared" si="1"/>
        <v>√</v>
      </c>
      <c r="AL7" s="54" t="str">
        <f t="shared" si="1"/>
        <v>√</v>
      </c>
      <c r="AM7" s="54" t="str">
        <f t="shared" si="1"/>
        <v>√</v>
      </c>
      <c r="AN7" s="54" t="str">
        <f t="shared" si="1"/>
        <v>√</v>
      </c>
      <c r="AO7" s="54" t="str">
        <f t="shared" si="1"/>
        <v>√</v>
      </c>
    </row>
    <row r="8" ht="15" customHeight="1" spans="1:41">
      <c r="A8" s="55"/>
      <c r="B8" s="50" t="s">
        <v>30</v>
      </c>
      <c r="C8" s="50"/>
      <c r="D8" s="51">
        <v>0.8</v>
      </c>
      <c r="E8" s="51">
        <v>0.03</v>
      </c>
      <c r="F8" s="51">
        <v>-0.03</v>
      </c>
      <c r="G8" s="52">
        <f>D8+E8</f>
        <v>0.83</v>
      </c>
      <c r="H8" s="52">
        <f>D8+F8</f>
        <v>0.77</v>
      </c>
      <c r="I8" s="51" t="s">
        <v>29</v>
      </c>
      <c r="J8" s="53">
        <v>0.7935</v>
      </c>
      <c r="K8" s="53">
        <v>0.7943</v>
      </c>
      <c r="L8" s="53">
        <v>0.7933</v>
      </c>
      <c r="M8" s="53">
        <v>0.7947</v>
      </c>
      <c r="N8" s="53">
        <v>0.8019</v>
      </c>
      <c r="O8" s="53">
        <v>0.7929</v>
      </c>
      <c r="P8" s="53">
        <v>0.7942</v>
      </c>
      <c r="Q8" s="53">
        <v>0.7936</v>
      </c>
      <c r="R8" s="53">
        <v>0.7933</v>
      </c>
      <c r="S8" s="53">
        <v>0.7946</v>
      </c>
      <c r="T8" s="53">
        <v>0.7939</v>
      </c>
      <c r="U8" s="53">
        <v>0.7941</v>
      </c>
      <c r="V8" s="53">
        <v>0.8014</v>
      </c>
      <c r="W8" s="53">
        <v>0.7933</v>
      </c>
      <c r="X8" s="53">
        <v>0.7943</v>
      </c>
      <c r="Y8" s="53">
        <v>0.794</v>
      </c>
      <c r="Z8" s="54" t="str">
        <f t="shared" ref="Z8:AO8" si="2">IF(J8="","",IF(J8&gt;($D8+$E8),(J8-$D8-$E8),IF(J8&lt;($D8+$F8),(J8-$D8-$F8),"√")))</f>
        <v>√</v>
      </c>
      <c r="AA8" s="54" t="str">
        <f t="shared" si="2"/>
        <v>√</v>
      </c>
      <c r="AB8" s="54" t="str">
        <f t="shared" si="2"/>
        <v>√</v>
      </c>
      <c r="AC8" s="54" t="str">
        <f t="shared" si="2"/>
        <v>√</v>
      </c>
      <c r="AD8" s="54" t="str">
        <f t="shared" si="2"/>
        <v>√</v>
      </c>
      <c r="AE8" s="54" t="str">
        <f t="shared" si="2"/>
        <v>√</v>
      </c>
      <c r="AF8" s="54" t="str">
        <f t="shared" si="2"/>
        <v>√</v>
      </c>
      <c r="AG8" s="54" t="str">
        <f t="shared" si="2"/>
        <v>√</v>
      </c>
      <c r="AH8" s="54" t="str">
        <f t="shared" si="2"/>
        <v>√</v>
      </c>
      <c r="AI8" s="54" t="str">
        <f t="shared" si="2"/>
        <v>√</v>
      </c>
      <c r="AJ8" s="54" t="str">
        <f t="shared" si="2"/>
        <v>√</v>
      </c>
      <c r="AK8" s="54" t="str">
        <f t="shared" si="2"/>
        <v>√</v>
      </c>
      <c r="AL8" s="54" t="str">
        <f t="shared" si="2"/>
        <v>√</v>
      </c>
      <c r="AM8" s="54" t="str">
        <f t="shared" si="2"/>
        <v>√</v>
      </c>
      <c r="AN8" s="54" t="str">
        <f t="shared" si="2"/>
        <v>√</v>
      </c>
      <c r="AO8" s="54" t="str">
        <f t="shared" si="2"/>
        <v>√</v>
      </c>
    </row>
    <row r="9" ht="15" customHeight="1" spans="1:41">
      <c r="A9" s="55"/>
      <c r="B9" s="50" t="s">
        <v>31</v>
      </c>
      <c r="C9" s="50"/>
      <c r="D9" s="51">
        <v>1.85</v>
      </c>
      <c r="E9" s="51">
        <v>0.06</v>
      </c>
      <c r="F9" s="51">
        <v>-0.06</v>
      </c>
      <c r="G9" s="52">
        <f>D9+E9</f>
        <v>1.91</v>
      </c>
      <c r="H9" s="52">
        <f>D9+F9</f>
        <v>1.79</v>
      </c>
      <c r="I9" s="51" t="s">
        <v>29</v>
      </c>
      <c r="J9" s="53">
        <v>1.9063</v>
      </c>
      <c r="K9" s="53">
        <v>1.9001</v>
      </c>
      <c r="L9" s="53">
        <v>1.8656</v>
      </c>
      <c r="M9" s="53">
        <v>1.8887</v>
      </c>
      <c r="N9" s="53">
        <v>1.8496</v>
      </c>
      <c r="O9" s="53">
        <v>1.8907</v>
      </c>
      <c r="P9" s="53">
        <v>1.849</v>
      </c>
      <c r="Q9" s="53">
        <v>1.8897</v>
      </c>
      <c r="R9" s="53">
        <v>1.9043</v>
      </c>
      <c r="S9" s="53">
        <v>1.9009</v>
      </c>
      <c r="T9" s="53">
        <v>1.8922</v>
      </c>
      <c r="U9" s="53">
        <v>1.8868</v>
      </c>
      <c r="V9" s="53">
        <v>1.891</v>
      </c>
      <c r="W9" s="53">
        <v>1.8917</v>
      </c>
      <c r="X9" s="53">
        <v>1.8516</v>
      </c>
      <c r="Y9" s="53">
        <v>1.888</v>
      </c>
      <c r="Z9" s="54" t="str">
        <f t="shared" ref="Z9:AB9" si="3">IF(J9="","",IF(J9&gt;($D9+$E9),(J9-$D9-$E9),IF(J9&lt;($D9+$F9),(J9-$D9-$F9),"√")))</f>
        <v>√</v>
      </c>
      <c r="AA9" s="54" t="str">
        <f t="shared" si="3"/>
        <v>√</v>
      </c>
      <c r="AB9" s="54" t="str">
        <f t="shared" si="3"/>
        <v>√</v>
      </c>
      <c r="AC9" s="54" t="str">
        <f t="shared" ref="AC9:AO11" si="4">IF(M9="","",IF(M9&gt;($D9+$E9),(M9-$D9-$E9),IF(M9&lt;($D9+$F9),(M9-$D9-$F9),"√")))</f>
        <v>√</v>
      </c>
      <c r="AD9" s="54" t="str">
        <f t="shared" si="4"/>
        <v>√</v>
      </c>
      <c r="AE9" s="54" t="str">
        <f t="shared" si="4"/>
        <v>√</v>
      </c>
      <c r="AF9" s="54" t="str">
        <f t="shared" si="4"/>
        <v>√</v>
      </c>
      <c r="AG9" s="54" t="str">
        <f t="shared" si="4"/>
        <v>√</v>
      </c>
      <c r="AH9" s="54" t="str">
        <f t="shared" si="4"/>
        <v>√</v>
      </c>
      <c r="AI9" s="54" t="str">
        <f t="shared" si="4"/>
        <v>√</v>
      </c>
      <c r="AJ9" s="54" t="str">
        <f t="shared" si="4"/>
        <v>√</v>
      </c>
      <c r="AK9" s="54" t="str">
        <f t="shared" si="4"/>
        <v>√</v>
      </c>
      <c r="AL9" s="54" t="str">
        <f t="shared" si="4"/>
        <v>√</v>
      </c>
      <c r="AM9" s="54" t="str">
        <f t="shared" si="4"/>
        <v>√</v>
      </c>
      <c r="AN9" s="54" t="str">
        <f t="shared" si="4"/>
        <v>√</v>
      </c>
      <c r="AO9" s="54" t="str">
        <f t="shared" si="4"/>
        <v>√</v>
      </c>
    </row>
    <row r="10" ht="15" customHeight="1" spans="1:41">
      <c r="A10" s="55"/>
      <c r="B10" s="50" t="s">
        <v>32</v>
      </c>
      <c r="C10" s="50"/>
      <c r="D10" s="51">
        <v>1.86</v>
      </c>
      <c r="E10" s="51">
        <v>0.06</v>
      </c>
      <c r="F10" s="51">
        <v>-0.06</v>
      </c>
      <c r="G10" s="52">
        <f>D10+E10</f>
        <v>1.92</v>
      </c>
      <c r="H10" s="52">
        <f>D10+F10</f>
        <v>1.8</v>
      </c>
      <c r="I10" s="51" t="s">
        <v>29</v>
      </c>
      <c r="J10" s="53">
        <v>1.8263</v>
      </c>
      <c r="K10" s="53">
        <v>1.8184</v>
      </c>
      <c r="L10" s="53">
        <v>1.8215</v>
      </c>
      <c r="M10" s="53">
        <v>1.8344</v>
      </c>
      <c r="N10" s="53">
        <v>1.8361</v>
      </c>
      <c r="O10" s="53">
        <v>1.8273</v>
      </c>
      <c r="P10" s="53">
        <v>1.8519</v>
      </c>
      <c r="Q10" s="53">
        <v>1.8083</v>
      </c>
      <c r="R10" s="53">
        <v>1.826</v>
      </c>
      <c r="S10" s="53">
        <v>1.818</v>
      </c>
      <c r="T10" s="53">
        <v>1.8363</v>
      </c>
      <c r="U10" s="53">
        <v>1.8311</v>
      </c>
      <c r="V10" s="53">
        <v>1.8163</v>
      </c>
      <c r="W10" s="53">
        <v>1.8333</v>
      </c>
      <c r="X10" s="53">
        <v>1.85</v>
      </c>
      <c r="Y10" s="53">
        <v>1.8124</v>
      </c>
      <c r="Z10" s="54" t="str">
        <f t="shared" ref="Z10:AB11" si="5">IF(J10="","",IF(J10&gt;($D10+$E10),(J10-$D10-$E10),IF(J10&lt;($D10+$F10),(J10-$D10-$F10),"√")))</f>
        <v>√</v>
      </c>
      <c r="AA10" s="54" t="str">
        <f t="shared" si="5"/>
        <v>√</v>
      </c>
      <c r="AB10" s="54" t="str">
        <f t="shared" si="5"/>
        <v>√</v>
      </c>
      <c r="AC10" s="54" t="str">
        <f t="shared" si="4"/>
        <v>√</v>
      </c>
      <c r="AD10" s="54" t="str">
        <f t="shared" si="4"/>
        <v>√</v>
      </c>
      <c r="AE10" s="54" t="str">
        <f t="shared" si="4"/>
        <v>√</v>
      </c>
      <c r="AF10" s="54" t="str">
        <f t="shared" si="4"/>
        <v>√</v>
      </c>
      <c r="AG10" s="54" t="str">
        <f t="shared" si="4"/>
        <v>√</v>
      </c>
      <c r="AH10" s="54" t="str">
        <f t="shared" si="4"/>
        <v>√</v>
      </c>
      <c r="AI10" s="54" t="str">
        <f t="shared" si="4"/>
        <v>√</v>
      </c>
      <c r="AJ10" s="54" t="str">
        <f t="shared" si="4"/>
        <v>√</v>
      </c>
      <c r="AK10" s="54" t="str">
        <f t="shared" si="4"/>
        <v>√</v>
      </c>
      <c r="AL10" s="54" t="str">
        <f t="shared" si="4"/>
        <v>√</v>
      </c>
      <c r="AM10" s="54" t="str">
        <f t="shared" si="4"/>
        <v>√</v>
      </c>
      <c r="AN10" s="54" t="str">
        <f t="shared" si="4"/>
        <v>√</v>
      </c>
      <c r="AO10" s="54" t="str">
        <f t="shared" si="4"/>
        <v>√</v>
      </c>
    </row>
    <row r="11" ht="15" customHeight="1" spans="1:41">
      <c r="A11" s="55"/>
      <c r="B11" s="50" t="s">
        <v>33</v>
      </c>
      <c r="C11" s="50"/>
      <c r="D11" s="51">
        <v>1.86</v>
      </c>
      <c r="E11" s="51">
        <v>0.06</v>
      </c>
      <c r="F11" s="51">
        <v>-0.06</v>
      </c>
      <c r="G11" s="52">
        <f>D11+E11</f>
        <v>1.92</v>
      </c>
      <c r="H11" s="52">
        <f>D11+F11</f>
        <v>1.8</v>
      </c>
      <c r="I11" s="51" t="s">
        <v>29</v>
      </c>
      <c r="J11" s="53">
        <v>1.8037</v>
      </c>
      <c r="K11" s="53">
        <v>1.8117</v>
      </c>
      <c r="L11" s="53">
        <v>1.8232</v>
      </c>
      <c r="M11" s="53">
        <v>1.8255</v>
      </c>
      <c r="N11" s="53">
        <v>1.8375</v>
      </c>
      <c r="O11" s="53">
        <v>1.8211</v>
      </c>
      <c r="P11" s="53">
        <v>1.8345</v>
      </c>
      <c r="Q11" s="53">
        <v>1.8125</v>
      </c>
      <c r="R11" s="53">
        <v>1.8127</v>
      </c>
      <c r="S11" s="53">
        <v>1.814</v>
      </c>
      <c r="T11" s="53">
        <v>1.8224</v>
      </c>
      <c r="U11" s="53">
        <v>1.8279</v>
      </c>
      <c r="V11" s="53">
        <v>1.8218</v>
      </c>
      <c r="W11" s="53">
        <v>1.8266</v>
      </c>
      <c r="X11" s="53">
        <v>1.8402</v>
      </c>
      <c r="Y11" s="53">
        <v>1.8101</v>
      </c>
      <c r="Z11" s="54" t="str">
        <f t="shared" si="5"/>
        <v>√</v>
      </c>
      <c r="AA11" s="54" t="str">
        <f t="shared" si="5"/>
        <v>√</v>
      </c>
      <c r="AB11" s="54" t="str">
        <f t="shared" si="5"/>
        <v>√</v>
      </c>
      <c r="AC11" s="54" t="str">
        <f t="shared" si="4"/>
        <v>√</v>
      </c>
      <c r="AD11" s="54" t="str">
        <f t="shared" si="4"/>
        <v>√</v>
      </c>
      <c r="AE11" s="54" t="str">
        <f t="shared" si="4"/>
        <v>√</v>
      </c>
      <c r="AF11" s="54" t="str">
        <f t="shared" si="4"/>
        <v>√</v>
      </c>
      <c r="AG11" s="54" t="str">
        <f t="shared" si="4"/>
        <v>√</v>
      </c>
      <c r="AH11" s="54" t="str">
        <f t="shared" si="4"/>
        <v>√</v>
      </c>
      <c r="AI11" s="54" t="str">
        <f t="shared" si="4"/>
        <v>√</v>
      </c>
      <c r="AJ11" s="54" t="str">
        <f t="shared" si="4"/>
        <v>√</v>
      </c>
      <c r="AK11" s="54" t="str">
        <f t="shared" si="4"/>
        <v>√</v>
      </c>
      <c r="AL11" s="54" t="str">
        <f t="shared" si="4"/>
        <v>√</v>
      </c>
      <c r="AM11" s="54" t="str">
        <f t="shared" si="4"/>
        <v>√</v>
      </c>
      <c r="AN11" s="54" t="str">
        <f t="shared" si="4"/>
        <v>√</v>
      </c>
      <c r="AO11" s="54" t="str">
        <f t="shared" si="4"/>
        <v>√</v>
      </c>
    </row>
    <row r="12" ht="15" customHeight="1" spans="1:41">
      <c r="A12" s="55"/>
      <c r="B12" s="50" t="s">
        <v>34</v>
      </c>
      <c r="C12" s="50" t="s">
        <v>35</v>
      </c>
      <c r="D12" s="51">
        <v>6.26</v>
      </c>
      <c r="E12" s="51">
        <v>0.025</v>
      </c>
      <c r="F12" s="51">
        <v>-0.025</v>
      </c>
      <c r="G12" s="52">
        <f t="shared" ref="G12:G14" si="6">D12+E12</f>
        <v>6.285</v>
      </c>
      <c r="H12" s="52">
        <f t="shared" ref="H12:H14" si="7">D12+F12</f>
        <v>6.235</v>
      </c>
      <c r="I12" s="51" t="s">
        <v>29</v>
      </c>
      <c r="J12" s="53">
        <v>6.2642</v>
      </c>
      <c r="K12" s="53">
        <v>6.2615</v>
      </c>
      <c r="L12" s="53">
        <v>6.272</v>
      </c>
      <c r="M12" s="53">
        <v>6.265</v>
      </c>
      <c r="N12" s="53">
        <v>6.2603</v>
      </c>
      <c r="O12" s="53">
        <v>6.2657</v>
      </c>
      <c r="P12" s="53">
        <v>6.2671</v>
      </c>
      <c r="Q12" s="53">
        <v>6.262</v>
      </c>
      <c r="R12" s="53">
        <v>6.2638</v>
      </c>
      <c r="S12" s="53">
        <v>6.2598</v>
      </c>
      <c r="T12" s="53">
        <v>6.2674</v>
      </c>
      <c r="U12" s="53">
        <v>6.2593</v>
      </c>
      <c r="V12" s="53">
        <v>6.2603</v>
      </c>
      <c r="W12" s="53">
        <v>6.2654</v>
      </c>
      <c r="X12" s="53">
        <v>6.2606</v>
      </c>
      <c r="Y12" s="53">
        <v>6.2683</v>
      </c>
      <c r="Z12" s="54" t="str">
        <f t="shared" ref="Z12:Z14" si="8">IF(J12="","",IF(J12&gt;($D12+$E12),(J12-$D12-$E12),IF(J12&lt;($D12+$F12),(J12-$D12-$F12),"√")))</f>
        <v>√</v>
      </c>
      <c r="AA12" s="54" t="str">
        <f t="shared" ref="AA12:AA14" si="9">IF(K12="","",IF(K12&gt;($D12+$E12),(K12-$D12-$E12),IF(K12&lt;($D12+$F12),(K12-$D12-$F12),"√")))</f>
        <v>√</v>
      </c>
      <c r="AB12" s="54" t="str">
        <f t="shared" ref="AB12:AB14" si="10">IF(L12="","",IF(L12&gt;($D12+$E12),(L12-$D12-$E12),IF(L12&lt;($D12+$F12),(L12-$D12-$F12),"√")))</f>
        <v>√</v>
      </c>
      <c r="AC12" s="54" t="str">
        <f t="shared" ref="AC12:AC14" si="11">IF(M12="","",IF(M12&gt;($D12+$E12),(M12-$D12-$E12),IF(M12&lt;($D12+$F12),(M12-$D12-$F12),"√")))</f>
        <v>√</v>
      </c>
      <c r="AD12" s="54" t="str">
        <f t="shared" ref="AD12:AD14" si="12">IF(N12="","",IF(N12&gt;($D12+$E12),(N12-$D12-$E12),IF(N12&lt;($D12+$F12),(N12-$D12-$F12),"√")))</f>
        <v>√</v>
      </c>
      <c r="AE12" s="54" t="str">
        <f t="shared" ref="AE12:AE14" si="13">IF(O12="","",IF(O12&gt;($D12+$E12),(O12-$D12-$E12),IF(O12&lt;($D12+$F12),(O12-$D12-$F12),"√")))</f>
        <v>√</v>
      </c>
      <c r="AF12" s="54" t="str">
        <f t="shared" ref="AF12:AF14" si="14">IF(P12="","",IF(P12&gt;($D12+$E12),(P12-$D12-$E12),IF(P12&lt;($D12+$F12),(P12-$D12-$F12),"√")))</f>
        <v>√</v>
      </c>
      <c r="AG12" s="54" t="str">
        <f t="shared" ref="AG12:AG14" si="15">IF(Q12="","",IF(Q12&gt;($D12+$E12),(Q12-$D12-$E12),IF(Q12&lt;($D12+$F12),(Q12-$D12-$F12),"√")))</f>
        <v>√</v>
      </c>
      <c r="AH12" s="54" t="str">
        <f t="shared" ref="AH12:AH14" si="16">IF(R12="","",IF(R12&gt;($D12+$E12),(R12-$D12-$E12),IF(R12&lt;($D12+$F12),(R12-$D12-$F12),"√")))</f>
        <v>√</v>
      </c>
      <c r="AI12" s="54" t="str">
        <f t="shared" ref="AI12:AI14" si="17">IF(S12="","",IF(S12&gt;($D12+$E12),(S12-$D12-$E12),IF(S12&lt;($D12+$F12),(S12-$D12-$F12),"√")))</f>
        <v>√</v>
      </c>
      <c r="AJ12" s="54" t="str">
        <f t="shared" ref="AJ12:AJ14" si="18">IF(T12="","",IF(T12&gt;($D12+$E12),(T12-$D12-$E12),IF(T12&lt;($D12+$F12),(T12-$D12-$F12),"√")))</f>
        <v>√</v>
      </c>
      <c r="AK12" s="54" t="str">
        <f t="shared" ref="AK12:AK14" si="19">IF(U12="","",IF(U12&gt;($D12+$E12),(U12-$D12-$E12),IF(U12&lt;($D12+$F12),(U12-$D12-$F12),"√")))</f>
        <v>√</v>
      </c>
      <c r="AL12" s="54" t="str">
        <f t="shared" ref="AL12:AL14" si="20">IF(V12="","",IF(V12&gt;($D12+$E12),(V12-$D12-$E12),IF(V12&lt;($D12+$F12),(V12-$D12-$F12),"√")))</f>
        <v>√</v>
      </c>
      <c r="AM12" s="54" t="str">
        <f t="shared" ref="AM12:AM14" si="21">IF(W12="","",IF(W12&gt;($D12+$E12),(W12-$D12-$E12),IF(W12&lt;($D12+$F12),(W12-$D12-$F12),"√")))</f>
        <v>√</v>
      </c>
      <c r="AN12" s="54" t="str">
        <f t="shared" ref="AN12:AN14" si="22">IF(X12="","",IF(X12&gt;($D12+$E12),(X12-$D12-$E12),IF(X12&lt;($D12+$F12),(X12-$D12-$F12),"√")))</f>
        <v>√</v>
      </c>
      <c r="AO12" s="54" t="str">
        <f t="shared" ref="AO12:AO14" si="23">IF(Y12="","",IF(Y12&gt;($D12+$E12),(Y12-$D12-$E12),IF(Y12&lt;($D12+$F12),(Y12-$D12-$F12),"√")))</f>
        <v>√</v>
      </c>
    </row>
    <row r="13" ht="15" customHeight="1" spans="1:41">
      <c r="A13" s="55"/>
      <c r="B13" s="50" t="s">
        <v>36</v>
      </c>
      <c r="C13" s="50"/>
      <c r="D13" s="51">
        <v>1.27</v>
      </c>
      <c r="E13" s="51">
        <v>0.03</v>
      </c>
      <c r="F13" s="51">
        <v>-0.03</v>
      </c>
      <c r="G13" s="52">
        <f t="shared" si="6"/>
        <v>1.3</v>
      </c>
      <c r="H13" s="52">
        <f t="shared" si="7"/>
        <v>1.24</v>
      </c>
      <c r="I13" s="51" t="s">
        <v>29</v>
      </c>
      <c r="J13" s="53">
        <v>1.2905</v>
      </c>
      <c r="K13" s="53">
        <v>1.2779</v>
      </c>
      <c r="L13" s="53">
        <v>1.2971</v>
      </c>
      <c r="M13" s="53">
        <v>1.294</v>
      </c>
      <c r="N13" s="53">
        <v>1.2755</v>
      </c>
      <c r="O13" s="53">
        <v>1.2979</v>
      </c>
      <c r="P13" s="53">
        <v>1.2794</v>
      </c>
      <c r="Q13" s="53">
        <v>1.2731</v>
      </c>
      <c r="R13" s="53">
        <v>1.2756</v>
      </c>
      <c r="S13" s="53">
        <v>1.2795</v>
      </c>
      <c r="T13" s="53">
        <v>1.2996</v>
      </c>
      <c r="U13" s="53">
        <v>1.2925</v>
      </c>
      <c r="V13" s="53">
        <v>1.2671</v>
      </c>
      <c r="W13" s="53">
        <v>1.2935</v>
      </c>
      <c r="X13" s="53">
        <v>1.2874</v>
      </c>
      <c r="Y13" s="53">
        <v>1.2694</v>
      </c>
      <c r="Z13" s="54" t="str">
        <f t="shared" si="8"/>
        <v>√</v>
      </c>
      <c r="AA13" s="54" t="str">
        <f t="shared" si="9"/>
        <v>√</v>
      </c>
      <c r="AB13" s="54" t="str">
        <f t="shared" si="10"/>
        <v>√</v>
      </c>
      <c r="AC13" s="54" t="str">
        <f t="shared" si="11"/>
        <v>√</v>
      </c>
      <c r="AD13" s="54" t="str">
        <f t="shared" si="12"/>
        <v>√</v>
      </c>
      <c r="AE13" s="54" t="str">
        <f t="shared" si="13"/>
        <v>√</v>
      </c>
      <c r="AF13" s="54" t="str">
        <f t="shared" si="14"/>
        <v>√</v>
      </c>
      <c r="AG13" s="54" t="str">
        <f t="shared" si="15"/>
        <v>√</v>
      </c>
      <c r="AH13" s="54" t="str">
        <f t="shared" si="16"/>
        <v>√</v>
      </c>
      <c r="AI13" s="54" t="str">
        <f t="shared" si="17"/>
        <v>√</v>
      </c>
      <c r="AJ13" s="54" t="str">
        <f t="shared" si="18"/>
        <v>√</v>
      </c>
      <c r="AK13" s="54" t="str">
        <f t="shared" si="19"/>
        <v>√</v>
      </c>
      <c r="AL13" s="54" t="str">
        <f t="shared" si="20"/>
        <v>√</v>
      </c>
      <c r="AM13" s="54" t="str">
        <f t="shared" si="21"/>
        <v>√</v>
      </c>
      <c r="AN13" s="54" t="str">
        <f t="shared" si="22"/>
        <v>√</v>
      </c>
      <c r="AO13" s="54" t="str">
        <f t="shared" si="23"/>
        <v>√</v>
      </c>
    </row>
    <row r="14" ht="15" customHeight="1" spans="1:41">
      <c r="A14" s="55"/>
      <c r="B14" s="50" t="s">
        <v>37</v>
      </c>
      <c r="C14" s="50"/>
      <c r="D14" s="51">
        <v>1.27</v>
      </c>
      <c r="E14" s="51">
        <v>0.03</v>
      </c>
      <c r="F14" s="51">
        <v>-0.03</v>
      </c>
      <c r="G14" s="52">
        <f t="shared" si="6"/>
        <v>1.3</v>
      </c>
      <c r="H14" s="52">
        <f t="shared" si="7"/>
        <v>1.24</v>
      </c>
      <c r="I14" s="51" t="s">
        <v>29</v>
      </c>
      <c r="J14" s="53">
        <v>1.2888</v>
      </c>
      <c r="K14" s="53">
        <v>1.2777</v>
      </c>
      <c r="L14" s="53">
        <v>1.2906</v>
      </c>
      <c r="M14" s="53">
        <v>1.2925</v>
      </c>
      <c r="N14" s="53">
        <v>1.2804</v>
      </c>
      <c r="O14" s="53">
        <v>1.2914</v>
      </c>
      <c r="P14" s="53">
        <v>1.2788</v>
      </c>
      <c r="Q14" s="53">
        <v>1.2799</v>
      </c>
      <c r="R14" s="53">
        <v>1.2813</v>
      </c>
      <c r="S14" s="53">
        <v>1.283</v>
      </c>
      <c r="T14" s="53">
        <v>1.2973</v>
      </c>
      <c r="U14" s="53">
        <v>1.2917</v>
      </c>
      <c r="V14" s="53">
        <v>1.2776</v>
      </c>
      <c r="W14" s="53">
        <v>1.2929</v>
      </c>
      <c r="X14" s="53">
        <v>1.2838</v>
      </c>
      <c r="Y14" s="53">
        <v>1.2858</v>
      </c>
      <c r="Z14" s="54" t="str">
        <f t="shared" si="8"/>
        <v>√</v>
      </c>
      <c r="AA14" s="54" t="str">
        <f t="shared" si="9"/>
        <v>√</v>
      </c>
      <c r="AB14" s="54" t="str">
        <f t="shared" si="10"/>
        <v>√</v>
      </c>
      <c r="AC14" s="54" t="str">
        <f t="shared" si="11"/>
        <v>√</v>
      </c>
      <c r="AD14" s="54" t="str">
        <f t="shared" si="12"/>
        <v>√</v>
      </c>
      <c r="AE14" s="54" t="str">
        <f t="shared" si="13"/>
        <v>√</v>
      </c>
      <c r="AF14" s="54" t="str">
        <f t="shared" si="14"/>
        <v>√</v>
      </c>
      <c r="AG14" s="54" t="str">
        <f t="shared" si="15"/>
        <v>√</v>
      </c>
      <c r="AH14" s="54" t="str">
        <f t="shared" si="16"/>
        <v>√</v>
      </c>
      <c r="AI14" s="54" t="str">
        <f t="shared" si="17"/>
        <v>√</v>
      </c>
      <c r="AJ14" s="54" t="str">
        <f t="shared" si="18"/>
        <v>√</v>
      </c>
      <c r="AK14" s="54" t="str">
        <f t="shared" si="19"/>
        <v>√</v>
      </c>
      <c r="AL14" s="54" t="str">
        <f t="shared" si="20"/>
        <v>√</v>
      </c>
      <c r="AM14" s="54" t="str">
        <f t="shared" si="21"/>
        <v>√</v>
      </c>
      <c r="AN14" s="54" t="str">
        <f t="shared" si="22"/>
        <v>√</v>
      </c>
      <c r="AO14" s="54" t="str">
        <f t="shared" si="23"/>
        <v>√</v>
      </c>
    </row>
    <row r="15" ht="15" customHeight="1" spans="1:41">
      <c r="A15" s="56"/>
      <c r="B15" s="57"/>
      <c r="C15" s="57"/>
      <c r="D15" s="58"/>
      <c r="E15" s="58"/>
      <c r="F15" s="58"/>
      <c r="G15" s="59"/>
      <c r="H15" s="59"/>
      <c r="I15" s="58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4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8">
    <cfRule type="cellIs" dxfId="0" priority="3" operator="notBetween">
      <formula>$G7</formula>
      <formula>$H7</formula>
    </cfRule>
  </conditionalFormatting>
  <conditionalFormatting sqref="J9:Y11">
    <cfRule type="cellIs" dxfId="0" priority="23" operator="notBetween">
      <formula>$G9</formula>
      <formula>$H9</formula>
    </cfRule>
  </conditionalFormatting>
  <conditionalFormatting sqref="J12:Y15">
    <cfRule type="cellIs" dxfId="0" priority="2" operator="notBetween">
      <formula>$G12</formula>
      <formula>$H12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11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2026-06-07T23:01:38Z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