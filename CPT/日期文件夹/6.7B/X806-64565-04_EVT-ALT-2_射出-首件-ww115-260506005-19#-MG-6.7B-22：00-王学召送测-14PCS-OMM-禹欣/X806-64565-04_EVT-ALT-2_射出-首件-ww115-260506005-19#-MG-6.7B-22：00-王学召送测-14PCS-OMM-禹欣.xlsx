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<sst xmlns="http://schemas.openxmlformats.org/spreadsheetml/2006/main" count="44" uniqueCount="44">
  <si>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安徽中耀智能科技有限公司首件尺寸报告</t>
  </si>
  <si>
    <t>料号</t>
  </si>
  <si>
    <t>X806-64565</t>
  </si>
  <si>
    <t>工单号</t>
  </si>
  <si>
    <t>ww115-260506005</t>
  </si>
  <si>
    <t>工站</t>
  </si>
  <si>
    <t>射出机台号</t>
  </si>
  <si>
    <t>测量机台</t>
  </si>
  <si>
    <t>测量人员</t>
  </si>
  <si>
    <t>审核</t>
  </si>
  <si>
    <t>射出</t>
  </si>
  <si>
    <t>19#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</si>
  <si>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</si>
  <si>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</si>
  <si>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</si>
  <si>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</si>
  <si>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</si>
  <si>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</si>
  <si>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</si>
  <si>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</si>
  <si>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</si>
  <si>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</si>
  <si>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</si>
  <si>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</si>
  <si>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</si>
  <si>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</si>
  <si>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</si>
  <si>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</si>
  <si>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1-2</t>
  </si>
  <si>
    <t>1-3</t>
  </si>
  <si>
    <t>1-4</t>
  </si>
  <si>
    <t>1-5</t>
  </si>
  <si>
    <t>1-6</t>
  </si>
  <si>
    <t>1-7</t>
  </si>
  <si>
    <t>1-8</t>
  </si>
  <si>
    <t>2-2</t>
  </si>
  <si>
    <t>2-3</t>
  </si>
  <si>
    <t>2-4</t>
  </si>
  <si>
    <t>2-5</t>
  </si>
  <si>
    <t>2-6</t>
  </si>
  <si>
    <t>2-7</t>
  </si>
  <si>
    <t>2-8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</si>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</sst>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3" borderId="4" xfId="60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topLeftCell="G1" workbookViewId="0">
      <selection activeCell="L2" sqref="L2:R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6">
        <v>15</v>
      </c>
      <c r="Y6" s="56">
        <v>16</v>
      </c>
      <c r="Z6" s="57" t="str">
        <f t="shared" ref="Z6" si="0">J6</f>
        <v>1-2</v>
      </c>
      <c r="AA6" s="57" t="str">
        <f t="shared" ref="AA6:AO6" si="1">K6</f>
        <v>1-3</v>
      </c>
      <c r="AB6" s="57" t="str">
        <f t="shared" si="1"/>
        <v>1-4</v>
      </c>
      <c r="AC6" s="57" t="str">
        <f t="shared" si="1"/>
        <v>1-5</v>
      </c>
      <c r="AD6" s="57" t="str">
        <f t="shared" si="1"/>
        <v>1-6</v>
      </c>
      <c r="AE6" s="57" t="str">
        <f t="shared" si="1"/>
        <v>1-7</v>
      </c>
      <c r="AF6" s="57" t="str">
        <f t="shared" si="1"/>
        <v>1-8</v>
      </c>
      <c r="AG6" s="57" t="str">
        <f t="shared" si="1"/>
        <v>2-2</v>
      </c>
      <c r="AH6" s="57" t="str">
        <f t="shared" si="1"/>
        <v>2-3</v>
      </c>
      <c r="AI6" s="57" t="str">
        <f t="shared" si="1"/>
        <v>2-4</v>
      </c>
      <c r="AJ6" s="57" t="str">
        <f t="shared" si="1"/>
        <v>2-5</v>
      </c>
      <c r="AK6" s="57" t="str">
        <f t="shared" si="1"/>
        <v>2-6</v>
      </c>
      <c r="AL6" s="57" t="str">
        <f t="shared" si="1"/>
        <v>2-7</v>
      </c>
      <c r="AM6" s="57" t="str">
        <f t="shared" si="1"/>
        <v>2-8</v>
      </c>
      <c r="AN6" s="57">
        <f t="shared" si="1"/>
        <v>15</v>
      </c>
      <c r="AO6" s="57">
        <f t="shared" si="1"/>
        <v>16</v>
      </c>
    </row>
    <row r="7" spans="1:41">
      <c r="A7" s="58">
        <v>46179</v>
      </c>
      <c r="B7" s="59" t="s">
        <v>42</v>
      </c>
      <c r="C7" s="59"/>
      <c r="D7" s="60">
        <v>2.3</v>
      </c>
      <c r="E7" s="60">
        <v>0.05</v>
      </c>
      <c r="F7" s="60">
        <v>-0.05</v>
      </c>
      <c r="G7" s="61">
        <f>D7+E7</f>
        <v>2.35</v>
      </c>
      <c r="H7" s="61">
        <f>F7+D7</f>
        <v>2.25</v>
      </c>
      <c r="I7" s="62" t="s">
        <v>43</v>
      </c>
      <c r="J7" s="63">
        <v>2.2991</v>
      </c>
      <c r="K7" s="63">
        <v>2.2997</v>
      </c>
      <c r="L7" s="63">
        <v>2.2992</v>
      </c>
      <c r="M7" s="63">
        <v>2.2994</v>
      </c>
      <c r="N7" s="63">
        <v>2.2993</v>
      </c>
      <c r="O7" s="63">
        <v>2.3004</v>
      </c>
      <c r="P7" s="63">
        <v>2.2987</v>
      </c>
      <c r="Q7" s="63">
        <v>2.2995</v>
      </c>
      <c r="R7" s="63">
        <v>2.3002</v>
      </c>
      <c r="S7" s="63">
        <v>2.2994</v>
      </c>
      <c r="T7" s="63">
        <v>2.3001</v>
      </c>
      <c r="U7" s="63">
        <v>2.2998</v>
      </c>
      <c r="V7" s="63">
        <v>2.2993</v>
      </c>
      <c r="W7" s="63">
        <v>2.3001</v>
      </c>
      <c r="X7" s="63"/>
      <c r="Y7" s="63"/>
      <c r="Z7" s="64" t="str">
        <f t="shared" ref="Z7:AO7" si="2">IF(J7="","",IF(J7&gt;($D7+$E7),(J7-$D7-$E7),IF(J7&lt;($D7+$F7),(J7-$D7-$F7),"√")))</f>
        <v>√</v>
      </c>
      <c r="AA7" s="64" t="str">
        <f t="shared" si="2"/>
        <v>√</v>
      </c>
      <c r="AB7" s="64" t="str">
        <f t="shared" si="2"/>
        <v>√</v>
      </c>
      <c r="AC7" s="64" t="str">
        <f t="shared" si="2"/>
        <v>√</v>
      </c>
      <c r="AD7" s="64" t="str">
        <f t="shared" si="2"/>
        <v>√</v>
      </c>
      <c r="AE7" s="64" t="str">
        <f t="shared" si="2"/>
        <v>√</v>
      </c>
      <c r="AF7" s="64" t="str">
        <f t="shared" si="2"/>
        <v>√</v>
      </c>
      <c r="AG7" s="64" t="str">
        <f t="shared" si="2"/>
        <v>√</v>
      </c>
      <c r="AH7" s="64" t="str">
        <f t="shared" si="2"/>
        <v>√</v>
      </c>
      <c r="AI7" s="64" t="str">
        <f t="shared" si="2"/>
        <v>√</v>
      </c>
      <c r="AJ7" s="64" t="str">
        <f t="shared" si="2"/>
        <v>√</v>
      </c>
      <c r="AK7" s="64" t="str">
        <f t="shared" si="2"/>
        <v>√</v>
      </c>
      <c r="AL7" s="64" t="str">
        <f t="shared" si="2"/>
        <v>√</v>
      </c>
      <c r="AM7" s="64" t="str">
        <f t="shared" si="2"/>
        <v>√</v>
      </c>
      <c r="AN7" s="64" t="str">
        <f t="shared" si="2"/>
        <v/>
      </c>
      <c r="AO7" s="64" t="str">
        <f t="shared" si="2"/>
        <v/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8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2026-06-07T14:47:43Z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