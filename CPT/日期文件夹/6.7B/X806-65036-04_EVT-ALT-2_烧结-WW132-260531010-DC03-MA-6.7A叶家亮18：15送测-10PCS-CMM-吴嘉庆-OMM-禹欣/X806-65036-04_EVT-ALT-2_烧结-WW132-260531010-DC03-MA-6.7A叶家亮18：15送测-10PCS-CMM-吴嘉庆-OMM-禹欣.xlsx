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<sst xmlns="http://schemas.openxmlformats.org/spreadsheetml/2006/main" count="55" uniqueCount="43">
  <si>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安徽中耀智能科技有限公司首件尺寸报告</t>
  </si>
  <si>
    <t>料号</t>
  </si>
  <si>
    <t>806-65036</t>
  </si>
  <si>
    <t>工单号</t>
  </si>
  <si>
    <t>WW132-260531010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</si>
  <si>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</si>
  <si>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</si>
  <si>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</si>
  <si>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</si>
  <si>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</si>
  <si>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</si>
  <si>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</si>
  <si>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CMM5#/OMM4#</t>
  </si>
  <si>
    <t>吴嘉庆/禹欣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</si>
  <si>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</si>
  <si>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</si>
  <si>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</si>
  <si>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</si>
  <si>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</si>
  <si>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</si>
  <si>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</si>
  <si>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</si>
  <si>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</si>
  <si>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</si>
  <si>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</si>
  <si>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</si>
  <si>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</si>
  <si>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</si>
  <si>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6</t>
    </r>
  </si>
  <si>
    <t>FAI19</t>
  </si>
  <si>
    <t>参考</t>
  </si>
  <si>
    <t>OMM</t>
  </si>
  <si>
    <t>FAI21</t>
  </si>
  <si>
    <t>FAI14</t>
  </si>
  <si>
    <t>N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</si>
  <si>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2</t>
    </r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</si>
  <si>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6</t>
    </r>
  </si>
  <si>
    <t>FAI16</t>
  </si>
  <si>
    <t>CMM</t>
  </si>
  <si>
    <t>FAI22</t>
  </si>
  <si>
    <t>V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</si>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</sst>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8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0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6" fillId="0" borderId="0"/>
  </cellStyleXfs>
  <cellXfs count="59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1" xfId="59" applyFont="1" applyFill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2" fillId="0" borderId="7" xfId="53" applyFont="1" applyFill="1" applyBorder="1" applyAlignment="1">
      <alignment horizontal="center" vertical="center"/>
    </xf>
    <xf numFmtId="177" fontId="14" fillId="2" borderId="1" xfId="61" applyNumberFormat="1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常规_QC工程图(version 1) 2_QC工程图(td2008版)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topLeftCell="C1" workbookViewId="0">
      <selection activeCell="U8" sqref="U8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7" t="s">
        <v>28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 t="str">
        <f t="shared" si="0"/>
        <v>复测6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46180</v>
      </c>
      <c r="B7" s="50" t="s">
        <v>29</v>
      </c>
      <c r="C7" s="51" t="s">
        <v>30</v>
      </c>
      <c r="D7" s="52">
        <v>4.47</v>
      </c>
      <c r="E7" s="52">
        <v>0.03</v>
      </c>
      <c r="F7" s="52">
        <v>-0.03</v>
      </c>
      <c r="G7" s="52">
        <f>D7+E7</f>
        <v>4.5</v>
      </c>
      <c r="H7" s="52">
        <f>D7+F7</f>
        <v>4.44</v>
      </c>
      <c r="I7" s="52" t="s">
        <v>31</v>
      </c>
      <c r="J7" s="53">
        <v>4.493</v>
      </c>
      <c r="K7" s="53">
        <v>4.5</v>
      </c>
      <c r="L7" s="53">
        <v>4.51</v>
      </c>
      <c r="M7" s="53">
        <v>4.5</v>
      </c>
      <c r="N7" s="53">
        <v>4.511</v>
      </c>
      <c r="O7" s="53">
        <v>4.522</v>
      </c>
      <c r="P7" s="53">
        <v>4.514</v>
      </c>
      <c r="Q7" s="53">
        <v>4.505</v>
      </c>
      <c r="R7" s="53">
        <v>4.499</v>
      </c>
      <c r="S7" s="53">
        <v>4.498</v>
      </c>
      <c r="T7" s="53">
        <v>4.543</v>
      </c>
      <c r="U7" s="53"/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>
        <f t="shared" si="1"/>
        <v>0.01</v>
      </c>
      <c r="AC7" s="54" t="str">
        <f t="shared" si="1"/>
        <v>√</v>
      </c>
      <c r="AD7" s="54">
        <f t="shared" si="1"/>
        <v>0.0110000000000004</v>
      </c>
      <c r="AE7" s="54">
        <f t="shared" si="1"/>
        <v>0.0220000000000005</v>
      </c>
      <c r="AF7" s="54">
        <f t="shared" si="1"/>
        <v>0.0140000000000005</v>
      </c>
      <c r="AG7" s="54">
        <f t="shared" si="1"/>
        <v>0.00500000000000014</v>
      </c>
      <c r="AH7" s="54" t="str">
        <f t="shared" si="1"/>
        <v>√</v>
      </c>
      <c r="AI7" s="54" t="str">
        <f t="shared" si="1"/>
        <v>√</v>
      </c>
      <c r="AJ7" s="54">
        <f t="shared" si="1"/>
        <v>0.0430000000000004</v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" customHeight="1" spans="1:41">
      <c r="A8" s="55"/>
      <c r="B8" s="56" t="s">
        <v>32</v>
      </c>
      <c r="C8" s="56"/>
      <c r="D8" s="52">
        <v>8.22</v>
      </c>
      <c r="E8" s="52">
        <v>0.05</v>
      </c>
      <c r="F8" s="52">
        <v>-0.05</v>
      </c>
      <c r="G8" s="50">
        <f>D8+E8</f>
        <v>8.27</v>
      </c>
      <c r="H8" s="50">
        <f>D8+F8</f>
        <v>8.17</v>
      </c>
      <c r="I8" s="52" t="s">
        <v>31</v>
      </c>
      <c r="J8" s="53">
        <v>8.189</v>
      </c>
      <c r="K8" s="53">
        <v>8.179</v>
      </c>
      <c r="L8" s="53">
        <v>8.189</v>
      </c>
      <c r="M8" s="53">
        <v>8.185</v>
      </c>
      <c r="N8" s="53">
        <v>8.191</v>
      </c>
      <c r="O8" s="53">
        <v>8.188</v>
      </c>
      <c r="P8" s="53">
        <v>8.185</v>
      </c>
      <c r="Q8" s="53">
        <v>8.189</v>
      </c>
      <c r="R8" s="53">
        <v>8.182</v>
      </c>
      <c r="S8" s="53">
        <v>8.189</v>
      </c>
      <c r="T8" s="53">
        <v>8.197</v>
      </c>
      <c r="U8" s="53"/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ht="15.75" customHeight="1" spans="1:41">
      <c r="A9" s="55"/>
      <c r="B9" s="56" t="s">
        <v>33</v>
      </c>
      <c r="C9" s="56" t="s">
        <v>34</v>
      </c>
      <c r="D9" s="52">
        <v>0.5</v>
      </c>
      <c r="E9" s="52">
        <v>0.03</v>
      </c>
      <c r="F9" s="52">
        <v>-0.03</v>
      </c>
      <c r="G9" s="50">
        <f>D9+E9</f>
        <v>0.53</v>
      </c>
      <c r="H9" s="50">
        <f>D9+F9</f>
        <v>0.47</v>
      </c>
      <c r="I9" s="52" t="s">
        <v>31</v>
      </c>
      <c r="J9" s="53">
        <v>0.4834</v>
      </c>
      <c r="K9" s="53">
        <v>0.4835</v>
      </c>
      <c r="L9" s="53">
        <v>0.4799</v>
      </c>
      <c r="M9" s="53">
        <v>0.4758</v>
      </c>
      <c r="N9" s="53">
        <v>0.4943</v>
      </c>
      <c r="O9" s="53">
        <v>0.4775</v>
      </c>
      <c r="P9" s="53">
        <v>0.481</v>
      </c>
      <c r="Q9" s="53">
        <v>0.4978</v>
      </c>
      <c r="R9" s="53">
        <v>0.4865</v>
      </c>
      <c r="S9" s="53">
        <v>0.4853</v>
      </c>
      <c r="T9" s="57" t="s">
        <v>35</v>
      </c>
      <c r="U9" s="57" t="s">
        <v>36</v>
      </c>
      <c r="V9" s="53"/>
      <c r="W9" s="53"/>
      <c r="X9" s="53"/>
      <c r="Y9" s="53"/>
      <c r="Z9" s="54" t="str">
        <f t="shared" ref="Z9:AO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si="3"/>
        <v>√</v>
      </c>
      <c r="AD9" s="54" t="str">
        <f t="shared" si="3"/>
        <v>√</v>
      </c>
      <c r="AE9" s="54" t="str">
        <f t="shared" si="3"/>
        <v>√</v>
      </c>
      <c r="AF9" s="54" t="str">
        <f t="shared" si="3"/>
        <v>√</v>
      </c>
      <c r="AG9" s="54" t="str">
        <f t="shared" si="3"/>
        <v>√</v>
      </c>
      <c r="AH9" s="54" t="str">
        <f t="shared" si="3"/>
        <v>√</v>
      </c>
      <c r="AI9" s="54" t="str">
        <f t="shared" si="3"/>
        <v>√</v>
      </c>
      <c r="AJ9" s="54" t="e">
        <f t="shared" si="3"/>
        <v>#VALUE!</v>
      </c>
      <c r="AK9" s="54" t="e">
        <f t="shared" si="3"/>
        <v>#VALUE!</v>
      </c>
      <c r="AL9" s="54" t="str">
        <f t="shared" si="3"/>
        <v/>
      </c>
      <c r="AM9" s="54" t="str">
        <f t="shared" si="3"/>
        <v/>
      </c>
      <c r="AN9" s="54" t="str">
        <f t="shared" si="3"/>
        <v/>
      </c>
      <c r="AO9" s="54" t="str">
        <f t="shared" si="3"/>
        <v/>
      </c>
    </row>
    <row r="10" ht="15" customHeight="1" spans="1:41">
      <c r="A10" s="55"/>
      <c r="B10" s="56" t="s">
        <v>37</v>
      </c>
      <c r="C10" s="56"/>
      <c r="D10" s="52">
        <v>3.71</v>
      </c>
      <c r="E10" s="52">
        <v>0.03</v>
      </c>
      <c r="F10" s="52">
        <v>-0.03</v>
      </c>
      <c r="G10" s="50">
        <f>D10+E10</f>
        <v>3.74</v>
      </c>
      <c r="H10" s="50">
        <f>D10+F10</f>
        <v>3.68</v>
      </c>
      <c r="I10" s="52" t="s">
        <v>38</v>
      </c>
      <c r="J10" s="53">
        <v>3.6889</v>
      </c>
      <c r="K10" s="53">
        <v>3.6898</v>
      </c>
      <c r="L10" s="53">
        <v>3.6883</v>
      </c>
      <c r="M10" s="53">
        <v>3.6914</v>
      </c>
      <c r="N10" s="53">
        <v>3.6855</v>
      </c>
      <c r="O10" s="53">
        <v>3.6888</v>
      </c>
      <c r="P10" s="53">
        <v>3.6885</v>
      </c>
      <c r="Q10" s="53">
        <v>3.6905</v>
      </c>
      <c r="R10" s="53">
        <v>3.6893</v>
      </c>
      <c r="S10" s="53">
        <v>3.6874</v>
      </c>
      <c r="T10" s="53">
        <v>3.6897</v>
      </c>
      <c r="U10" s="53">
        <v>3.6887</v>
      </c>
      <c r="V10" s="53"/>
      <c r="W10" s="53"/>
      <c r="X10" s="53"/>
      <c r="Y10" s="53"/>
      <c r="Z10" s="54" t="str">
        <f t="shared" ref="Z10:AO10" si="4">IF(J10="","",IF(J10&gt;($D10+$E10),(J10-$D10-$E10),IF(J10&lt;($D10+$F10),(J10-$D10-$F10),"√")))</f>
        <v>√</v>
      </c>
      <c r="AA10" s="54" t="str">
        <f t="shared" si="4"/>
        <v>√</v>
      </c>
      <c r="AB10" s="54" t="str">
        <f t="shared" si="4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/>
      </c>
      <c r="AM10" s="54" t="str">
        <f t="shared" si="4"/>
        <v/>
      </c>
      <c r="AN10" s="54" t="str">
        <f t="shared" si="4"/>
        <v/>
      </c>
      <c r="AO10" s="54" t="str">
        <f t="shared" si="4"/>
        <v/>
      </c>
    </row>
    <row r="11" ht="15" customHeight="1" spans="1:41">
      <c r="A11" s="55"/>
      <c r="B11" s="50" t="s">
        <v>29</v>
      </c>
      <c r="C11" s="51"/>
      <c r="D11" s="52">
        <v>4.47</v>
      </c>
      <c r="E11" s="52">
        <v>0.03</v>
      </c>
      <c r="F11" s="52">
        <v>-0.03</v>
      </c>
      <c r="G11" s="52">
        <f t="shared" ref="G11:G13" si="5">D11+E11</f>
        <v>4.5</v>
      </c>
      <c r="H11" s="52">
        <f t="shared" ref="H11:H13" si="6">D11+F11</f>
        <v>4.44</v>
      </c>
      <c r="I11" s="52" t="s">
        <v>38</v>
      </c>
      <c r="J11" s="53">
        <v>4.4808</v>
      </c>
      <c r="K11" s="53">
        <v>4.5064</v>
      </c>
      <c r="L11" s="53">
        <v>4.4973</v>
      </c>
      <c r="M11" s="53">
        <v>4.5059</v>
      </c>
      <c r="N11" s="53">
        <v>4.4851</v>
      </c>
      <c r="O11" s="53">
        <v>4.5075</v>
      </c>
      <c r="P11" s="53">
        <v>4.4883</v>
      </c>
      <c r="Q11" s="53">
        <v>4.485</v>
      </c>
      <c r="R11" s="53">
        <v>4.4999</v>
      </c>
      <c r="S11" s="53">
        <v>4.4947</v>
      </c>
      <c r="T11" s="53">
        <v>4.507</v>
      </c>
      <c r="U11" s="53">
        <v>4.5066</v>
      </c>
      <c r="V11" s="53"/>
      <c r="W11" s="53"/>
      <c r="X11" s="53"/>
      <c r="Y11" s="53"/>
      <c r="Z11" s="54" t="str">
        <f t="shared" ref="Z11:AO11" si="7">IF(J11="","",IF(J11&gt;($D11+$E11),(J11-$D11-$E11),IF(J11&lt;($D11+$F11),(J11-$D11-$F11),"√")))</f>
        <v>√</v>
      </c>
      <c r="AA11" s="54">
        <f t="shared" si="7"/>
        <v>0.00640000000000043</v>
      </c>
      <c r="AB11" s="54" t="str">
        <f t="shared" si="7"/>
        <v>√</v>
      </c>
      <c r="AC11" s="54">
        <f t="shared" si="7"/>
        <v>0.00589999999999982</v>
      </c>
      <c r="AD11" s="54" t="str">
        <f t="shared" si="7"/>
        <v>√</v>
      </c>
      <c r="AE11" s="54">
        <f t="shared" si="7"/>
        <v>0.00750000000000053</v>
      </c>
      <c r="AF11" s="54" t="str">
        <f t="shared" si="7"/>
        <v>√</v>
      </c>
      <c r="AG11" s="54" t="str">
        <f t="shared" si="7"/>
        <v>√</v>
      </c>
      <c r="AH11" s="54" t="str">
        <f t="shared" si="7"/>
        <v>√</v>
      </c>
      <c r="AI11" s="54" t="str">
        <f t="shared" si="7"/>
        <v>√</v>
      </c>
      <c r="AJ11" s="54">
        <f t="shared" si="7"/>
        <v>0.00699999999999992</v>
      </c>
      <c r="AK11" s="54">
        <f t="shared" si="7"/>
        <v>0.00659999999999997</v>
      </c>
      <c r="AL11" s="54" t="str">
        <f t="shared" si="7"/>
        <v/>
      </c>
      <c r="AM11" s="54" t="str">
        <f t="shared" si="7"/>
        <v/>
      </c>
      <c r="AN11" s="54" t="str">
        <f t="shared" si="7"/>
        <v/>
      </c>
      <c r="AO11" s="54" t="str">
        <f t="shared" si="7"/>
        <v/>
      </c>
    </row>
    <row r="12" ht="15" customHeight="1" spans="1:41">
      <c r="A12" s="55"/>
      <c r="B12" s="50" t="s">
        <v>39</v>
      </c>
      <c r="C12" s="50" t="s">
        <v>40</v>
      </c>
      <c r="D12" s="52">
        <v>3.19</v>
      </c>
      <c r="E12" s="52">
        <v>0.03</v>
      </c>
      <c r="F12" s="52">
        <v>-0.03</v>
      </c>
      <c r="G12" s="52">
        <f t="shared" si="5"/>
        <v>3.22</v>
      </c>
      <c r="H12" s="52">
        <f t="shared" si="6"/>
        <v>3.16</v>
      </c>
      <c r="I12" s="52" t="s">
        <v>38</v>
      </c>
      <c r="J12" s="53">
        <v>3.1975</v>
      </c>
      <c r="K12" s="53">
        <v>3.1891</v>
      </c>
      <c r="L12" s="53">
        <v>3.1927</v>
      </c>
      <c r="M12" s="53">
        <v>3.1896</v>
      </c>
      <c r="N12" s="53">
        <v>3.1931</v>
      </c>
      <c r="O12" s="53">
        <v>3.2015</v>
      </c>
      <c r="P12" s="53">
        <v>3.1944</v>
      </c>
      <c r="Q12" s="53">
        <v>3.1964</v>
      </c>
      <c r="R12" s="53">
        <v>3.1891</v>
      </c>
      <c r="S12" s="53">
        <v>3.1986</v>
      </c>
      <c r="T12" s="53">
        <v>3.1892</v>
      </c>
      <c r="U12" s="53">
        <v>3.2009</v>
      </c>
      <c r="V12" s="53"/>
      <c r="W12" s="53"/>
      <c r="X12" s="53"/>
      <c r="Y12" s="53"/>
      <c r="Z12" s="54" t="str">
        <f t="shared" ref="Z12:AO12" si="8">IF(J12="","",IF(J12&gt;($D12+$E12),(J12-$D12-$E12),IF(J12&lt;($D12+$F12),(J12-$D12-$F12),"√")))</f>
        <v>√</v>
      </c>
      <c r="AA12" s="54" t="str">
        <f t="shared" si="8"/>
        <v>√</v>
      </c>
      <c r="AB12" s="54" t="str">
        <f t="shared" si="8"/>
        <v>√</v>
      </c>
      <c r="AC12" s="54" t="str">
        <f t="shared" si="8"/>
        <v>√</v>
      </c>
      <c r="AD12" s="54" t="str">
        <f t="shared" si="8"/>
        <v>√</v>
      </c>
      <c r="AE12" s="54" t="str">
        <f t="shared" si="8"/>
        <v>√</v>
      </c>
      <c r="AF12" s="54" t="str">
        <f t="shared" si="8"/>
        <v>√</v>
      </c>
      <c r="AG12" s="54" t="str">
        <f t="shared" si="8"/>
        <v>√</v>
      </c>
      <c r="AH12" s="54" t="str">
        <f t="shared" si="8"/>
        <v>√</v>
      </c>
      <c r="AI12" s="54" t="str">
        <f t="shared" si="8"/>
        <v>√</v>
      </c>
      <c r="AJ12" s="54" t="str">
        <f t="shared" si="8"/>
        <v>√</v>
      </c>
      <c r="AK12" s="54" t="str">
        <f t="shared" si="8"/>
        <v>√</v>
      </c>
      <c r="AL12" s="54" t="str">
        <f t="shared" si="8"/>
        <v/>
      </c>
      <c r="AM12" s="54" t="str">
        <f t="shared" si="8"/>
        <v/>
      </c>
      <c r="AN12" s="54" t="str">
        <f t="shared" si="8"/>
        <v/>
      </c>
      <c r="AO12" s="54" t="str">
        <f t="shared" si="8"/>
        <v/>
      </c>
    </row>
    <row r="13" ht="15" customHeight="1" spans="1:41">
      <c r="A13" s="55"/>
      <c r="B13" s="50" t="s">
        <v>41</v>
      </c>
      <c r="C13" s="50" t="s">
        <v>42</v>
      </c>
      <c r="D13" s="52">
        <v>0</v>
      </c>
      <c r="E13" s="52">
        <v>0.05</v>
      </c>
      <c r="F13" s="52">
        <v>0</v>
      </c>
      <c r="G13" s="52">
        <f t="shared" si="5"/>
        <v>0.05</v>
      </c>
      <c r="H13" s="52">
        <f t="shared" si="6"/>
        <v>0</v>
      </c>
      <c r="I13" s="52" t="s">
        <v>38</v>
      </c>
      <c r="J13" s="53">
        <v>0.0027</v>
      </c>
      <c r="K13" s="53">
        <v>0.006</v>
      </c>
      <c r="L13" s="53">
        <v>0.0054</v>
      </c>
      <c r="M13" s="53">
        <v>0.0076</v>
      </c>
      <c r="N13" s="53">
        <v>0.007</v>
      </c>
      <c r="O13" s="53">
        <v>0.0036</v>
      </c>
      <c r="P13" s="53">
        <v>0.0053</v>
      </c>
      <c r="Q13" s="53">
        <v>0.0029</v>
      </c>
      <c r="R13" s="53">
        <v>0.0052</v>
      </c>
      <c r="S13" s="53">
        <v>0.0031</v>
      </c>
      <c r="T13" s="53">
        <v>0.0061</v>
      </c>
      <c r="U13" s="53">
        <v>0.0035</v>
      </c>
      <c r="V13" s="53"/>
      <c r="W13" s="53"/>
      <c r="X13" s="53"/>
      <c r="Y13" s="53"/>
      <c r="Z13" s="54" t="str">
        <f t="shared" ref="Z13:AO13" si="9">IF(J13="","",IF(J13&gt;($D13+$E13),(J13-$D13-$E13),IF(J13&lt;($D13+$F13),(J13-$D13-$F13),"√")))</f>
        <v>√</v>
      </c>
      <c r="AA13" s="54" t="str">
        <f t="shared" si="9"/>
        <v>√</v>
      </c>
      <c r="AB13" s="54" t="str">
        <f t="shared" si="9"/>
        <v>√</v>
      </c>
      <c r="AC13" s="54" t="str">
        <f t="shared" si="9"/>
        <v>√</v>
      </c>
      <c r="AD13" s="54" t="str">
        <f t="shared" si="9"/>
        <v>√</v>
      </c>
      <c r="AE13" s="54" t="str">
        <f t="shared" si="9"/>
        <v>√</v>
      </c>
      <c r="AF13" s="54" t="str">
        <f t="shared" si="9"/>
        <v>√</v>
      </c>
      <c r="AG13" s="54" t="str">
        <f t="shared" si="9"/>
        <v>√</v>
      </c>
      <c r="AH13" s="54" t="str">
        <f t="shared" si="9"/>
        <v>√</v>
      </c>
      <c r="AI13" s="54" t="str">
        <f t="shared" si="9"/>
        <v>√</v>
      </c>
      <c r="AJ13" s="54" t="str">
        <f t="shared" si="9"/>
        <v>√</v>
      </c>
      <c r="AK13" s="54" t="str">
        <f t="shared" si="9"/>
        <v>√</v>
      </c>
      <c r="AL13" s="54" t="str">
        <f t="shared" si="9"/>
        <v/>
      </c>
      <c r="AM13" s="54" t="str">
        <f t="shared" si="9"/>
        <v/>
      </c>
      <c r="AN13" s="54" t="str">
        <f t="shared" si="9"/>
        <v/>
      </c>
      <c r="AO13" s="54" t="str">
        <f t="shared" si="9"/>
        <v/>
      </c>
    </row>
    <row r="14" ht="15" customHeight="1" spans="1:41">
      <c r="A14" s="55"/>
      <c r="B14" s="50">
        <v>1</v>
      </c>
      <c r="C14" s="50"/>
      <c r="D14" s="52"/>
      <c r="E14" s="52"/>
      <c r="F14" s="52"/>
      <c r="G14" s="52"/>
      <c r="H14" s="52"/>
      <c r="I14" s="52" t="s">
        <v>38</v>
      </c>
      <c r="J14" s="53">
        <v>0.0014</v>
      </c>
      <c r="K14" s="53">
        <v>-0.0023</v>
      </c>
      <c r="L14" s="53">
        <v>-0.0019</v>
      </c>
      <c r="M14" s="53">
        <v>-0.0022</v>
      </c>
      <c r="N14" s="53">
        <v>-0.0025</v>
      </c>
      <c r="O14" s="53">
        <v>-0.0009</v>
      </c>
      <c r="P14" s="53">
        <v>-0.0013</v>
      </c>
      <c r="Q14" s="53">
        <v>-0.001</v>
      </c>
      <c r="R14" s="53">
        <v>-0.0023</v>
      </c>
      <c r="S14" s="53">
        <v>0.0006</v>
      </c>
      <c r="T14" s="53">
        <v>-0.0024</v>
      </c>
      <c r="U14" s="53">
        <v>-0.0008</v>
      </c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55"/>
      <c r="B15" s="50">
        <v>2</v>
      </c>
      <c r="C15" s="50"/>
      <c r="D15" s="52"/>
      <c r="E15" s="52"/>
      <c r="F15" s="52"/>
      <c r="G15" s="52"/>
      <c r="H15" s="52"/>
      <c r="I15" s="52" t="s">
        <v>38</v>
      </c>
      <c r="J15" s="53">
        <v>-0.0004</v>
      </c>
      <c r="K15" s="53">
        <v>-0.0009</v>
      </c>
      <c r="L15" s="53">
        <v>-0.0012</v>
      </c>
      <c r="M15" s="53">
        <v>-0.0021</v>
      </c>
      <c r="N15" s="53">
        <v>-0.0013</v>
      </c>
      <c r="O15" s="53">
        <v>-0.0012</v>
      </c>
      <c r="P15" s="53">
        <v>-0.0019</v>
      </c>
      <c r="Q15" s="53">
        <v>-0.0006</v>
      </c>
      <c r="R15" s="53">
        <v>-0.0002</v>
      </c>
      <c r="S15" s="53">
        <v>-0.0018</v>
      </c>
      <c r="T15" s="53">
        <v>-0.001</v>
      </c>
      <c r="U15" s="53">
        <v>-0.0012</v>
      </c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55"/>
      <c r="B16" s="50">
        <v>3</v>
      </c>
      <c r="C16" s="50"/>
      <c r="D16" s="52"/>
      <c r="E16" s="52"/>
      <c r="F16" s="52"/>
      <c r="G16" s="52"/>
      <c r="H16" s="52"/>
      <c r="I16" s="52" t="s">
        <v>38</v>
      </c>
      <c r="J16" s="53">
        <v>-0.001</v>
      </c>
      <c r="K16" s="53">
        <v>0.0033</v>
      </c>
      <c r="L16" s="53">
        <v>0.0032</v>
      </c>
      <c r="M16" s="53">
        <v>0.0044</v>
      </c>
      <c r="N16" s="53">
        <v>0.0037</v>
      </c>
      <c r="O16" s="53">
        <v>0.0021</v>
      </c>
      <c r="P16" s="53">
        <v>0.0034</v>
      </c>
      <c r="Q16" s="53">
        <v>0.0015</v>
      </c>
      <c r="R16" s="53">
        <v>0.0025</v>
      </c>
      <c r="S16" s="53">
        <v>0.0012</v>
      </c>
      <c r="T16" s="53">
        <v>0.0034</v>
      </c>
      <c r="U16" s="53">
        <v>0.002</v>
      </c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55"/>
      <c r="B17" s="50">
        <v>4</v>
      </c>
      <c r="C17" s="50"/>
      <c r="D17" s="52"/>
      <c r="E17" s="52"/>
      <c r="F17" s="52"/>
      <c r="G17" s="52"/>
      <c r="H17" s="52"/>
      <c r="I17" s="52" t="s">
        <v>38</v>
      </c>
      <c r="J17" s="53">
        <v>-0.0012</v>
      </c>
      <c r="K17" s="53">
        <v>0.003</v>
      </c>
      <c r="L17" s="53">
        <v>0.0029</v>
      </c>
      <c r="M17" s="53">
        <v>0.0033</v>
      </c>
      <c r="N17" s="53">
        <v>0.0028</v>
      </c>
      <c r="O17" s="53">
        <v>0.0014</v>
      </c>
      <c r="P17" s="53">
        <v>0.0029</v>
      </c>
      <c r="Q17" s="53">
        <v>0.0011</v>
      </c>
      <c r="R17" s="53">
        <v>0.0022</v>
      </c>
      <c r="S17" s="53">
        <v>0.0005</v>
      </c>
      <c r="T17" s="53">
        <v>0.003</v>
      </c>
      <c r="U17" s="53">
        <v>0.0013</v>
      </c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5"/>
      <c r="B18" s="50">
        <v>5</v>
      </c>
      <c r="C18" s="50"/>
      <c r="D18" s="52"/>
      <c r="E18" s="52"/>
      <c r="F18" s="52"/>
      <c r="G18" s="52"/>
      <c r="H18" s="52"/>
      <c r="I18" s="52" t="s">
        <v>38</v>
      </c>
      <c r="J18" s="53">
        <v>0</v>
      </c>
      <c r="K18" s="53">
        <v>-0.0003</v>
      </c>
      <c r="L18" s="53">
        <v>-0.0007</v>
      </c>
      <c r="M18" s="53">
        <v>-0.0001</v>
      </c>
      <c r="N18" s="53">
        <v>0.0005</v>
      </c>
      <c r="O18" s="53">
        <v>0.0002</v>
      </c>
      <c r="P18" s="53">
        <v>-0.0012</v>
      </c>
      <c r="Q18" s="53">
        <v>0.0004</v>
      </c>
      <c r="R18" s="53">
        <v>0.0005</v>
      </c>
      <c r="S18" s="53">
        <v>-0.0004</v>
      </c>
      <c r="T18" s="53">
        <v>-0.0002</v>
      </c>
      <c r="U18" s="53">
        <v>0.0003</v>
      </c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  <row r="19" ht="15" customHeight="1" spans="1:41">
      <c r="A19" s="58"/>
      <c r="B19" s="50">
        <v>6</v>
      </c>
      <c r="C19" s="50"/>
      <c r="D19" s="52"/>
      <c r="E19" s="52"/>
      <c r="F19" s="52"/>
      <c r="G19" s="52"/>
      <c r="H19" s="52"/>
      <c r="I19" s="52" t="s">
        <v>38</v>
      </c>
      <c r="J19" s="53">
        <v>0.0012</v>
      </c>
      <c r="K19" s="53">
        <v>-0.0027</v>
      </c>
      <c r="L19" s="53">
        <v>-0.0022</v>
      </c>
      <c r="M19" s="53">
        <v>-0.0033</v>
      </c>
      <c r="N19" s="53">
        <v>-0.0033</v>
      </c>
      <c r="O19" s="53">
        <v>-0.0016</v>
      </c>
      <c r="P19" s="53">
        <v>-0.0018</v>
      </c>
      <c r="Q19" s="53">
        <v>-0.0014</v>
      </c>
      <c r="R19" s="53">
        <v>-0.0027</v>
      </c>
      <c r="S19" s="53">
        <v>-0.0001</v>
      </c>
      <c r="T19" s="53">
        <v>-0.0028</v>
      </c>
      <c r="U19" s="53">
        <v>-0.0015</v>
      </c>
      <c r="V19" s="53"/>
      <c r="W19" s="53"/>
      <c r="X19" s="53"/>
      <c r="Y19" s="53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13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2026-06-07T20:05:35Z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